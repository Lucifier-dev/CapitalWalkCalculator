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ny.shah\Desktop\CapitalWalkCalculator\"/>
    </mc:Choice>
  </mc:AlternateContent>
  <bookViews>
    <workbookView xWindow="0" yWindow="0" windowWidth="23040" windowHeight="9075"/>
  </bookViews>
  <sheets>
    <sheet name="Calculation" sheetId="2" r:id="rId1"/>
    <sheet name="OOP Cases" sheetId="1" r:id="rId2"/>
    <sheet name="Excess Amount Cases" sheetId="3" r:id="rId3"/>
  </sheets>
  <externalReferences>
    <externalReference r:id="rId4"/>
    <externalReference r:id="rId5"/>
  </externalReferences>
  <definedNames>
    <definedName name="_xlnm._FilterDatabase" localSheetId="1" hidden="1">'OOP Cases'!$A$1:$BZ$1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5" i="2" l="1"/>
  <c r="B4" i="2"/>
  <c r="B24" i="2" l="1"/>
  <c r="B23" i="2"/>
  <c r="B21" i="2"/>
  <c r="B15" i="2"/>
  <c r="B13" i="2"/>
  <c r="B12" i="2"/>
  <c r="B10" i="2"/>
  <c r="B8" i="2"/>
  <c r="B6" i="2"/>
  <c r="BH954" i="1" l="1"/>
  <c r="AV954" i="1"/>
  <c r="AL954" i="1"/>
  <c r="AD954" i="1"/>
  <c r="AI954" i="1" s="1"/>
  <c r="AJ954" i="1" s="1"/>
  <c r="U954" i="1"/>
  <c r="O954" i="1"/>
  <c r="L954" i="1"/>
  <c r="BH953" i="1"/>
  <c r="AV953" i="1"/>
  <c r="AL953" i="1"/>
  <c r="AD953" i="1"/>
  <c r="U953" i="1"/>
  <c r="O953" i="1"/>
  <c r="BD953" i="1" s="1"/>
  <c r="L953" i="1"/>
  <c r="BH952" i="1"/>
  <c r="AV952" i="1"/>
  <c r="AL952" i="1"/>
  <c r="AD952" i="1"/>
  <c r="AI952" i="1" s="1"/>
  <c r="AJ952" i="1" s="1"/>
  <c r="U952" i="1"/>
  <c r="O952" i="1"/>
  <c r="L952" i="1"/>
  <c r="BC952" i="1" s="1"/>
  <c r="BH951" i="1"/>
  <c r="AV951" i="1"/>
  <c r="AL951" i="1"/>
  <c r="AD951" i="1"/>
  <c r="AI951" i="1" s="1"/>
  <c r="U951" i="1"/>
  <c r="O951" i="1"/>
  <c r="BD951" i="1" s="1"/>
  <c r="L951" i="1"/>
  <c r="BH950" i="1"/>
  <c r="AV950" i="1"/>
  <c r="AL950" i="1"/>
  <c r="AD950" i="1"/>
  <c r="AI950" i="1" s="1"/>
  <c r="AJ950" i="1" s="1"/>
  <c r="T950" i="1"/>
  <c r="U950" i="1" s="1"/>
  <c r="O950" i="1"/>
  <c r="L950" i="1"/>
  <c r="BH949" i="1"/>
  <c r="AV949" i="1"/>
  <c r="AL949" i="1"/>
  <c r="AD949" i="1"/>
  <c r="T949" i="1"/>
  <c r="U949" i="1" s="1"/>
  <c r="O949" i="1"/>
  <c r="BD949" i="1" s="1"/>
  <c r="L949" i="1"/>
  <c r="BH948" i="1"/>
  <c r="AV948" i="1"/>
  <c r="AL948" i="1"/>
  <c r="AD948" i="1"/>
  <c r="U948" i="1"/>
  <c r="O948" i="1"/>
  <c r="BD948" i="1" s="1"/>
  <c r="L948" i="1"/>
  <c r="BH947" i="1"/>
  <c r="AV947" i="1"/>
  <c r="AL947" i="1"/>
  <c r="AD947" i="1"/>
  <c r="AI947" i="1" s="1"/>
  <c r="U947" i="1"/>
  <c r="O947" i="1"/>
  <c r="BD947" i="1" s="1"/>
  <c r="L947" i="1"/>
  <c r="V947" i="1" s="1"/>
  <c r="BH946" i="1"/>
  <c r="AV946" i="1"/>
  <c r="AL946" i="1"/>
  <c r="AD946" i="1"/>
  <c r="AI946" i="1" s="1"/>
  <c r="AJ946" i="1" s="1"/>
  <c r="U946" i="1"/>
  <c r="O946" i="1"/>
  <c r="BD946" i="1" s="1"/>
  <c r="L946" i="1"/>
  <c r="V946" i="1" s="1"/>
  <c r="BH945" i="1"/>
  <c r="AV945" i="1"/>
  <c r="AL945" i="1"/>
  <c r="AD945" i="1"/>
  <c r="U945" i="1"/>
  <c r="O945" i="1"/>
  <c r="BD945" i="1" s="1"/>
  <c r="L945" i="1"/>
  <c r="BH944" i="1"/>
  <c r="AV944" i="1"/>
  <c r="AL944" i="1"/>
  <c r="AD944" i="1"/>
  <c r="AI944" i="1" s="1"/>
  <c r="U944" i="1"/>
  <c r="O944" i="1"/>
  <c r="L944" i="1"/>
  <c r="BH943" i="1"/>
  <c r="AV943" i="1"/>
  <c r="AL943" i="1"/>
  <c r="AD943" i="1"/>
  <c r="AI943" i="1" s="1"/>
  <c r="AJ943" i="1" s="1"/>
  <c r="U943" i="1"/>
  <c r="O943" i="1"/>
  <c r="L943" i="1"/>
  <c r="BH942" i="1"/>
  <c r="AV942" i="1"/>
  <c r="AL942" i="1"/>
  <c r="AD942" i="1"/>
  <c r="U942" i="1"/>
  <c r="O942" i="1"/>
  <c r="BD942" i="1" s="1"/>
  <c r="L942" i="1"/>
  <c r="V942" i="1" s="1"/>
  <c r="BH941" i="1"/>
  <c r="AV941" i="1"/>
  <c r="AL941" i="1"/>
  <c r="AD941" i="1"/>
  <c r="AI941" i="1" s="1"/>
  <c r="AJ941" i="1" s="1"/>
  <c r="U941" i="1"/>
  <c r="O941" i="1"/>
  <c r="BD941" i="1" s="1"/>
  <c r="L941" i="1"/>
  <c r="BH940" i="1"/>
  <c r="AV940" i="1"/>
  <c r="AL940" i="1"/>
  <c r="AD940" i="1"/>
  <c r="AI940" i="1" s="1"/>
  <c r="AJ940" i="1" s="1"/>
  <c r="U940" i="1"/>
  <c r="O940" i="1"/>
  <c r="BD940" i="1" s="1"/>
  <c r="L940" i="1"/>
  <c r="BH939" i="1"/>
  <c r="AV939" i="1"/>
  <c r="AL939" i="1"/>
  <c r="AD939" i="1"/>
  <c r="AI939" i="1" s="1"/>
  <c r="U939" i="1"/>
  <c r="O939" i="1"/>
  <c r="BD939" i="1" s="1"/>
  <c r="L939" i="1"/>
  <c r="BC939" i="1" s="1"/>
  <c r="BH938" i="1"/>
  <c r="AV938" i="1"/>
  <c r="AL938" i="1"/>
  <c r="AD938" i="1"/>
  <c r="AI938" i="1" s="1"/>
  <c r="AJ938" i="1" s="1"/>
  <c r="U938" i="1"/>
  <c r="O938" i="1"/>
  <c r="BD938" i="1" s="1"/>
  <c r="L938" i="1"/>
  <c r="BC938" i="1" s="1"/>
  <c r="BH937" i="1"/>
  <c r="AV937" i="1"/>
  <c r="AL937" i="1"/>
  <c r="AD937" i="1"/>
  <c r="AI937" i="1" s="1"/>
  <c r="U937" i="1"/>
  <c r="O937" i="1"/>
  <c r="BD937" i="1" s="1"/>
  <c r="L937" i="1"/>
  <c r="BH936" i="1"/>
  <c r="AV936" i="1"/>
  <c r="AL936" i="1"/>
  <c r="AD936" i="1"/>
  <c r="U936" i="1"/>
  <c r="O936" i="1"/>
  <c r="BD936" i="1" s="1"/>
  <c r="L936" i="1"/>
  <c r="BH935" i="1"/>
  <c r="AV935" i="1"/>
  <c r="AL935" i="1"/>
  <c r="AD935" i="1"/>
  <c r="AI935" i="1" s="1"/>
  <c r="U935" i="1"/>
  <c r="O935" i="1"/>
  <c r="BD935" i="1" s="1"/>
  <c r="L935" i="1"/>
  <c r="V935" i="1" s="1"/>
  <c r="BH934" i="1"/>
  <c r="AV934" i="1"/>
  <c r="AL934" i="1"/>
  <c r="AD934" i="1"/>
  <c r="AI934" i="1" s="1"/>
  <c r="AJ934" i="1" s="1"/>
  <c r="U934" i="1"/>
  <c r="O934" i="1"/>
  <c r="L934" i="1"/>
  <c r="BH933" i="1"/>
  <c r="AV933" i="1"/>
  <c r="AL933" i="1"/>
  <c r="AD933" i="1"/>
  <c r="AI933" i="1" s="1"/>
  <c r="U933" i="1"/>
  <c r="O933" i="1"/>
  <c r="BD933" i="1" s="1"/>
  <c r="L933" i="1"/>
  <c r="BH932" i="1"/>
  <c r="AV932" i="1"/>
  <c r="AL932" i="1"/>
  <c r="AD932" i="1"/>
  <c r="AI932" i="1" s="1"/>
  <c r="U932" i="1"/>
  <c r="O932" i="1"/>
  <c r="BD932" i="1" s="1"/>
  <c r="L932" i="1"/>
  <c r="V932" i="1" s="1"/>
  <c r="Z932" i="1" s="1"/>
  <c r="AC932" i="1" s="1"/>
  <c r="BH931" i="1"/>
  <c r="AV931" i="1"/>
  <c r="AL931" i="1"/>
  <c r="AD931" i="1"/>
  <c r="U931" i="1"/>
  <c r="O931" i="1"/>
  <c r="BD931" i="1" s="1"/>
  <c r="L931" i="1"/>
  <c r="BH930" i="1"/>
  <c r="AV930" i="1"/>
  <c r="AQ930" i="1"/>
  <c r="AL930" i="1"/>
  <c r="AD930" i="1"/>
  <c r="AI930" i="1" s="1"/>
  <c r="AJ930" i="1" s="1"/>
  <c r="U930" i="1"/>
  <c r="O930" i="1"/>
  <c r="BD930" i="1" s="1"/>
  <c r="L930" i="1"/>
  <c r="V930" i="1" s="1"/>
  <c r="BH929" i="1"/>
  <c r="AV929" i="1"/>
  <c r="AL929" i="1"/>
  <c r="AD929" i="1"/>
  <c r="AI929" i="1" s="1"/>
  <c r="AJ929" i="1" s="1"/>
  <c r="U929" i="1"/>
  <c r="O929" i="1"/>
  <c r="L929" i="1"/>
  <c r="BH928" i="1"/>
  <c r="AV928" i="1"/>
  <c r="AL928" i="1"/>
  <c r="AD928" i="1"/>
  <c r="AI928" i="1" s="1"/>
  <c r="U928" i="1"/>
  <c r="O928" i="1"/>
  <c r="BD928" i="1" s="1"/>
  <c r="L928" i="1"/>
  <c r="BH927" i="1"/>
  <c r="AV927" i="1"/>
  <c r="AL927" i="1"/>
  <c r="AD927" i="1"/>
  <c r="AI927" i="1" s="1"/>
  <c r="AJ927" i="1" s="1"/>
  <c r="U927" i="1"/>
  <c r="O927" i="1"/>
  <c r="L927" i="1"/>
  <c r="BH926" i="1"/>
  <c r="AV926" i="1"/>
  <c r="AL926" i="1"/>
  <c r="AD926" i="1"/>
  <c r="U926" i="1"/>
  <c r="O926" i="1"/>
  <c r="BD926" i="1" s="1"/>
  <c r="L926" i="1"/>
  <c r="BH925" i="1"/>
  <c r="AV925" i="1"/>
  <c r="AL925" i="1"/>
  <c r="AD925" i="1"/>
  <c r="AI925" i="1" s="1"/>
  <c r="AJ925" i="1" s="1"/>
  <c r="U925" i="1"/>
  <c r="O925" i="1"/>
  <c r="BD925" i="1" s="1"/>
  <c r="L925" i="1"/>
  <c r="BH924" i="1"/>
  <c r="AV924" i="1"/>
  <c r="AL924" i="1"/>
  <c r="AD924" i="1"/>
  <c r="U924" i="1"/>
  <c r="O924" i="1"/>
  <c r="BD924" i="1" s="1"/>
  <c r="L924" i="1"/>
  <c r="BH923" i="1"/>
  <c r="AV923" i="1"/>
  <c r="AL923" i="1"/>
  <c r="AD923" i="1"/>
  <c r="AI923" i="1" s="1"/>
  <c r="AJ923" i="1" s="1"/>
  <c r="U923" i="1"/>
  <c r="O923" i="1"/>
  <c r="BD923" i="1" s="1"/>
  <c r="L923" i="1"/>
  <c r="BH922" i="1"/>
  <c r="AV922" i="1"/>
  <c r="AL922" i="1"/>
  <c r="AD922" i="1"/>
  <c r="AI922" i="1" s="1"/>
  <c r="AJ922" i="1" s="1"/>
  <c r="U922" i="1"/>
  <c r="O922" i="1"/>
  <c r="BD922" i="1" s="1"/>
  <c r="L922" i="1"/>
  <c r="BH921" i="1"/>
  <c r="AV921" i="1"/>
  <c r="AL921" i="1"/>
  <c r="AD921" i="1"/>
  <c r="AI921" i="1" s="1"/>
  <c r="U921" i="1"/>
  <c r="O921" i="1"/>
  <c r="BD921" i="1" s="1"/>
  <c r="L921" i="1"/>
  <c r="V921" i="1" s="1"/>
  <c r="BH920" i="1"/>
  <c r="AV920" i="1"/>
  <c r="AL920" i="1"/>
  <c r="AD920" i="1"/>
  <c r="AI920" i="1" s="1"/>
  <c r="AJ920" i="1" s="1"/>
  <c r="U920" i="1"/>
  <c r="O920" i="1"/>
  <c r="L920" i="1"/>
  <c r="V920" i="1" s="1"/>
  <c r="BH919" i="1"/>
  <c r="AV919" i="1"/>
  <c r="AL919" i="1"/>
  <c r="AD919" i="1"/>
  <c r="AI919" i="1" s="1"/>
  <c r="U919" i="1"/>
  <c r="O919" i="1"/>
  <c r="BD919" i="1" s="1"/>
  <c r="L919" i="1"/>
  <c r="BH918" i="1"/>
  <c r="AV918" i="1"/>
  <c r="AL918" i="1"/>
  <c r="AD918" i="1"/>
  <c r="AI918" i="1" s="1"/>
  <c r="U918" i="1"/>
  <c r="O918" i="1"/>
  <c r="L918" i="1"/>
  <c r="BC918" i="1" s="1"/>
  <c r="BH917" i="1"/>
  <c r="AV917" i="1"/>
  <c r="AL917" i="1"/>
  <c r="AD917" i="1"/>
  <c r="U917" i="1"/>
  <c r="O917" i="1"/>
  <c r="BD917" i="1" s="1"/>
  <c r="L917" i="1"/>
  <c r="BH916" i="1"/>
  <c r="AV916" i="1"/>
  <c r="AL916" i="1"/>
  <c r="AD916" i="1"/>
  <c r="U916" i="1"/>
  <c r="O916" i="1"/>
  <c r="BD916" i="1" s="1"/>
  <c r="L916" i="1"/>
  <c r="BC916" i="1" s="1"/>
  <c r="BH915" i="1"/>
  <c r="AV915" i="1"/>
  <c r="AL915" i="1"/>
  <c r="AD915" i="1"/>
  <c r="U915" i="1"/>
  <c r="O915" i="1"/>
  <c r="BD915" i="1" s="1"/>
  <c r="L915" i="1"/>
  <c r="BH914" i="1"/>
  <c r="AV914" i="1"/>
  <c r="AL914" i="1"/>
  <c r="AD914" i="1"/>
  <c r="AI914" i="1" s="1"/>
  <c r="AJ914" i="1" s="1"/>
  <c r="U914" i="1"/>
  <c r="O914" i="1"/>
  <c r="L914" i="1"/>
  <c r="BH913" i="1"/>
  <c r="AV913" i="1"/>
  <c r="AL913" i="1"/>
  <c r="AD913" i="1"/>
  <c r="AI913" i="1" s="1"/>
  <c r="U913" i="1"/>
  <c r="O913" i="1"/>
  <c r="BD913" i="1" s="1"/>
  <c r="L913" i="1"/>
  <c r="BH912" i="1"/>
  <c r="AV912" i="1"/>
  <c r="AL912" i="1"/>
  <c r="AD912" i="1"/>
  <c r="AI912" i="1" s="1"/>
  <c r="U912" i="1"/>
  <c r="O912" i="1"/>
  <c r="BD912" i="1" s="1"/>
  <c r="L912" i="1"/>
  <c r="BH911" i="1"/>
  <c r="AV911" i="1"/>
  <c r="AL911" i="1"/>
  <c r="AD911" i="1"/>
  <c r="AI911" i="1" s="1"/>
  <c r="AJ911" i="1" s="1"/>
  <c r="U911" i="1"/>
  <c r="O911" i="1"/>
  <c r="BD911" i="1" s="1"/>
  <c r="L911" i="1"/>
  <c r="BC911" i="1" s="1"/>
  <c r="BL910" i="1"/>
  <c r="BH910" i="1"/>
  <c r="AV910" i="1"/>
  <c r="AL910" i="1"/>
  <c r="AD910" i="1"/>
  <c r="AI910" i="1" s="1"/>
  <c r="U910" i="1"/>
  <c r="O910" i="1"/>
  <c r="BD910" i="1" s="1"/>
  <c r="L910" i="1"/>
  <c r="BC910" i="1" s="1"/>
  <c r="BL909" i="1"/>
  <c r="BH909" i="1"/>
  <c r="AV909" i="1"/>
  <c r="AL909" i="1"/>
  <c r="AD909" i="1"/>
  <c r="AI909" i="1" s="1"/>
  <c r="AJ909" i="1" s="1"/>
  <c r="U909" i="1"/>
  <c r="O909" i="1"/>
  <c r="L909" i="1"/>
  <c r="BL908" i="1"/>
  <c r="BH908" i="1"/>
  <c r="AV908" i="1"/>
  <c r="AL908" i="1"/>
  <c r="AD908" i="1"/>
  <c r="AI908" i="1" s="1"/>
  <c r="U908" i="1"/>
  <c r="O908" i="1"/>
  <c r="BD908" i="1" s="1"/>
  <c r="L908" i="1"/>
  <c r="BL907" i="1"/>
  <c r="BH907" i="1"/>
  <c r="AV907" i="1"/>
  <c r="AL907" i="1"/>
  <c r="AD907" i="1"/>
  <c r="U907" i="1"/>
  <c r="O907" i="1"/>
  <c r="BD907" i="1" s="1"/>
  <c r="L907" i="1"/>
  <c r="BL906" i="1"/>
  <c r="BH906" i="1"/>
  <c r="AV906" i="1"/>
  <c r="AL906" i="1"/>
  <c r="AD906" i="1"/>
  <c r="AI906" i="1" s="1"/>
  <c r="U906" i="1"/>
  <c r="O906" i="1"/>
  <c r="L906" i="1"/>
  <c r="BL905" i="1"/>
  <c r="BH905" i="1"/>
  <c r="AV905" i="1"/>
  <c r="AL905" i="1"/>
  <c r="AD905" i="1"/>
  <c r="AI905" i="1" s="1"/>
  <c r="U905" i="1"/>
  <c r="O905" i="1"/>
  <c r="BD905" i="1" s="1"/>
  <c r="L905" i="1"/>
  <c r="BL904" i="1"/>
  <c r="BH904" i="1"/>
  <c r="AV904" i="1"/>
  <c r="AL904" i="1"/>
  <c r="AD904" i="1"/>
  <c r="U904" i="1"/>
  <c r="O904" i="1"/>
  <c r="BD904" i="1" s="1"/>
  <c r="L904" i="1"/>
  <c r="BC904" i="1" s="1"/>
  <c r="BL903" i="1"/>
  <c r="BH903" i="1"/>
  <c r="AV903" i="1"/>
  <c r="AL903" i="1"/>
  <c r="AD903" i="1"/>
  <c r="AI903" i="1" s="1"/>
  <c r="U903" i="1"/>
  <c r="O903" i="1"/>
  <c r="L903" i="1"/>
  <c r="BL902" i="1"/>
  <c r="BH902" i="1"/>
  <c r="AV902" i="1"/>
  <c r="AL902" i="1"/>
  <c r="AD902" i="1"/>
  <c r="U902" i="1"/>
  <c r="O902" i="1"/>
  <c r="BD902" i="1" s="1"/>
  <c r="L902" i="1"/>
  <c r="BL901" i="1"/>
  <c r="BH901" i="1"/>
  <c r="AV901" i="1"/>
  <c r="AL901" i="1"/>
  <c r="AD901" i="1"/>
  <c r="AI901" i="1" s="1"/>
  <c r="AJ901" i="1" s="1"/>
  <c r="U901" i="1"/>
  <c r="O901" i="1"/>
  <c r="BD901" i="1" s="1"/>
  <c r="L901" i="1"/>
  <c r="BL900" i="1"/>
  <c r="BH900" i="1"/>
  <c r="AV900" i="1"/>
  <c r="AL900" i="1"/>
  <c r="AD900" i="1"/>
  <c r="AI900" i="1" s="1"/>
  <c r="U900" i="1"/>
  <c r="O900" i="1"/>
  <c r="L900" i="1"/>
  <c r="BL899" i="1"/>
  <c r="BH899" i="1"/>
  <c r="AV899" i="1"/>
  <c r="AL899" i="1"/>
  <c r="AD899" i="1"/>
  <c r="AI899" i="1" s="1"/>
  <c r="U899" i="1"/>
  <c r="O899" i="1"/>
  <c r="L899" i="1"/>
  <c r="BL898" i="1"/>
  <c r="BH898" i="1"/>
  <c r="AV898" i="1"/>
  <c r="AL898" i="1"/>
  <c r="AD898" i="1"/>
  <c r="AI898" i="1" s="1"/>
  <c r="U898" i="1"/>
  <c r="O898" i="1"/>
  <c r="BD898" i="1" s="1"/>
  <c r="L898" i="1"/>
  <c r="BC898" i="1" s="1"/>
  <c r="BL897" i="1"/>
  <c r="BH897" i="1"/>
  <c r="AV897" i="1"/>
  <c r="AL897" i="1"/>
  <c r="AD897" i="1"/>
  <c r="U897" i="1"/>
  <c r="O897" i="1"/>
  <c r="BD897" i="1" s="1"/>
  <c r="L897" i="1"/>
  <c r="BL896" i="1"/>
  <c r="BH896" i="1"/>
  <c r="AV896" i="1"/>
  <c r="AL896" i="1"/>
  <c r="AD896" i="1"/>
  <c r="Y896" i="1"/>
  <c r="U896" i="1"/>
  <c r="O896" i="1"/>
  <c r="BD896" i="1" s="1"/>
  <c r="L896" i="1"/>
  <c r="BL895" i="1"/>
  <c r="BH895" i="1"/>
  <c r="AV895" i="1"/>
  <c r="AL895" i="1"/>
  <c r="AD895" i="1"/>
  <c r="AI895" i="1" s="1"/>
  <c r="U895" i="1"/>
  <c r="O895" i="1"/>
  <c r="BD895" i="1" s="1"/>
  <c r="L895" i="1"/>
  <c r="BL894" i="1"/>
  <c r="BH894" i="1"/>
  <c r="AV894" i="1"/>
  <c r="AL894" i="1"/>
  <c r="AD894" i="1"/>
  <c r="AI894" i="1" s="1"/>
  <c r="AJ894" i="1" s="1"/>
  <c r="Y894" i="1"/>
  <c r="U894" i="1"/>
  <c r="O894" i="1"/>
  <c r="L894" i="1"/>
  <c r="BC894" i="1" s="1"/>
  <c r="BL893" i="1"/>
  <c r="BH893" i="1"/>
  <c r="AV893" i="1"/>
  <c r="AL893" i="1"/>
  <c r="AD893" i="1"/>
  <c r="AI893" i="1" s="1"/>
  <c r="U893" i="1"/>
  <c r="O893" i="1"/>
  <c r="BD893" i="1" s="1"/>
  <c r="L893" i="1"/>
  <c r="BL892" i="1"/>
  <c r="BH892" i="1"/>
  <c r="AV892" i="1"/>
  <c r="AL892" i="1"/>
  <c r="AD892" i="1"/>
  <c r="U892" i="1"/>
  <c r="O892" i="1"/>
  <c r="BD892" i="1" s="1"/>
  <c r="L892" i="1"/>
  <c r="BL891" i="1"/>
  <c r="BH891" i="1"/>
  <c r="AV891" i="1"/>
  <c r="AL891" i="1"/>
  <c r="AD891" i="1"/>
  <c r="U891" i="1"/>
  <c r="O891" i="1"/>
  <c r="BD891" i="1" s="1"/>
  <c r="L891" i="1"/>
  <c r="BL890" i="1"/>
  <c r="BH890" i="1"/>
  <c r="AV890" i="1"/>
  <c r="AL890" i="1"/>
  <c r="AD890" i="1"/>
  <c r="AI890" i="1" s="1"/>
  <c r="U890" i="1"/>
  <c r="O890" i="1"/>
  <c r="BD890" i="1" s="1"/>
  <c r="L890" i="1"/>
  <c r="BC890" i="1" s="1"/>
  <c r="BL889" i="1"/>
  <c r="BH889" i="1"/>
  <c r="AV889" i="1"/>
  <c r="AL889" i="1"/>
  <c r="AD889" i="1"/>
  <c r="U889" i="1"/>
  <c r="O889" i="1"/>
  <c r="BD889" i="1" s="1"/>
  <c r="L889" i="1"/>
  <c r="BL888" i="1"/>
  <c r="BH888" i="1"/>
  <c r="AV888" i="1"/>
  <c r="AL888" i="1"/>
  <c r="AD888" i="1"/>
  <c r="AI888" i="1" s="1"/>
  <c r="U888" i="1"/>
  <c r="O888" i="1"/>
  <c r="BD888" i="1" s="1"/>
  <c r="L888" i="1"/>
  <c r="V888" i="1" s="1"/>
  <c r="BL887" i="1"/>
  <c r="BH887" i="1"/>
  <c r="AV887" i="1"/>
  <c r="AL887" i="1"/>
  <c r="AD887" i="1"/>
  <c r="U887" i="1"/>
  <c r="O887" i="1"/>
  <c r="BD887" i="1" s="1"/>
  <c r="L887" i="1"/>
  <c r="BL886" i="1"/>
  <c r="BH886" i="1"/>
  <c r="AV886" i="1"/>
  <c r="AL886" i="1"/>
  <c r="AD886" i="1"/>
  <c r="U886" i="1"/>
  <c r="O886" i="1"/>
  <c r="BD886" i="1" s="1"/>
  <c r="L886" i="1"/>
  <c r="V886" i="1" s="1"/>
  <c r="BL885" i="1"/>
  <c r="BH885" i="1"/>
  <c r="AV885" i="1"/>
  <c r="AL885" i="1"/>
  <c r="AD885" i="1"/>
  <c r="AI885" i="1" s="1"/>
  <c r="AJ885" i="1" s="1"/>
  <c r="U885" i="1"/>
  <c r="O885" i="1"/>
  <c r="BD885" i="1" s="1"/>
  <c r="L885" i="1"/>
  <c r="V885" i="1" s="1"/>
  <c r="BL884" i="1"/>
  <c r="BH884" i="1"/>
  <c r="AV884" i="1"/>
  <c r="AL884" i="1"/>
  <c r="AD884" i="1"/>
  <c r="U884" i="1"/>
  <c r="O884" i="1"/>
  <c r="BD884" i="1" s="1"/>
  <c r="L884" i="1"/>
  <c r="BL883" i="1"/>
  <c r="BH883" i="1"/>
  <c r="AV883" i="1"/>
  <c r="AL883" i="1"/>
  <c r="AD883" i="1"/>
  <c r="U883" i="1"/>
  <c r="O883" i="1"/>
  <c r="BD883" i="1" s="1"/>
  <c r="L883" i="1"/>
  <c r="V883" i="1" s="1"/>
  <c r="Z883" i="1" s="1"/>
  <c r="AC883" i="1" s="1"/>
  <c r="BL882" i="1"/>
  <c r="BH882" i="1"/>
  <c r="AV882" i="1"/>
  <c r="AL882" i="1"/>
  <c r="AD882" i="1"/>
  <c r="U882" i="1"/>
  <c r="O882" i="1"/>
  <c r="BD882" i="1" s="1"/>
  <c r="L882" i="1"/>
  <c r="BL881" i="1"/>
  <c r="BH881" i="1"/>
  <c r="AV881" i="1"/>
  <c r="AL881" i="1"/>
  <c r="AD881" i="1"/>
  <c r="AI881" i="1" s="1"/>
  <c r="AJ881" i="1" s="1"/>
  <c r="U881" i="1"/>
  <c r="O881" i="1"/>
  <c r="BD881" i="1" s="1"/>
  <c r="L881" i="1"/>
  <c r="BL880" i="1"/>
  <c r="BH880" i="1"/>
  <c r="AV880" i="1"/>
  <c r="AL880" i="1"/>
  <c r="AD880" i="1"/>
  <c r="AI880" i="1" s="1"/>
  <c r="AJ880" i="1" s="1"/>
  <c r="U880" i="1"/>
  <c r="O880" i="1"/>
  <c r="L880" i="1"/>
  <c r="BL879" i="1"/>
  <c r="BH879" i="1"/>
  <c r="AV879" i="1"/>
  <c r="AL879" i="1"/>
  <c r="AD879" i="1"/>
  <c r="U879" i="1"/>
  <c r="O879" i="1"/>
  <c r="BD879" i="1" s="1"/>
  <c r="L879" i="1"/>
  <c r="BL878" i="1"/>
  <c r="BH878" i="1"/>
  <c r="AV878" i="1"/>
  <c r="AL878" i="1"/>
  <c r="AD878" i="1"/>
  <c r="U878" i="1"/>
  <c r="O878" i="1"/>
  <c r="BD878" i="1" s="1"/>
  <c r="L878" i="1"/>
  <c r="BL877" i="1"/>
  <c r="BH877" i="1"/>
  <c r="AV877" i="1"/>
  <c r="AL877" i="1"/>
  <c r="AD877" i="1"/>
  <c r="AI877" i="1" s="1"/>
  <c r="AJ877" i="1" s="1"/>
  <c r="U877" i="1"/>
  <c r="O877" i="1"/>
  <c r="BD877" i="1" s="1"/>
  <c r="L877" i="1"/>
  <c r="BL876" i="1"/>
  <c r="BH876" i="1"/>
  <c r="AV876" i="1"/>
  <c r="AL876" i="1"/>
  <c r="AD876" i="1"/>
  <c r="U876" i="1"/>
  <c r="O876" i="1"/>
  <c r="BD876" i="1" s="1"/>
  <c r="L876" i="1"/>
  <c r="V876" i="1" s="1"/>
  <c r="Z876" i="1" s="1"/>
  <c r="AC876" i="1" s="1"/>
  <c r="BL875" i="1"/>
  <c r="BH875" i="1"/>
  <c r="AV875" i="1"/>
  <c r="AL875" i="1"/>
  <c r="AD875" i="1"/>
  <c r="AI875" i="1" s="1"/>
  <c r="U875" i="1"/>
  <c r="O875" i="1"/>
  <c r="BD875" i="1" s="1"/>
  <c r="L875" i="1"/>
  <c r="BL874" i="1"/>
  <c r="BH874" i="1"/>
  <c r="AV874" i="1"/>
  <c r="AL874" i="1"/>
  <c r="AD874" i="1"/>
  <c r="AI874" i="1" s="1"/>
  <c r="AJ874" i="1" s="1"/>
  <c r="U874" i="1"/>
  <c r="O874" i="1"/>
  <c r="L874" i="1"/>
  <c r="BL873" i="1"/>
  <c r="BH873" i="1"/>
  <c r="AV873" i="1"/>
  <c r="AL873" i="1"/>
  <c r="AD873" i="1"/>
  <c r="U873" i="1"/>
  <c r="O873" i="1"/>
  <c r="BD873" i="1" s="1"/>
  <c r="L873" i="1"/>
  <c r="BL872" i="1"/>
  <c r="BH872" i="1"/>
  <c r="AV872" i="1"/>
  <c r="AL872" i="1"/>
  <c r="AD872" i="1"/>
  <c r="AI872" i="1" s="1"/>
  <c r="AJ872" i="1" s="1"/>
  <c r="U872" i="1"/>
  <c r="O872" i="1"/>
  <c r="BD872" i="1" s="1"/>
  <c r="L872" i="1"/>
  <c r="BC872" i="1" s="1"/>
  <c r="BL871" i="1"/>
  <c r="BH871" i="1"/>
  <c r="AV871" i="1"/>
  <c r="AL871" i="1"/>
  <c r="AD871" i="1"/>
  <c r="U871" i="1"/>
  <c r="O871" i="1"/>
  <c r="BD871" i="1" s="1"/>
  <c r="L871" i="1"/>
  <c r="V871" i="1" s="1"/>
  <c r="BL870" i="1"/>
  <c r="BH870" i="1"/>
  <c r="AV870" i="1"/>
  <c r="AL870" i="1"/>
  <c r="AD870" i="1"/>
  <c r="AI870" i="1" s="1"/>
  <c r="AJ870" i="1" s="1"/>
  <c r="U870" i="1"/>
  <c r="O870" i="1"/>
  <c r="BD870" i="1" s="1"/>
  <c r="L870" i="1"/>
  <c r="BL869" i="1"/>
  <c r="BH869" i="1"/>
  <c r="AV869" i="1"/>
  <c r="AL869" i="1"/>
  <c r="AD869" i="1"/>
  <c r="AI869" i="1" s="1"/>
  <c r="U869" i="1"/>
  <c r="O869" i="1"/>
  <c r="BD869" i="1" s="1"/>
  <c r="L869" i="1"/>
  <c r="BL868" i="1"/>
  <c r="BH868" i="1"/>
  <c r="AV868" i="1"/>
  <c r="AL868" i="1"/>
  <c r="AD868" i="1"/>
  <c r="U868" i="1"/>
  <c r="O868" i="1"/>
  <c r="BD868" i="1" s="1"/>
  <c r="L868" i="1"/>
  <c r="V868" i="1" s="1"/>
  <c r="Z868" i="1" s="1"/>
  <c r="AC868" i="1" s="1"/>
  <c r="BL867" i="1"/>
  <c r="BH867" i="1"/>
  <c r="AV867" i="1"/>
  <c r="AL867" i="1"/>
  <c r="AD867" i="1"/>
  <c r="AI867" i="1" s="1"/>
  <c r="AJ867" i="1" s="1"/>
  <c r="U867" i="1"/>
  <c r="O867" i="1"/>
  <c r="L867" i="1"/>
  <c r="BL866" i="1"/>
  <c r="BH866" i="1"/>
  <c r="AV866" i="1"/>
  <c r="AL866" i="1"/>
  <c r="AD866" i="1"/>
  <c r="AI866" i="1" s="1"/>
  <c r="AJ866" i="1" s="1"/>
  <c r="U866" i="1"/>
  <c r="O866" i="1"/>
  <c r="BD866" i="1" s="1"/>
  <c r="L866" i="1"/>
  <c r="BL865" i="1"/>
  <c r="BH865" i="1"/>
  <c r="AV865" i="1"/>
  <c r="AL865" i="1"/>
  <c r="AD865" i="1"/>
  <c r="AI865" i="1" s="1"/>
  <c r="U865" i="1"/>
  <c r="O865" i="1"/>
  <c r="L865" i="1"/>
  <c r="BL864" i="1"/>
  <c r="BH864" i="1"/>
  <c r="AV864" i="1"/>
  <c r="AL864" i="1"/>
  <c r="AD864" i="1"/>
  <c r="AI864" i="1" s="1"/>
  <c r="U864" i="1"/>
  <c r="O864" i="1"/>
  <c r="L864" i="1"/>
  <c r="V864" i="1" s="1"/>
  <c r="BL863" i="1"/>
  <c r="BH863" i="1"/>
  <c r="AV863" i="1"/>
  <c r="AL863" i="1"/>
  <c r="AD863" i="1"/>
  <c r="AI863" i="1" s="1"/>
  <c r="U863" i="1"/>
  <c r="O863" i="1"/>
  <c r="L863" i="1"/>
  <c r="BL862" i="1"/>
  <c r="BH862" i="1"/>
  <c r="AV862" i="1"/>
  <c r="AL862" i="1"/>
  <c r="AD862" i="1"/>
  <c r="AI862" i="1" s="1"/>
  <c r="U862" i="1"/>
  <c r="O862" i="1"/>
  <c r="BD862" i="1" s="1"/>
  <c r="L862" i="1"/>
  <c r="BL861" i="1"/>
  <c r="BH861" i="1"/>
  <c r="AV861" i="1"/>
  <c r="AL861" i="1"/>
  <c r="AD861" i="1"/>
  <c r="AI861" i="1" s="1"/>
  <c r="U861" i="1"/>
  <c r="O861" i="1"/>
  <c r="BD861" i="1" s="1"/>
  <c r="L861" i="1"/>
  <c r="V861" i="1" s="1"/>
  <c r="Z861" i="1" s="1"/>
  <c r="AC861" i="1" s="1"/>
  <c r="BL860" i="1"/>
  <c r="BH860" i="1"/>
  <c r="AV860" i="1"/>
  <c r="AL860" i="1"/>
  <c r="AD860" i="1"/>
  <c r="AI860" i="1" s="1"/>
  <c r="AJ860" i="1" s="1"/>
  <c r="U860" i="1"/>
  <c r="O860" i="1"/>
  <c r="BD860" i="1" s="1"/>
  <c r="L860" i="1"/>
  <c r="BL859" i="1"/>
  <c r="BH859" i="1"/>
  <c r="AV859" i="1"/>
  <c r="AL859" i="1"/>
  <c r="AD859" i="1"/>
  <c r="U859" i="1"/>
  <c r="O859" i="1"/>
  <c r="BD859" i="1" s="1"/>
  <c r="L859" i="1"/>
  <c r="BC859" i="1" s="1"/>
  <c r="BL858" i="1"/>
  <c r="BH858" i="1"/>
  <c r="AV858" i="1"/>
  <c r="AL858" i="1"/>
  <c r="AD858" i="1"/>
  <c r="U858" i="1"/>
  <c r="O858" i="1"/>
  <c r="BD858" i="1" s="1"/>
  <c r="L858" i="1"/>
  <c r="BL857" i="1"/>
  <c r="BH857" i="1"/>
  <c r="AV857" i="1"/>
  <c r="AL857" i="1"/>
  <c r="AD857" i="1"/>
  <c r="U857" i="1"/>
  <c r="O857" i="1"/>
  <c r="BD857" i="1" s="1"/>
  <c r="L857" i="1"/>
  <c r="BL856" i="1"/>
  <c r="BH856" i="1"/>
  <c r="AV856" i="1"/>
  <c r="AL856" i="1"/>
  <c r="AD856" i="1"/>
  <c r="U856" i="1"/>
  <c r="O856" i="1"/>
  <c r="BD856" i="1" s="1"/>
  <c r="L856" i="1"/>
  <c r="BL855" i="1"/>
  <c r="BH855" i="1"/>
  <c r="AV855" i="1"/>
  <c r="AL855" i="1"/>
  <c r="AD855" i="1"/>
  <c r="AI855" i="1" s="1"/>
  <c r="AJ855" i="1" s="1"/>
  <c r="U855" i="1"/>
  <c r="O855" i="1"/>
  <c r="BD855" i="1" s="1"/>
  <c r="L855" i="1"/>
  <c r="BL854" i="1"/>
  <c r="BH854" i="1"/>
  <c r="AV854" i="1"/>
  <c r="AL854" i="1"/>
  <c r="AD854" i="1"/>
  <c r="U854" i="1"/>
  <c r="O854" i="1"/>
  <c r="BD854" i="1" s="1"/>
  <c r="L854" i="1"/>
  <c r="BL853" i="1"/>
  <c r="BH853" i="1"/>
  <c r="AV853" i="1"/>
  <c r="AL853" i="1"/>
  <c r="AD853" i="1"/>
  <c r="U853" i="1"/>
  <c r="O853" i="1"/>
  <c r="BD853" i="1" s="1"/>
  <c r="L853" i="1"/>
  <c r="BC853" i="1" s="1"/>
  <c r="BL852" i="1"/>
  <c r="BH852" i="1"/>
  <c r="AV852" i="1"/>
  <c r="AL852" i="1"/>
  <c r="AD852" i="1"/>
  <c r="AI852" i="1" s="1"/>
  <c r="U852" i="1"/>
  <c r="O852" i="1"/>
  <c r="BD852" i="1" s="1"/>
  <c r="L852" i="1"/>
  <c r="BL851" i="1"/>
  <c r="BH851" i="1"/>
  <c r="AV851" i="1"/>
  <c r="AL851" i="1"/>
  <c r="AD851" i="1"/>
  <c r="AI851" i="1" s="1"/>
  <c r="U851" i="1"/>
  <c r="O851" i="1"/>
  <c r="L851" i="1"/>
  <c r="BL850" i="1"/>
  <c r="BH850" i="1"/>
  <c r="AV850" i="1"/>
  <c r="AL850" i="1"/>
  <c r="AD850" i="1"/>
  <c r="AI850" i="1" s="1"/>
  <c r="U850" i="1"/>
  <c r="O850" i="1"/>
  <c r="BD850" i="1" s="1"/>
  <c r="L850" i="1"/>
  <c r="BL849" i="1"/>
  <c r="BH849" i="1"/>
  <c r="AV849" i="1"/>
  <c r="AL849" i="1"/>
  <c r="AD849" i="1"/>
  <c r="AI849" i="1" s="1"/>
  <c r="AJ849" i="1" s="1"/>
  <c r="U849" i="1"/>
  <c r="O849" i="1"/>
  <c r="L849" i="1"/>
  <c r="BC849" i="1" s="1"/>
  <c r="BL848" i="1"/>
  <c r="BH848" i="1"/>
  <c r="AV848" i="1"/>
  <c r="AL848" i="1"/>
  <c r="AD848" i="1"/>
  <c r="Y848" i="1"/>
  <c r="U848" i="1"/>
  <c r="O848" i="1"/>
  <c r="BD848" i="1" s="1"/>
  <c r="L848" i="1"/>
  <c r="BC848" i="1" s="1"/>
  <c r="BL847" i="1"/>
  <c r="BH847" i="1"/>
  <c r="AV847" i="1"/>
  <c r="AL847" i="1"/>
  <c r="AD847" i="1"/>
  <c r="AI847" i="1" s="1"/>
  <c r="U847" i="1"/>
  <c r="O847" i="1"/>
  <c r="BD847" i="1" s="1"/>
  <c r="L847" i="1"/>
  <c r="V847" i="1" s="1"/>
  <c r="BL846" i="1"/>
  <c r="BH846" i="1"/>
  <c r="AV846" i="1"/>
  <c r="AL846" i="1"/>
  <c r="AD846" i="1"/>
  <c r="AI846" i="1" s="1"/>
  <c r="AJ846" i="1" s="1"/>
  <c r="U846" i="1"/>
  <c r="O846" i="1"/>
  <c r="L846" i="1"/>
  <c r="V846" i="1" s="1"/>
  <c r="BL845" i="1"/>
  <c r="BH845" i="1"/>
  <c r="AV845" i="1"/>
  <c r="AL845" i="1"/>
  <c r="AD845" i="1"/>
  <c r="U845" i="1"/>
  <c r="O845" i="1"/>
  <c r="BD845" i="1" s="1"/>
  <c r="L845" i="1"/>
  <c r="BL844" i="1"/>
  <c r="BH844" i="1"/>
  <c r="AV844" i="1"/>
  <c r="AL844" i="1"/>
  <c r="AD844" i="1"/>
  <c r="AI844" i="1" s="1"/>
  <c r="U844" i="1"/>
  <c r="O844" i="1"/>
  <c r="L844" i="1"/>
  <c r="BL843" i="1"/>
  <c r="BH843" i="1"/>
  <c r="AV843" i="1"/>
  <c r="AL843" i="1"/>
  <c r="AD843" i="1"/>
  <c r="AI843" i="1" s="1"/>
  <c r="AJ843" i="1" s="1"/>
  <c r="U843" i="1"/>
  <c r="O843" i="1"/>
  <c r="BD843" i="1" s="1"/>
  <c r="L843" i="1"/>
  <c r="BL842" i="1"/>
  <c r="BH842" i="1"/>
  <c r="AV842" i="1"/>
  <c r="AL842" i="1"/>
  <c r="AD842" i="1"/>
  <c r="U842" i="1"/>
  <c r="O842" i="1"/>
  <c r="BD842" i="1" s="1"/>
  <c r="L842" i="1"/>
  <c r="BC842" i="1" s="1"/>
  <c r="BL841" i="1"/>
  <c r="BH841" i="1"/>
  <c r="AV841" i="1"/>
  <c r="AL841" i="1"/>
  <c r="AD841" i="1"/>
  <c r="U841" i="1"/>
  <c r="O841" i="1"/>
  <c r="BD841" i="1" s="1"/>
  <c r="L841" i="1"/>
  <c r="BL840" i="1"/>
  <c r="BH840" i="1"/>
  <c r="AV840" i="1"/>
  <c r="AL840" i="1"/>
  <c r="AD840" i="1"/>
  <c r="U840" i="1"/>
  <c r="O840" i="1"/>
  <c r="BD840" i="1" s="1"/>
  <c r="L840" i="1"/>
  <c r="BL839" i="1"/>
  <c r="BH839" i="1"/>
  <c r="AV839" i="1"/>
  <c r="AL839" i="1"/>
  <c r="AD839" i="1"/>
  <c r="U839" i="1"/>
  <c r="O839" i="1"/>
  <c r="BD839" i="1" s="1"/>
  <c r="L839" i="1"/>
  <c r="BL838" i="1"/>
  <c r="BH838" i="1"/>
  <c r="AV838" i="1"/>
  <c r="AL838" i="1"/>
  <c r="AD838" i="1"/>
  <c r="AI838" i="1" s="1"/>
  <c r="AJ838" i="1" s="1"/>
  <c r="U838" i="1"/>
  <c r="O838" i="1"/>
  <c r="BD838" i="1" s="1"/>
  <c r="L838" i="1"/>
  <c r="BL837" i="1"/>
  <c r="BH837" i="1"/>
  <c r="AV837" i="1"/>
  <c r="AL837" i="1"/>
  <c r="AD837" i="1"/>
  <c r="U837" i="1"/>
  <c r="O837" i="1"/>
  <c r="BD837" i="1" s="1"/>
  <c r="L837" i="1"/>
  <c r="V837" i="1" s="1"/>
  <c r="BL836" i="1"/>
  <c r="BH836" i="1"/>
  <c r="AV836" i="1"/>
  <c r="AL836" i="1"/>
  <c r="AD836" i="1"/>
  <c r="AI836" i="1" s="1"/>
  <c r="AJ836" i="1" s="1"/>
  <c r="U836" i="1"/>
  <c r="O836" i="1"/>
  <c r="BD836" i="1" s="1"/>
  <c r="L836" i="1"/>
  <c r="BL835" i="1"/>
  <c r="BH835" i="1"/>
  <c r="AV835" i="1"/>
  <c r="AL835" i="1"/>
  <c r="AD835" i="1"/>
  <c r="AI835" i="1" s="1"/>
  <c r="U835" i="1"/>
  <c r="O835" i="1"/>
  <c r="L835" i="1"/>
  <c r="BL834" i="1"/>
  <c r="BH834" i="1"/>
  <c r="AV834" i="1"/>
  <c r="AL834" i="1"/>
  <c r="AD834" i="1"/>
  <c r="U834" i="1"/>
  <c r="O834" i="1"/>
  <c r="BD834" i="1" s="1"/>
  <c r="L834" i="1"/>
  <c r="BL833" i="1"/>
  <c r="BH833" i="1"/>
  <c r="AV833" i="1"/>
  <c r="AL833" i="1"/>
  <c r="AD833" i="1"/>
  <c r="AI833" i="1" s="1"/>
  <c r="AJ833" i="1" s="1"/>
  <c r="U833" i="1"/>
  <c r="O833" i="1"/>
  <c r="L833" i="1"/>
  <c r="BL832" i="1"/>
  <c r="BH832" i="1"/>
  <c r="AV832" i="1"/>
  <c r="AL832" i="1"/>
  <c r="AD832" i="1"/>
  <c r="U832" i="1"/>
  <c r="O832" i="1"/>
  <c r="BD832" i="1" s="1"/>
  <c r="L832" i="1"/>
  <c r="BL831" i="1"/>
  <c r="BH831" i="1"/>
  <c r="AV831" i="1"/>
  <c r="AL831" i="1"/>
  <c r="AD831" i="1"/>
  <c r="AI831" i="1" s="1"/>
  <c r="U831" i="1"/>
  <c r="O831" i="1"/>
  <c r="BD831" i="1" s="1"/>
  <c r="L831" i="1"/>
  <c r="BC831" i="1" s="1"/>
  <c r="BL830" i="1"/>
  <c r="BH830" i="1"/>
  <c r="AV830" i="1"/>
  <c r="AL830" i="1"/>
  <c r="AD830" i="1"/>
  <c r="U830" i="1"/>
  <c r="O830" i="1"/>
  <c r="BD830" i="1" s="1"/>
  <c r="L830" i="1"/>
  <c r="BL829" i="1"/>
  <c r="BH829" i="1"/>
  <c r="AV829" i="1"/>
  <c r="AL829" i="1"/>
  <c r="AD829" i="1"/>
  <c r="U829" i="1"/>
  <c r="O829" i="1"/>
  <c r="BD829" i="1" s="1"/>
  <c r="L829" i="1"/>
  <c r="BL828" i="1"/>
  <c r="BH828" i="1"/>
  <c r="AV828" i="1"/>
  <c r="AL828" i="1"/>
  <c r="AD828" i="1"/>
  <c r="AI828" i="1" s="1"/>
  <c r="U828" i="1"/>
  <c r="O828" i="1"/>
  <c r="BD828" i="1" s="1"/>
  <c r="L828" i="1"/>
  <c r="BL827" i="1"/>
  <c r="BH827" i="1"/>
  <c r="AV827" i="1"/>
  <c r="AL827" i="1"/>
  <c r="AD827" i="1"/>
  <c r="U827" i="1"/>
  <c r="O827" i="1"/>
  <c r="BD827" i="1" s="1"/>
  <c r="L827" i="1"/>
  <c r="BL826" i="1"/>
  <c r="BH826" i="1"/>
  <c r="AV826" i="1"/>
  <c r="AL826" i="1"/>
  <c r="AD826" i="1"/>
  <c r="AI826" i="1" s="1"/>
  <c r="U826" i="1"/>
  <c r="O826" i="1"/>
  <c r="L826" i="1"/>
  <c r="BL825" i="1"/>
  <c r="BH825" i="1"/>
  <c r="AV825" i="1"/>
  <c r="AL825" i="1"/>
  <c r="AD825" i="1"/>
  <c r="U825" i="1"/>
  <c r="O825" i="1"/>
  <c r="BD825" i="1" s="1"/>
  <c r="L825" i="1"/>
  <c r="BC825" i="1" s="1"/>
  <c r="BL824" i="1"/>
  <c r="BH824" i="1"/>
  <c r="AV824" i="1"/>
  <c r="AL824" i="1"/>
  <c r="AD824" i="1"/>
  <c r="AI824" i="1" s="1"/>
  <c r="U824" i="1"/>
  <c r="O824" i="1"/>
  <c r="BD824" i="1" s="1"/>
  <c r="L824" i="1"/>
  <c r="BL823" i="1"/>
  <c r="BH823" i="1"/>
  <c r="AV823" i="1"/>
  <c r="AL823" i="1"/>
  <c r="AD823" i="1"/>
  <c r="U823" i="1"/>
  <c r="O823" i="1"/>
  <c r="BD823" i="1" s="1"/>
  <c r="L823" i="1"/>
  <c r="V823" i="1" s="1"/>
  <c r="Z823" i="1" s="1"/>
  <c r="AC823" i="1" s="1"/>
  <c r="BL822" i="1"/>
  <c r="BH822" i="1"/>
  <c r="AV822" i="1"/>
  <c r="AL822" i="1"/>
  <c r="AD822" i="1"/>
  <c r="U822" i="1"/>
  <c r="O822" i="1"/>
  <c r="BD822" i="1" s="1"/>
  <c r="L822" i="1"/>
  <c r="BL821" i="1"/>
  <c r="BH821" i="1"/>
  <c r="AV821" i="1"/>
  <c r="AL821" i="1"/>
  <c r="AD821" i="1"/>
  <c r="U821" i="1"/>
  <c r="O821" i="1"/>
  <c r="BD821" i="1" s="1"/>
  <c r="L821" i="1"/>
  <c r="BL820" i="1"/>
  <c r="BH820" i="1"/>
  <c r="AV820" i="1"/>
  <c r="AL820" i="1"/>
  <c r="AD820" i="1"/>
  <c r="U820" i="1"/>
  <c r="O820" i="1"/>
  <c r="BD820" i="1" s="1"/>
  <c r="L820" i="1"/>
  <c r="BL819" i="1"/>
  <c r="BH819" i="1"/>
  <c r="AV819" i="1"/>
  <c r="AL819" i="1"/>
  <c r="AD819" i="1"/>
  <c r="AI819" i="1" s="1"/>
  <c r="AJ819" i="1" s="1"/>
  <c r="U819" i="1"/>
  <c r="O819" i="1"/>
  <c r="BD819" i="1" s="1"/>
  <c r="L819" i="1"/>
  <c r="BL818" i="1"/>
  <c r="BH818" i="1"/>
  <c r="AV818" i="1"/>
  <c r="AL818" i="1"/>
  <c r="AD818" i="1"/>
  <c r="AI818" i="1" s="1"/>
  <c r="U818" i="1"/>
  <c r="O818" i="1"/>
  <c r="L818" i="1"/>
  <c r="V818" i="1" s="1"/>
  <c r="Z818" i="1" s="1"/>
  <c r="AC818" i="1" s="1"/>
  <c r="BL817" i="1"/>
  <c r="BH817" i="1"/>
  <c r="AV817" i="1"/>
  <c r="AL817" i="1"/>
  <c r="AD817" i="1"/>
  <c r="AI817" i="1" s="1"/>
  <c r="U817" i="1"/>
  <c r="O817" i="1"/>
  <c r="BD817" i="1" s="1"/>
  <c r="L817" i="1"/>
  <c r="BC817" i="1" s="1"/>
  <c r="BL816" i="1"/>
  <c r="BH816" i="1"/>
  <c r="AV816" i="1"/>
  <c r="AL816" i="1"/>
  <c r="AD816" i="1"/>
  <c r="AI816" i="1" s="1"/>
  <c r="U816" i="1"/>
  <c r="O816" i="1"/>
  <c r="L816" i="1"/>
  <c r="V816" i="1" s="1"/>
  <c r="BL815" i="1"/>
  <c r="BH815" i="1"/>
  <c r="AV815" i="1"/>
  <c r="AL815" i="1"/>
  <c r="AD815" i="1"/>
  <c r="AI815" i="1" s="1"/>
  <c r="U815" i="1"/>
  <c r="O815" i="1"/>
  <c r="L815" i="1"/>
  <c r="V815" i="1" s="1"/>
  <c r="Z815" i="1" s="1"/>
  <c r="AC815" i="1" s="1"/>
  <c r="BL814" i="1"/>
  <c r="BH814" i="1"/>
  <c r="AV814" i="1"/>
  <c r="AL814" i="1"/>
  <c r="AD814" i="1"/>
  <c r="AI814" i="1" s="1"/>
  <c r="AJ814" i="1" s="1"/>
  <c r="U814" i="1"/>
  <c r="O814" i="1"/>
  <c r="BD814" i="1" s="1"/>
  <c r="L814" i="1"/>
  <c r="BL813" i="1"/>
  <c r="BH813" i="1"/>
  <c r="AV813" i="1"/>
  <c r="AL813" i="1"/>
  <c r="AD813" i="1"/>
  <c r="U813" i="1"/>
  <c r="O813" i="1"/>
  <c r="BD813" i="1" s="1"/>
  <c r="L813" i="1"/>
  <c r="BL812" i="1"/>
  <c r="BH812" i="1"/>
  <c r="AV812" i="1"/>
  <c r="AL812" i="1"/>
  <c r="AD812" i="1"/>
  <c r="AI812" i="1" s="1"/>
  <c r="U812" i="1"/>
  <c r="O812" i="1"/>
  <c r="BD812" i="1" s="1"/>
  <c r="L812" i="1"/>
  <c r="V812" i="1" s="1"/>
  <c r="BL811" i="1"/>
  <c r="BH811" i="1"/>
  <c r="AV811" i="1"/>
  <c r="AL811" i="1"/>
  <c r="AD811" i="1"/>
  <c r="AI811" i="1" s="1"/>
  <c r="U811" i="1"/>
  <c r="O811" i="1"/>
  <c r="BD811" i="1" s="1"/>
  <c r="L811" i="1"/>
  <c r="BC811" i="1" s="1"/>
  <c r="BL810" i="1"/>
  <c r="BH810" i="1"/>
  <c r="AV810" i="1"/>
  <c r="AL810" i="1"/>
  <c r="AD810" i="1"/>
  <c r="AI810" i="1" s="1"/>
  <c r="AJ810" i="1" s="1"/>
  <c r="U810" i="1"/>
  <c r="O810" i="1"/>
  <c r="BD810" i="1" s="1"/>
  <c r="L810" i="1"/>
  <c r="BL809" i="1"/>
  <c r="BH809" i="1"/>
  <c r="AV809" i="1"/>
  <c r="AL809" i="1"/>
  <c r="AD809" i="1"/>
  <c r="AI809" i="1" s="1"/>
  <c r="U809" i="1"/>
  <c r="O809" i="1"/>
  <c r="BD809" i="1" s="1"/>
  <c r="L809" i="1"/>
  <c r="BL808" i="1"/>
  <c r="BH808" i="1"/>
  <c r="AV808" i="1"/>
  <c r="AL808" i="1"/>
  <c r="AD808" i="1"/>
  <c r="U808" i="1"/>
  <c r="O808" i="1"/>
  <c r="BD808" i="1" s="1"/>
  <c r="L808" i="1"/>
  <c r="BC808" i="1" s="1"/>
  <c r="BL807" i="1"/>
  <c r="BH807" i="1"/>
  <c r="AV807" i="1"/>
  <c r="AL807" i="1"/>
  <c r="AD807" i="1"/>
  <c r="AI807" i="1" s="1"/>
  <c r="AJ807" i="1" s="1"/>
  <c r="U807" i="1"/>
  <c r="O807" i="1"/>
  <c r="BD807" i="1" s="1"/>
  <c r="L807" i="1"/>
  <c r="BL806" i="1"/>
  <c r="BH806" i="1"/>
  <c r="AV806" i="1"/>
  <c r="AL806" i="1"/>
  <c r="AD806" i="1"/>
  <c r="U806" i="1"/>
  <c r="O806" i="1"/>
  <c r="BD806" i="1" s="1"/>
  <c r="L806" i="1"/>
  <c r="BC806" i="1" s="1"/>
  <c r="BL805" i="1"/>
  <c r="BH805" i="1"/>
  <c r="AV805" i="1"/>
  <c r="AL805" i="1"/>
  <c r="AD805" i="1"/>
  <c r="AI805" i="1" s="1"/>
  <c r="U805" i="1"/>
  <c r="O805" i="1"/>
  <c r="L805" i="1"/>
  <c r="BL804" i="1"/>
  <c r="BH804" i="1"/>
  <c r="AV804" i="1"/>
  <c r="AL804" i="1"/>
  <c r="AD804" i="1"/>
  <c r="AI804" i="1" s="1"/>
  <c r="AJ804" i="1" s="1"/>
  <c r="U804" i="1"/>
  <c r="O804" i="1"/>
  <c r="BD804" i="1" s="1"/>
  <c r="L804" i="1"/>
  <c r="BL803" i="1"/>
  <c r="BH803" i="1"/>
  <c r="AV803" i="1"/>
  <c r="AL803" i="1"/>
  <c r="AD803" i="1"/>
  <c r="AI803" i="1" s="1"/>
  <c r="AJ803" i="1" s="1"/>
  <c r="U803" i="1"/>
  <c r="O803" i="1"/>
  <c r="BD803" i="1" s="1"/>
  <c r="L803" i="1"/>
  <c r="BL802" i="1"/>
  <c r="BH802" i="1"/>
  <c r="AV802" i="1"/>
  <c r="AL802" i="1"/>
  <c r="AD802" i="1"/>
  <c r="U802" i="1"/>
  <c r="O802" i="1"/>
  <c r="BD802" i="1" s="1"/>
  <c r="L802" i="1"/>
  <c r="BL801" i="1"/>
  <c r="BH801" i="1"/>
  <c r="AV801" i="1"/>
  <c r="AL801" i="1"/>
  <c r="AD801" i="1"/>
  <c r="U801" i="1"/>
  <c r="O801" i="1"/>
  <c r="BD801" i="1" s="1"/>
  <c r="L801" i="1"/>
  <c r="BL800" i="1"/>
  <c r="BH800" i="1"/>
  <c r="AV800" i="1"/>
  <c r="AL800" i="1"/>
  <c r="AD800" i="1"/>
  <c r="U800" i="1"/>
  <c r="O800" i="1"/>
  <c r="BD800" i="1" s="1"/>
  <c r="L800" i="1"/>
  <c r="BL799" i="1"/>
  <c r="BH799" i="1"/>
  <c r="AV799" i="1"/>
  <c r="AL799" i="1"/>
  <c r="AD799" i="1"/>
  <c r="AI799" i="1" s="1"/>
  <c r="U799" i="1"/>
  <c r="O799" i="1"/>
  <c r="L799" i="1"/>
  <c r="BC799" i="1" s="1"/>
  <c r="BL798" i="1"/>
  <c r="BH798" i="1"/>
  <c r="AV798" i="1"/>
  <c r="AL798" i="1"/>
  <c r="AD798" i="1"/>
  <c r="AI798" i="1" s="1"/>
  <c r="U798" i="1"/>
  <c r="O798" i="1"/>
  <c r="BD798" i="1" s="1"/>
  <c r="L798" i="1"/>
  <c r="BL797" i="1"/>
  <c r="BH797" i="1"/>
  <c r="AV797" i="1"/>
  <c r="AL797" i="1"/>
  <c r="AD797" i="1"/>
  <c r="AI797" i="1" s="1"/>
  <c r="U797" i="1"/>
  <c r="O797" i="1"/>
  <c r="BD797" i="1" s="1"/>
  <c r="L797" i="1"/>
  <c r="BL796" i="1"/>
  <c r="BH796" i="1"/>
  <c r="AV796" i="1"/>
  <c r="AL796" i="1"/>
  <c r="AD796" i="1"/>
  <c r="U796" i="1"/>
  <c r="O796" i="1"/>
  <c r="BD796" i="1" s="1"/>
  <c r="L796" i="1"/>
  <c r="BL795" i="1"/>
  <c r="BH795" i="1"/>
  <c r="AV795" i="1"/>
  <c r="AL795" i="1"/>
  <c r="AD795" i="1"/>
  <c r="AI795" i="1" s="1"/>
  <c r="AJ795" i="1" s="1"/>
  <c r="U795" i="1"/>
  <c r="O795" i="1"/>
  <c r="L795" i="1"/>
  <c r="BL794" i="1"/>
  <c r="BH794" i="1"/>
  <c r="AV794" i="1"/>
  <c r="AL794" i="1"/>
  <c r="AD794" i="1"/>
  <c r="U794" i="1"/>
  <c r="O794" i="1"/>
  <c r="BD794" i="1" s="1"/>
  <c r="L794" i="1"/>
  <c r="BL793" i="1"/>
  <c r="BH793" i="1"/>
  <c r="AV793" i="1"/>
  <c r="AL793" i="1"/>
  <c r="AD793" i="1"/>
  <c r="U793" i="1"/>
  <c r="O793" i="1"/>
  <c r="BD793" i="1" s="1"/>
  <c r="L793" i="1"/>
  <c r="V793" i="1" s="1"/>
  <c r="BL792" i="1"/>
  <c r="BH792" i="1"/>
  <c r="AV792" i="1"/>
  <c r="AL792" i="1"/>
  <c r="AD792" i="1"/>
  <c r="AI792" i="1" s="1"/>
  <c r="AJ792" i="1" s="1"/>
  <c r="U792" i="1"/>
  <c r="O792" i="1"/>
  <c r="L792" i="1"/>
  <c r="BC792" i="1" s="1"/>
  <c r="BL791" i="1"/>
  <c r="BH791" i="1"/>
  <c r="AV791" i="1"/>
  <c r="AL791" i="1"/>
  <c r="AD791" i="1"/>
  <c r="U791" i="1"/>
  <c r="O791" i="1"/>
  <c r="BD791" i="1" s="1"/>
  <c r="L791" i="1"/>
  <c r="BL790" i="1"/>
  <c r="BH790" i="1"/>
  <c r="AV790" i="1"/>
  <c r="AL790" i="1"/>
  <c r="AD790" i="1"/>
  <c r="AI790" i="1" s="1"/>
  <c r="AJ790" i="1" s="1"/>
  <c r="U790" i="1"/>
  <c r="O790" i="1"/>
  <c r="BD790" i="1" s="1"/>
  <c r="L790" i="1"/>
  <c r="V790" i="1" s="1"/>
  <c r="BL789" i="1"/>
  <c r="BH789" i="1"/>
  <c r="AV789" i="1"/>
  <c r="AL789" i="1"/>
  <c r="AD789" i="1"/>
  <c r="U789" i="1"/>
  <c r="O789" i="1"/>
  <c r="BD789" i="1" s="1"/>
  <c r="L789" i="1"/>
  <c r="BL788" i="1"/>
  <c r="BH788" i="1"/>
  <c r="AV788" i="1"/>
  <c r="AL788" i="1"/>
  <c r="AD788" i="1"/>
  <c r="U788" i="1"/>
  <c r="O788" i="1"/>
  <c r="BD788" i="1" s="1"/>
  <c r="L788" i="1"/>
  <c r="BL787" i="1"/>
  <c r="BH787" i="1"/>
  <c r="AV787" i="1"/>
  <c r="AL787" i="1"/>
  <c r="AD787" i="1"/>
  <c r="AI787" i="1" s="1"/>
  <c r="U787" i="1"/>
  <c r="O787" i="1"/>
  <c r="BD787" i="1" s="1"/>
  <c r="L787" i="1"/>
  <c r="BL786" i="1"/>
  <c r="BH786" i="1"/>
  <c r="AV786" i="1"/>
  <c r="AL786" i="1"/>
  <c r="AD786" i="1"/>
  <c r="U786" i="1"/>
  <c r="O786" i="1"/>
  <c r="BD786" i="1" s="1"/>
  <c r="L786" i="1"/>
  <c r="BL785" i="1"/>
  <c r="BH785" i="1"/>
  <c r="AV785" i="1"/>
  <c r="AL785" i="1"/>
  <c r="AD785" i="1"/>
  <c r="U785" i="1"/>
  <c r="O785" i="1"/>
  <c r="BD785" i="1" s="1"/>
  <c r="L785" i="1"/>
  <c r="BL784" i="1"/>
  <c r="BH784" i="1"/>
  <c r="AV784" i="1"/>
  <c r="AL784" i="1"/>
  <c r="AD784" i="1"/>
  <c r="U784" i="1"/>
  <c r="O784" i="1"/>
  <c r="BD784" i="1" s="1"/>
  <c r="L784" i="1"/>
  <c r="V784" i="1" s="1"/>
  <c r="BL783" i="1"/>
  <c r="BH783" i="1"/>
  <c r="AV783" i="1"/>
  <c r="AL783" i="1"/>
  <c r="AD783" i="1"/>
  <c r="AI783" i="1" s="1"/>
  <c r="AJ783" i="1" s="1"/>
  <c r="U783" i="1"/>
  <c r="O783" i="1"/>
  <c r="L783" i="1"/>
  <c r="BL782" i="1"/>
  <c r="BH782" i="1"/>
  <c r="AV782" i="1"/>
  <c r="AL782" i="1"/>
  <c r="AD782" i="1"/>
  <c r="U782" i="1"/>
  <c r="O782" i="1"/>
  <c r="BD782" i="1" s="1"/>
  <c r="L782" i="1"/>
  <c r="BL781" i="1"/>
  <c r="BH781" i="1"/>
  <c r="AV781" i="1"/>
  <c r="AL781" i="1"/>
  <c r="AD781" i="1"/>
  <c r="U781" i="1"/>
  <c r="O781" i="1"/>
  <c r="BD781" i="1" s="1"/>
  <c r="L781" i="1"/>
  <c r="BL780" i="1"/>
  <c r="BH780" i="1"/>
  <c r="AV780" i="1"/>
  <c r="AL780" i="1"/>
  <c r="AD780" i="1"/>
  <c r="U780" i="1"/>
  <c r="O780" i="1"/>
  <c r="BD780" i="1" s="1"/>
  <c r="L780" i="1"/>
  <c r="BL779" i="1"/>
  <c r="BH779" i="1"/>
  <c r="AV779" i="1"/>
  <c r="AL779" i="1"/>
  <c r="AD779" i="1"/>
  <c r="U779" i="1"/>
  <c r="O779" i="1"/>
  <c r="BD779" i="1" s="1"/>
  <c r="L779" i="1"/>
  <c r="BL778" i="1"/>
  <c r="BH778" i="1"/>
  <c r="AV778" i="1"/>
  <c r="AL778" i="1"/>
  <c r="AD778" i="1"/>
  <c r="AI778" i="1" s="1"/>
  <c r="AJ778" i="1" s="1"/>
  <c r="U778" i="1"/>
  <c r="O778" i="1"/>
  <c r="BD778" i="1" s="1"/>
  <c r="L778" i="1"/>
  <c r="BL777" i="1"/>
  <c r="BH777" i="1"/>
  <c r="AV777" i="1"/>
  <c r="AL777" i="1"/>
  <c r="AD777" i="1"/>
  <c r="AI777" i="1" s="1"/>
  <c r="U777" i="1"/>
  <c r="O777" i="1"/>
  <c r="L777" i="1"/>
  <c r="BL776" i="1"/>
  <c r="BH776" i="1"/>
  <c r="AV776" i="1"/>
  <c r="AL776" i="1"/>
  <c r="AD776" i="1"/>
  <c r="AI776" i="1" s="1"/>
  <c r="U776" i="1"/>
  <c r="O776" i="1"/>
  <c r="L776" i="1"/>
  <c r="BL775" i="1"/>
  <c r="BH775" i="1"/>
  <c r="AV775" i="1"/>
  <c r="AL775" i="1"/>
  <c r="AD775" i="1"/>
  <c r="U775" i="1"/>
  <c r="O775" i="1"/>
  <c r="BD775" i="1" s="1"/>
  <c r="L775" i="1"/>
  <c r="BL774" i="1"/>
  <c r="BH774" i="1"/>
  <c r="AV774" i="1"/>
  <c r="AL774" i="1"/>
  <c r="AD774" i="1"/>
  <c r="U774" i="1"/>
  <c r="O774" i="1"/>
  <c r="BD774" i="1" s="1"/>
  <c r="L774" i="1"/>
  <c r="BL773" i="1"/>
  <c r="BH773" i="1"/>
  <c r="AV773" i="1"/>
  <c r="AL773" i="1"/>
  <c r="AD773" i="1"/>
  <c r="AI773" i="1" s="1"/>
  <c r="U773" i="1"/>
  <c r="O773" i="1"/>
  <c r="L773" i="1"/>
  <c r="BL772" i="1"/>
  <c r="BH772" i="1"/>
  <c r="AV772" i="1"/>
  <c r="AL772" i="1"/>
  <c r="AD772" i="1"/>
  <c r="U772" i="1"/>
  <c r="O772" i="1"/>
  <c r="BD772" i="1" s="1"/>
  <c r="L772" i="1"/>
  <c r="BL771" i="1"/>
  <c r="BH771" i="1"/>
  <c r="AV771" i="1"/>
  <c r="AL771" i="1"/>
  <c r="AD771" i="1"/>
  <c r="AI771" i="1" s="1"/>
  <c r="U771" i="1"/>
  <c r="O771" i="1"/>
  <c r="BD771" i="1" s="1"/>
  <c r="L771" i="1"/>
  <c r="BL770" i="1"/>
  <c r="BH770" i="1"/>
  <c r="AV770" i="1"/>
  <c r="AL770" i="1"/>
  <c r="AD770" i="1"/>
  <c r="U770" i="1"/>
  <c r="O770" i="1"/>
  <c r="BD770" i="1" s="1"/>
  <c r="L770" i="1"/>
  <c r="BL769" i="1"/>
  <c r="BH769" i="1"/>
  <c r="AV769" i="1"/>
  <c r="AL769" i="1"/>
  <c r="AD769" i="1"/>
  <c r="AI769" i="1" s="1"/>
  <c r="U769" i="1"/>
  <c r="O769" i="1"/>
  <c r="L769" i="1"/>
  <c r="BL768" i="1"/>
  <c r="BH768" i="1"/>
  <c r="AV768" i="1"/>
  <c r="AL768" i="1"/>
  <c r="AD768" i="1"/>
  <c r="AI768" i="1" s="1"/>
  <c r="AJ768" i="1" s="1"/>
  <c r="U768" i="1"/>
  <c r="O768" i="1"/>
  <c r="BD768" i="1" s="1"/>
  <c r="L768" i="1"/>
  <c r="BL767" i="1"/>
  <c r="BH767" i="1"/>
  <c r="AV767" i="1"/>
  <c r="AL767" i="1"/>
  <c r="AD767" i="1"/>
  <c r="AI767" i="1" s="1"/>
  <c r="U767" i="1"/>
  <c r="O767" i="1"/>
  <c r="L767" i="1"/>
  <c r="BC767" i="1" s="1"/>
  <c r="BL766" i="1"/>
  <c r="BH766" i="1"/>
  <c r="AV766" i="1"/>
  <c r="AL766" i="1"/>
  <c r="AD766" i="1"/>
  <c r="AI766" i="1" s="1"/>
  <c r="U766" i="1"/>
  <c r="O766" i="1"/>
  <c r="L766" i="1"/>
  <c r="BL765" i="1"/>
  <c r="BH765" i="1"/>
  <c r="AV765" i="1"/>
  <c r="AL765" i="1"/>
  <c r="AD765" i="1"/>
  <c r="U765" i="1"/>
  <c r="O765" i="1"/>
  <c r="BD765" i="1" s="1"/>
  <c r="L765" i="1"/>
  <c r="BL764" i="1"/>
  <c r="BH764" i="1"/>
  <c r="AV764" i="1"/>
  <c r="AL764" i="1"/>
  <c r="AD764" i="1"/>
  <c r="AI764" i="1" s="1"/>
  <c r="AJ764" i="1" s="1"/>
  <c r="U764" i="1"/>
  <c r="O764" i="1"/>
  <c r="BD764" i="1" s="1"/>
  <c r="L764" i="1"/>
  <c r="BL763" i="1"/>
  <c r="BH763" i="1"/>
  <c r="AV763" i="1"/>
  <c r="AL763" i="1"/>
  <c r="AD763" i="1"/>
  <c r="U763" i="1"/>
  <c r="O763" i="1"/>
  <c r="BD763" i="1" s="1"/>
  <c r="L763" i="1"/>
  <c r="BC763" i="1" s="1"/>
  <c r="BL762" i="1"/>
  <c r="BH762" i="1"/>
  <c r="AV762" i="1"/>
  <c r="AL762" i="1"/>
  <c r="AD762" i="1"/>
  <c r="AI762" i="1" s="1"/>
  <c r="U762" i="1"/>
  <c r="O762" i="1"/>
  <c r="BD762" i="1" s="1"/>
  <c r="L762" i="1"/>
  <c r="BC762" i="1" s="1"/>
  <c r="BL761" i="1"/>
  <c r="BH761" i="1"/>
  <c r="AV761" i="1"/>
  <c r="AL761" i="1"/>
  <c r="AD761" i="1"/>
  <c r="AI761" i="1" s="1"/>
  <c r="AJ761" i="1" s="1"/>
  <c r="U761" i="1"/>
  <c r="O761" i="1"/>
  <c r="L761" i="1"/>
  <c r="BL760" i="1"/>
  <c r="BH760" i="1"/>
  <c r="AV760" i="1"/>
  <c r="AL760" i="1"/>
  <c r="AD760" i="1"/>
  <c r="U760" i="1"/>
  <c r="O760" i="1"/>
  <c r="BD760" i="1" s="1"/>
  <c r="L760" i="1"/>
  <c r="BL759" i="1"/>
  <c r="BH759" i="1"/>
  <c r="AV759" i="1"/>
  <c r="AL759" i="1"/>
  <c r="AD759" i="1"/>
  <c r="AI759" i="1" s="1"/>
  <c r="AJ759" i="1" s="1"/>
  <c r="U759" i="1"/>
  <c r="O759" i="1"/>
  <c r="BD759" i="1" s="1"/>
  <c r="L759" i="1"/>
  <c r="BC759" i="1" s="1"/>
  <c r="BL758" i="1"/>
  <c r="BH758" i="1"/>
  <c r="AV758" i="1"/>
  <c r="AL758" i="1"/>
  <c r="AD758" i="1"/>
  <c r="U758" i="1"/>
  <c r="O758" i="1"/>
  <c r="BD758" i="1" s="1"/>
  <c r="L758" i="1"/>
  <c r="BL757" i="1"/>
  <c r="BH757" i="1"/>
  <c r="AV757" i="1"/>
  <c r="AL757" i="1"/>
  <c r="AD757" i="1"/>
  <c r="AI757" i="1" s="1"/>
  <c r="U757" i="1"/>
  <c r="O757" i="1"/>
  <c r="L757" i="1"/>
  <c r="V757" i="1" s="1"/>
  <c r="BL756" i="1"/>
  <c r="BH756" i="1"/>
  <c r="AV756" i="1"/>
  <c r="AL756" i="1"/>
  <c r="AD756" i="1"/>
  <c r="U756" i="1"/>
  <c r="O756" i="1"/>
  <c r="BD756" i="1" s="1"/>
  <c r="L756" i="1"/>
  <c r="V756" i="1" s="1"/>
  <c r="Z756" i="1" s="1"/>
  <c r="AC756" i="1" s="1"/>
  <c r="BL755" i="1"/>
  <c r="BH755" i="1"/>
  <c r="AV755" i="1"/>
  <c r="AL755" i="1"/>
  <c r="AD755" i="1"/>
  <c r="U755" i="1"/>
  <c r="O755" i="1"/>
  <c r="BD755" i="1" s="1"/>
  <c r="L755" i="1"/>
  <c r="BL754" i="1"/>
  <c r="BH754" i="1"/>
  <c r="AV754" i="1"/>
  <c r="AL754" i="1"/>
  <c r="AD754" i="1"/>
  <c r="U754" i="1"/>
  <c r="O754" i="1"/>
  <c r="BD754" i="1" s="1"/>
  <c r="L754" i="1"/>
  <c r="BL753" i="1"/>
  <c r="BH753" i="1"/>
  <c r="AV753" i="1"/>
  <c r="AL753" i="1"/>
  <c r="AD753" i="1"/>
  <c r="U753" i="1"/>
  <c r="O753" i="1"/>
  <c r="BD753" i="1" s="1"/>
  <c r="L753" i="1"/>
  <c r="BL752" i="1"/>
  <c r="BH752" i="1"/>
  <c r="AV752" i="1"/>
  <c r="AL752" i="1"/>
  <c r="AD752" i="1"/>
  <c r="U752" i="1"/>
  <c r="O752" i="1"/>
  <c r="BD752" i="1" s="1"/>
  <c r="L752" i="1"/>
  <c r="V752" i="1" s="1"/>
  <c r="BL751" i="1"/>
  <c r="BH751" i="1"/>
  <c r="AV751" i="1"/>
  <c r="AL751" i="1"/>
  <c r="AD751" i="1"/>
  <c r="U751" i="1"/>
  <c r="O751" i="1"/>
  <c r="BD751" i="1" s="1"/>
  <c r="L751" i="1"/>
  <c r="BC751" i="1" s="1"/>
  <c r="BL750" i="1"/>
  <c r="BH750" i="1"/>
  <c r="AV750" i="1"/>
  <c r="AL750" i="1"/>
  <c r="AD750" i="1"/>
  <c r="U750" i="1"/>
  <c r="O750" i="1"/>
  <c r="BD750" i="1" s="1"/>
  <c r="L750" i="1"/>
  <c r="BC750" i="1" s="1"/>
  <c r="BL749" i="1"/>
  <c r="BH749" i="1"/>
  <c r="AV749" i="1"/>
  <c r="AL749" i="1"/>
  <c r="AD749" i="1"/>
  <c r="U749" i="1"/>
  <c r="O749" i="1"/>
  <c r="BD749" i="1" s="1"/>
  <c r="L749" i="1"/>
  <c r="BL748" i="1"/>
  <c r="BH748" i="1"/>
  <c r="AV748" i="1"/>
  <c r="AL748" i="1"/>
  <c r="AD748" i="1"/>
  <c r="AI748" i="1" s="1"/>
  <c r="AJ748" i="1" s="1"/>
  <c r="U748" i="1"/>
  <c r="O748" i="1"/>
  <c r="BD748" i="1" s="1"/>
  <c r="L748" i="1"/>
  <c r="BL747" i="1"/>
  <c r="BH747" i="1"/>
  <c r="AV747" i="1"/>
  <c r="AL747" i="1"/>
  <c r="AD747" i="1"/>
  <c r="AI747" i="1" s="1"/>
  <c r="U747" i="1"/>
  <c r="O747" i="1"/>
  <c r="BD747" i="1" s="1"/>
  <c r="L747" i="1"/>
  <c r="BL746" i="1"/>
  <c r="BH746" i="1"/>
  <c r="AV746" i="1"/>
  <c r="AL746" i="1"/>
  <c r="AD746" i="1"/>
  <c r="AI746" i="1" s="1"/>
  <c r="U746" i="1"/>
  <c r="O746" i="1"/>
  <c r="L746" i="1"/>
  <c r="BL745" i="1"/>
  <c r="BH745" i="1"/>
  <c r="AV745" i="1"/>
  <c r="AL745" i="1"/>
  <c r="AD745" i="1"/>
  <c r="AI745" i="1" s="1"/>
  <c r="AJ745" i="1" s="1"/>
  <c r="U745" i="1"/>
  <c r="O745" i="1"/>
  <c r="BD745" i="1" s="1"/>
  <c r="L745" i="1"/>
  <c r="BL744" i="1"/>
  <c r="BH744" i="1"/>
  <c r="AV744" i="1"/>
  <c r="AL744" i="1"/>
  <c r="AD744" i="1"/>
  <c r="AI744" i="1" s="1"/>
  <c r="U744" i="1"/>
  <c r="O744" i="1"/>
  <c r="BD744" i="1" s="1"/>
  <c r="L744" i="1"/>
  <c r="BL743" i="1"/>
  <c r="BH743" i="1"/>
  <c r="AV743" i="1"/>
  <c r="AL743" i="1"/>
  <c r="AD743" i="1"/>
  <c r="AI743" i="1" s="1"/>
  <c r="U743" i="1"/>
  <c r="O743" i="1"/>
  <c r="BD743" i="1" s="1"/>
  <c r="L743" i="1"/>
  <c r="BL742" i="1"/>
  <c r="BH742" i="1"/>
  <c r="AV742" i="1"/>
  <c r="AL742" i="1"/>
  <c r="AD742" i="1"/>
  <c r="AI742" i="1" s="1"/>
  <c r="AJ742" i="1" s="1"/>
  <c r="U742" i="1"/>
  <c r="O742" i="1"/>
  <c r="BD742" i="1" s="1"/>
  <c r="L742" i="1"/>
  <c r="BL741" i="1"/>
  <c r="BH741" i="1"/>
  <c r="AV741" i="1"/>
  <c r="AL741" i="1"/>
  <c r="AD741" i="1"/>
  <c r="AI741" i="1" s="1"/>
  <c r="AJ741" i="1" s="1"/>
  <c r="U741" i="1"/>
  <c r="O741" i="1"/>
  <c r="BD741" i="1" s="1"/>
  <c r="L741" i="1"/>
  <c r="BL740" i="1"/>
  <c r="BH740" i="1"/>
  <c r="AV740" i="1"/>
  <c r="AL740" i="1"/>
  <c r="AD740" i="1"/>
  <c r="U740" i="1"/>
  <c r="O740" i="1"/>
  <c r="BD740" i="1" s="1"/>
  <c r="L740" i="1"/>
  <c r="BL739" i="1"/>
  <c r="BH739" i="1"/>
  <c r="AV739" i="1"/>
  <c r="AQ739" i="1"/>
  <c r="AL739" i="1"/>
  <c r="AD739" i="1"/>
  <c r="U739" i="1"/>
  <c r="O739" i="1"/>
  <c r="BD739" i="1" s="1"/>
  <c r="L739" i="1"/>
  <c r="BL738" i="1"/>
  <c r="BH738" i="1"/>
  <c r="AV738" i="1"/>
  <c r="AL738" i="1"/>
  <c r="AD738" i="1"/>
  <c r="U738" i="1"/>
  <c r="O738" i="1"/>
  <c r="BD738" i="1" s="1"/>
  <c r="L738" i="1"/>
  <c r="BC738" i="1" s="1"/>
  <c r="BL737" i="1"/>
  <c r="BH737" i="1"/>
  <c r="AV737" i="1"/>
  <c r="AL737" i="1"/>
  <c r="AD737" i="1"/>
  <c r="AI737" i="1" s="1"/>
  <c r="U737" i="1"/>
  <c r="O737" i="1"/>
  <c r="BD737" i="1" s="1"/>
  <c r="L737" i="1"/>
  <c r="BL736" i="1"/>
  <c r="BH736" i="1"/>
  <c r="AV736" i="1"/>
  <c r="AL736" i="1"/>
  <c r="AD736" i="1"/>
  <c r="U736" i="1"/>
  <c r="O736" i="1"/>
  <c r="BD736" i="1" s="1"/>
  <c r="L736" i="1"/>
  <c r="BL735" i="1"/>
  <c r="BH735" i="1"/>
  <c r="AV735" i="1"/>
  <c r="AL735" i="1"/>
  <c r="AD735" i="1"/>
  <c r="U735" i="1"/>
  <c r="O735" i="1"/>
  <c r="BD735" i="1" s="1"/>
  <c r="L735" i="1"/>
  <c r="BL734" i="1"/>
  <c r="BH734" i="1"/>
  <c r="AV734" i="1"/>
  <c r="AL734" i="1"/>
  <c r="AD734" i="1"/>
  <c r="U734" i="1"/>
  <c r="O734" i="1"/>
  <c r="BD734" i="1" s="1"/>
  <c r="L734" i="1"/>
  <c r="BL733" i="1"/>
  <c r="BH733" i="1"/>
  <c r="AV733" i="1"/>
  <c r="AL733" i="1"/>
  <c r="AD733" i="1"/>
  <c r="AI733" i="1" s="1"/>
  <c r="U733" i="1"/>
  <c r="O733" i="1"/>
  <c r="BD733" i="1" s="1"/>
  <c r="L733" i="1"/>
  <c r="BL732" i="1"/>
  <c r="BH732" i="1"/>
  <c r="AV732" i="1"/>
  <c r="AL732" i="1"/>
  <c r="AD732" i="1"/>
  <c r="AI732" i="1" s="1"/>
  <c r="AJ732" i="1" s="1"/>
  <c r="U732" i="1"/>
  <c r="O732" i="1"/>
  <c r="L732" i="1"/>
  <c r="BL731" i="1"/>
  <c r="BH731" i="1"/>
  <c r="AV731" i="1"/>
  <c r="AL731" i="1"/>
  <c r="AD731" i="1"/>
  <c r="AI731" i="1" s="1"/>
  <c r="U731" i="1"/>
  <c r="O731" i="1"/>
  <c r="BD731" i="1" s="1"/>
  <c r="L731" i="1"/>
  <c r="BL730" i="1"/>
  <c r="BH730" i="1"/>
  <c r="AV730" i="1"/>
  <c r="AL730" i="1"/>
  <c r="AD730" i="1"/>
  <c r="U730" i="1"/>
  <c r="O730" i="1"/>
  <c r="BD730" i="1" s="1"/>
  <c r="L730" i="1"/>
  <c r="BC730" i="1" s="1"/>
  <c r="BL729" i="1"/>
  <c r="BH729" i="1"/>
  <c r="AV729" i="1"/>
  <c r="AL729" i="1"/>
  <c r="AD729" i="1"/>
  <c r="U729" i="1"/>
  <c r="O729" i="1"/>
  <c r="BD729" i="1" s="1"/>
  <c r="L729" i="1"/>
  <c r="BC729" i="1" s="1"/>
  <c r="BL728" i="1"/>
  <c r="BH728" i="1"/>
  <c r="AV728" i="1"/>
  <c r="AL728" i="1"/>
  <c r="AD728" i="1"/>
  <c r="U728" i="1"/>
  <c r="O728" i="1"/>
  <c r="BD728" i="1" s="1"/>
  <c r="L728" i="1"/>
  <c r="BL727" i="1"/>
  <c r="BH727" i="1"/>
  <c r="AV727" i="1"/>
  <c r="AL727" i="1"/>
  <c r="AD727" i="1"/>
  <c r="AI727" i="1" s="1"/>
  <c r="U727" i="1"/>
  <c r="O727" i="1"/>
  <c r="BD727" i="1" s="1"/>
  <c r="L727" i="1"/>
  <c r="BL726" i="1"/>
  <c r="BH726" i="1"/>
  <c r="AV726" i="1"/>
  <c r="AL726" i="1"/>
  <c r="AD726" i="1"/>
  <c r="AI726" i="1" s="1"/>
  <c r="U726" i="1"/>
  <c r="O726" i="1"/>
  <c r="BD726" i="1" s="1"/>
  <c r="L726" i="1"/>
  <c r="BL725" i="1"/>
  <c r="BH725" i="1"/>
  <c r="AV725" i="1"/>
  <c r="AL725" i="1"/>
  <c r="AD725" i="1"/>
  <c r="AI725" i="1" s="1"/>
  <c r="AJ725" i="1" s="1"/>
  <c r="U725" i="1"/>
  <c r="O725" i="1"/>
  <c r="BD725" i="1" s="1"/>
  <c r="L725" i="1"/>
  <c r="BC725" i="1" s="1"/>
  <c r="BL724" i="1"/>
  <c r="BH724" i="1"/>
  <c r="AV724" i="1"/>
  <c r="AL724" i="1"/>
  <c r="AD724" i="1"/>
  <c r="AI724" i="1" s="1"/>
  <c r="U724" i="1"/>
  <c r="O724" i="1"/>
  <c r="L724" i="1"/>
  <c r="BL723" i="1"/>
  <c r="BH723" i="1"/>
  <c r="AV723" i="1"/>
  <c r="AL723" i="1"/>
  <c r="AD723" i="1"/>
  <c r="AI723" i="1" s="1"/>
  <c r="AJ723" i="1" s="1"/>
  <c r="U723" i="1"/>
  <c r="O723" i="1"/>
  <c r="BD723" i="1" s="1"/>
  <c r="L723" i="1"/>
  <c r="BL722" i="1"/>
  <c r="BH722" i="1"/>
  <c r="AV722" i="1"/>
  <c r="AL722" i="1"/>
  <c r="AD722" i="1"/>
  <c r="AI722" i="1" s="1"/>
  <c r="AJ722" i="1" s="1"/>
  <c r="U722" i="1"/>
  <c r="O722" i="1"/>
  <c r="BD722" i="1" s="1"/>
  <c r="L722" i="1"/>
  <c r="BL721" i="1"/>
  <c r="BH721" i="1"/>
  <c r="AV721" i="1"/>
  <c r="AL721" i="1"/>
  <c r="AD721" i="1"/>
  <c r="U721" i="1"/>
  <c r="O721" i="1"/>
  <c r="BD721" i="1" s="1"/>
  <c r="L721" i="1"/>
  <c r="V721" i="1" s="1"/>
  <c r="Z721" i="1" s="1"/>
  <c r="AC721" i="1" s="1"/>
  <c r="BL720" i="1"/>
  <c r="BH720" i="1"/>
  <c r="AV720" i="1"/>
  <c r="AL720" i="1"/>
  <c r="AD720" i="1"/>
  <c r="U720" i="1"/>
  <c r="O720" i="1"/>
  <c r="BD720" i="1" s="1"/>
  <c r="L720" i="1"/>
  <c r="BL719" i="1"/>
  <c r="BH719" i="1"/>
  <c r="AV719" i="1"/>
  <c r="AL719" i="1"/>
  <c r="AD719" i="1"/>
  <c r="AI719" i="1" s="1"/>
  <c r="AJ719" i="1" s="1"/>
  <c r="U719" i="1"/>
  <c r="O719" i="1"/>
  <c r="BD719" i="1" s="1"/>
  <c r="L719" i="1"/>
  <c r="BL718" i="1"/>
  <c r="BH718" i="1"/>
  <c r="AV718" i="1"/>
  <c r="AL718" i="1"/>
  <c r="AD718" i="1"/>
  <c r="AI718" i="1" s="1"/>
  <c r="AJ718" i="1" s="1"/>
  <c r="U718" i="1"/>
  <c r="O718" i="1"/>
  <c r="L718" i="1"/>
  <c r="BL717" i="1"/>
  <c r="BH717" i="1"/>
  <c r="AV717" i="1"/>
  <c r="AL717" i="1"/>
  <c r="AD717" i="1"/>
  <c r="AI717" i="1" s="1"/>
  <c r="U717" i="1"/>
  <c r="O717" i="1"/>
  <c r="L717" i="1"/>
  <c r="BL716" i="1"/>
  <c r="BH716" i="1"/>
  <c r="AV716" i="1"/>
  <c r="AL716" i="1"/>
  <c r="AD716" i="1"/>
  <c r="U716" i="1"/>
  <c r="O716" i="1"/>
  <c r="BD716" i="1" s="1"/>
  <c r="L716" i="1"/>
  <c r="BC716" i="1" s="1"/>
  <c r="BL715" i="1"/>
  <c r="BH715" i="1"/>
  <c r="AV715" i="1"/>
  <c r="AL715" i="1"/>
  <c r="AD715" i="1"/>
  <c r="U715" i="1"/>
  <c r="O715" i="1"/>
  <c r="BD715" i="1" s="1"/>
  <c r="L715" i="1"/>
  <c r="BL714" i="1"/>
  <c r="BH714" i="1"/>
  <c r="AV714" i="1"/>
  <c r="AL714" i="1"/>
  <c r="AD714" i="1"/>
  <c r="U714" i="1"/>
  <c r="O714" i="1"/>
  <c r="BD714" i="1" s="1"/>
  <c r="L714" i="1"/>
  <c r="V714" i="1" s="1"/>
  <c r="Z714" i="1" s="1"/>
  <c r="AC714" i="1" s="1"/>
  <c r="BL713" i="1"/>
  <c r="BH713" i="1"/>
  <c r="AV713" i="1"/>
  <c r="AL713" i="1"/>
  <c r="AD713" i="1"/>
  <c r="AI713" i="1" s="1"/>
  <c r="AJ713" i="1" s="1"/>
  <c r="U713" i="1"/>
  <c r="O713" i="1"/>
  <c r="L713" i="1"/>
  <c r="BL712" i="1"/>
  <c r="BH712" i="1"/>
  <c r="AV712" i="1"/>
  <c r="AL712" i="1"/>
  <c r="AD712" i="1"/>
  <c r="AI712" i="1" s="1"/>
  <c r="U712" i="1"/>
  <c r="O712" i="1"/>
  <c r="L712" i="1"/>
  <c r="BL711" i="1"/>
  <c r="BH711" i="1"/>
  <c r="AV711" i="1"/>
  <c r="AL711" i="1"/>
  <c r="AD711" i="1"/>
  <c r="AI711" i="1" s="1"/>
  <c r="U711" i="1"/>
  <c r="O711" i="1"/>
  <c r="BD711" i="1" s="1"/>
  <c r="L711" i="1"/>
  <c r="BC711" i="1" s="1"/>
  <c r="BL710" i="1"/>
  <c r="BH710" i="1"/>
  <c r="AV710" i="1"/>
  <c r="AL710" i="1"/>
  <c r="AD710" i="1"/>
  <c r="AI710" i="1" s="1"/>
  <c r="AJ710" i="1" s="1"/>
  <c r="U710" i="1"/>
  <c r="O710" i="1"/>
  <c r="BD710" i="1" s="1"/>
  <c r="L710" i="1"/>
  <c r="BC710" i="1" s="1"/>
  <c r="BL709" i="1"/>
  <c r="BH709" i="1"/>
  <c r="AV709" i="1"/>
  <c r="AL709" i="1"/>
  <c r="AD709" i="1"/>
  <c r="AI709" i="1" s="1"/>
  <c r="AJ709" i="1" s="1"/>
  <c r="U709" i="1"/>
  <c r="O709" i="1"/>
  <c r="L709" i="1"/>
  <c r="BL708" i="1"/>
  <c r="BH708" i="1"/>
  <c r="AV708" i="1"/>
  <c r="AL708" i="1"/>
  <c r="AD708" i="1"/>
  <c r="U708" i="1"/>
  <c r="O708" i="1"/>
  <c r="BD708" i="1" s="1"/>
  <c r="L708" i="1"/>
  <c r="BL707" i="1"/>
  <c r="BH707" i="1"/>
  <c r="AV707" i="1"/>
  <c r="AL707" i="1"/>
  <c r="AD707" i="1"/>
  <c r="AI707" i="1" s="1"/>
  <c r="U707" i="1"/>
  <c r="O707" i="1"/>
  <c r="BD707" i="1" s="1"/>
  <c r="L707" i="1"/>
  <c r="BL706" i="1"/>
  <c r="BH706" i="1"/>
  <c r="AV706" i="1"/>
  <c r="AL706" i="1"/>
  <c r="AD706" i="1"/>
  <c r="AI706" i="1" s="1"/>
  <c r="U706" i="1"/>
  <c r="O706" i="1"/>
  <c r="BD706" i="1" s="1"/>
  <c r="L706" i="1"/>
  <c r="BL705" i="1"/>
  <c r="BH705" i="1"/>
  <c r="AV705" i="1"/>
  <c r="AL705" i="1"/>
  <c r="AD705" i="1"/>
  <c r="U705" i="1"/>
  <c r="O705" i="1"/>
  <c r="BD705" i="1" s="1"/>
  <c r="L705" i="1"/>
  <c r="BL704" i="1"/>
  <c r="BH704" i="1"/>
  <c r="AV704" i="1"/>
  <c r="AL704" i="1"/>
  <c r="AD704" i="1"/>
  <c r="U704" i="1"/>
  <c r="O704" i="1"/>
  <c r="BD704" i="1" s="1"/>
  <c r="L704" i="1"/>
  <c r="BC704" i="1" s="1"/>
  <c r="BL703" i="1"/>
  <c r="BH703" i="1"/>
  <c r="AV703" i="1"/>
  <c r="AL703" i="1"/>
  <c r="AD703" i="1"/>
  <c r="AI703" i="1" s="1"/>
  <c r="AJ703" i="1" s="1"/>
  <c r="U703" i="1"/>
  <c r="O703" i="1"/>
  <c r="BD703" i="1" s="1"/>
  <c r="L703" i="1"/>
  <c r="BL702" i="1"/>
  <c r="BH702" i="1"/>
  <c r="AV702" i="1"/>
  <c r="AL702" i="1"/>
  <c r="AD702" i="1"/>
  <c r="U702" i="1"/>
  <c r="O702" i="1"/>
  <c r="BD702" i="1" s="1"/>
  <c r="L702" i="1"/>
  <c r="BL701" i="1"/>
  <c r="BH701" i="1"/>
  <c r="AV701" i="1"/>
  <c r="AL701" i="1"/>
  <c r="AD701" i="1"/>
  <c r="AI701" i="1" s="1"/>
  <c r="AJ701" i="1" s="1"/>
  <c r="U701" i="1"/>
  <c r="O701" i="1"/>
  <c r="BD701" i="1" s="1"/>
  <c r="L701" i="1"/>
  <c r="BC701" i="1" s="1"/>
  <c r="BL700" i="1"/>
  <c r="BH700" i="1"/>
  <c r="AV700" i="1"/>
  <c r="AL700" i="1"/>
  <c r="AD700" i="1"/>
  <c r="U700" i="1"/>
  <c r="O700" i="1"/>
  <c r="BD700" i="1" s="1"/>
  <c r="L700" i="1"/>
  <c r="BC700" i="1" s="1"/>
  <c r="BL699" i="1"/>
  <c r="BH699" i="1"/>
  <c r="AV699" i="1"/>
  <c r="AL699" i="1"/>
  <c r="AD699" i="1"/>
  <c r="AI699" i="1" s="1"/>
  <c r="AJ699" i="1" s="1"/>
  <c r="U699" i="1"/>
  <c r="O699" i="1"/>
  <c r="L699" i="1"/>
  <c r="BL698" i="1"/>
  <c r="BH698" i="1"/>
  <c r="AV698" i="1"/>
  <c r="AL698" i="1"/>
  <c r="AD698" i="1"/>
  <c r="AI698" i="1" s="1"/>
  <c r="U698" i="1"/>
  <c r="O698" i="1"/>
  <c r="L698" i="1"/>
  <c r="BL697" i="1"/>
  <c r="BH697" i="1"/>
  <c r="AV697" i="1"/>
  <c r="AL697" i="1"/>
  <c r="AD697" i="1"/>
  <c r="U697" i="1"/>
  <c r="O697" i="1"/>
  <c r="BD697" i="1" s="1"/>
  <c r="L697" i="1"/>
  <c r="BL696" i="1"/>
  <c r="BH696" i="1"/>
  <c r="AV696" i="1"/>
  <c r="AL696" i="1"/>
  <c r="AD696" i="1"/>
  <c r="U696" i="1"/>
  <c r="O696" i="1"/>
  <c r="BD696" i="1" s="1"/>
  <c r="L696" i="1"/>
  <c r="BL695" i="1"/>
  <c r="BH695" i="1"/>
  <c r="AV695" i="1"/>
  <c r="AL695" i="1"/>
  <c r="AD695" i="1"/>
  <c r="U695" i="1"/>
  <c r="O695" i="1"/>
  <c r="BD695" i="1" s="1"/>
  <c r="L695" i="1"/>
  <c r="V695" i="1" s="1"/>
  <c r="BL694" i="1"/>
  <c r="BH694" i="1"/>
  <c r="AV694" i="1"/>
  <c r="AL694" i="1"/>
  <c r="AD694" i="1"/>
  <c r="AI694" i="1" s="1"/>
  <c r="U694" i="1"/>
  <c r="O694" i="1"/>
  <c r="L694" i="1"/>
  <c r="BL693" i="1"/>
  <c r="BH693" i="1"/>
  <c r="AV693" i="1"/>
  <c r="AL693" i="1"/>
  <c r="AD693" i="1"/>
  <c r="U693" i="1"/>
  <c r="O693" i="1"/>
  <c r="BD693" i="1" s="1"/>
  <c r="L693" i="1"/>
  <c r="BL692" i="1"/>
  <c r="BH692" i="1"/>
  <c r="AV692" i="1"/>
  <c r="AL692" i="1"/>
  <c r="AD692" i="1"/>
  <c r="U692" i="1"/>
  <c r="O692" i="1"/>
  <c r="BD692" i="1" s="1"/>
  <c r="L692" i="1"/>
  <c r="BC692" i="1" s="1"/>
  <c r="BL691" i="1"/>
  <c r="BH691" i="1"/>
  <c r="AV691" i="1"/>
  <c r="AL691" i="1"/>
  <c r="AD691" i="1"/>
  <c r="U691" i="1"/>
  <c r="O691" i="1"/>
  <c r="BD691" i="1" s="1"/>
  <c r="L691" i="1"/>
  <c r="BL690" i="1"/>
  <c r="BH690" i="1"/>
  <c r="AV690" i="1"/>
  <c r="AL690" i="1"/>
  <c r="AD690" i="1"/>
  <c r="U690" i="1"/>
  <c r="O690" i="1"/>
  <c r="BD690" i="1" s="1"/>
  <c r="L690" i="1"/>
  <c r="BC690" i="1" s="1"/>
  <c r="BL689" i="1"/>
  <c r="BH689" i="1"/>
  <c r="AV689" i="1"/>
  <c r="AL689" i="1"/>
  <c r="AD689" i="1"/>
  <c r="U689" i="1"/>
  <c r="O689" i="1"/>
  <c r="BD689" i="1" s="1"/>
  <c r="L689" i="1"/>
  <c r="BL688" i="1"/>
  <c r="BH688" i="1"/>
  <c r="AV688" i="1"/>
  <c r="AL688" i="1"/>
  <c r="AD688" i="1"/>
  <c r="U688" i="1"/>
  <c r="O688" i="1"/>
  <c r="BD688" i="1" s="1"/>
  <c r="L688" i="1"/>
  <c r="BL687" i="1"/>
  <c r="BH687" i="1"/>
  <c r="AV687" i="1"/>
  <c r="AL687" i="1"/>
  <c r="AD687" i="1"/>
  <c r="AI687" i="1" s="1"/>
  <c r="U687" i="1"/>
  <c r="O687" i="1"/>
  <c r="BD687" i="1" s="1"/>
  <c r="L687" i="1"/>
  <c r="BL686" i="1"/>
  <c r="BH686" i="1"/>
  <c r="AV686" i="1"/>
  <c r="AL686" i="1"/>
  <c r="AD686" i="1"/>
  <c r="U686" i="1"/>
  <c r="O686" i="1"/>
  <c r="BD686" i="1" s="1"/>
  <c r="L686" i="1"/>
  <c r="BL685" i="1"/>
  <c r="BH685" i="1"/>
  <c r="AV685" i="1"/>
  <c r="AL685" i="1"/>
  <c r="AD685" i="1"/>
  <c r="U685" i="1"/>
  <c r="O685" i="1"/>
  <c r="BD685" i="1" s="1"/>
  <c r="L685" i="1"/>
  <c r="BL684" i="1"/>
  <c r="BH684" i="1"/>
  <c r="AV684" i="1"/>
  <c r="AL684" i="1"/>
  <c r="AD684" i="1"/>
  <c r="AI684" i="1" s="1"/>
  <c r="AJ684" i="1" s="1"/>
  <c r="U684" i="1"/>
  <c r="O684" i="1"/>
  <c r="L684" i="1"/>
  <c r="BL683" i="1"/>
  <c r="BH683" i="1"/>
  <c r="AV683" i="1"/>
  <c r="AL683" i="1"/>
  <c r="AD683" i="1"/>
  <c r="AI683" i="1" s="1"/>
  <c r="AJ683" i="1" s="1"/>
  <c r="U683" i="1"/>
  <c r="O683" i="1"/>
  <c r="BD683" i="1" s="1"/>
  <c r="L683" i="1"/>
  <c r="BL682" i="1"/>
  <c r="BH682" i="1"/>
  <c r="AV682" i="1"/>
  <c r="AL682" i="1"/>
  <c r="AD682" i="1"/>
  <c r="U682" i="1"/>
  <c r="O682" i="1"/>
  <c r="BD682" i="1" s="1"/>
  <c r="L682" i="1"/>
  <c r="BL681" i="1"/>
  <c r="BH681" i="1"/>
  <c r="AV681" i="1"/>
  <c r="AL681" i="1"/>
  <c r="AD681" i="1"/>
  <c r="U681" i="1"/>
  <c r="O681" i="1"/>
  <c r="BD681" i="1" s="1"/>
  <c r="L681" i="1"/>
  <c r="BC681" i="1" s="1"/>
  <c r="BL680" i="1"/>
  <c r="BH680" i="1"/>
  <c r="AV680" i="1"/>
  <c r="AL680" i="1"/>
  <c r="AD680" i="1"/>
  <c r="U680" i="1"/>
  <c r="O680" i="1"/>
  <c r="BD680" i="1" s="1"/>
  <c r="L680" i="1"/>
  <c r="BL679" i="1"/>
  <c r="BH679" i="1"/>
  <c r="AV679" i="1"/>
  <c r="AL679" i="1"/>
  <c r="AD679" i="1"/>
  <c r="AI679" i="1" s="1"/>
  <c r="U679" i="1"/>
  <c r="O679" i="1"/>
  <c r="BD679" i="1" s="1"/>
  <c r="L679" i="1"/>
  <c r="BL678" i="1"/>
  <c r="BH678" i="1"/>
  <c r="AV678" i="1"/>
  <c r="AL678" i="1"/>
  <c r="AD678" i="1"/>
  <c r="AI678" i="1" s="1"/>
  <c r="AJ678" i="1" s="1"/>
  <c r="U678" i="1"/>
  <c r="O678" i="1"/>
  <c r="L678" i="1"/>
  <c r="V678" i="1" s="1"/>
  <c r="BL677" i="1"/>
  <c r="BH677" i="1"/>
  <c r="AV677" i="1"/>
  <c r="AL677" i="1"/>
  <c r="AD677" i="1"/>
  <c r="AI677" i="1" s="1"/>
  <c r="AJ677" i="1" s="1"/>
  <c r="U677" i="1"/>
  <c r="O677" i="1"/>
  <c r="BD677" i="1" s="1"/>
  <c r="L677" i="1"/>
  <c r="BL676" i="1"/>
  <c r="BH676" i="1"/>
  <c r="AV676" i="1"/>
  <c r="AL676" i="1"/>
  <c r="AD676" i="1"/>
  <c r="AI676" i="1" s="1"/>
  <c r="AJ676" i="1" s="1"/>
  <c r="U676" i="1"/>
  <c r="O676" i="1"/>
  <c r="L676" i="1"/>
  <c r="BL675" i="1"/>
  <c r="BH675" i="1"/>
  <c r="AV675" i="1"/>
  <c r="AL675" i="1"/>
  <c r="AD675" i="1"/>
  <c r="U675" i="1"/>
  <c r="O675" i="1"/>
  <c r="BD675" i="1" s="1"/>
  <c r="L675" i="1"/>
  <c r="BL674" i="1"/>
  <c r="BH674" i="1"/>
  <c r="AV674" i="1"/>
  <c r="AL674" i="1"/>
  <c r="AD674" i="1"/>
  <c r="U674" i="1"/>
  <c r="O674" i="1"/>
  <c r="BD674" i="1" s="1"/>
  <c r="L674" i="1"/>
  <c r="BL673" i="1"/>
  <c r="BH673" i="1"/>
  <c r="AV673" i="1"/>
  <c r="AL673" i="1"/>
  <c r="AD673" i="1"/>
  <c r="AI673" i="1" s="1"/>
  <c r="U673" i="1"/>
  <c r="O673" i="1"/>
  <c r="BD673" i="1" s="1"/>
  <c r="L673" i="1"/>
  <c r="BL672" i="1"/>
  <c r="BH672" i="1"/>
  <c r="AV672" i="1"/>
  <c r="AL672" i="1"/>
  <c r="AD672" i="1"/>
  <c r="AI672" i="1" s="1"/>
  <c r="AJ672" i="1" s="1"/>
  <c r="U672" i="1"/>
  <c r="O672" i="1"/>
  <c r="L672" i="1"/>
  <c r="BC672" i="1" s="1"/>
  <c r="BL671" i="1"/>
  <c r="BH671" i="1"/>
  <c r="AV671" i="1"/>
  <c r="AL671" i="1"/>
  <c r="AD671" i="1"/>
  <c r="U671" i="1"/>
  <c r="O671" i="1"/>
  <c r="BD671" i="1" s="1"/>
  <c r="L671" i="1"/>
  <c r="BC671" i="1" s="1"/>
  <c r="BL670" i="1"/>
  <c r="BH670" i="1"/>
  <c r="AV670" i="1"/>
  <c r="AL670" i="1"/>
  <c r="AD670" i="1"/>
  <c r="AI670" i="1" s="1"/>
  <c r="AJ670" i="1" s="1"/>
  <c r="U670" i="1"/>
  <c r="O670" i="1"/>
  <c r="BD670" i="1" s="1"/>
  <c r="L670" i="1"/>
  <c r="V670" i="1" s="1"/>
  <c r="BL669" i="1"/>
  <c r="BH669" i="1"/>
  <c r="AV669" i="1"/>
  <c r="AL669" i="1"/>
  <c r="AD669" i="1"/>
  <c r="AI669" i="1" s="1"/>
  <c r="U669" i="1"/>
  <c r="O669" i="1"/>
  <c r="BD669" i="1" s="1"/>
  <c r="L669" i="1"/>
  <c r="V669" i="1" s="1"/>
  <c r="BL668" i="1"/>
  <c r="BH668" i="1"/>
  <c r="AV668" i="1"/>
  <c r="AL668" i="1"/>
  <c r="AD668" i="1"/>
  <c r="AI668" i="1" s="1"/>
  <c r="AJ668" i="1" s="1"/>
  <c r="U668" i="1"/>
  <c r="O668" i="1"/>
  <c r="BD668" i="1" s="1"/>
  <c r="L668" i="1"/>
  <c r="BL667" i="1"/>
  <c r="BH667" i="1"/>
  <c r="AV667" i="1"/>
  <c r="AL667" i="1"/>
  <c r="AD667" i="1"/>
  <c r="AI667" i="1" s="1"/>
  <c r="U667" i="1"/>
  <c r="O667" i="1"/>
  <c r="BD667" i="1" s="1"/>
  <c r="L667" i="1"/>
  <c r="BL666" i="1"/>
  <c r="BH666" i="1"/>
  <c r="AV666" i="1"/>
  <c r="AL666" i="1"/>
  <c r="AD666" i="1"/>
  <c r="AI666" i="1" s="1"/>
  <c r="AJ666" i="1" s="1"/>
  <c r="U666" i="1"/>
  <c r="O666" i="1"/>
  <c r="L666" i="1"/>
  <c r="BC666" i="1" s="1"/>
  <c r="BL665" i="1"/>
  <c r="BH665" i="1"/>
  <c r="AV665" i="1"/>
  <c r="AL665" i="1"/>
  <c r="AD665" i="1"/>
  <c r="U665" i="1"/>
  <c r="O665" i="1"/>
  <c r="BD665" i="1" s="1"/>
  <c r="L665" i="1"/>
  <c r="BL664" i="1"/>
  <c r="BH664" i="1"/>
  <c r="AV664" i="1"/>
  <c r="AL664" i="1"/>
  <c r="AD664" i="1"/>
  <c r="U664" i="1"/>
  <c r="O664" i="1"/>
  <c r="BD664" i="1" s="1"/>
  <c r="L664" i="1"/>
  <c r="BC664" i="1" s="1"/>
  <c r="BL663" i="1"/>
  <c r="BH663" i="1"/>
  <c r="AV663" i="1"/>
  <c r="AL663" i="1"/>
  <c r="AD663" i="1"/>
  <c r="AI663" i="1" s="1"/>
  <c r="AJ663" i="1" s="1"/>
  <c r="U663" i="1"/>
  <c r="O663" i="1"/>
  <c r="L663" i="1"/>
  <c r="V663" i="1" s="1"/>
  <c r="Z663" i="1" s="1"/>
  <c r="AC663" i="1" s="1"/>
  <c r="BL662" i="1"/>
  <c r="BH662" i="1"/>
  <c r="AV662" i="1"/>
  <c r="AL662" i="1"/>
  <c r="AD662" i="1"/>
  <c r="U662" i="1"/>
  <c r="O662" i="1"/>
  <c r="BD662" i="1" s="1"/>
  <c r="L662" i="1"/>
  <c r="V662" i="1" s="1"/>
  <c r="BL661" i="1"/>
  <c r="BH661" i="1"/>
  <c r="AV661" i="1"/>
  <c r="AL661" i="1"/>
  <c r="AD661" i="1"/>
  <c r="U661" i="1"/>
  <c r="O661" i="1"/>
  <c r="BD661" i="1" s="1"/>
  <c r="L661" i="1"/>
  <c r="BL660" i="1"/>
  <c r="BH660" i="1"/>
  <c r="AV660" i="1"/>
  <c r="AL660" i="1"/>
  <c r="AD660" i="1"/>
  <c r="AI660" i="1" s="1"/>
  <c r="AJ660" i="1" s="1"/>
  <c r="U660" i="1"/>
  <c r="O660" i="1"/>
  <c r="BD660" i="1" s="1"/>
  <c r="L660" i="1"/>
  <c r="BL659" i="1"/>
  <c r="BH659" i="1"/>
  <c r="AV659" i="1"/>
  <c r="AL659" i="1"/>
  <c r="AD659" i="1"/>
  <c r="AI659" i="1" s="1"/>
  <c r="U659" i="1"/>
  <c r="O659" i="1"/>
  <c r="BD659" i="1" s="1"/>
  <c r="L659" i="1"/>
  <c r="V659" i="1" s="1"/>
  <c r="BL658" i="1"/>
  <c r="BH658" i="1"/>
  <c r="AV658" i="1"/>
  <c r="AL658" i="1"/>
  <c r="AD658" i="1"/>
  <c r="AI658" i="1" s="1"/>
  <c r="U658" i="1"/>
  <c r="O658" i="1"/>
  <c r="L658" i="1"/>
  <c r="BC658" i="1" s="1"/>
  <c r="BL657" i="1"/>
  <c r="BH657" i="1"/>
  <c r="AV657" i="1"/>
  <c r="AQ657" i="1"/>
  <c r="AL657" i="1"/>
  <c r="AD657" i="1"/>
  <c r="AI657" i="1" s="1"/>
  <c r="U657" i="1"/>
  <c r="O657" i="1"/>
  <c r="BD657" i="1" s="1"/>
  <c r="L657" i="1"/>
  <c r="BL656" i="1"/>
  <c r="BH656" i="1"/>
  <c r="AV656" i="1"/>
  <c r="AL656" i="1"/>
  <c r="AD656" i="1"/>
  <c r="U656" i="1"/>
  <c r="O656" i="1"/>
  <c r="BD656" i="1" s="1"/>
  <c r="L656" i="1"/>
  <c r="V656" i="1" s="1"/>
  <c r="BL655" i="1"/>
  <c r="BH655" i="1"/>
  <c r="AV655" i="1"/>
  <c r="AL655" i="1"/>
  <c r="AD655" i="1"/>
  <c r="Y655" i="1"/>
  <c r="U655" i="1"/>
  <c r="O655" i="1"/>
  <c r="BD655" i="1" s="1"/>
  <c r="L655" i="1"/>
  <c r="BL654" i="1"/>
  <c r="BH654" i="1"/>
  <c r="AV654" i="1"/>
  <c r="AL654" i="1"/>
  <c r="AD654" i="1"/>
  <c r="AI654" i="1" s="1"/>
  <c r="AJ654" i="1" s="1"/>
  <c r="U654" i="1"/>
  <c r="O654" i="1"/>
  <c r="L654" i="1"/>
  <c r="BL653" i="1"/>
  <c r="BH653" i="1"/>
  <c r="AV653" i="1"/>
  <c r="AL653" i="1"/>
  <c r="AD653" i="1"/>
  <c r="AI653" i="1" s="1"/>
  <c r="AJ653" i="1" s="1"/>
  <c r="U653" i="1"/>
  <c r="O653" i="1"/>
  <c r="L653" i="1"/>
  <c r="BL652" i="1"/>
  <c r="BH652" i="1"/>
  <c r="AV652" i="1"/>
  <c r="AL652" i="1"/>
  <c r="AD652" i="1"/>
  <c r="AI652" i="1" s="1"/>
  <c r="AJ652" i="1" s="1"/>
  <c r="U652" i="1"/>
  <c r="O652" i="1"/>
  <c r="L652" i="1"/>
  <c r="V652" i="1" s="1"/>
  <c r="BL651" i="1"/>
  <c r="BH651" i="1"/>
  <c r="AV651" i="1"/>
  <c r="AL651" i="1"/>
  <c r="AD651" i="1"/>
  <c r="U651" i="1"/>
  <c r="O651" i="1"/>
  <c r="BD651" i="1" s="1"/>
  <c r="L651" i="1"/>
  <c r="BL650" i="1"/>
  <c r="BH650" i="1"/>
  <c r="AV650" i="1"/>
  <c r="AL650" i="1"/>
  <c r="AD650" i="1"/>
  <c r="U650" i="1"/>
  <c r="O650" i="1"/>
  <c r="BD650" i="1" s="1"/>
  <c r="L650" i="1"/>
  <c r="BL649" i="1"/>
  <c r="BH649" i="1"/>
  <c r="AV649" i="1"/>
  <c r="AL649" i="1"/>
  <c r="AD649" i="1"/>
  <c r="AI649" i="1" s="1"/>
  <c r="AJ649" i="1" s="1"/>
  <c r="U649" i="1"/>
  <c r="O649" i="1"/>
  <c r="BD649" i="1" s="1"/>
  <c r="L649" i="1"/>
  <c r="BL648" i="1"/>
  <c r="BH648" i="1"/>
  <c r="AV648" i="1"/>
  <c r="AL648" i="1"/>
  <c r="AD648" i="1"/>
  <c r="U648" i="1"/>
  <c r="O648" i="1"/>
  <c r="BD648" i="1" s="1"/>
  <c r="L648" i="1"/>
  <c r="BL647" i="1"/>
  <c r="BH647" i="1"/>
  <c r="AV647" i="1"/>
  <c r="AL647" i="1"/>
  <c r="AD647" i="1"/>
  <c r="U647" i="1"/>
  <c r="O647" i="1"/>
  <c r="BD647" i="1" s="1"/>
  <c r="L647" i="1"/>
  <c r="BL646" i="1"/>
  <c r="BH646" i="1"/>
  <c r="AV646" i="1"/>
  <c r="AL646" i="1"/>
  <c r="AD646" i="1"/>
  <c r="U646" i="1"/>
  <c r="O646" i="1"/>
  <c r="BD646" i="1" s="1"/>
  <c r="L646" i="1"/>
  <c r="BC646" i="1" s="1"/>
  <c r="BL645" i="1"/>
  <c r="BH645" i="1"/>
  <c r="AV645" i="1"/>
  <c r="AL645" i="1"/>
  <c r="AD645" i="1"/>
  <c r="AI645" i="1" s="1"/>
  <c r="AJ645" i="1" s="1"/>
  <c r="U645" i="1"/>
  <c r="O645" i="1"/>
  <c r="BD645" i="1" s="1"/>
  <c r="L645" i="1"/>
  <c r="BL644" i="1"/>
  <c r="BH644" i="1"/>
  <c r="AV644" i="1"/>
  <c r="AL644" i="1"/>
  <c r="AD644" i="1"/>
  <c r="AI644" i="1" s="1"/>
  <c r="AJ644" i="1" s="1"/>
  <c r="U644" i="1"/>
  <c r="O644" i="1"/>
  <c r="BD644" i="1" s="1"/>
  <c r="L644" i="1"/>
  <c r="BL643" i="1"/>
  <c r="BH643" i="1"/>
  <c r="AV643" i="1"/>
  <c r="AL643" i="1"/>
  <c r="AD643" i="1"/>
  <c r="U643" i="1"/>
  <c r="O643" i="1"/>
  <c r="BD643" i="1" s="1"/>
  <c r="L643" i="1"/>
  <c r="BL642" i="1"/>
  <c r="BH642" i="1"/>
  <c r="AV642" i="1"/>
  <c r="AL642" i="1"/>
  <c r="AD642" i="1"/>
  <c r="U642" i="1"/>
  <c r="O642" i="1"/>
  <c r="BD642" i="1" s="1"/>
  <c r="L642" i="1"/>
  <c r="BL641" i="1"/>
  <c r="BH641" i="1"/>
  <c r="AV641" i="1"/>
  <c r="AL641" i="1"/>
  <c r="AD641" i="1"/>
  <c r="AI641" i="1" s="1"/>
  <c r="AJ641" i="1" s="1"/>
  <c r="U641" i="1"/>
  <c r="O641" i="1"/>
  <c r="BD641" i="1" s="1"/>
  <c r="L641" i="1"/>
  <c r="BC641" i="1" s="1"/>
  <c r="BL640" i="1"/>
  <c r="BH640" i="1"/>
  <c r="AV640" i="1"/>
  <c r="AL640" i="1"/>
  <c r="AD640" i="1"/>
  <c r="U640" i="1"/>
  <c r="O640" i="1"/>
  <c r="BD640" i="1" s="1"/>
  <c r="L640" i="1"/>
  <c r="BL639" i="1"/>
  <c r="BH639" i="1"/>
  <c r="AV639" i="1"/>
  <c r="AL639" i="1"/>
  <c r="AD639" i="1"/>
  <c r="AI639" i="1" s="1"/>
  <c r="U639" i="1"/>
  <c r="O639" i="1"/>
  <c r="BD639" i="1" s="1"/>
  <c r="L639" i="1"/>
  <c r="BL638" i="1"/>
  <c r="BH638" i="1"/>
  <c r="AV638" i="1"/>
  <c r="AL638" i="1"/>
  <c r="AD638" i="1"/>
  <c r="AI638" i="1" s="1"/>
  <c r="U638" i="1"/>
  <c r="O638" i="1"/>
  <c r="BD638" i="1" s="1"/>
  <c r="L638" i="1"/>
  <c r="V638" i="1" s="1"/>
  <c r="Z638" i="1" s="1"/>
  <c r="AC638" i="1" s="1"/>
  <c r="BL637" i="1"/>
  <c r="BH637" i="1"/>
  <c r="AV637" i="1"/>
  <c r="AL637" i="1"/>
  <c r="AD637" i="1"/>
  <c r="AI637" i="1" s="1"/>
  <c r="AJ637" i="1" s="1"/>
  <c r="U637" i="1"/>
  <c r="O637" i="1"/>
  <c r="L637" i="1"/>
  <c r="BL636" i="1"/>
  <c r="BH636" i="1"/>
  <c r="AV636" i="1"/>
  <c r="AL636" i="1"/>
  <c r="AD636" i="1"/>
  <c r="AI636" i="1" s="1"/>
  <c r="U636" i="1"/>
  <c r="O636" i="1"/>
  <c r="BD636" i="1" s="1"/>
  <c r="L636" i="1"/>
  <c r="BC636" i="1" s="1"/>
  <c r="BL635" i="1"/>
  <c r="BH635" i="1"/>
  <c r="AV635" i="1"/>
  <c r="AL635" i="1"/>
  <c r="AD635" i="1"/>
  <c r="U635" i="1"/>
  <c r="O635" i="1"/>
  <c r="BD635" i="1" s="1"/>
  <c r="L635" i="1"/>
  <c r="BL634" i="1"/>
  <c r="BH634" i="1"/>
  <c r="AV634" i="1"/>
  <c r="AL634" i="1"/>
  <c r="AD634" i="1"/>
  <c r="U634" i="1"/>
  <c r="O634" i="1"/>
  <c r="BD634" i="1" s="1"/>
  <c r="L634" i="1"/>
  <c r="BC634" i="1" s="1"/>
  <c r="BL633" i="1"/>
  <c r="BH633" i="1"/>
  <c r="AV633" i="1"/>
  <c r="AL633" i="1"/>
  <c r="AD633" i="1"/>
  <c r="U633" i="1"/>
  <c r="O633" i="1"/>
  <c r="BD633" i="1" s="1"/>
  <c r="L633" i="1"/>
  <c r="BL632" i="1"/>
  <c r="BH632" i="1"/>
  <c r="AV632" i="1"/>
  <c r="AL632" i="1"/>
  <c r="AD632" i="1"/>
  <c r="AI632" i="1" s="1"/>
  <c r="AJ632" i="1" s="1"/>
  <c r="U632" i="1"/>
  <c r="O632" i="1"/>
  <c r="L632" i="1"/>
  <c r="BC632" i="1" s="1"/>
  <c r="BL631" i="1"/>
  <c r="BH631" i="1"/>
  <c r="AV631" i="1"/>
  <c r="AL631" i="1"/>
  <c r="AD631" i="1"/>
  <c r="AI631" i="1" s="1"/>
  <c r="U631" i="1"/>
  <c r="O631" i="1"/>
  <c r="BD631" i="1" s="1"/>
  <c r="L631" i="1"/>
  <c r="BC631" i="1" s="1"/>
  <c r="BL630" i="1"/>
  <c r="BH630" i="1"/>
  <c r="AV630" i="1"/>
  <c r="AL630" i="1"/>
  <c r="AD630" i="1"/>
  <c r="AI630" i="1" s="1"/>
  <c r="AJ630" i="1" s="1"/>
  <c r="U630" i="1"/>
  <c r="O630" i="1"/>
  <c r="L630" i="1"/>
  <c r="BC630" i="1" s="1"/>
  <c r="BL629" i="1"/>
  <c r="BH629" i="1"/>
  <c r="AV629" i="1"/>
  <c r="AL629" i="1"/>
  <c r="AD629" i="1"/>
  <c r="U629" i="1"/>
  <c r="O629" i="1"/>
  <c r="BD629" i="1" s="1"/>
  <c r="L629" i="1"/>
  <c r="V629" i="1" s="1"/>
  <c r="BL628" i="1"/>
  <c r="BH628" i="1"/>
  <c r="AV628" i="1"/>
  <c r="AL628" i="1"/>
  <c r="AD628" i="1"/>
  <c r="AI628" i="1" s="1"/>
  <c r="AJ628" i="1" s="1"/>
  <c r="U628" i="1"/>
  <c r="O628" i="1"/>
  <c r="BD628" i="1" s="1"/>
  <c r="L628" i="1"/>
  <c r="BL627" i="1"/>
  <c r="BH627" i="1"/>
  <c r="AV627" i="1"/>
  <c r="AL627" i="1"/>
  <c r="AD627" i="1"/>
  <c r="U627" i="1"/>
  <c r="O627" i="1"/>
  <c r="BD627" i="1" s="1"/>
  <c r="L627" i="1"/>
  <c r="BC627" i="1" s="1"/>
  <c r="BL626" i="1"/>
  <c r="BH626" i="1"/>
  <c r="AV626" i="1"/>
  <c r="AL626" i="1"/>
  <c r="AD626" i="1"/>
  <c r="AI626" i="1" s="1"/>
  <c r="AJ626" i="1" s="1"/>
  <c r="U626" i="1"/>
  <c r="O626" i="1"/>
  <c r="L626" i="1"/>
  <c r="BL625" i="1"/>
  <c r="BH625" i="1"/>
  <c r="AV625" i="1"/>
  <c r="AL625" i="1"/>
  <c r="AD625" i="1"/>
  <c r="U625" i="1"/>
  <c r="O625" i="1"/>
  <c r="BD625" i="1" s="1"/>
  <c r="L625" i="1"/>
  <c r="BL624" i="1"/>
  <c r="BH624" i="1"/>
  <c r="AV624" i="1"/>
  <c r="AL624" i="1"/>
  <c r="AD624" i="1"/>
  <c r="AI624" i="1" s="1"/>
  <c r="U624" i="1"/>
  <c r="O624" i="1"/>
  <c r="BD624" i="1" s="1"/>
  <c r="L624" i="1"/>
  <c r="BC624" i="1" s="1"/>
  <c r="BL623" i="1"/>
  <c r="BH623" i="1"/>
  <c r="AV623" i="1"/>
  <c r="AL623" i="1"/>
  <c r="AD623" i="1"/>
  <c r="U623" i="1"/>
  <c r="O623" i="1"/>
  <c r="BD623" i="1" s="1"/>
  <c r="L623" i="1"/>
  <c r="BL622" i="1"/>
  <c r="BH622" i="1"/>
  <c r="AV622" i="1"/>
  <c r="AL622" i="1"/>
  <c r="AD622" i="1"/>
  <c r="U622" i="1"/>
  <c r="O622" i="1"/>
  <c r="BD622" i="1" s="1"/>
  <c r="L622" i="1"/>
  <c r="BL621" i="1"/>
  <c r="BH621" i="1"/>
  <c r="AV621" i="1"/>
  <c r="AL621" i="1"/>
  <c r="AD621" i="1"/>
  <c r="AI621" i="1" s="1"/>
  <c r="AJ621" i="1" s="1"/>
  <c r="U621" i="1"/>
  <c r="O621" i="1"/>
  <c r="BD621" i="1" s="1"/>
  <c r="L621" i="1"/>
  <c r="BL620" i="1"/>
  <c r="BH620" i="1"/>
  <c r="AV620" i="1"/>
  <c r="AL620" i="1"/>
  <c r="AD620" i="1"/>
  <c r="U620" i="1"/>
  <c r="O620" i="1"/>
  <c r="BD620" i="1" s="1"/>
  <c r="L620" i="1"/>
  <c r="BC620" i="1" s="1"/>
  <c r="BL619" i="1"/>
  <c r="BH619" i="1"/>
  <c r="AV619" i="1"/>
  <c r="AL619" i="1"/>
  <c r="AD619" i="1"/>
  <c r="AI619" i="1" s="1"/>
  <c r="U619" i="1"/>
  <c r="O619" i="1"/>
  <c r="BD619" i="1" s="1"/>
  <c r="L619" i="1"/>
  <c r="BC619" i="1" s="1"/>
  <c r="BL618" i="1"/>
  <c r="BH618" i="1"/>
  <c r="AV618" i="1"/>
  <c r="AL618" i="1"/>
  <c r="AD618" i="1"/>
  <c r="AI618" i="1" s="1"/>
  <c r="AJ618" i="1" s="1"/>
  <c r="U618" i="1"/>
  <c r="O618" i="1"/>
  <c r="BD618" i="1" s="1"/>
  <c r="L618" i="1"/>
  <c r="V618" i="1" s="1"/>
  <c r="BL617" i="1"/>
  <c r="BH617" i="1"/>
  <c r="AV617" i="1"/>
  <c r="AL617" i="1"/>
  <c r="AD617" i="1"/>
  <c r="AI617" i="1" s="1"/>
  <c r="AJ617" i="1" s="1"/>
  <c r="U617" i="1"/>
  <c r="O617" i="1"/>
  <c r="L617" i="1"/>
  <c r="BL616" i="1"/>
  <c r="BH616" i="1"/>
  <c r="AV616" i="1"/>
  <c r="AL616" i="1"/>
  <c r="AD616" i="1"/>
  <c r="AI616" i="1" s="1"/>
  <c r="AJ616" i="1" s="1"/>
  <c r="U616" i="1"/>
  <c r="O616" i="1"/>
  <c r="BD616" i="1" s="1"/>
  <c r="L616" i="1"/>
  <c r="V616" i="1" s="1"/>
  <c r="BL615" i="1"/>
  <c r="BH615" i="1"/>
  <c r="AV615" i="1"/>
  <c r="AL615" i="1"/>
  <c r="AD615" i="1"/>
  <c r="U615" i="1"/>
  <c r="O615" i="1"/>
  <c r="BD615" i="1" s="1"/>
  <c r="L615" i="1"/>
  <c r="BL614" i="1"/>
  <c r="BH614" i="1"/>
  <c r="AV614" i="1"/>
  <c r="AL614" i="1"/>
  <c r="AD614" i="1"/>
  <c r="AI614" i="1" s="1"/>
  <c r="U614" i="1"/>
  <c r="O614" i="1"/>
  <c r="BD614" i="1" s="1"/>
  <c r="L614" i="1"/>
  <c r="BL613" i="1"/>
  <c r="BH613" i="1"/>
  <c r="AV613" i="1"/>
  <c r="AL613" i="1"/>
  <c r="AD613" i="1"/>
  <c r="AI613" i="1" s="1"/>
  <c r="U613" i="1"/>
  <c r="O613" i="1"/>
  <c r="BD613" i="1" s="1"/>
  <c r="L613" i="1"/>
  <c r="BC613" i="1" s="1"/>
  <c r="BL612" i="1"/>
  <c r="BH612" i="1"/>
  <c r="AV612" i="1"/>
  <c r="AL612" i="1"/>
  <c r="AD612" i="1"/>
  <c r="U612" i="1"/>
  <c r="O612" i="1"/>
  <c r="BD612" i="1" s="1"/>
  <c r="L612" i="1"/>
  <c r="V612" i="1" s="1"/>
  <c r="Z612" i="1" s="1"/>
  <c r="AC612" i="1" s="1"/>
  <c r="BL611" i="1"/>
  <c r="BH611" i="1"/>
  <c r="AV611" i="1"/>
  <c r="AL611" i="1"/>
  <c r="AD611" i="1"/>
  <c r="AI611" i="1" s="1"/>
  <c r="U611" i="1"/>
  <c r="O611" i="1"/>
  <c r="BD611" i="1" s="1"/>
  <c r="L611" i="1"/>
  <c r="BC611" i="1" s="1"/>
  <c r="BL610" i="1"/>
  <c r="BH610" i="1"/>
  <c r="AV610" i="1"/>
  <c r="AL610" i="1"/>
  <c r="AD610" i="1"/>
  <c r="AI610" i="1" s="1"/>
  <c r="U610" i="1"/>
  <c r="O610" i="1"/>
  <c r="BD610" i="1" s="1"/>
  <c r="L610" i="1"/>
  <c r="BL609" i="1"/>
  <c r="BH609" i="1"/>
  <c r="AV609" i="1"/>
  <c r="AL609" i="1"/>
  <c r="AD609" i="1"/>
  <c r="AI609" i="1" s="1"/>
  <c r="AJ609" i="1" s="1"/>
  <c r="U609" i="1"/>
  <c r="O609" i="1"/>
  <c r="BD609" i="1" s="1"/>
  <c r="L609" i="1"/>
  <c r="BL608" i="1"/>
  <c r="BH608" i="1"/>
  <c r="AV608" i="1"/>
  <c r="AL608" i="1"/>
  <c r="AD608" i="1"/>
  <c r="U608" i="1"/>
  <c r="O608" i="1"/>
  <c r="BD608" i="1" s="1"/>
  <c r="L608" i="1"/>
  <c r="BL607" i="1"/>
  <c r="BH607" i="1"/>
  <c r="AV607" i="1"/>
  <c r="AL607" i="1"/>
  <c r="AD607" i="1"/>
  <c r="AI607" i="1" s="1"/>
  <c r="U607" i="1"/>
  <c r="O607" i="1"/>
  <c r="L607" i="1"/>
  <c r="BL606" i="1"/>
  <c r="BH606" i="1"/>
  <c r="AV606" i="1"/>
  <c r="AL606" i="1"/>
  <c r="AD606" i="1"/>
  <c r="AI606" i="1" s="1"/>
  <c r="AJ606" i="1" s="1"/>
  <c r="U606" i="1"/>
  <c r="O606" i="1"/>
  <c r="BD606" i="1" s="1"/>
  <c r="L606" i="1"/>
  <c r="BL605" i="1"/>
  <c r="BH605" i="1"/>
  <c r="AV605" i="1"/>
  <c r="AL605" i="1"/>
  <c r="AD605" i="1"/>
  <c r="U605" i="1"/>
  <c r="O605" i="1"/>
  <c r="BD605" i="1" s="1"/>
  <c r="L605" i="1"/>
  <c r="V605" i="1" s="1"/>
  <c r="BL604" i="1"/>
  <c r="BH604" i="1"/>
  <c r="AV604" i="1"/>
  <c r="AL604" i="1"/>
  <c r="AD604" i="1"/>
  <c r="AI604" i="1" s="1"/>
  <c r="U604" i="1"/>
  <c r="O604" i="1"/>
  <c r="BD604" i="1" s="1"/>
  <c r="L604" i="1"/>
  <c r="BL603" i="1"/>
  <c r="BH603" i="1"/>
  <c r="AV603" i="1"/>
  <c r="AL603" i="1"/>
  <c r="AD603" i="1"/>
  <c r="U603" i="1"/>
  <c r="O603" i="1"/>
  <c r="BD603" i="1" s="1"/>
  <c r="L603" i="1"/>
  <c r="BL602" i="1"/>
  <c r="BH602" i="1"/>
  <c r="AV602" i="1"/>
  <c r="AL602" i="1"/>
  <c r="AD602" i="1"/>
  <c r="U602" i="1"/>
  <c r="O602" i="1"/>
  <c r="BD602" i="1" s="1"/>
  <c r="L602" i="1"/>
  <c r="BL601" i="1"/>
  <c r="BH601" i="1"/>
  <c r="AV601" i="1"/>
  <c r="AL601" i="1"/>
  <c r="AD601" i="1"/>
  <c r="U601" i="1"/>
  <c r="O601" i="1"/>
  <c r="BD601" i="1" s="1"/>
  <c r="L601" i="1"/>
  <c r="BL600" i="1"/>
  <c r="BH600" i="1"/>
  <c r="AV600" i="1"/>
  <c r="AL600" i="1"/>
  <c r="AD600" i="1"/>
  <c r="U600" i="1"/>
  <c r="O600" i="1"/>
  <c r="BD600" i="1" s="1"/>
  <c r="L600" i="1"/>
  <c r="V600" i="1" s="1"/>
  <c r="Z600" i="1" s="1"/>
  <c r="AC600" i="1" s="1"/>
  <c r="BL599" i="1"/>
  <c r="BH599" i="1"/>
  <c r="AV599" i="1"/>
  <c r="AL599" i="1"/>
  <c r="AD599" i="1"/>
  <c r="AI599" i="1" s="1"/>
  <c r="AJ599" i="1" s="1"/>
  <c r="U599" i="1"/>
  <c r="O599" i="1"/>
  <c r="BD599" i="1" s="1"/>
  <c r="L599" i="1"/>
  <c r="BL598" i="1"/>
  <c r="BH598" i="1"/>
  <c r="AV598" i="1"/>
  <c r="AL598" i="1"/>
  <c r="AD598" i="1"/>
  <c r="AI598" i="1" s="1"/>
  <c r="AJ598" i="1" s="1"/>
  <c r="U598" i="1"/>
  <c r="O598" i="1"/>
  <c r="L598" i="1"/>
  <c r="BL597" i="1"/>
  <c r="BH597" i="1"/>
  <c r="AV597" i="1"/>
  <c r="AL597" i="1"/>
  <c r="AD597" i="1"/>
  <c r="U597" i="1"/>
  <c r="O597" i="1"/>
  <c r="BD597" i="1" s="1"/>
  <c r="L597" i="1"/>
  <c r="V597" i="1" s="1"/>
  <c r="BL596" i="1"/>
  <c r="BH596" i="1"/>
  <c r="AV596" i="1"/>
  <c r="AL596" i="1"/>
  <c r="AD596" i="1"/>
  <c r="AI596" i="1" s="1"/>
  <c r="U596" i="1"/>
  <c r="O596" i="1"/>
  <c r="BD596" i="1" s="1"/>
  <c r="L596" i="1"/>
  <c r="V596" i="1" s="1"/>
  <c r="BL595" i="1"/>
  <c r="BH595" i="1"/>
  <c r="AV595" i="1"/>
  <c r="AL595" i="1"/>
  <c r="AD595" i="1"/>
  <c r="U595" i="1"/>
  <c r="O595" i="1"/>
  <c r="BD595" i="1" s="1"/>
  <c r="L595" i="1"/>
  <c r="BC595" i="1" s="1"/>
  <c r="BL594" i="1"/>
  <c r="BH594" i="1"/>
  <c r="AV594" i="1"/>
  <c r="AL594" i="1"/>
  <c r="AD594" i="1"/>
  <c r="AI594" i="1" s="1"/>
  <c r="AJ594" i="1" s="1"/>
  <c r="U594" i="1"/>
  <c r="O594" i="1"/>
  <c r="L594" i="1"/>
  <c r="BL593" i="1"/>
  <c r="BH593" i="1"/>
  <c r="AV593" i="1"/>
  <c r="AL593" i="1"/>
  <c r="AD593" i="1"/>
  <c r="U593" i="1"/>
  <c r="O593" i="1"/>
  <c r="BD593" i="1" s="1"/>
  <c r="L593" i="1"/>
  <c r="BL592" i="1"/>
  <c r="BH592" i="1"/>
  <c r="AV592" i="1"/>
  <c r="AL592" i="1"/>
  <c r="AD592" i="1"/>
  <c r="U592" i="1"/>
  <c r="O592" i="1"/>
  <c r="BD592" i="1" s="1"/>
  <c r="L592" i="1"/>
  <c r="BL591" i="1"/>
  <c r="BH591" i="1"/>
  <c r="AV591" i="1"/>
  <c r="AL591" i="1"/>
  <c r="AD591" i="1"/>
  <c r="AI591" i="1" s="1"/>
  <c r="U591" i="1"/>
  <c r="O591" i="1"/>
  <c r="BD591" i="1" s="1"/>
  <c r="L591" i="1"/>
  <c r="BL590" i="1"/>
  <c r="BH590" i="1"/>
  <c r="AV590" i="1"/>
  <c r="AL590" i="1"/>
  <c r="AD590" i="1"/>
  <c r="AI590" i="1" s="1"/>
  <c r="AJ590" i="1" s="1"/>
  <c r="U590" i="1"/>
  <c r="O590" i="1"/>
  <c r="L590" i="1"/>
  <c r="BL589" i="1"/>
  <c r="BH589" i="1"/>
  <c r="AV589" i="1"/>
  <c r="AL589" i="1"/>
  <c r="AD589" i="1"/>
  <c r="U589" i="1"/>
  <c r="O589" i="1"/>
  <c r="BD589" i="1" s="1"/>
  <c r="L589" i="1"/>
  <c r="V589" i="1" s="1"/>
  <c r="BL588" i="1"/>
  <c r="BH588" i="1"/>
  <c r="AV588" i="1"/>
  <c r="AL588" i="1"/>
  <c r="AD588" i="1"/>
  <c r="U588" i="1"/>
  <c r="O588" i="1"/>
  <c r="BD588" i="1" s="1"/>
  <c r="L588" i="1"/>
  <c r="V588" i="1" s="1"/>
  <c r="BL587" i="1"/>
  <c r="BH587" i="1"/>
  <c r="AV587" i="1"/>
  <c r="AL587" i="1"/>
  <c r="AD587" i="1"/>
  <c r="AI587" i="1" s="1"/>
  <c r="AJ587" i="1" s="1"/>
  <c r="U587" i="1"/>
  <c r="O587" i="1"/>
  <c r="BD587" i="1" s="1"/>
  <c r="L587" i="1"/>
  <c r="V587" i="1" s="1"/>
  <c r="BL586" i="1"/>
  <c r="BH586" i="1"/>
  <c r="AV586" i="1"/>
  <c r="AL586" i="1"/>
  <c r="AD586" i="1"/>
  <c r="AI586" i="1" s="1"/>
  <c r="AJ586" i="1" s="1"/>
  <c r="U586" i="1"/>
  <c r="O586" i="1"/>
  <c r="BD586" i="1" s="1"/>
  <c r="L586" i="1"/>
  <c r="BL585" i="1"/>
  <c r="BH585" i="1"/>
  <c r="AV585" i="1"/>
  <c r="AL585" i="1"/>
  <c r="AD585" i="1"/>
  <c r="U585" i="1"/>
  <c r="O585" i="1"/>
  <c r="BD585" i="1" s="1"/>
  <c r="L585" i="1"/>
  <c r="BL584" i="1"/>
  <c r="BH584" i="1"/>
  <c r="AV584" i="1"/>
  <c r="AL584" i="1"/>
  <c r="AD584" i="1"/>
  <c r="AI584" i="1" s="1"/>
  <c r="AJ584" i="1" s="1"/>
  <c r="U584" i="1"/>
  <c r="O584" i="1"/>
  <c r="BD584" i="1" s="1"/>
  <c r="L584" i="1"/>
  <c r="BL583" i="1"/>
  <c r="BH583" i="1"/>
  <c r="AV583" i="1"/>
  <c r="AL583" i="1"/>
  <c r="AD583" i="1"/>
  <c r="AI583" i="1" s="1"/>
  <c r="U583" i="1"/>
  <c r="O583" i="1"/>
  <c r="BD583" i="1" s="1"/>
  <c r="L583" i="1"/>
  <c r="BL582" i="1"/>
  <c r="BH582" i="1"/>
  <c r="AV582" i="1"/>
  <c r="AL582" i="1"/>
  <c r="AD582" i="1"/>
  <c r="AI582" i="1" s="1"/>
  <c r="AJ582" i="1" s="1"/>
  <c r="U582" i="1"/>
  <c r="O582" i="1"/>
  <c r="L582" i="1"/>
  <c r="BC582" i="1" s="1"/>
  <c r="BL581" i="1"/>
  <c r="BH581" i="1"/>
  <c r="AV581" i="1"/>
  <c r="AL581" i="1"/>
  <c r="AD581" i="1"/>
  <c r="U581" i="1"/>
  <c r="O581" i="1"/>
  <c r="BD581" i="1" s="1"/>
  <c r="L581" i="1"/>
  <c r="BC581" i="1" s="1"/>
  <c r="BL580" i="1"/>
  <c r="BH580" i="1"/>
  <c r="AV580" i="1"/>
  <c r="AL580" i="1"/>
  <c r="AD580" i="1"/>
  <c r="AI580" i="1" s="1"/>
  <c r="U580" i="1"/>
  <c r="O580" i="1"/>
  <c r="BD580" i="1" s="1"/>
  <c r="L580" i="1"/>
  <c r="BL579" i="1"/>
  <c r="BH579" i="1"/>
  <c r="AV579" i="1"/>
  <c r="AL579" i="1"/>
  <c r="AD579" i="1"/>
  <c r="AI579" i="1" s="1"/>
  <c r="AJ579" i="1" s="1"/>
  <c r="U579" i="1"/>
  <c r="O579" i="1"/>
  <c r="BD579" i="1" s="1"/>
  <c r="L579" i="1"/>
  <c r="BL578" i="1"/>
  <c r="BH578" i="1"/>
  <c r="AV578" i="1"/>
  <c r="AL578" i="1"/>
  <c r="AD578" i="1"/>
  <c r="U578" i="1"/>
  <c r="O578" i="1"/>
  <c r="BD578" i="1" s="1"/>
  <c r="L578" i="1"/>
  <c r="BL577" i="1"/>
  <c r="BH577" i="1"/>
  <c r="AV577" i="1"/>
  <c r="AL577" i="1"/>
  <c r="AD577" i="1"/>
  <c r="U577" i="1"/>
  <c r="O577" i="1"/>
  <c r="BD577" i="1" s="1"/>
  <c r="L577" i="1"/>
  <c r="BL576" i="1"/>
  <c r="BH576" i="1"/>
  <c r="AV576" i="1"/>
  <c r="AL576" i="1"/>
  <c r="AD576" i="1"/>
  <c r="AI576" i="1" s="1"/>
  <c r="AJ576" i="1" s="1"/>
  <c r="U576" i="1"/>
  <c r="O576" i="1"/>
  <c r="BD576" i="1" s="1"/>
  <c r="L576" i="1"/>
  <c r="BL575" i="1"/>
  <c r="BH575" i="1"/>
  <c r="AV575" i="1"/>
  <c r="AL575" i="1"/>
  <c r="AD575" i="1"/>
  <c r="AI575" i="1" s="1"/>
  <c r="AJ575" i="1" s="1"/>
  <c r="U575" i="1"/>
  <c r="O575" i="1"/>
  <c r="L575" i="1"/>
  <c r="V575" i="1" s="1"/>
  <c r="BL574" i="1"/>
  <c r="BH574" i="1"/>
  <c r="AV574" i="1"/>
  <c r="AL574" i="1"/>
  <c r="AD574" i="1"/>
  <c r="AI574" i="1" s="1"/>
  <c r="U574" i="1"/>
  <c r="O574" i="1"/>
  <c r="BD574" i="1" s="1"/>
  <c r="L574" i="1"/>
  <c r="BC574" i="1" s="1"/>
  <c r="BL573" i="1"/>
  <c r="BH573" i="1"/>
  <c r="AV573" i="1"/>
  <c r="AL573" i="1"/>
  <c r="AD573" i="1"/>
  <c r="U573" i="1"/>
  <c r="O573" i="1"/>
  <c r="BD573" i="1" s="1"/>
  <c r="L573" i="1"/>
  <c r="V573" i="1" s="1"/>
  <c r="BL572" i="1"/>
  <c r="BH572" i="1"/>
  <c r="AV572" i="1"/>
  <c r="AL572" i="1"/>
  <c r="AD572" i="1"/>
  <c r="U572" i="1"/>
  <c r="O572" i="1"/>
  <c r="BD572" i="1" s="1"/>
  <c r="L572" i="1"/>
  <c r="BL571" i="1"/>
  <c r="BH571" i="1"/>
  <c r="AV571" i="1"/>
  <c r="AL571" i="1"/>
  <c r="AD571" i="1"/>
  <c r="U571" i="1"/>
  <c r="O571" i="1"/>
  <c r="BD571" i="1" s="1"/>
  <c r="L571" i="1"/>
  <c r="BC571" i="1" s="1"/>
  <c r="BL570" i="1"/>
  <c r="BH570" i="1"/>
  <c r="AV570" i="1"/>
  <c r="AQ570" i="1"/>
  <c r="AL570" i="1"/>
  <c r="AD570" i="1"/>
  <c r="U570" i="1"/>
  <c r="O570" i="1"/>
  <c r="BD570" i="1" s="1"/>
  <c r="L570" i="1"/>
  <c r="BL569" i="1"/>
  <c r="BH569" i="1"/>
  <c r="AV569" i="1"/>
  <c r="AL569" i="1"/>
  <c r="AD569" i="1"/>
  <c r="AI569" i="1" s="1"/>
  <c r="U569" i="1"/>
  <c r="O569" i="1"/>
  <c r="BD569" i="1" s="1"/>
  <c r="L569" i="1"/>
  <c r="BC569" i="1" s="1"/>
  <c r="BL568" i="1"/>
  <c r="BH568" i="1"/>
  <c r="AV568" i="1"/>
  <c r="AL568" i="1"/>
  <c r="AD568" i="1"/>
  <c r="AI568" i="1" s="1"/>
  <c r="U568" i="1"/>
  <c r="O568" i="1"/>
  <c r="BD568" i="1" s="1"/>
  <c r="L568" i="1"/>
  <c r="BC568" i="1" s="1"/>
  <c r="BL567" i="1"/>
  <c r="BH567" i="1"/>
  <c r="AV567" i="1"/>
  <c r="AL567" i="1"/>
  <c r="AD567" i="1"/>
  <c r="U567" i="1"/>
  <c r="O567" i="1"/>
  <c r="BD567" i="1" s="1"/>
  <c r="L567" i="1"/>
  <c r="BL566" i="1"/>
  <c r="BH566" i="1"/>
  <c r="AV566" i="1"/>
  <c r="AL566" i="1"/>
  <c r="AD566" i="1"/>
  <c r="U566" i="1"/>
  <c r="O566" i="1"/>
  <c r="BD566" i="1" s="1"/>
  <c r="L566" i="1"/>
  <c r="BL565" i="1"/>
  <c r="BH565" i="1"/>
  <c r="AV565" i="1"/>
  <c r="AL565" i="1"/>
  <c r="AD565" i="1"/>
  <c r="AI565" i="1" s="1"/>
  <c r="U565" i="1"/>
  <c r="O565" i="1"/>
  <c r="L565" i="1"/>
  <c r="BL564" i="1"/>
  <c r="BH564" i="1"/>
  <c r="AV564" i="1"/>
  <c r="AL564" i="1"/>
  <c r="AD564" i="1"/>
  <c r="U564" i="1"/>
  <c r="O564" i="1"/>
  <c r="BD564" i="1" s="1"/>
  <c r="L564" i="1"/>
  <c r="V564" i="1" s="1"/>
  <c r="Z564" i="1" s="1"/>
  <c r="AC564" i="1" s="1"/>
  <c r="BL563" i="1"/>
  <c r="BH563" i="1"/>
  <c r="AV563" i="1"/>
  <c r="AL563" i="1"/>
  <c r="AD563" i="1"/>
  <c r="AI563" i="1" s="1"/>
  <c r="U563" i="1"/>
  <c r="O563" i="1"/>
  <c r="BD563" i="1" s="1"/>
  <c r="L563" i="1"/>
  <c r="BL562" i="1"/>
  <c r="BH562" i="1"/>
  <c r="AV562" i="1"/>
  <c r="AL562" i="1"/>
  <c r="AD562" i="1"/>
  <c r="AI562" i="1" s="1"/>
  <c r="U562" i="1"/>
  <c r="O562" i="1"/>
  <c r="BD562" i="1" s="1"/>
  <c r="L562" i="1"/>
  <c r="BL561" i="1"/>
  <c r="BH561" i="1"/>
  <c r="AV561" i="1"/>
  <c r="AL561" i="1"/>
  <c r="AD561" i="1"/>
  <c r="U561" i="1"/>
  <c r="O561" i="1"/>
  <c r="BD561" i="1" s="1"/>
  <c r="L561" i="1"/>
  <c r="BL560" i="1"/>
  <c r="BH560" i="1"/>
  <c r="AV560" i="1"/>
  <c r="AL560" i="1"/>
  <c r="AD560" i="1"/>
  <c r="U560" i="1"/>
  <c r="O560" i="1"/>
  <c r="BD560" i="1" s="1"/>
  <c r="L560" i="1"/>
  <c r="BL559" i="1"/>
  <c r="BH559" i="1"/>
  <c r="AV559" i="1"/>
  <c r="AQ559" i="1"/>
  <c r="AL559" i="1"/>
  <c r="AD559" i="1"/>
  <c r="AI559" i="1" s="1"/>
  <c r="U559" i="1"/>
  <c r="O559" i="1"/>
  <c r="BD559" i="1" s="1"/>
  <c r="L559" i="1"/>
  <c r="BC559" i="1" s="1"/>
  <c r="BL558" i="1"/>
  <c r="BH558" i="1"/>
  <c r="AV558" i="1"/>
  <c r="AQ558" i="1"/>
  <c r="AL558" i="1"/>
  <c r="AD558" i="1"/>
  <c r="AI558" i="1" s="1"/>
  <c r="AJ558" i="1" s="1"/>
  <c r="U558" i="1"/>
  <c r="O558" i="1"/>
  <c r="BD558" i="1" s="1"/>
  <c r="L558" i="1"/>
  <c r="V558" i="1" s="1"/>
  <c r="BL557" i="1"/>
  <c r="BH557" i="1"/>
  <c r="AV557" i="1"/>
  <c r="AL557" i="1"/>
  <c r="AD557" i="1"/>
  <c r="U557" i="1"/>
  <c r="O557" i="1"/>
  <c r="BD557" i="1" s="1"/>
  <c r="L557" i="1"/>
  <c r="BC557" i="1" s="1"/>
  <c r="BL556" i="1"/>
  <c r="BH556" i="1"/>
  <c r="AV556" i="1"/>
  <c r="AL556" i="1"/>
  <c r="AD556" i="1"/>
  <c r="U556" i="1"/>
  <c r="O556" i="1"/>
  <c r="BD556" i="1" s="1"/>
  <c r="L556" i="1"/>
  <c r="BC556" i="1" s="1"/>
  <c r="BL555" i="1"/>
  <c r="BH555" i="1"/>
  <c r="AV555" i="1"/>
  <c r="AL555" i="1"/>
  <c r="AD555" i="1"/>
  <c r="U555" i="1"/>
  <c r="O555" i="1"/>
  <c r="BD555" i="1" s="1"/>
  <c r="L555" i="1"/>
  <c r="BL554" i="1"/>
  <c r="BH554" i="1"/>
  <c r="AV554" i="1"/>
  <c r="AQ554" i="1"/>
  <c r="AL554" i="1"/>
  <c r="AD554" i="1"/>
  <c r="AI554" i="1" s="1"/>
  <c r="U554" i="1"/>
  <c r="O554" i="1"/>
  <c r="BD554" i="1" s="1"/>
  <c r="L554" i="1"/>
  <c r="V554" i="1" s="1"/>
  <c r="BL553" i="1"/>
  <c r="BH553" i="1"/>
  <c r="AV553" i="1"/>
  <c r="AL553" i="1"/>
  <c r="AD553" i="1"/>
  <c r="AI553" i="1" s="1"/>
  <c r="AJ553" i="1" s="1"/>
  <c r="U553" i="1"/>
  <c r="O553" i="1"/>
  <c r="L553" i="1"/>
  <c r="BL552" i="1"/>
  <c r="BH552" i="1"/>
  <c r="AV552" i="1"/>
  <c r="AL552" i="1"/>
  <c r="AD552" i="1"/>
  <c r="AI552" i="1" s="1"/>
  <c r="U552" i="1"/>
  <c r="O552" i="1"/>
  <c r="L552" i="1"/>
  <c r="BL551" i="1"/>
  <c r="BH551" i="1"/>
  <c r="AV551" i="1"/>
  <c r="AL551" i="1"/>
  <c r="AD551" i="1"/>
  <c r="AI551" i="1" s="1"/>
  <c r="AJ551" i="1" s="1"/>
  <c r="U551" i="1"/>
  <c r="O551" i="1"/>
  <c r="L551" i="1"/>
  <c r="BL550" i="1"/>
  <c r="BH550" i="1"/>
  <c r="AV550" i="1"/>
  <c r="AL550" i="1"/>
  <c r="AD550" i="1"/>
  <c r="U550" i="1"/>
  <c r="O550" i="1"/>
  <c r="BD550" i="1" s="1"/>
  <c r="L550" i="1"/>
  <c r="BL549" i="1"/>
  <c r="BH549" i="1"/>
  <c r="AV549" i="1"/>
  <c r="AL549" i="1"/>
  <c r="AD549" i="1"/>
  <c r="AI549" i="1" s="1"/>
  <c r="U549" i="1"/>
  <c r="O549" i="1"/>
  <c r="BD549" i="1" s="1"/>
  <c r="L549" i="1"/>
  <c r="BL548" i="1"/>
  <c r="BH548" i="1"/>
  <c r="AV548" i="1"/>
  <c r="AL548" i="1"/>
  <c r="AD548" i="1"/>
  <c r="U548" i="1"/>
  <c r="O548" i="1"/>
  <c r="BD548" i="1" s="1"/>
  <c r="L548" i="1"/>
  <c r="BL547" i="1"/>
  <c r="BH547" i="1"/>
  <c r="AV547" i="1"/>
  <c r="AL547" i="1"/>
  <c r="AD547" i="1"/>
  <c r="U547" i="1"/>
  <c r="O547" i="1"/>
  <c r="BD547" i="1" s="1"/>
  <c r="L547" i="1"/>
  <c r="BL546" i="1"/>
  <c r="BH546" i="1"/>
  <c r="AV546" i="1"/>
  <c r="AL546" i="1"/>
  <c r="AD546" i="1"/>
  <c r="U546" i="1"/>
  <c r="O546" i="1"/>
  <c r="BD546" i="1" s="1"/>
  <c r="L546" i="1"/>
  <c r="V546" i="1" s="1"/>
  <c r="BL545" i="1"/>
  <c r="BH545" i="1"/>
  <c r="AV545" i="1"/>
  <c r="AL545" i="1"/>
  <c r="AD545" i="1"/>
  <c r="U545" i="1"/>
  <c r="O545" i="1"/>
  <c r="BD545" i="1" s="1"/>
  <c r="L545" i="1"/>
  <c r="BL544" i="1"/>
  <c r="BH544" i="1"/>
  <c r="AV544" i="1"/>
  <c r="AL544" i="1"/>
  <c r="AD544" i="1"/>
  <c r="U544" i="1"/>
  <c r="O544" i="1"/>
  <c r="BD544" i="1" s="1"/>
  <c r="L544" i="1"/>
  <c r="BL543" i="1"/>
  <c r="BH543" i="1"/>
  <c r="AV543" i="1"/>
  <c r="AL543" i="1"/>
  <c r="AD543" i="1"/>
  <c r="AI543" i="1" s="1"/>
  <c r="U543" i="1"/>
  <c r="O543" i="1"/>
  <c r="L543" i="1"/>
  <c r="BL542" i="1"/>
  <c r="BH542" i="1"/>
  <c r="AV542" i="1"/>
  <c r="AL542" i="1"/>
  <c r="AD542" i="1"/>
  <c r="AI542" i="1" s="1"/>
  <c r="U542" i="1"/>
  <c r="O542" i="1"/>
  <c r="BD542" i="1" s="1"/>
  <c r="L542" i="1"/>
  <c r="BC542" i="1" s="1"/>
  <c r="BL541" i="1"/>
  <c r="BH541" i="1"/>
  <c r="AV541" i="1"/>
  <c r="AL541" i="1"/>
  <c r="AD541" i="1"/>
  <c r="AI541" i="1" s="1"/>
  <c r="AJ541" i="1" s="1"/>
  <c r="U541" i="1"/>
  <c r="O541" i="1"/>
  <c r="L541" i="1"/>
  <c r="BL540" i="1"/>
  <c r="BH540" i="1"/>
  <c r="B9" i="2" s="1"/>
  <c r="AV540" i="1"/>
  <c r="AL540" i="1"/>
  <c r="AD540" i="1"/>
  <c r="AI540" i="1" s="1"/>
  <c r="U540" i="1"/>
  <c r="O540" i="1"/>
  <c r="L540" i="1"/>
  <c r="BL539" i="1"/>
  <c r="BH539" i="1"/>
  <c r="AV539" i="1"/>
  <c r="AL539" i="1"/>
  <c r="AD539" i="1"/>
  <c r="U539" i="1"/>
  <c r="O539" i="1"/>
  <c r="BD539" i="1" s="1"/>
  <c r="L539" i="1"/>
  <c r="BL538" i="1"/>
  <c r="BH538" i="1"/>
  <c r="AV538" i="1"/>
  <c r="AL538" i="1"/>
  <c r="AD538" i="1"/>
  <c r="AI538" i="1" s="1"/>
  <c r="AJ538" i="1" s="1"/>
  <c r="U538" i="1"/>
  <c r="O538" i="1"/>
  <c r="L538" i="1"/>
  <c r="BL537" i="1"/>
  <c r="BH537" i="1"/>
  <c r="AV537" i="1"/>
  <c r="AL537" i="1"/>
  <c r="AD537" i="1"/>
  <c r="U537" i="1"/>
  <c r="O537" i="1"/>
  <c r="BD537" i="1" s="1"/>
  <c r="L537" i="1"/>
  <c r="BL536" i="1"/>
  <c r="BH536" i="1"/>
  <c r="AV536" i="1"/>
  <c r="AL536" i="1"/>
  <c r="AD536" i="1"/>
  <c r="U536" i="1"/>
  <c r="O536" i="1"/>
  <c r="BD536" i="1" s="1"/>
  <c r="L536" i="1"/>
  <c r="BL535" i="1"/>
  <c r="BH535" i="1"/>
  <c r="AV535" i="1"/>
  <c r="AL535" i="1"/>
  <c r="AD535" i="1"/>
  <c r="AI535" i="1" s="1"/>
  <c r="AJ535" i="1" s="1"/>
  <c r="U535" i="1"/>
  <c r="O535" i="1"/>
  <c r="BD535" i="1" s="1"/>
  <c r="L535" i="1"/>
  <c r="BC535" i="1" s="1"/>
  <c r="BL534" i="1"/>
  <c r="BH534" i="1"/>
  <c r="AV534" i="1"/>
  <c r="AL534" i="1"/>
  <c r="AD534" i="1"/>
  <c r="AI534" i="1" s="1"/>
  <c r="AJ534" i="1" s="1"/>
  <c r="U534" i="1"/>
  <c r="O534" i="1"/>
  <c r="BD534" i="1" s="1"/>
  <c r="L534" i="1"/>
  <c r="BL533" i="1"/>
  <c r="BH533" i="1"/>
  <c r="AV533" i="1"/>
  <c r="AL533" i="1"/>
  <c r="AD533" i="1"/>
  <c r="U533" i="1"/>
  <c r="O533" i="1"/>
  <c r="BD533" i="1" s="1"/>
  <c r="L533" i="1"/>
  <c r="BL532" i="1"/>
  <c r="BH532" i="1"/>
  <c r="AV532" i="1"/>
  <c r="AL532" i="1"/>
  <c r="AD532" i="1"/>
  <c r="U532" i="1"/>
  <c r="O532" i="1"/>
  <c r="BD532" i="1" s="1"/>
  <c r="L532" i="1"/>
  <c r="BL531" i="1"/>
  <c r="BH531" i="1"/>
  <c r="AV531" i="1"/>
  <c r="AL531" i="1"/>
  <c r="AD531" i="1"/>
  <c r="U531" i="1"/>
  <c r="O531" i="1"/>
  <c r="BD531" i="1" s="1"/>
  <c r="L531" i="1"/>
  <c r="BL530" i="1"/>
  <c r="BH530" i="1"/>
  <c r="AV530" i="1"/>
  <c r="AL530" i="1"/>
  <c r="AD530" i="1"/>
  <c r="AI530" i="1" s="1"/>
  <c r="U530" i="1"/>
  <c r="O530" i="1"/>
  <c r="L530" i="1"/>
  <c r="V530" i="1" s="1"/>
  <c r="Z530" i="1" s="1"/>
  <c r="AC530" i="1" s="1"/>
  <c r="BL529" i="1"/>
  <c r="BH529" i="1"/>
  <c r="AV529" i="1"/>
  <c r="AL529" i="1"/>
  <c r="AD529" i="1"/>
  <c r="U529" i="1"/>
  <c r="O529" i="1"/>
  <c r="BD529" i="1" s="1"/>
  <c r="L529" i="1"/>
  <c r="BL528" i="1"/>
  <c r="BH528" i="1"/>
  <c r="AV528" i="1"/>
  <c r="AL528" i="1"/>
  <c r="AD528" i="1"/>
  <c r="U528" i="1"/>
  <c r="O528" i="1"/>
  <c r="BD528" i="1" s="1"/>
  <c r="L528" i="1"/>
  <c r="BL527" i="1"/>
  <c r="BH527" i="1"/>
  <c r="AV527" i="1"/>
  <c r="AL527" i="1"/>
  <c r="AD527" i="1"/>
  <c r="AI527" i="1" s="1"/>
  <c r="AJ527" i="1" s="1"/>
  <c r="U527" i="1"/>
  <c r="O527" i="1"/>
  <c r="BD527" i="1" s="1"/>
  <c r="L527" i="1"/>
  <c r="BL526" i="1"/>
  <c r="BH526" i="1"/>
  <c r="AV526" i="1"/>
  <c r="AL526" i="1"/>
  <c r="AD526" i="1"/>
  <c r="U526" i="1"/>
  <c r="O526" i="1"/>
  <c r="BD526" i="1" s="1"/>
  <c r="L526" i="1"/>
  <c r="BL525" i="1"/>
  <c r="BH525" i="1"/>
  <c r="AV525" i="1"/>
  <c r="AL525" i="1"/>
  <c r="AD525" i="1"/>
  <c r="AI525" i="1" s="1"/>
  <c r="U525" i="1"/>
  <c r="O525" i="1"/>
  <c r="L525" i="1"/>
  <c r="BL524" i="1"/>
  <c r="BH524" i="1"/>
  <c r="AV524" i="1"/>
  <c r="AL524" i="1"/>
  <c r="AD524" i="1"/>
  <c r="U524" i="1"/>
  <c r="O524" i="1"/>
  <c r="BD524" i="1" s="1"/>
  <c r="L524" i="1"/>
  <c r="BL523" i="1"/>
  <c r="BH523" i="1"/>
  <c r="AV523" i="1"/>
  <c r="AL523" i="1"/>
  <c r="AD523" i="1"/>
  <c r="U523" i="1"/>
  <c r="O523" i="1"/>
  <c r="BD523" i="1" s="1"/>
  <c r="L523" i="1"/>
  <c r="BL522" i="1"/>
  <c r="BH522" i="1"/>
  <c r="AV522" i="1"/>
  <c r="AL522" i="1"/>
  <c r="AD522" i="1"/>
  <c r="AI522" i="1" s="1"/>
  <c r="AJ522" i="1" s="1"/>
  <c r="U522" i="1"/>
  <c r="O522" i="1"/>
  <c r="BD522" i="1" s="1"/>
  <c r="L522" i="1"/>
  <c r="BL521" i="1"/>
  <c r="BH521" i="1"/>
  <c r="AV521" i="1"/>
  <c r="AL521" i="1"/>
  <c r="AD521" i="1"/>
  <c r="U521" i="1"/>
  <c r="O521" i="1"/>
  <c r="BD521" i="1" s="1"/>
  <c r="L521" i="1"/>
  <c r="BL520" i="1"/>
  <c r="BH520" i="1"/>
  <c r="AV520" i="1"/>
  <c r="AL520" i="1"/>
  <c r="AD520" i="1"/>
  <c r="AI520" i="1" s="1"/>
  <c r="AJ520" i="1" s="1"/>
  <c r="U520" i="1"/>
  <c r="O520" i="1"/>
  <c r="BD520" i="1" s="1"/>
  <c r="L520" i="1"/>
  <c r="BC520" i="1" s="1"/>
  <c r="BL519" i="1"/>
  <c r="BH519" i="1"/>
  <c r="AV519" i="1"/>
  <c r="AL519" i="1"/>
  <c r="AD519" i="1"/>
  <c r="AI519" i="1" s="1"/>
  <c r="U519" i="1"/>
  <c r="O519" i="1"/>
  <c r="BD519" i="1" s="1"/>
  <c r="L519" i="1"/>
  <c r="BL518" i="1"/>
  <c r="BH518" i="1"/>
  <c r="AV518" i="1"/>
  <c r="AL518" i="1"/>
  <c r="AD518" i="1"/>
  <c r="U518" i="1"/>
  <c r="O518" i="1"/>
  <c r="BD518" i="1" s="1"/>
  <c r="L518" i="1"/>
  <c r="BC518" i="1" s="1"/>
  <c r="BL517" i="1"/>
  <c r="BH517" i="1"/>
  <c r="AV517" i="1"/>
  <c r="AL517" i="1"/>
  <c r="AD517" i="1"/>
  <c r="AI517" i="1" s="1"/>
  <c r="AJ517" i="1" s="1"/>
  <c r="U517" i="1"/>
  <c r="O517" i="1"/>
  <c r="BD517" i="1" s="1"/>
  <c r="L517" i="1"/>
  <c r="BL516" i="1"/>
  <c r="BH516" i="1"/>
  <c r="AV516" i="1"/>
  <c r="AL516" i="1"/>
  <c r="AD516" i="1"/>
  <c r="AI516" i="1" s="1"/>
  <c r="AJ516" i="1" s="1"/>
  <c r="U516" i="1"/>
  <c r="O516" i="1"/>
  <c r="BD516" i="1" s="1"/>
  <c r="L516" i="1"/>
  <c r="BL515" i="1"/>
  <c r="BH515" i="1"/>
  <c r="AV515" i="1"/>
  <c r="AL515" i="1"/>
  <c r="AD515" i="1"/>
  <c r="AI515" i="1" s="1"/>
  <c r="AJ515" i="1" s="1"/>
  <c r="U515" i="1"/>
  <c r="O515" i="1"/>
  <c r="BD515" i="1" s="1"/>
  <c r="L515" i="1"/>
  <c r="BL514" i="1"/>
  <c r="BH514" i="1"/>
  <c r="AV514" i="1"/>
  <c r="AL514" i="1"/>
  <c r="AD514" i="1"/>
  <c r="AI514" i="1" s="1"/>
  <c r="AJ514" i="1" s="1"/>
  <c r="U514" i="1"/>
  <c r="O514" i="1"/>
  <c r="BD514" i="1" s="1"/>
  <c r="L514" i="1"/>
  <c r="BL513" i="1"/>
  <c r="BH513" i="1"/>
  <c r="AV513" i="1"/>
  <c r="AL513" i="1"/>
  <c r="AD513" i="1"/>
  <c r="U513" i="1"/>
  <c r="O513" i="1"/>
  <c r="BD513" i="1" s="1"/>
  <c r="L513" i="1"/>
  <c r="BL512" i="1"/>
  <c r="BH512" i="1"/>
  <c r="AV512" i="1"/>
  <c r="AL512" i="1"/>
  <c r="AD512" i="1"/>
  <c r="AI512" i="1" s="1"/>
  <c r="AJ512" i="1" s="1"/>
  <c r="U512" i="1"/>
  <c r="O512" i="1"/>
  <c r="L512" i="1"/>
  <c r="BL511" i="1"/>
  <c r="BH511" i="1"/>
  <c r="AV511" i="1"/>
  <c r="AL511" i="1"/>
  <c r="AD511" i="1"/>
  <c r="U511" i="1"/>
  <c r="O511" i="1"/>
  <c r="BD511" i="1" s="1"/>
  <c r="L511" i="1"/>
  <c r="V511" i="1" s="1"/>
  <c r="BL510" i="1"/>
  <c r="BH510" i="1"/>
  <c r="AV510" i="1"/>
  <c r="AL510" i="1"/>
  <c r="AD510" i="1"/>
  <c r="U510" i="1"/>
  <c r="O510" i="1"/>
  <c r="BD510" i="1" s="1"/>
  <c r="L510" i="1"/>
  <c r="BL509" i="1"/>
  <c r="BH509" i="1"/>
  <c r="AV509" i="1"/>
  <c r="AL509" i="1"/>
  <c r="AD509" i="1"/>
  <c r="U509" i="1"/>
  <c r="O509" i="1"/>
  <c r="BD509" i="1" s="1"/>
  <c r="L509" i="1"/>
  <c r="BL508" i="1"/>
  <c r="BH508" i="1"/>
  <c r="AV508" i="1"/>
  <c r="AL508" i="1"/>
  <c r="AD508" i="1"/>
  <c r="AI508" i="1" s="1"/>
  <c r="AJ508" i="1" s="1"/>
  <c r="U508" i="1"/>
  <c r="O508" i="1"/>
  <c r="L508" i="1"/>
  <c r="BL507" i="1"/>
  <c r="BH507" i="1"/>
  <c r="AV507" i="1"/>
  <c r="AL507" i="1"/>
  <c r="AD507" i="1"/>
  <c r="AI507" i="1" s="1"/>
  <c r="AJ507" i="1" s="1"/>
  <c r="U507" i="1"/>
  <c r="O507" i="1"/>
  <c r="BD507" i="1" s="1"/>
  <c r="L507" i="1"/>
  <c r="V507" i="1" s="1"/>
  <c r="BL506" i="1"/>
  <c r="BH506" i="1"/>
  <c r="AV506" i="1"/>
  <c r="AL506" i="1"/>
  <c r="AD506" i="1"/>
  <c r="AI506" i="1" s="1"/>
  <c r="U506" i="1"/>
  <c r="O506" i="1"/>
  <c r="BD506" i="1" s="1"/>
  <c r="L506" i="1"/>
  <c r="BC506" i="1" s="1"/>
  <c r="BL505" i="1"/>
  <c r="BH505" i="1"/>
  <c r="AV505" i="1"/>
  <c r="AL505" i="1"/>
  <c r="AD505" i="1"/>
  <c r="AI505" i="1" s="1"/>
  <c r="U505" i="1"/>
  <c r="O505" i="1"/>
  <c r="L505" i="1"/>
  <c r="BC505" i="1" s="1"/>
  <c r="BL504" i="1"/>
  <c r="BH504" i="1"/>
  <c r="AV504" i="1"/>
  <c r="AL504" i="1"/>
  <c r="AD504" i="1"/>
  <c r="AI504" i="1" s="1"/>
  <c r="U504" i="1"/>
  <c r="O504" i="1"/>
  <c r="BD504" i="1" s="1"/>
  <c r="L504" i="1"/>
  <c r="BL503" i="1"/>
  <c r="BH503" i="1"/>
  <c r="AV503" i="1"/>
  <c r="AL503" i="1"/>
  <c r="AD503" i="1"/>
  <c r="U503" i="1"/>
  <c r="O503" i="1"/>
  <c r="BD503" i="1" s="1"/>
  <c r="L503" i="1"/>
  <c r="V503" i="1" s="1"/>
  <c r="Z503" i="1" s="1"/>
  <c r="AC503" i="1" s="1"/>
  <c r="BL502" i="1"/>
  <c r="BH502" i="1"/>
  <c r="AV502" i="1"/>
  <c r="AL502" i="1"/>
  <c r="AD502" i="1"/>
  <c r="AI502" i="1" s="1"/>
  <c r="U502" i="1"/>
  <c r="O502" i="1"/>
  <c r="BD502" i="1" s="1"/>
  <c r="L502" i="1"/>
  <c r="BL501" i="1"/>
  <c r="BH501" i="1"/>
  <c r="AV501" i="1"/>
  <c r="AQ501" i="1"/>
  <c r="AL501" i="1"/>
  <c r="AD501" i="1"/>
  <c r="U501" i="1"/>
  <c r="O501" i="1"/>
  <c r="BD501" i="1" s="1"/>
  <c r="L501" i="1"/>
  <c r="BL500" i="1"/>
  <c r="BH500" i="1"/>
  <c r="AV500" i="1"/>
  <c r="AL500" i="1"/>
  <c r="AD500" i="1"/>
  <c r="AI500" i="1" s="1"/>
  <c r="AJ500" i="1" s="1"/>
  <c r="U500" i="1"/>
  <c r="O500" i="1"/>
  <c r="L500" i="1"/>
  <c r="BC500" i="1" s="1"/>
  <c r="BL499" i="1"/>
  <c r="BH499" i="1"/>
  <c r="AV499" i="1"/>
  <c r="AL499" i="1"/>
  <c r="AD499" i="1"/>
  <c r="AI499" i="1" s="1"/>
  <c r="AJ499" i="1" s="1"/>
  <c r="U499" i="1"/>
  <c r="O499" i="1"/>
  <c r="BD499" i="1" s="1"/>
  <c r="L499" i="1"/>
  <c r="BL498" i="1"/>
  <c r="BH498" i="1"/>
  <c r="AV498" i="1"/>
  <c r="AL498" i="1"/>
  <c r="AD498" i="1"/>
  <c r="AI498" i="1" s="1"/>
  <c r="AJ498" i="1" s="1"/>
  <c r="U498" i="1"/>
  <c r="O498" i="1"/>
  <c r="BD498" i="1" s="1"/>
  <c r="L498" i="1"/>
  <c r="BL497" i="1"/>
  <c r="BH497" i="1"/>
  <c r="AV497" i="1"/>
  <c r="AL497" i="1"/>
  <c r="AD497" i="1"/>
  <c r="AI497" i="1" s="1"/>
  <c r="AJ497" i="1" s="1"/>
  <c r="U497" i="1"/>
  <c r="O497" i="1"/>
  <c r="L497" i="1"/>
  <c r="BL496" i="1"/>
  <c r="BH496" i="1"/>
  <c r="AV496" i="1"/>
  <c r="AL496" i="1"/>
  <c r="AD496" i="1"/>
  <c r="U496" i="1"/>
  <c r="O496" i="1"/>
  <c r="BD496" i="1" s="1"/>
  <c r="L496" i="1"/>
  <c r="V496" i="1" s="1"/>
  <c r="Z496" i="1" s="1"/>
  <c r="AC496" i="1" s="1"/>
  <c r="BL495" i="1"/>
  <c r="BH495" i="1"/>
  <c r="AV495" i="1"/>
  <c r="AL495" i="1"/>
  <c r="AD495" i="1"/>
  <c r="U495" i="1"/>
  <c r="O495" i="1"/>
  <c r="BD495" i="1" s="1"/>
  <c r="L495" i="1"/>
  <c r="V495" i="1" s="1"/>
  <c r="BL494" i="1"/>
  <c r="BH494" i="1"/>
  <c r="AV494" i="1"/>
  <c r="AL494" i="1"/>
  <c r="AD494" i="1"/>
  <c r="U494" i="1"/>
  <c r="O494" i="1"/>
  <c r="BD494" i="1" s="1"/>
  <c r="L494" i="1"/>
  <c r="BL493" i="1"/>
  <c r="BH493" i="1"/>
  <c r="AV493" i="1"/>
  <c r="AL493" i="1"/>
  <c r="AD493" i="1"/>
  <c r="U493" i="1"/>
  <c r="O493" i="1"/>
  <c r="BD493" i="1" s="1"/>
  <c r="L493" i="1"/>
  <c r="BL492" i="1"/>
  <c r="BH492" i="1"/>
  <c r="AV492" i="1"/>
  <c r="AL492" i="1"/>
  <c r="AD492" i="1"/>
  <c r="AI492" i="1" s="1"/>
  <c r="AJ492" i="1" s="1"/>
  <c r="U492" i="1"/>
  <c r="O492" i="1"/>
  <c r="BD492" i="1" s="1"/>
  <c r="L492" i="1"/>
  <c r="BL491" i="1"/>
  <c r="BH491" i="1"/>
  <c r="AV491" i="1"/>
  <c r="AL491" i="1"/>
  <c r="AD491" i="1"/>
  <c r="U491" i="1"/>
  <c r="O491" i="1"/>
  <c r="BD491" i="1" s="1"/>
  <c r="L491" i="1"/>
  <c r="BL490" i="1"/>
  <c r="BH490" i="1"/>
  <c r="AV490" i="1"/>
  <c r="AL490" i="1"/>
  <c r="AD490" i="1"/>
  <c r="AI490" i="1" s="1"/>
  <c r="AJ490" i="1" s="1"/>
  <c r="U490" i="1"/>
  <c r="O490" i="1"/>
  <c r="L490" i="1"/>
  <c r="BC490" i="1" s="1"/>
  <c r="BL489" i="1"/>
  <c r="BH489" i="1"/>
  <c r="AV489" i="1"/>
  <c r="AL489" i="1"/>
  <c r="AD489" i="1"/>
  <c r="U489" i="1"/>
  <c r="O489" i="1"/>
  <c r="BD489" i="1" s="1"/>
  <c r="L489" i="1"/>
  <c r="BL488" i="1"/>
  <c r="BH488" i="1"/>
  <c r="AV488" i="1"/>
  <c r="AL488" i="1"/>
  <c r="AD488" i="1"/>
  <c r="AI488" i="1" s="1"/>
  <c r="AJ488" i="1" s="1"/>
  <c r="U488" i="1"/>
  <c r="O488" i="1"/>
  <c r="BD488" i="1" s="1"/>
  <c r="L488" i="1"/>
  <c r="BL487" i="1"/>
  <c r="BH487" i="1"/>
  <c r="AV487" i="1"/>
  <c r="AL487" i="1"/>
  <c r="AD487" i="1"/>
  <c r="U487" i="1"/>
  <c r="O487" i="1"/>
  <c r="BD487" i="1" s="1"/>
  <c r="L487" i="1"/>
  <c r="V487" i="1" s="1"/>
  <c r="BL486" i="1"/>
  <c r="BH486" i="1"/>
  <c r="AV486" i="1"/>
  <c r="AL486" i="1"/>
  <c r="AD486" i="1"/>
  <c r="AI486" i="1" s="1"/>
  <c r="U486" i="1"/>
  <c r="O486" i="1"/>
  <c r="BD486" i="1" s="1"/>
  <c r="L486" i="1"/>
  <c r="BL485" i="1"/>
  <c r="BH485" i="1"/>
  <c r="AV485" i="1"/>
  <c r="AL485" i="1"/>
  <c r="AD485" i="1"/>
  <c r="U485" i="1"/>
  <c r="O485" i="1"/>
  <c r="BD485" i="1" s="1"/>
  <c r="L485" i="1"/>
  <c r="BL484" i="1"/>
  <c r="BH484" i="1"/>
  <c r="AV484" i="1"/>
  <c r="AL484" i="1"/>
  <c r="AD484" i="1"/>
  <c r="AI484" i="1" s="1"/>
  <c r="U484" i="1"/>
  <c r="O484" i="1"/>
  <c r="BD484" i="1" s="1"/>
  <c r="L484" i="1"/>
  <c r="V484" i="1" s="1"/>
  <c r="BL483" i="1"/>
  <c r="BH483" i="1"/>
  <c r="AV483" i="1"/>
  <c r="AL483" i="1"/>
  <c r="AD483" i="1"/>
  <c r="AI483" i="1" s="1"/>
  <c r="U483" i="1"/>
  <c r="O483" i="1"/>
  <c r="L483" i="1"/>
  <c r="V483" i="1" s="1"/>
  <c r="BL482" i="1"/>
  <c r="BH482" i="1"/>
  <c r="AV482" i="1"/>
  <c r="AL482" i="1"/>
  <c r="AD482" i="1"/>
  <c r="U482" i="1"/>
  <c r="O482" i="1"/>
  <c r="BD482" i="1" s="1"/>
  <c r="L482" i="1"/>
  <c r="V482" i="1" s="1"/>
  <c r="BL481" i="1"/>
  <c r="BH481" i="1"/>
  <c r="AV481" i="1"/>
  <c r="AL481" i="1"/>
  <c r="AD481" i="1"/>
  <c r="U481" i="1"/>
  <c r="O481" i="1"/>
  <c r="BD481" i="1" s="1"/>
  <c r="L481" i="1"/>
  <c r="BL480" i="1"/>
  <c r="BH480" i="1"/>
  <c r="AV480" i="1"/>
  <c r="AL480" i="1"/>
  <c r="AD480" i="1"/>
  <c r="AI480" i="1" s="1"/>
  <c r="AJ480" i="1" s="1"/>
  <c r="U480" i="1"/>
  <c r="O480" i="1"/>
  <c r="BD480" i="1" s="1"/>
  <c r="L480" i="1"/>
  <c r="BL479" i="1"/>
  <c r="BH479" i="1"/>
  <c r="AV479" i="1"/>
  <c r="AL479" i="1"/>
  <c r="AD479" i="1"/>
  <c r="U479" i="1"/>
  <c r="O479" i="1"/>
  <c r="BD479" i="1" s="1"/>
  <c r="L479" i="1"/>
  <c r="BC479" i="1" s="1"/>
  <c r="BL478" i="1"/>
  <c r="BH478" i="1"/>
  <c r="AV478" i="1"/>
  <c r="AL478" i="1"/>
  <c r="AD478" i="1"/>
  <c r="U478" i="1"/>
  <c r="O478" i="1"/>
  <c r="BD478" i="1" s="1"/>
  <c r="L478" i="1"/>
  <c r="BC478" i="1" s="1"/>
  <c r="BL477" i="1"/>
  <c r="BH477" i="1"/>
  <c r="AV477" i="1"/>
  <c r="AL477" i="1"/>
  <c r="AD477" i="1"/>
  <c r="AI477" i="1" s="1"/>
  <c r="U477" i="1"/>
  <c r="O477" i="1"/>
  <c r="BD477" i="1" s="1"/>
  <c r="L477" i="1"/>
  <c r="V477" i="1" s="1"/>
  <c r="BL476" i="1"/>
  <c r="BH476" i="1"/>
  <c r="AV476" i="1"/>
  <c r="AL476" i="1"/>
  <c r="AD476" i="1"/>
  <c r="U476" i="1"/>
  <c r="O476" i="1"/>
  <c r="BD476" i="1" s="1"/>
  <c r="L476" i="1"/>
  <c r="BL475" i="1"/>
  <c r="BH475" i="1"/>
  <c r="AV475" i="1"/>
  <c r="AL475" i="1"/>
  <c r="AD475" i="1"/>
  <c r="AI475" i="1" s="1"/>
  <c r="U475" i="1"/>
  <c r="O475" i="1"/>
  <c r="BD475" i="1" s="1"/>
  <c r="L475" i="1"/>
  <c r="BL474" i="1"/>
  <c r="BH474" i="1"/>
  <c r="AV474" i="1"/>
  <c r="AL474" i="1"/>
  <c r="AD474" i="1"/>
  <c r="U474" i="1"/>
  <c r="O474" i="1"/>
  <c r="BD474" i="1" s="1"/>
  <c r="L474" i="1"/>
  <c r="BL473" i="1"/>
  <c r="BH473" i="1"/>
  <c r="AV473" i="1"/>
  <c r="AL473" i="1"/>
  <c r="AD473" i="1"/>
  <c r="AI473" i="1" s="1"/>
  <c r="U473" i="1"/>
  <c r="O473" i="1"/>
  <c r="BD473" i="1" s="1"/>
  <c r="L473" i="1"/>
  <c r="BL472" i="1"/>
  <c r="BH472" i="1"/>
  <c r="AV472" i="1"/>
  <c r="AL472" i="1"/>
  <c r="AD472" i="1"/>
  <c r="AI472" i="1" s="1"/>
  <c r="U472" i="1"/>
  <c r="O472" i="1"/>
  <c r="BD472" i="1" s="1"/>
  <c r="L472" i="1"/>
  <c r="BC472" i="1" s="1"/>
  <c r="BL471" i="1"/>
  <c r="BH471" i="1"/>
  <c r="AV471" i="1"/>
  <c r="AL471" i="1"/>
  <c r="AD471" i="1"/>
  <c r="U471" i="1"/>
  <c r="O471" i="1"/>
  <c r="BD471" i="1" s="1"/>
  <c r="L471" i="1"/>
  <c r="BL470" i="1"/>
  <c r="BH470" i="1"/>
  <c r="AV470" i="1"/>
  <c r="AL470" i="1"/>
  <c r="AD470" i="1"/>
  <c r="AI470" i="1" s="1"/>
  <c r="U470" i="1"/>
  <c r="O470" i="1"/>
  <c r="BD470" i="1" s="1"/>
  <c r="L470" i="1"/>
  <c r="V470" i="1" s="1"/>
  <c r="BL469" i="1"/>
  <c r="BH469" i="1"/>
  <c r="AV469" i="1"/>
  <c r="AL469" i="1"/>
  <c r="AD469" i="1"/>
  <c r="AI469" i="1" s="1"/>
  <c r="U469" i="1"/>
  <c r="O469" i="1"/>
  <c r="L469" i="1"/>
  <c r="BC469" i="1" s="1"/>
  <c r="BL468" i="1"/>
  <c r="BH468" i="1"/>
  <c r="AV468" i="1"/>
  <c r="AL468" i="1"/>
  <c r="AD468" i="1"/>
  <c r="AI468" i="1" s="1"/>
  <c r="U468" i="1"/>
  <c r="O468" i="1"/>
  <c r="BD468" i="1" s="1"/>
  <c r="L468" i="1"/>
  <c r="BL467" i="1"/>
  <c r="BH467" i="1"/>
  <c r="AV467" i="1"/>
  <c r="AL467" i="1"/>
  <c r="AD467" i="1"/>
  <c r="AI467" i="1" s="1"/>
  <c r="U467" i="1"/>
  <c r="O467" i="1"/>
  <c r="L467" i="1"/>
  <c r="BL466" i="1"/>
  <c r="BH466" i="1"/>
  <c r="AV466" i="1"/>
  <c r="AL466" i="1"/>
  <c r="AD466" i="1"/>
  <c r="AI466" i="1" s="1"/>
  <c r="U466" i="1"/>
  <c r="O466" i="1"/>
  <c r="BD466" i="1" s="1"/>
  <c r="L466" i="1"/>
  <c r="V466" i="1" s="1"/>
  <c r="BL465" i="1"/>
  <c r="BH465" i="1"/>
  <c r="AV465" i="1"/>
  <c r="AL465" i="1"/>
  <c r="AD465" i="1"/>
  <c r="U465" i="1"/>
  <c r="O465" i="1"/>
  <c r="BD465" i="1" s="1"/>
  <c r="L465" i="1"/>
  <c r="BL464" i="1"/>
  <c r="BH464" i="1"/>
  <c r="AV464" i="1"/>
  <c r="AL464" i="1"/>
  <c r="AD464" i="1"/>
  <c r="AI464" i="1" s="1"/>
  <c r="AJ464" i="1" s="1"/>
  <c r="U464" i="1"/>
  <c r="O464" i="1"/>
  <c r="L464" i="1"/>
  <c r="BL463" i="1"/>
  <c r="BH463" i="1"/>
  <c r="AV463" i="1"/>
  <c r="AL463" i="1"/>
  <c r="AD463" i="1"/>
  <c r="U463" i="1"/>
  <c r="O463" i="1"/>
  <c r="BD463" i="1" s="1"/>
  <c r="L463" i="1"/>
  <c r="BL462" i="1"/>
  <c r="BH462" i="1"/>
  <c r="AV462" i="1"/>
  <c r="AL462" i="1"/>
  <c r="AD462" i="1"/>
  <c r="U462" i="1"/>
  <c r="O462" i="1"/>
  <c r="BD462" i="1" s="1"/>
  <c r="L462" i="1"/>
  <c r="BC462" i="1" s="1"/>
  <c r="BL461" i="1"/>
  <c r="BH461" i="1"/>
  <c r="AV461" i="1"/>
  <c r="AL461" i="1"/>
  <c r="AD461" i="1"/>
  <c r="AI461" i="1" s="1"/>
  <c r="U461" i="1"/>
  <c r="O461" i="1"/>
  <c r="BD461" i="1" s="1"/>
  <c r="L461" i="1"/>
  <c r="BL460" i="1"/>
  <c r="BH460" i="1"/>
  <c r="AV460" i="1"/>
  <c r="AL460" i="1"/>
  <c r="AD460" i="1"/>
  <c r="U460" i="1"/>
  <c r="O460" i="1"/>
  <c r="BD460" i="1" s="1"/>
  <c r="L460" i="1"/>
  <c r="BL459" i="1"/>
  <c r="BH459" i="1"/>
  <c r="AV459" i="1"/>
  <c r="AL459" i="1"/>
  <c r="AD459" i="1"/>
  <c r="U459" i="1"/>
  <c r="O459" i="1"/>
  <c r="BD459" i="1" s="1"/>
  <c r="L459" i="1"/>
  <c r="BL458" i="1"/>
  <c r="BH458" i="1"/>
  <c r="AV458" i="1"/>
  <c r="AL458" i="1"/>
  <c r="AD458" i="1"/>
  <c r="AI458" i="1" s="1"/>
  <c r="U458" i="1"/>
  <c r="O458" i="1"/>
  <c r="BD458" i="1" s="1"/>
  <c r="L458" i="1"/>
  <c r="BL457" i="1"/>
  <c r="BH457" i="1"/>
  <c r="AV457" i="1"/>
  <c r="AL457" i="1"/>
  <c r="AD457" i="1"/>
  <c r="U457" i="1"/>
  <c r="O457" i="1"/>
  <c r="BD457" i="1" s="1"/>
  <c r="L457" i="1"/>
  <c r="V457" i="1" s="1"/>
  <c r="BL456" i="1"/>
  <c r="BH456" i="1"/>
  <c r="AV456" i="1"/>
  <c r="AL456" i="1"/>
  <c r="AD456" i="1"/>
  <c r="AI456" i="1" s="1"/>
  <c r="U456" i="1"/>
  <c r="O456" i="1"/>
  <c r="L456" i="1"/>
  <c r="BC456" i="1" s="1"/>
  <c r="BL455" i="1"/>
  <c r="BH455" i="1"/>
  <c r="AV455" i="1"/>
  <c r="AL455" i="1"/>
  <c r="AD455" i="1"/>
  <c r="AI455" i="1" s="1"/>
  <c r="U455" i="1"/>
  <c r="O455" i="1"/>
  <c r="BD455" i="1" s="1"/>
  <c r="L455" i="1"/>
  <c r="BL454" i="1"/>
  <c r="BH454" i="1"/>
  <c r="AV454" i="1"/>
  <c r="AL454" i="1"/>
  <c r="AD454" i="1"/>
  <c r="AI454" i="1" s="1"/>
  <c r="U454" i="1"/>
  <c r="O454" i="1"/>
  <c r="L454" i="1"/>
  <c r="BL453" i="1"/>
  <c r="BH453" i="1"/>
  <c r="AV453" i="1"/>
  <c r="AL453" i="1"/>
  <c r="AD453" i="1"/>
  <c r="AI453" i="1" s="1"/>
  <c r="AJ453" i="1" s="1"/>
  <c r="U453" i="1"/>
  <c r="O453" i="1"/>
  <c r="L453" i="1"/>
  <c r="BL452" i="1"/>
  <c r="BH452" i="1"/>
  <c r="AV452" i="1"/>
  <c r="AL452" i="1"/>
  <c r="AD452" i="1"/>
  <c r="AI452" i="1" s="1"/>
  <c r="AJ452" i="1" s="1"/>
  <c r="U452" i="1"/>
  <c r="O452" i="1"/>
  <c r="L452" i="1"/>
  <c r="BL451" i="1"/>
  <c r="BH451" i="1"/>
  <c r="AV451" i="1"/>
  <c r="AL451" i="1"/>
  <c r="AD451" i="1"/>
  <c r="AI451" i="1" s="1"/>
  <c r="U451" i="1"/>
  <c r="O451" i="1"/>
  <c r="BD451" i="1" s="1"/>
  <c r="L451" i="1"/>
  <c r="BL450" i="1"/>
  <c r="BH450" i="1"/>
  <c r="AV450" i="1"/>
  <c r="AL450" i="1"/>
  <c r="AD450" i="1"/>
  <c r="U450" i="1"/>
  <c r="O450" i="1"/>
  <c r="BD450" i="1" s="1"/>
  <c r="L450" i="1"/>
  <c r="BL449" i="1"/>
  <c r="BH449" i="1"/>
  <c r="AV449" i="1"/>
  <c r="AL449" i="1"/>
  <c r="AD449" i="1"/>
  <c r="T449" i="1"/>
  <c r="U449" i="1" s="1"/>
  <c r="O449" i="1"/>
  <c r="BD449" i="1" s="1"/>
  <c r="L449" i="1"/>
  <c r="BL448" i="1"/>
  <c r="BH448" i="1"/>
  <c r="AV448" i="1"/>
  <c r="AL448" i="1"/>
  <c r="AD448" i="1"/>
  <c r="AI448" i="1" s="1"/>
  <c r="AJ448" i="1" s="1"/>
  <c r="U448" i="1"/>
  <c r="O448" i="1"/>
  <c r="BD448" i="1" s="1"/>
  <c r="L448" i="1"/>
  <c r="BL447" i="1"/>
  <c r="BH447" i="1"/>
  <c r="AV447" i="1"/>
  <c r="AL447" i="1"/>
  <c r="AD447" i="1"/>
  <c r="U447" i="1"/>
  <c r="O447" i="1"/>
  <c r="BD447" i="1" s="1"/>
  <c r="L447" i="1"/>
  <c r="BL446" i="1"/>
  <c r="BH446" i="1"/>
  <c r="AV446" i="1"/>
  <c r="AL446" i="1"/>
  <c r="AD446" i="1"/>
  <c r="U446" i="1"/>
  <c r="O446" i="1"/>
  <c r="BD446" i="1" s="1"/>
  <c r="L446" i="1"/>
  <c r="BC446" i="1" s="1"/>
  <c r="BL445" i="1"/>
  <c r="BH445" i="1"/>
  <c r="AV445" i="1"/>
  <c r="AL445" i="1"/>
  <c r="AD445" i="1"/>
  <c r="U445" i="1"/>
  <c r="O445" i="1"/>
  <c r="BD445" i="1" s="1"/>
  <c r="L445" i="1"/>
  <c r="BL444" i="1"/>
  <c r="BH444" i="1"/>
  <c r="AV444" i="1"/>
  <c r="AL444" i="1"/>
  <c r="AD444" i="1"/>
  <c r="AI444" i="1" s="1"/>
  <c r="AJ444" i="1" s="1"/>
  <c r="U444" i="1"/>
  <c r="O444" i="1"/>
  <c r="BD444" i="1" s="1"/>
  <c r="L444" i="1"/>
  <c r="BL443" i="1"/>
  <c r="BH443" i="1"/>
  <c r="AV443" i="1"/>
  <c r="AL443" i="1"/>
  <c r="AD443" i="1"/>
  <c r="U443" i="1"/>
  <c r="O443" i="1"/>
  <c r="BD443" i="1" s="1"/>
  <c r="L443" i="1"/>
  <c r="BL442" i="1"/>
  <c r="BH442" i="1"/>
  <c r="AV442" i="1"/>
  <c r="AL442" i="1"/>
  <c r="AD442" i="1"/>
  <c r="AI442" i="1" s="1"/>
  <c r="AJ442" i="1" s="1"/>
  <c r="U442" i="1"/>
  <c r="O442" i="1"/>
  <c r="BD442" i="1" s="1"/>
  <c r="L442" i="1"/>
  <c r="BL441" i="1"/>
  <c r="BH441" i="1"/>
  <c r="AV441" i="1"/>
  <c r="AL441" i="1"/>
  <c r="AD441" i="1"/>
  <c r="U441" i="1"/>
  <c r="O441" i="1"/>
  <c r="BD441" i="1" s="1"/>
  <c r="L441" i="1"/>
  <c r="V441" i="1" s="1"/>
  <c r="Z441" i="1" s="1"/>
  <c r="AC441" i="1" s="1"/>
  <c r="BL440" i="1"/>
  <c r="BH440" i="1"/>
  <c r="AV440" i="1"/>
  <c r="AL440" i="1"/>
  <c r="AD440" i="1"/>
  <c r="AI440" i="1" s="1"/>
  <c r="AJ440" i="1" s="1"/>
  <c r="U440" i="1"/>
  <c r="O440" i="1"/>
  <c r="L440" i="1"/>
  <c r="BL439" i="1"/>
  <c r="BH439" i="1"/>
  <c r="AV439" i="1"/>
  <c r="AL439" i="1"/>
  <c r="AD439" i="1"/>
  <c r="AI439" i="1" s="1"/>
  <c r="U439" i="1"/>
  <c r="O439" i="1"/>
  <c r="L439" i="1"/>
  <c r="BL438" i="1"/>
  <c r="BH438" i="1"/>
  <c r="AV438" i="1"/>
  <c r="AL438" i="1"/>
  <c r="AD438" i="1"/>
  <c r="AI438" i="1" s="1"/>
  <c r="U438" i="1"/>
  <c r="O438" i="1"/>
  <c r="BD438" i="1" s="1"/>
  <c r="L438" i="1"/>
  <c r="BL437" i="1"/>
  <c r="BH437" i="1"/>
  <c r="AV437" i="1"/>
  <c r="AL437" i="1"/>
  <c r="AD437" i="1"/>
  <c r="U437" i="1"/>
  <c r="O437" i="1"/>
  <c r="BD437" i="1" s="1"/>
  <c r="L437" i="1"/>
  <c r="BC437" i="1" s="1"/>
  <c r="BL436" i="1"/>
  <c r="BH436" i="1"/>
  <c r="AV436" i="1"/>
  <c r="AL436" i="1"/>
  <c r="AD436" i="1"/>
  <c r="AI436" i="1" s="1"/>
  <c r="U436" i="1"/>
  <c r="O436" i="1"/>
  <c r="BD436" i="1" s="1"/>
  <c r="L436" i="1"/>
  <c r="BL435" i="1"/>
  <c r="BH435" i="1"/>
  <c r="AV435" i="1"/>
  <c r="AL435" i="1"/>
  <c r="AD435" i="1"/>
  <c r="AI435" i="1" s="1"/>
  <c r="AJ435" i="1" s="1"/>
  <c r="U435" i="1"/>
  <c r="O435" i="1"/>
  <c r="BD435" i="1" s="1"/>
  <c r="L435" i="1"/>
  <c r="BL434" i="1"/>
  <c r="BH434" i="1"/>
  <c r="AV434" i="1"/>
  <c r="AL434" i="1"/>
  <c r="AD434" i="1"/>
  <c r="U434" i="1"/>
  <c r="O434" i="1"/>
  <c r="BD434" i="1" s="1"/>
  <c r="L434" i="1"/>
  <c r="BL433" i="1"/>
  <c r="BH433" i="1"/>
  <c r="AV433" i="1"/>
  <c r="AL433" i="1"/>
  <c r="AD433" i="1"/>
  <c r="U433" i="1"/>
  <c r="O433" i="1"/>
  <c r="BD433" i="1" s="1"/>
  <c r="L433" i="1"/>
  <c r="BL432" i="1"/>
  <c r="BH432" i="1"/>
  <c r="AV432" i="1"/>
  <c r="AL432" i="1"/>
  <c r="AD432" i="1"/>
  <c r="U432" i="1"/>
  <c r="O432" i="1"/>
  <c r="BD432" i="1" s="1"/>
  <c r="L432" i="1"/>
  <c r="BL431" i="1"/>
  <c r="BH431" i="1"/>
  <c r="AV431" i="1"/>
  <c r="AL431" i="1"/>
  <c r="AD431" i="1"/>
  <c r="AI431" i="1" s="1"/>
  <c r="AJ431" i="1" s="1"/>
  <c r="U431" i="1"/>
  <c r="O431" i="1"/>
  <c r="BD431" i="1" s="1"/>
  <c r="L431" i="1"/>
  <c r="BC431" i="1" s="1"/>
  <c r="BL430" i="1"/>
  <c r="BH430" i="1"/>
  <c r="AV430" i="1"/>
  <c r="AL430" i="1"/>
  <c r="AD430" i="1"/>
  <c r="AI430" i="1" s="1"/>
  <c r="AJ430" i="1" s="1"/>
  <c r="U430" i="1"/>
  <c r="O430" i="1"/>
  <c r="L430" i="1"/>
  <c r="BL429" i="1"/>
  <c r="BH429" i="1"/>
  <c r="AV429" i="1"/>
  <c r="AL429" i="1"/>
  <c r="AD429" i="1"/>
  <c r="AI429" i="1" s="1"/>
  <c r="U429" i="1"/>
  <c r="O429" i="1"/>
  <c r="BD429" i="1" s="1"/>
  <c r="L429" i="1"/>
  <c r="BL428" i="1"/>
  <c r="BH428" i="1"/>
  <c r="AV428" i="1"/>
  <c r="AL428" i="1"/>
  <c r="AD428" i="1"/>
  <c r="AI428" i="1" s="1"/>
  <c r="AJ428" i="1" s="1"/>
  <c r="U428" i="1"/>
  <c r="O428" i="1"/>
  <c r="L428" i="1"/>
  <c r="V428" i="1" s="1"/>
  <c r="Z428" i="1" s="1"/>
  <c r="AC428" i="1" s="1"/>
  <c r="BL427" i="1"/>
  <c r="BH427" i="1"/>
  <c r="AV427" i="1"/>
  <c r="AL427" i="1"/>
  <c r="AD427" i="1"/>
  <c r="AI427" i="1" s="1"/>
  <c r="AJ427" i="1" s="1"/>
  <c r="U427" i="1"/>
  <c r="O427" i="1"/>
  <c r="L427" i="1"/>
  <c r="V427" i="1" s="1"/>
  <c r="BL426" i="1"/>
  <c r="BH426" i="1"/>
  <c r="AV426" i="1"/>
  <c r="AL426" i="1"/>
  <c r="AD426" i="1"/>
  <c r="U426" i="1"/>
  <c r="O426" i="1"/>
  <c r="BD426" i="1" s="1"/>
  <c r="L426" i="1"/>
  <c r="BL425" i="1"/>
  <c r="BH425" i="1"/>
  <c r="AV425" i="1"/>
  <c r="AL425" i="1"/>
  <c r="AD425" i="1"/>
  <c r="U425" i="1"/>
  <c r="O425" i="1"/>
  <c r="BD425" i="1" s="1"/>
  <c r="L425" i="1"/>
  <c r="BL424" i="1"/>
  <c r="BH424" i="1"/>
  <c r="AV424" i="1"/>
  <c r="AL424" i="1"/>
  <c r="AD424" i="1"/>
  <c r="AI424" i="1" s="1"/>
  <c r="U424" i="1"/>
  <c r="O424" i="1"/>
  <c r="BD424" i="1" s="1"/>
  <c r="L424" i="1"/>
  <c r="BC424" i="1" s="1"/>
  <c r="BL423" i="1"/>
  <c r="BH423" i="1"/>
  <c r="AV423" i="1"/>
  <c r="AL423" i="1"/>
  <c r="AD423" i="1"/>
  <c r="U423" i="1"/>
  <c r="O423" i="1"/>
  <c r="BD423" i="1" s="1"/>
  <c r="L423" i="1"/>
  <c r="BL422" i="1"/>
  <c r="BH422" i="1"/>
  <c r="AV422" i="1"/>
  <c r="AL422" i="1"/>
  <c r="AD422" i="1"/>
  <c r="AI422" i="1" s="1"/>
  <c r="U422" i="1"/>
  <c r="O422" i="1"/>
  <c r="BD422" i="1" s="1"/>
  <c r="L422" i="1"/>
  <c r="BL421" i="1"/>
  <c r="BH421" i="1"/>
  <c r="AV421" i="1"/>
  <c r="AL421" i="1"/>
  <c r="AD421" i="1"/>
  <c r="U421" i="1"/>
  <c r="O421" i="1"/>
  <c r="BD421" i="1" s="1"/>
  <c r="L421" i="1"/>
  <c r="BL420" i="1"/>
  <c r="BH420" i="1"/>
  <c r="AV420" i="1"/>
  <c r="AL420" i="1"/>
  <c r="AD420" i="1"/>
  <c r="U420" i="1"/>
  <c r="O420" i="1"/>
  <c r="BD420" i="1" s="1"/>
  <c r="L420" i="1"/>
  <c r="BL419" i="1"/>
  <c r="BH419" i="1"/>
  <c r="AV419" i="1"/>
  <c r="AL419" i="1"/>
  <c r="AD419" i="1"/>
  <c r="AI419" i="1" s="1"/>
  <c r="AJ419" i="1" s="1"/>
  <c r="U419" i="1"/>
  <c r="O419" i="1"/>
  <c r="BD419" i="1" s="1"/>
  <c r="L419" i="1"/>
  <c r="BC419" i="1" s="1"/>
  <c r="BL418" i="1"/>
  <c r="BH418" i="1"/>
  <c r="AV418" i="1"/>
  <c r="AL418" i="1"/>
  <c r="AD418" i="1"/>
  <c r="AI418" i="1" s="1"/>
  <c r="AJ418" i="1" s="1"/>
  <c r="U418" i="1"/>
  <c r="O418" i="1"/>
  <c r="L418" i="1"/>
  <c r="BC418" i="1" s="1"/>
  <c r="BL417" i="1"/>
  <c r="BH417" i="1"/>
  <c r="AV417" i="1"/>
  <c r="AL417" i="1"/>
  <c r="AD417" i="1"/>
  <c r="AI417" i="1" s="1"/>
  <c r="U417" i="1"/>
  <c r="O417" i="1"/>
  <c r="L417" i="1"/>
  <c r="BL416" i="1"/>
  <c r="BH416" i="1"/>
  <c r="AV416" i="1"/>
  <c r="AL416" i="1"/>
  <c r="AD416" i="1"/>
  <c r="AI416" i="1" s="1"/>
  <c r="AJ416" i="1" s="1"/>
  <c r="U416" i="1"/>
  <c r="O416" i="1"/>
  <c r="L416" i="1"/>
  <c r="BC416" i="1" s="1"/>
  <c r="BL415" i="1"/>
  <c r="BH415" i="1"/>
  <c r="AV415" i="1"/>
  <c r="AL415" i="1"/>
  <c r="AD415" i="1"/>
  <c r="U415" i="1"/>
  <c r="O415" i="1"/>
  <c r="BD415" i="1" s="1"/>
  <c r="L415" i="1"/>
  <c r="V415" i="1" s="1"/>
  <c r="BL414" i="1"/>
  <c r="BH414" i="1"/>
  <c r="AV414" i="1"/>
  <c r="AL414" i="1"/>
  <c r="AD414" i="1"/>
  <c r="AI414" i="1" s="1"/>
  <c r="U414" i="1"/>
  <c r="O414" i="1"/>
  <c r="L414" i="1"/>
  <c r="BL413" i="1"/>
  <c r="BH413" i="1"/>
  <c r="AV413" i="1"/>
  <c r="AL413" i="1"/>
  <c r="AD413" i="1"/>
  <c r="U413" i="1"/>
  <c r="O413" i="1"/>
  <c r="BD413" i="1" s="1"/>
  <c r="L413" i="1"/>
  <c r="BL412" i="1"/>
  <c r="BH412" i="1"/>
  <c r="AV412" i="1"/>
  <c r="AL412" i="1"/>
  <c r="AD412" i="1"/>
  <c r="AI412" i="1" s="1"/>
  <c r="U412" i="1"/>
  <c r="O412" i="1"/>
  <c r="BD412" i="1" s="1"/>
  <c r="L412" i="1"/>
  <c r="BL411" i="1"/>
  <c r="BH411" i="1"/>
  <c r="AV411" i="1"/>
  <c r="AL411" i="1"/>
  <c r="AD411" i="1"/>
  <c r="U411" i="1"/>
  <c r="O411" i="1"/>
  <c r="BD411" i="1" s="1"/>
  <c r="L411" i="1"/>
  <c r="BC411" i="1" s="1"/>
  <c r="BL410" i="1"/>
  <c r="BH410" i="1"/>
  <c r="AV410" i="1"/>
  <c r="AL410" i="1"/>
  <c r="AD410" i="1"/>
  <c r="AI410" i="1" s="1"/>
  <c r="AJ410" i="1" s="1"/>
  <c r="U410" i="1"/>
  <c r="O410" i="1"/>
  <c r="L410" i="1"/>
  <c r="BL409" i="1"/>
  <c r="BH409" i="1"/>
  <c r="AV409" i="1"/>
  <c r="AL409" i="1"/>
  <c r="AD409" i="1"/>
  <c r="AI409" i="1" s="1"/>
  <c r="U409" i="1"/>
  <c r="O409" i="1"/>
  <c r="BD409" i="1" s="1"/>
  <c r="L409" i="1"/>
  <c r="BC409" i="1" s="1"/>
  <c r="BL408" i="1"/>
  <c r="BH408" i="1"/>
  <c r="AV408" i="1"/>
  <c r="AL408" i="1"/>
  <c r="AD408" i="1"/>
  <c r="AI408" i="1" s="1"/>
  <c r="AJ408" i="1" s="1"/>
  <c r="U408" i="1"/>
  <c r="O408" i="1"/>
  <c r="L408" i="1"/>
  <c r="BL407" i="1"/>
  <c r="BH407" i="1"/>
  <c r="AV407" i="1"/>
  <c r="AL407" i="1"/>
  <c r="AD407" i="1"/>
  <c r="AI407" i="1" s="1"/>
  <c r="U407" i="1"/>
  <c r="O407" i="1"/>
  <c r="BD407" i="1" s="1"/>
  <c r="L407" i="1"/>
  <c r="BC407" i="1" s="1"/>
  <c r="BL406" i="1"/>
  <c r="BH406" i="1"/>
  <c r="AV406" i="1"/>
  <c r="AL406" i="1"/>
  <c r="AD406" i="1"/>
  <c r="AI406" i="1" s="1"/>
  <c r="AJ406" i="1" s="1"/>
  <c r="U406" i="1"/>
  <c r="O406" i="1"/>
  <c r="L406" i="1"/>
  <c r="BL405" i="1"/>
  <c r="BH405" i="1"/>
  <c r="AV405" i="1"/>
  <c r="AL405" i="1"/>
  <c r="AD405" i="1"/>
  <c r="AI405" i="1" s="1"/>
  <c r="AJ405" i="1" s="1"/>
  <c r="U405" i="1"/>
  <c r="O405" i="1"/>
  <c r="BD405" i="1" s="1"/>
  <c r="L405" i="1"/>
  <c r="V405" i="1" s="1"/>
  <c r="BL404" i="1"/>
  <c r="BH404" i="1"/>
  <c r="AV404" i="1"/>
  <c r="AQ404" i="1"/>
  <c r="AL404" i="1"/>
  <c r="AD404" i="1"/>
  <c r="AI404" i="1" s="1"/>
  <c r="U404" i="1"/>
  <c r="O404" i="1"/>
  <c r="BD404" i="1" s="1"/>
  <c r="L404" i="1"/>
  <c r="BC404" i="1" s="1"/>
  <c r="BL403" i="1"/>
  <c r="BH403" i="1"/>
  <c r="AV403" i="1"/>
  <c r="AL403" i="1"/>
  <c r="AD403" i="1"/>
  <c r="AI403" i="1" s="1"/>
  <c r="U403" i="1"/>
  <c r="O403" i="1"/>
  <c r="L403" i="1"/>
  <c r="BL402" i="1"/>
  <c r="BH402" i="1"/>
  <c r="AV402" i="1"/>
  <c r="AL402" i="1"/>
  <c r="AD402" i="1"/>
  <c r="U402" i="1"/>
  <c r="O402" i="1"/>
  <c r="BD402" i="1" s="1"/>
  <c r="L402" i="1"/>
  <c r="BC402" i="1" s="1"/>
  <c r="BL401" i="1"/>
  <c r="BH401" i="1"/>
  <c r="AV401" i="1"/>
  <c r="AL401" i="1"/>
  <c r="AD401" i="1"/>
  <c r="AI401" i="1" s="1"/>
  <c r="AJ401" i="1" s="1"/>
  <c r="U401" i="1"/>
  <c r="O401" i="1"/>
  <c r="BD401" i="1" s="1"/>
  <c r="L401" i="1"/>
  <c r="V401" i="1" s="1"/>
  <c r="Z401" i="1" s="1"/>
  <c r="AC401" i="1" s="1"/>
  <c r="BL400" i="1"/>
  <c r="BH400" i="1"/>
  <c r="AV400" i="1"/>
  <c r="AL400" i="1"/>
  <c r="AD400" i="1"/>
  <c r="AI400" i="1" s="1"/>
  <c r="U400" i="1"/>
  <c r="O400" i="1"/>
  <c r="BD400" i="1" s="1"/>
  <c r="L400" i="1"/>
  <c r="BC400" i="1" s="1"/>
  <c r="BL399" i="1"/>
  <c r="BH399" i="1"/>
  <c r="AV399" i="1"/>
  <c r="AL399" i="1"/>
  <c r="AD399" i="1"/>
  <c r="AI399" i="1" s="1"/>
  <c r="U399" i="1"/>
  <c r="O399" i="1"/>
  <c r="BD399" i="1" s="1"/>
  <c r="L399" i="1"/>
  <c r="BL398" i="1"/>
  <c r="BH398" i="1"/>
  <c r="AV398" i="1"/>
  <c r="AL398" i="1"/>
  <c r="AD398" i="1"/>
  <c r="U398" i="1"/>
  <c r="O398" i="1"/>
  <c r="BD398" i="1" s="1"/>
  <c r="L398" i="1"/>
  <c r="BL397" i="1"/>
  <c r="BH397" i="1"/>
  <c r="AV397" i="1"/>
  <c r="AL397" i="1"/>
  <c r="AD397" i="1"/>
  <c r="U397" i="1"/>
  <c r="O397" i="1"/>
  <c r="BD397" i="1" s="1"/>
  <c r="L397" i="1"/>
  <c r="BL396" i="1"/>
  <c r="BH396" i="1"/>
  <c r="AV396" i="1"/>
  <c r="AL396" i="1"/>
  <c r="AD396" i="1"/>
  <c r="U396" i="1"/>
  <c r="O396" i="1"/>
  <c r="BD396" i="1" s="1"/>
  <c r="L396" i="1"/>
  <c r="BL395" i="1"/>
  <c r="BH395" i="1"/>
  <c r="AV395" i="1"/>
  <c r="AL395" i="1"/>
  <c r="AD395" i="1"/>
  <c r="U395" i="1"/>
  <c r="O395" i="1"/>
  <c r="BD395" i="1" s="1"/>
  <c r="L395" i="1"/>
  <c r="BL394" i="1"/>
  <c r="BH394" i="1"/>
  <c r="AV394" i="1"/>
  <c r="AL394" i="1"/>
  <c r="AD394" i="1"/>
  <c r="U394" i="1"/>
  <c r="O394" i="1"/>
  <c r="BD394" i="1" s="1"/>
  <c r="L394" i="1"/>
  <c r="V394" i="1" s="1"/>
  <c r="BL393" i="1"/>
  <c r="BH393" i="1"/>
  <c r="AV393" i="1"/>
  <c r="AL393" i="1"/>
  <c r="AD393" i="1"/>
  <c r="AI393" i="1" s="1"/>
  <c r="AJ393" i="1" s="1"/>
  <c r="U393" i="1"/>
  <c r="O393" i="1"/>
  <c r="BD393" i="1" s="1"/>
  <c r="L393" i="1"/>
  <c r="BL392" i="1"/>
  <c r="BH392" i="1"/>
  <c r="AV392" i="1"/>
  <c r="AL392" i="1"/>
  <c r="AD392" i="1"/>
  <c r="AI392" i="1" s="1"/>
  <c r="AJ392" i="1" s="1"/>
  <c r="U392" i="1"/>
  <c r="O392" i="1"/>
  <c r="BD392" i="1" s="1"/>
  <c r="L392" i="1"/>
  <c r="BL391" i="1"/>
  <c r="BH391" i="1"/>
  <c r="AV391" i="1"/>
  <c r="AL391" i="1"/>
  <c r="AD391" i="1"/>
  <c r="AI391" i="1" s="1"/>
  <c r="AJ391" i="1" s="1"/>
  <c r="U391" i="1"/>
  <c r="O391" i="1"/>
  <c r="L391" i="1"/>
  <c r="BH390" i="1"/>
  <c r="AV390" i="1"/>
  <c r="AL390" i="1"/>
  <c r="AD390" i="1"/>
  <c r="AI390" i="1" s="1"/>
  <c r="U390" i="1"/>
  <c r="O390" i="1"/>
  <c r="BD390" i="1" s="1"/>
  <c r="L390" i="1"/>
  <c r="BL389" i="1"/>
  <c r="BH389" i="1"/>
  <c r="AV389" i="1"/>
  <c r="AL389" i="1"/>
  <c r="AD389" i="1"/>
  <c r="U389" i="1"/>
  <c r="O389" i="1"/>
  <c r="BD389" i="1" s="1"/>
  <c r="L389" i="1"/>
  <c r="BC389" i="1" s="1"/>
  <c r="BL388" i="1"/>
  <c r="BH388" i="1"/>
  <c r="AV388" i="1"/>
  <c r="AL388" i="1"/>
  <c r="AD388" i="1"/>
  <c r="AI388" i="1" s="1"/>
  <c r="AJ388" i="1" s="1"/>
  <c r="U388" i="1"/>
  <c r="O388" i="1"/>
  <c r="BD388" i="1" s="1"/>
  <c r="L388" i="1"/>
  <c r="BL387" i="1"/>
  <c r="BH387" i="1"/>
  <c r="AV387" i="1"/>
  <c r="AL387" i="1"/>
  <c r="AD387" i="1"/>
  <c r="U387" i="1"/>
  <c r="O387" i="1"/>
  <c r="BD387" i="1" s="1"/>
  <c r="L387" i="1"/>
  <c r="BL386" i="1"/>
  <c r="BH386" i="1"/>
  <c r="AV386" i="1"/>
  <c r="AL386" i="1"/>
  <c r="AD386" i="1"/>
  <c r="AI386" i="1" s="1"/>
  <c r="U386" i="1"/>
  <c r="O386" i="1"/>
  <c r="BD386" i="1" s="1"/>
  <c r="L386" i="1"/>
  <c r="BL385" i="1"/>
  <c r="BH385" i="1"/>
  <c r="AV385" i="1"/>
  <c r="AL385" i="1"/>
  <c r="AD385" i="1"/>
  <c r="AI385" i="1" s="1"/>
  <c r="U385" i="1"/>
  <c r="O385" i="1"/>
  <c r="BD385" i="1" s="1"/>
  <c r="L385" i="1"/>
  <c r="BC385" i="1" s="1"/>
  <c r="BL384" i="1"/>
  <c r="BH384" i="1"/>
  <c r="AV384" i="1"/>
  <c r="AL384" i="1"/>
  <c r="AD384" i="1"/>
  <c r="AI384" i="1" s="1"/>
  <c r="AJ384" i="1" s="1"/>
  <c r="U384" i="1"/>
  <c r="O384" i="1"/>
  <c r="L384" i="1"/>
  <c r="BL383" i="1"/>
  <c r="BH383" i="1"/>
  <c r="AV383" i="1"/>
  <c r="AL383" i="1"/>
  <c r="AD383" i="1"/>
  <c r="U383" i="1"/>
  <c r="O383" i="1"/>
  <c r="BD383" i="1" s="1"/>
  <c r="L383" i="1"/>
  <c r="BC383" i="1" s="1"/>
  <c r="BL382" i="1"/>
  <c r="BH382" i="1"/>
  <c r="AV382" i="1"/>
  <c r="AL382" i="1"/>
  <c r="AD382" i="1"/>
  <c r="U382" i="1"/>
  <c r="O382" i="1"/>
  <c r="BD382" i="1" s="1"/>
  <c r="L382" i="1"/>
  <c r="BL381" i="1"/>
  <c r="BH381" i="1"/>
  <c r="AV381" i="1"/>
  <c r="AL381" i="1"/>
  <c r="AD381" i="1"/>
  <c r="AI381" i="1" s="1"/>
  <c r="AJ381" i="1" s="1"/>
  <c r="U381" i="1"/>
  <c r="O381" i="1"/>
  <c r="BD381" i="1" s="1"/>
  <c r="L381" i="1"/>
  <c r="V381" i="1" s="1"/>
  <c r="BL380" i="1"/>
  <c r="BH380" i="1"/>
  <c r="AV380" i="1"/>
  <c r="AL380" i="1"/>
  <c r="AD380" i="1"/>
  <c r="AI380" i="1" s="1"/>
  <c r="U380" i="1"/>
  <c r="O380" i="1"/>
  <c r="L380" i="1"/>
  <c r="V380" i="1" s="1"/>
  <c r="BL379" i="1"/>
  <c r="BH379" i="1"/>
  <c r="AV379" i="1"/>
  <c r="AL379" i="1"/>
  <c r="AD379" i="1"/>
  <c r="U379" i="1"/>
  <c r="O379" i="1"/>
  <c r="BD379" i="1" s="1"/>
  <c r="L379" i="1"/>
  <c r="V379" i="1" s="1"/>
  <c r="BL378" i="1"/>
  <c r="BH378" i="1"/>
  <c r="AV378" i="1"/>
  <c r="AL378" i="1"/>
  <c r="AD378" i="1"/>
  <c r="U378" i="1"/>
  <c r="O378" i="1"/>
  <c r="BD378" i="1" s="1"/>
  <c r="L378" i="1"/>
  <c r="BL377" i="1"/>
  <c r="BH377" i="1"/>
  <c r="AV377" i="1"/>
  <c r="AL377" i="1"/>
  <c r="AD377" i="1"/>
  <c r="U377" i="1"/>
  <c r="O377" i="1"/>
  <c r="BD377" i="1" s="1"/>
  <c r="L377" i="1"/>
  <c r="BC377" i="1" s="1"/>
  <c r="BL376" i="1"/>
  <c r="BH376" i="1"/>
  <c r="AV376" i="1"/>
  <c r="AL376" i="1"/>
  <c r="AD376" i="1"/>
  <c r="U376" i="1"/>
  <c r="O376" i="1"/>
  <c r="BD376" i="1" s="1"/>
  <c r="L376" i="1"/>
  <c r="BL375" i="1"/>
  <c r="BH375" i="1"/>
  <c r="AV375" i="1"/>
  <c r="AL375" i="1"/>
  <c r="AD375" i="1"/>
  <c r="U375" i="1"/>
  <c r="O375" i="1"/>
  <c r="BD375" i="1" s="1"/>
  <c r="L375" i="1"/>
  <c r="BL374" i="1"/>
  <c r="BH374" i="1"/>
  <c r="AV374" i="1"/>
  <c r="AL374" i="1"/>
  <c r="AD374" i="1"/>
  <c r="AI374" i="1" s="1"/>
  <c r="AJ374" i="1" s="1"/>
  <c r="U374" i="1"/>
  <c r="O374" i="1"/>
  <c r="BD374" i="1" s="1"/>
  <c r="L374" i="1"/>
  <c r="BL373" i="1"/>
  <c r="BH373" i="1"/>
  <c r="AV373" i="1"/>
  <c r="AL373" i="1"/>
  <c r="AD373" i="1"/>
  <c r="AI373" i="1" s="1"/>
  <c r="AJ373" i="1" s="1"/>
  <c r="U373" i="1"/>
  <c r="O373" i="1"/>
  <c r="BD373" i="1" s="1"/>
  <c r="L373" i="1"/>
  <c r="V373" i="1" s="1"/>
  <c r="Z373" i="1" s="1"/>
  <c r="AC373" i="1" s="1"/>
  <c r="BL372" i="1"/>
  <c r="BH372" i="1"/>
  <c r="AV372" i="1"/>
  <c r="AL372" i="1"/>
  <c r="AD372" i="1"/>
  <c r="AI372" i="1" s="1"/>
  <c r="AJ372" i="1" s="1"/>
  <c r="U372" i="1"/>
  <c r="O372" i="1"/>
  <c r="L372" i="1"/>
  <c r="V372" i="1" s="1"/>
  <c r="BL371" i="1"/>
  <c r="BH371" i="1"/>
  <c r="AV371" i="1"/>
  <c r="AL371" i="1"/>
  <c r="AD371" i="1"/>
  <c r="U371" i="1"/>
  <c r="O371" i="1"/>
  <c r="BD371" i="1" s="1"/>
  <c r="L371" i="1"/>
  <c r="BL370" i="1"/>
  <c r="BH370" i="1"/>
  <c r="AV370" i="1"/>
  <c r="AL370" i="1"/>
  <c r="AD370" i="1"/>
  <c r="U370" i="1"/>
  <c r="O370" i="1"/>
  <c r="BD370" i="1" s="1"/>
  <c r="L370" i="1"/>
  <c r="BL369" i="1"/>
  <c r="BH369" i="1"/>
  <c r="AV369" i="1"/>
  <c r="AL369" i="1"/>
  <c r="AD369" i="1"/>
  <c r="U369" i="1"/>
  <c r="O369" i="1"/>
  <c r="BD369" i="1" s="1"/>
  <c r="L369" i="1"/>
  <c r="BL368" i="1"/>
  <c r="BH368" i="1"/>
  <c r="AV368" i="1"/>
  <c r="AL368" i="1"/>
  <c r="AD368" i="1"/>
  <c r="AI368" i="1" s="1"/>
  <c r="U368" i="1"/>
  <c r="O368" i="1"/>
  <c r="BD368" i="1" s="1"/>
  <c r="L368" i="1"/>
  <c r="BC368" i="1" s="1"/>
  <c r="BL367" i="1"/>
  <c r="BH367" i="1"/>
  <c r="AV367" i="1"/>
  <c r="AL367" i="1"/>
  <c r="AD367" i="1"/>
  <c r="AI367" i="1" s="1"/>
  <c r="AJ367" i="1" s="1"/>
  <c r="U367" i="1"/>
  <c r="O367" i="1"/>
  <c r="BD367" i="1" s="1"/>
  <c r="L367" i="1"/>
  <c r="BL366" i="1"/>
  <c r="BH366" i="1"/>
  <c r="AV366" i="1"/>
  <c r="AL366" i="1"/>
  <c r="AD366" i="1"/>
  <c r="AI366" i="1" s="1"/>
  <c r="U366" i="1"/>
  <c r="O366" i="1"/>
  <c r="BD366" i="1" s="1"/>
  <c r="L366" i="1"/>
  <c r="BL365" i="1"/>
  <c r="BH365" i="1"/>
  <c r="AV365" i="1"/>
  <c r="AL365" i="1"/>
  <c r="AD365" i="1"/>
  <c r="U365" i="1"/>
  <c r="O365" i="1"/>
  <c r="BD365" i="1" s="1"/>
  <c r="L365" i="1"/>
  <c r="BL364" i="1"/>
  <c r="BH364" i="1"/>
  <c r="AV364" i="1"/>
  <c r="AL364" i="1"/>
  <c r="AD364" i="1"/>
  <c r="AI364" i="1" s="1"/>
  <c r="U364" i="1"/>
  <c r="O364" i="1"/>
  <c r="BD364" i="1" s="1"/>
  <c r="L364" i="1"/>
  <c r="BL363" i="1"/>
  <c r="BH363" i="1"/>
  <c r="AV363" i="1"/>
  <c r="AL363" i="1"/>
  <c r="AD363" i="1"/>
  <c r="U363" i="1"/>
  <c r="O363" i="1"/>
  <c r="BD363" i="1" s="1"/>
  <c r="L363" i="1"/>
  <c r="BC363" i="1" s="1"/>
  <c r="BL362" i="1"/>
  <c r="BH362" i="1"/>
  <c r="AV362" i="1"/>
  <c r="AL362" i="1"/>
  <c r="AD362" i="1"/>
  <c r="AI362" i="1" s="1"/>
  <c r="AJ362" i="1" s="1"/>
  <c r="U362" i="1"/>
  <c r="O362" i="1"/>
  <c r="L362" i="1"/>
  <c r="V362" i="1" s="1"/>
  <c r="BL361" i="1"/>
  <c r="BH361" i="1"/>
  <c r="AV361" i="1"/>
  <c r="AL361" i="1"/>
  <c r="AD361" i="1"/>
  <c r="U361" i="1"/>
  <c r="O361" i="1"/>
  <c r="BD361" i="1" s="1"/>
  <c r="L361" i="1"/>
  <c r="BC361" i="1" s="1"/>
  <c r="BL360" i="1"/>
  <c r="BH360" i="1"/>
  <c r="AV360" i="1"/>
  <c r="AL360" i="1"/>
  <c r="AD360" i="1"/>
  <c r="AI360" i="1" s="1"/>
  <c r="AJ360" i="1" s="1"/>
  <c r="U360" i="1"/>
  <c r="O360" i="1"/>
  <c r="L360" i="1"/>
  <c r="BC360" i="1" s="1"/>
  <c r="BL359" i="1"/>
  <c r="BH359" i="1"/>
  <c r="AV359" i="1"/>
  <c r="AL359" i="1"/>
  <c r="AD359" i="1"/>
  <c r="AI359" i="1" s="1"/>
  <c r="AJ359" i="1" s="1"/>
  <c r="U359" i="1"/>
  <c r="O359" i="1"/>
  <c r="BD359" i="1" s="1"/>
  <c r="L359" i="1"/>
  <c r="BL358" i="1"/>
  <c r="BH358" i="1"/>
  <c r="AV358" i="1"/>
  <c r="AL358" i="1"/>
  <c r="AD358" i="1"/>
  <c r="AI358" i="1" s="1"/>
  <c r="AJ358" i="1" s="1"/>
  <c r="U358" i="1"/>
  <c r="O358" i="1"/>
  <c r="L358" i="1"/>
  <c r="BL357" i="1"/>
  <c r="BH357" i="1"/>
  <c r="AV357" i="1"/>
  <c r="AL357" i="1"/>
  <c r="AD357" i="1"/>
  <c r="AI357" i="1" s="1"/>
  <c r="U357" i="1"/>
  <c r="O357" i="1"/>
  <c r="BD357" i="1" s="1"/>
  <c r="L357" i="1"/>
  <c r="BL356" i="1"/>
  <c r="BH356" i="1"/>
  <c r="AV356" i="1"/>
  <c r="AL356" i="1"/>
  <c r="AD356" i="1"/>
  <c r="U356" i="1"/>
  <c r="O356" i="1"/>
  <c r="BD356" i="1" s="1"/>
  <c r="L356" i="1"/>
  <c r="V356" i="1" s="1"/>
  <c r="BL355" i="1"/>
  <c r="BH355" i="1"/>
  <c r="AV355" i="1"/>
  <c r="AL355" i="1"/>
  <c r="AD355" i="1"/>
  <c r="U355" i="1"/>
  <c r="O355" i="1"/>
  <c r="BD355" i="1" s="1"/>
  <c r="L355" i="1"/>
  <c r="BL354" i="1"/>
  <c r="BH354" i="1"/>
  <c r="AV354" i="1"/>
  <c r="AL354" i="1"/>
  <c r="AD354" i="1"/>
  <c r="U354" i="1"/>
  <c r="O354" i="1"/>
  <c r="BD354" i="1" s="1"/>
  <c r="L354" i="1"/>
  <c r="BL353" i="1"/>
  <c r="BH353" i="1"/>
  <c r="AV353" i="1"/>
  <c r="AL353" i="1"/>
  <c r="AD353" i="1"/>
  <c r="U353" i="1"/>
  <c r="O353" i="1"/>
  <c r="BD353" i="1" s="1"/>
  <c r="L353" i="1"/>
  <c r="BL352" i="1"/>
  <c r="BH352" i="1"/>
  <c r="AV352" i="1"/>
  <c r="AL352" i="1"/>
  <c r="AD352" i="1"/>
  <c r="AI352" i="1" s="1"/>
  <c r="U352" i="1"/>
  <c r="O352" i="1"/>
  <c r="L352" i="1"/>
  <c r="BL351" i="1"/>
  <c r="BH351" i="1"/>
  <c r="AV351" i="1"/>
  <c r="AL351" i="1"/>
  <c r="AD351" i="1"/>
  <c r="AI351" i="1" s="1"/>
  <c r="U351" i="1"/>
  <c r="O351" i="1"/>
  <c r="BD351" i="1" s="1"/>
  <c r="L351" i="1"/>
  <c r="V351" i="1" s="1"/>
  <c r="Z351" i="1" s="1"/>
  <c r="AC351" i="1" s="1"/>
  <c r="BL350" i="1"/>
  <c r="BH350" i="1"/>
  <c r="AV350" i="1"/>
  <c r="AL350" i="1"/>
  <c r="AD350" i="1"/>
  <c r="AI350" i="1" s="1"/>
  <c r="U350" i="1"/>
  <c r="O350" i="1"/>
  <c r="BD350" i="1" s="1"/>
  <c r="L350" i="1"/>
  <c r="BL349" i="1"/>
  <c r="BH349" i="1"/>
  <c r="AV349" i="1"/>
  <c r="AL349" i="1"/>
  <c r="AD349" i="1"/>
  <c r="AI349" i="1" s="1"/>
  <c r="U349" i="1"/>
  <c r="O349" i="1"/>
  <c r="BD349" i="1" s="1"/>
  <c r="L349" i="1"/>
  <c r="BL348" i="1"/>
  <c r="BH348" i="1"/>
  <c r="AV348" i="1"/>
  <c r="AL348" i="1"/>
  <c r="AD348" i="1"/>
  <c r="AI348" i="1" s="1"/>
  <c r="AJ348" i="1" s="1"/>
  <c r="U348" i="1"/>
  <c r="O348" i="1"/>
  <c r="L348" i="1"/>
  <c r="BL347" i="1"/>
  <c r="BH347" i="1"/>
  <c r="AV347" i="1"/>
  <c r="AL347" i="1"/>
  <c r="AD347" i="1"/>
  <c r="U347" i="1"/>
  <c r="O347" i="1"/>
  <c r="BD347" i="1" s="1"/>
  <c r="L347" i="1"/>
  <c r="BL346" i="1"/>
  <c r="BH346" i="1"/>
  <c r="AV346" i="1"/>
  <c r="AL346" i="1"/>
  <c r="AD346" i="1"/>
  <c r="AI346" i="1" s="1"/>
  <c r="U346" i="1"/>
  <c r="O346" i="1"/>
  <c r="BD346" i="1" s="1"/>
  <c r="L346" i="1"/>
  <c r="BL345" i="1"/>
  <c r="BH345" i="1"/>
  <c r="AV345" i="1"/>
  <c r="AL345" i="1"/>
  <c r="AD345" i="1"/>
  <c r="U345" i="1"/>
  <c r="O345" i="1"/>
  <c r="BD345" i="1" s="1"/>
  <c r="L345" i="1"/>
  <c r="BL344" i="1"/>
  <c r="BH344" i="1"/>
  <c r="AV344" i="1"/>
  <c r="AL344" i="1"/>
  <c r="AD344" i="1"/>
  <c r="U344" i="1"/>
  <c r="O344" i="1"/>
  <c r="BD344" i="1" s="1"/>
  <c r="L344" i="1"/>
  <c r="V344" i="1" s="1"/>
  <c r="BL343" i="1"/>
  <c r="BH343" i="1"/>
  <c r="AV343" i="1"/>
  <c r="AL343" i="1"/>
  <c r="AD343" i="1"/>
  <c r="U343" i="1"/>
  <c r="O343" i="1"/>
  <c r="BD343" i="1" s="1"/>
  <c r="L343" i="1"/>
  <c r="V343" i="1" s="1"/>
  <c r="BL342" i="1"/>
  <c r="BH342" i="1"/>
  <c r="AV342" i="1"/>
  <c r="AL342" i="1"/>
  <c r="AD342" i="1"/>
  <c r="U342" i="1"/>
  <c r="O342" i="1"/>
  <c r="BD342" i="1" s="1"/>
  <c r="L342" i="1"/>
  <c r="BL341" i="1"/>
  <c r="BH341" i="1"/>
  <c r="AV341" i="1"/>
  <c r="AL341" i="1"/>
  <c r="AD341" i="1"/>
  <c r="U341" i="1"/>
  <c r="O341" i="1"/>
  <c r="BD341" i="1" s="1"/>
  <c r="L341" i="1"/>
  <c r="BC341" i="1" s="1"/>
  <c r="BL340" i="1"/>
  <c r="BH340" i="1"/>
  <c r="AV340" i="1"/>
  <c r="AL340" i="1"/>
  <c r="AD340" i="1"/>
  <c r="AI340" i="1" s="1"/>
  <c r="AJ340" i="1" s="1"/>
  <c r="U340" i="1"/>
  <c r="O340" i="1"/>
  <c r="L340" i="1"/>
  <c r="BL339" i="1"/>
  <c r="BH339" i="1"/>
  <c r="AV339" i="1"/>
  <c r="AL339" i="1"/>
  <c r="AD339" i="1"/>
  <c r="U339" i="1"/>
  <c r="O339" i="1"/>
  <c r="BD339" i="1" s="1"/>
  <c r="L339" i="1"/>
  <c r="V339" i="1" s="1"/>
  <c r="BL338" i="1"/>
  <c r="BH338" i="1"/>
  <c r="AV338" i="1"/>
  <c r="AL338" i="1"/>
  <c r="AD338" i="1"/>
  <c r="AI338" i="1" s="1"/>
  <c r="U338" i="1"/>
  <c r="O338" i="1"/>
  <c r="BD338" i="1" s="1"/>
  <c r="L338" i="1"/>
  <c r="BC338" i="1" s="1"/>
  <c r="BL337" i="1"/>
  <c r="BH337" i="1"/>
  <c r="AV337" i="1"/>
  <c r="AL337" i="1"/>
  <c r="AD337" i="1"/>
  <c r="AI337" i="1" s="1"/>
  <c r="U337" i="1"/>
  <c r="O337" i="1"/>
  <c r="L337" i="1"/>
  <c r="BL336" i="1"/>
  <c r="BH336" i="1"/>
  <c r="AV336" i="1"/>
  <c r="AL336" i="1"/>
  <c r="AD336" i="1"/>
  <c r="AI336" i="1" s="1"/>
  <c r="U336" i="1"/>
  <c r="O336" i="1"/>
  <c r="BD336" i="1" s="1"/>
  <c r="L336" i="1"/>
  <c r="BL335" i="1"/>
  <c r="BH335" i="1"/>
  <c r="AV335" i="1"/>
  <c r="AL335" i="1"/>
  <c r="AD335" i="1"/>
  <c r="U335" i="1"/>
  <c r="O335" i="1"/>
  <c r="BD335" i="1" s="1"/>
  <c r="L335" i="1"/>
  <c r="BL334" i="1"/>
  <c r="BH334" i="1"/>
  <c r="AV334" i="1"/>
  <c r="AL334" i="1"/>
  <c r="AD334" i="1"/>
  <c r="U334" i="1"/>
  <c r="O334" i="1"/>
  <c r="BD334" i="1" s="1"/>
  <c r="L334" i="1"/>
  <c r="BL333" i="1"/>
  <c r="BH333" i="1"/>
  <c r="AV333" i="1"/>
  <c r="AL333" i="1"/>
  <c r="AD333" i="1"/>
  <c r="AI333" i="1" s="1"/>
  <c r="U333" i="1"/>
  <c r="O333" i="1"/>
  <c r="BD333" i="1" s="1"/>
  <c r="L333" i="1"/>
  <c r="BL332" i="1"/>
  <c r="BH332" i="1"/>
  <c r="AV332" i="1"/>
  <c r="AL332" i="1"/>
  <c r="AD332" i="1"/>
  <c r="AI332" i="1" s="1"/>
  <c r="U332" i="1"/>
  <c r="O332" i="1"/>
  <c r="BD332" i="1" s="1"/>
  <c r="L332" i="1"/>
  <c r="V332" i="1" s="1"/>
  <c r="Z332" i="1" s="1"/>
  <c r="AC332" i="1" s="1"/>
  <c r="BL331" i="1"/>
  <c r="BH331" i="1"/>
  <c r="AV331" i="1"/>
  <c r="AL331" i="1"/>
  <c r="AD331" i="1"/>
  <c r="U331" i="1"/>
  <c r="O331" i="1"/>
  <c r="BD331" i="1" s="1"/>
  <c r="L331" i="1"/>
  <c r="BL330" i="1"/>
  <c r="BH330" i="1"/>
  <c r="AV330" i="1"/>
  <c r="AL330" i="1"/>
  <c r="AD330" i="1"/>
  <c r="U330" i="1"/>
  <c r="O330" i="1"/>
  <c r="BD330" i="1" s="1"/>
  <c r="L330" i="1"/>
  <c r="BL329" i="1"/>
  <c r="BH329" i="1"/>
  <c r="AV329" i="1"/>
  <c r="AL329" i="1"/>
  <c r="AD329" i="1"/>
  <c r="U329" i="1"/>
  <c r="O329" i="1"/>
  <c r="BD329" i="1" s="1"/>
  <c r="L329" i="1"/>
  <c r="BL328" i="1"/>
  <c r="BH328" i="1"/>
  <c r="AV328" i="1"/>
  <c r="AL328" i="1"/>
  <c r="AD328" i="1"/>
  <c r="U328" i="1"/>
  <c r="O328" i="1"/>
  <c r="BD328" i="1" s="1"/>
  <c r="L328" i="1"/>
  <c r="BC328" i="1" s="1"/>
  <c r="BL327" i="1"/>
  <c r="BH327" i="1"/>
  <c r="AV327" i="1"/>
  <c r="AL327" i="1"/>
  <c r="AD327" i="1"/>
  <c r="AI327" i="1" s="1"/>
  <c r="AJ327" i="1" s="1"/>
  <c r="U327" i="1"/>
  <c r="O327" i="1"/>
  <c r="L327" i="1"/>
  <c r="BL326" i="1"/>
  <c r="BH326" i="1"/>
  <c r="AV326" i="1"/>
  <c r="AL326" i="1"/>
  <c r="AD326" i="1"/>
  <c r="AI326" i="1" s="1"/>
  <c r="AJ326" i="1" s="1"/>
  <c r="U326" i="1"/>
  <c r="O326" i="1"/>
  <c r="BD326" i="1" s="1"/>
  <c r="L326" i="1"/>
  <c r="BL325" i="1"/>
  <c r="BH325" i="1"/>
  <c r="AV325" i="1"/>
  <c r="AL325" i="1"/>
  <c r="AD325" i="1"/>
  <c r="AI325" i="1" s="1"/>
  <c r="AJ325" i="1" s="1"/>
  <c r="U325" i="1"/>
  <c r="O325" i="1"/>
  <c r="L325" i="1"/>
  <c r="V325" i="1" s="1"/>
  <c r="Z325" i="1" s="1"/>
  <c r="AC325" i="1" s="1"/>
  <c r="BL324" i="1"/>
  <c r="BH324" i="1"/>
  <c r="AV324" i="1"/>
  <c r="AL324" i="1"/>
  <c r="AD324" i="1"/>
  <c r="AI324" i="1" s="1"/>
  <c r="AJ324" i="1" s="1"/>
  <c r="U324" i="1"/>
  <c r="O324" i="1"/>
  <c r="BD324" i="1" s="1"/>
  <c r="L324" i="1"/>
  <c r="BL323" i="1"/>
  <c r="BH323" i="1"/>
  <c r="AV323" i="1"/>
  <c r="AL323" i="1"/>
  <c r="AD323" i="1"/>
  <c r="U323" i="1"/>
  <c r="O323" i="1"/>
  <c r="BD323" i="1" s="1"/>
  <c r="L323" i="1"/>
  <c r="BL322" i="1"/>
  <c r="BH322" i="1"/>
  <c r="AV322" i="1"/>
  <c r="AL322" i="1"/>
  <c r="AD322" i="1"/>
  <c r="U322" i="1"/>
  <c r="O322" i="1"/>
  <c r="BD322" i="1" s="1"/>
  <c r="L322" i="1"/>
  <c r="BL321" i="1"/>
  <c r="BH321" i="1"/>
  <c r="AV321" i="1"/>
  <c r="AL321" i="1"/>
  <c r="AD321" i="1"/>
  <c r="AI321" i="1" s="1"/>
  <c r="U321" i="1"/>
  <c r="O321" i="1"/>
  <c r="BD321" i="1" s="1"/>
  <c r="L321" i="1"/>
  <c r="V321" i="1" s="1"/>
  <c r="Z321" i="1" s="1"/>
  <c r="AC321" i="1" s="1"/>
  <c r="BL320" i="1"/>
  <c r="BH320" i="1"/>
  <c r="AV320" i="1"/>
  <c r="AL320" i="1"/>
  <c r="AD320" i="1"/>
  <c r="U320" i="1"/>
  <c r="O320" i="1"/>
  <c r="BD320" i="1" s="1"/>
  <c r="L320" i="1"/>
  <c r="V320" i="1" s="1"/>
  <c r="BL319" i="1"/>
  <c r="BH319" i="1"/>
  <c r="AV319" i="1"/>
  <c r="AL319" i="1"/>
  <c r="AD319" i="1"/>
  <c r="U319" i="1"/>
  <c r="O319" i="1"/>
  <c r="BD319" i="1" s="1"/>
  <c r="L319" i="1"/>
  <c r="BL318" i="1"/>
  <c r="BH318" i="1"/>
  <c r="AV318" i="1"/>
  <c r="AL318" i="1"/>
  <c r="AD318" i="1"/>
  <c r="U318" i="1"/>
  <c r="O318" i="1"/>
  <c r="BD318" i="1" s="1"/>
  <c r="L318" i="1"/>
  <c r="V318" i="1" s="1"/>
  <c r="Z318" i="1" s="1"/>
  <c r="AC318" i="1" s="1"/>
  <c r="BL317" i="1"/>
  <c r="BH317" i="1"/>
  <c r="AV317" i="1"/>
  <c r="AL317" i="1"/>
  <c r="AD317" i="1"/>
  <c r="AI317" i="1" s="1"/>
  <c r="U317" i="1"/>
  <c r="O317" i="1"/>
  <c r="BD317" i="1" s="1"/>
  <c r="L317" i="1"/>
  <c r="BL316" i="1"/>
  <c r="BH316" i="1"/>
  <c r="AV316" i="1"/>
  <c r="AL316" i="1"/>
  <c r="AD316" i="1"/>
  <c r="AI316" i="1" s="1"/>
  <c r="AJ316" i="1" s="1"/>
  <c r="U316" i="1"/>
  <c r="O316" i="1"/>
  <c r="BD316" i="1" s="1"/>
  <c r="L316" i="1"/>
  <c r="BL315" i="1"/>
  <c r="BH315" i="1"/>
  <c r="AV315" i="1"/>
  <c r="AL315" i="1"/>
  <c r="AD315" i="1"/>
  <c r="AI315" i="1" s="1"/>
  <c r="U315" i="1"/>
  <c r="O315" i="1"/>
  <c r="L315" i="1"/>
  <c r="BL314" i="1"/>
  <c r="BH314" i="1"/>
  <c r="AV314" i="1"/>
  <c r="AL314" i="1"/>
  <c r="AD314" i="1"/>
  <c r="U314" i="1"/>
  <c r="O314" i="1"/>
  <c r="BD314" i="1" s="1"/>
  <c r="L314" i="1"/>
  <c r="BC314" i="1" s="1"/>
  <c r="BL313" i="1"/>
  <c r="BH313" i="1"/>
  <c r="AV313" i="1"/>
  <c r="AL313" i="1"/>
  <c r="AD313" i="1"/>
  <c r="AI313" i="1" s="1"/>
  <c r="U313" i="1"/>
  <c r="O313" i="1"/>
  <c r="L313" i="1"/>
  <c r="BC313" i="1" s="1"/>
  <c r="BL312" i="1"/>
  <c r="BH312" i="1"/>
  <c r="AV312" i="1"/>
  <c r="AL312" i="1"/>
  <c r="AD312" i="1"/>
  <c r="AI312" i="1" s="1"/>
  <c r="U312" i="1"/>
  <c r="O312" i="1"/>
  <c r="L312" i="1"/>
  <c r="BL311" i="1"/>
  <c r="BH311" i="1"/>
  <c r="AV311" i="1"/>
  <c r="AL311" i="1"/>
  <c r="AD311" i="1"/>
  <c r="U311" i="1"/>
  <c r="O311" i="1"/>
  <c r="BD311" i="1" s="1"/>
  <c r="L311" i="1"/>
  <c r="BL310" i="1"/>
  <c r="BH310" i="1"/>
  <c r="AV310" i="1"/>
  <c r="AL310" i="1"/>
  <c r="AD310" i="1"/>
  <c r="AI310" i="1" s="1"/>
  <c r="AJ310" i="1" s="1"/>
  <c r="U310" i="1"/>
  <c r="O310" i="1"/>
  <c r="L310" i="1"/>
  <c r="BL309" i="1"/>
  <c r="BH309" i="1"/>
  <c r="AV309" i="1"/>
  <c r="AL309" i="1"/>
  <c r="AD309" i="1"/>
  <c r="AI309" i="1" s="1"/>
  <c r="U309" i="1"/>
  <c r="O309" i="1"/>
  <c r="BD309" i="1" s="1"/>
  <c r="L309" i="1"/>
  <c r="BL308" i="1"/>
  <c r="BH308" i="1"/>
  <c r="AV308" i="1"/>
  <c r="AL308" i="1"/>
  <c r="AD308" i="1"/>
  <c r="AI308" i="1" s="1"/>
  <c r="AJ308" i="1" s="1"/>
  <c r="U308" i="1"/>
  <c r="O308" i="1"/>
  <c r="BD308" i="1" s="1"/>
  <c r="L308" i="1"/>
  <c r="BL307" i="1"/>
  <c r="BH307" i="1"/>
  <c r="AV307" i="1"/>
  <c r="AL307" i="1"/>
  <c r="AD307" i="1"/>
  <c r="AI307" i="1" s="1"/>
  <c r="AJ307" i="1" s="1"/>
  <c r="U307" i="1"/>
  <c r="O307" i="1"/>
  <c r="BD307" i="1" s="1"/>
  <c r="L307" i="1"/>
  <c r="BL306" i="1"/>
  <c r="BH306" i="1"/>
  <c r="AV306" i="1"/>
  <c r="AL306" i="1"/>
  <c r="AD306" i="1"/>
  <c r="U306" i="1"/>
  <c r="O306" i="1"/>
  <c r="BD306" i="1" s="1"/>
  <c r="L306" i="1"/>
  <c r="BL305" i="1"/>
  <c r="BH305" i="1"/>
  <c r="AV305" i="1"/>
  <c r="AL305" i="1"/>
  <c r="AD305" i="1"/>
  <c r="AI305" i="1" s="1"/>
  <c r="AJ305" i="1" s="1"/>
  <c r="U305" i="1"/>
  <c r="O305" i="1"/>
  <c r="L305" i="1"/>
  <c r="BL304" i="1"/>
  <c r="BH304" i="1"/>
  <c r="AV304" i="1"/>
  <c r="AL304" i="1"/>
  <c r="AD304" i="1"/>
  <c r="AI304" i="1" s="1"/>
  <c r="AJ304" i="1" s="1"/>
  <c r="U304" i="1"/>
  <c r="O304" i="1"/>
  <c r="BD304" i="1" s="1"/>
  <c r="L304" i="1"/>
  <c r="V304" i="1" s="1"/>
  <c r="Z304" i="1" s="1"/>
  <c r="AC304" i="1" s="1"/>
  <c r="BL303" i="1"/>
  <c r="BH303" i="1"/>
  <c r="AV303" i="1"/>
  <c r="AL303" i="1"/>
  <c r="AD303" i="1"/>
  <c r="AI303" i="1" s="1"/>
  <c r="U303" i="1"/>
  <c r="O303" i="1"/>
  <c r="L303" i="1"/>
  <c r="V303" i="1" s="1"/>
  <c r="Z303" i="1" s="1"/>
  <c r="AC303" i="1" s="1"/>
  <c r="BL302" i="1"/>
  <c r="BH302" i="1"/>
  <c r="AV302" i="1"/>
  <c r="AL302" i="1"/>
  <c r="AD302" i="1"/>
  <c r="AI302" i="1" s="1"/>
  <c r="U302" i="1"/>
  <c r="O302" i="1"/>
  <c r="BD302" i="1" s="1"/>
  <c r="L302" i="1"/>
  <c r="BL301" i="1"/>
  <c r="BH301" i="1"/>
  <c r="AV301" i="1"/>
  <c r="AL301" i="1"/>
  <c r="AD301" i="1"/>
  <c r="AI301" i="1" s="1"/>
  <c r="AJ301" i="1" s="1"/>
  <c r="U301" i="1"/>
  <c r="O301" i="1"/>
  <c r="BD301" i="1" s="1"/>
  <c r="L301" i="1"/>
  <c r="BL300" i="1"/>
  <c r="BH300" i="1"/>
  <c r="AV300" i="1"/>
  <c r="AL300" i="1"/>
  <c r="AD300" i="1"/>
  <c r="U300" i="1"/>
  <c r="O300" i="1"/>
  <c r="BD300" i="1" s="1"/>
  <c r="L300" i="1"/>
  <c r="BL299" i="1"/>
  <c r="BH299" i="1"/>
  <c r="AV299" i="1"/>
  <c r="AL299" i="1"/>
  <c r="AD299" i="1"/>
  <c r="AI299" i="1" s="1"/>
  <c r="AJ299" i="1" s="1"/>
  <c r="U299" i="1"/>
  <c r="O299" i="1"/>
  <c r="BD299" i="1" s="1"/>
  <c r="L299" i="1"/>
  <c r="BL298" i="1"/>
  <c r="BH298" i="1"/>
  <c r="AV298" i="1"/>
  <c r="AL298" i="1"/>
  <c r="AD298" i="1"/>
  <c r="U298" i="1"/>
  <c r="O298" i="1"/>
  <c r="BD298" i="1" s="1"/>
  <c r="L298" i="1"/>
  <c r="BL297" i="1"/>
  <c r="BH297" i="1"/>
  <c r="AV297" i="1"/>
  <c r="AL297" i="1"/>
  <c r="AD297" i="1"/>
  <c r="AI297" i="1" s="1"/>
  <c r="U297" i="1"/>
  <c r="O297" i="1"/>
  <c r="BD297" i="1" s="1"/>
  <c r="L297" i="1"/>
  <c r="BC297" i="1" s="1"/>
  <c r="BL296" i="1"/>
  <c r="BH296" i="1"/>
  <c r="AV296" i="1"/>
  <c r="AL296" i="1"/>
  <c r="AD296" i="1"/>
  <c r="AI296" i="1" s="1"/>
  <c r="AJ296" i="1" s="1"/>
  <c r="U296" i="1"/>
  <c r="O296" i="1"/>
  <c r="BD296" i="1" s="1"/>
  <c r="L296" i="1"/>
  <c r="BL295" i="1"/>
  <c r="BH295" i="1"/>
  <c r="AV295" i="1"/>
  <c r="AL295" i="1"/>
  <c r="AD295" i="1"/>
  <c r="AI295" i="1" s="1"/>
  <c r="U295" i="1"/>
  <c r="O295" i="1"/>
  <c r="BD295" i="1" s="1"/>
  <c r="L295" i="1"/>
  <c r="BL294" i="1"/>
  <c r="BH294" i="1"/>
  <c r="AV294" i="1"/>
  <c r="AL294" i="1"/>
  <c r="AD294" i="1"/>
  <c r="U294" i="1"/>
  <c r="O294" i="1"/>
  <c r="BD294" i="1" s="1"/>
  <c r="L294" i="1"/>
  <c r="BL293" i="1"/>
  <c r="BH293" i="1"/>
  <c r="AV293" i="1"/>
  <c r="AL293" i="1"/>
  <c r="AD293" i="1"/>
  <c r="U293" i="1"/>
  <c r="O293" i="1"/>
  <c r="BD293" i="1" s="1"/>
  <c r="L293" i="1"/>
  <c r="BL292" i="1"/>
  <c r="BH292" i="1"/>
  <c r="AV292" i="1"/>
  <c r="AL292" i="1"/>
  <c r="AD292" i="1"/>
  <c r="U292" i="1"/>
  <c r="O292" i="1"/>
  <c r="BD292" i="1" s="1"/>
  <c r="L292" i="1"/>
  <c r="BL291" i="1"/>
  <c r="BH291" i="1"/>
  <c r="AV291" i="1"/>
  <c r="AL291" i="1"/>
  <c r="AD291" i="1"/>
  <c r="U291" i="1"/>
  <c r="O291" i="1"/>
  <c r="BD291" i="1" s="1"/>
  <c r="L291" i="1"/>
  <c r="BL290" i="1"/>
  <c r="BH290" i="1"/>
  <c r="AV290" i="1"/>
  <c r="AL290" i="1"/>
  <c r="AD290" i="1"/>
  <c r="AI290" i="1" s="1"/>
  <c r="U290" i="1"/>
  <c r="O290" i="1"/>
  <c r="BD290" i="1" s="1"/>
  <c r="L290" i="1"/>
  <c r="BC290" i="1" s="1"/>
  <c r="BL289" i="1"/>
  <c r="BH289" i="1"/>
  <c r="AV289" i="1"/>
  <c r="AL289" i="1"/>
  <c r="AD289" i="1"/>
  <c r="AI289" i="1" s="1"/>
  <c r="AJ289" i="1" s="1"/>
  <c r="U289" i="1"/>
  <c r="O289" i="1"/>
  <c r="L289" i="1"/>
  <c r="BL288" i="1"/>
  <c r="BH288" i="1"/>
  <c r="AV288" i="1"/>
  <c r="AL288" i="1"/>
  <c r="AD288" i="1"/>
  <c r="AI288" i="1" s="1"/>
  <c r="U288" i="1"/>
  <c r="O288" i="1"/>
  <c r="BD288" i="1" s="1"/>
  <c r="L288" i="1"/>
  <c r="BL287" i="1"/>
  <c r="BH287" i="1"/>
  <c r="AV287" i="1"/>
  <c r="AL287" i="1"/>
  <c r="AD287" i="1"/>
  <c r="AI287" i="1" s="1"/>
  <c r="U287" i="1"/>
  <c r="O287" i="1"/>
  <c r="BD287" i="1" s="1"/>
  <c r="L287" i="1"/>
  <c r="V287" i="1" s="1"/>
  <c r="Z287" i="1" s="1"/>
  <c r="AC287" i="1" s="1"/>
  <c r="BL286" i="1"/>
  <c r="BH286" i="1"/>
  <c r="AV286" i="1"/>
  <c r="AL286" i="1"/>
  <c r="AD286" i="1"/>
  <c r="AI286" i="1" s="1"/>
  <c r="AJ286" i="1" s="1"/>
  <c r="U286" i="1"/>
  <c r="O286" i="1"/>
  <c r="BD286" i="1" s="1"/>
  <c r="L286" i="1"/>
  <c r="BC286" i="1" s="1"/>
  <c r="BL285" i="1"/>
  <c r="BH285" i="1"/>
  <c r="AV285" i="1"/>
  <c r="AL285" i="1"/>
  <c r="AD285" i="1"/>
  <c r="U285" i="1"/>
  <c r="O285" i="1"/>
  <c r="BD285" i="1" s="1"/>
  <c r="L285" i="1"/>
  <c r="BL284" i="1"/>
  <c r="BH284" i="1"/>
  <c r="AV284" i="1"/>
  <c r="AL284" i="1"/>
  <c r="AD284" i="1"/>
  <c r="AI284" i="1" s="1"/>
  <c r="U284" i="1"/>
  <c r="O284" i="1"/>
  <c r="BD284" i="1" s="1"/>
  <c r="L284" i="1"/>
  <c r="BC284" i="1" s="1"/>
  <c r="BL283" i="1"/>
  <c r="BH283" i="1"/>
  <c r="AV283" i="1"/>
  <c r="AL283" i="1"/>
  <c r="AD283" i="1"/>
  <c r="AI283" i="1" s="1"/>
  <c r="AJ283" i="1" s="1"/>
  <c r="U283" i="1"/>
  <c r="O283" i="1"/>
  <c r="BD283" i="1" s="1"/>
  <c r="L283" i="1"/>
  <c r="BL282" i="1"/>
  <c r="BH282" i="1"/>
  <c r="AV282" i="1"/>
  <c r="AL282" i="1"/>
  <c r="AD282" i="1"/>
  <c r="U282" i="1"/>
  <c r="O282" i="1"/>
  <c r="BD282" i="1" s="1"/>
  <c r="L282" i="1"/>
  <c r="BL281" i="1"/>
  <c r="BH281" i="1"/>
  <c r="AV281" i="1"/>
  <c r="AL281" i="1"/>
  <c r="AD281" i="1"/>
  <c r="AI281" i="1" s="1"/>
  <c r="U281" i="1"/>
  <c r="O281" i="1"/>
  <c r="BD281" i="1" s="1"/>
  <c r="L281" i="1"/>
  <c r="BL280" i="1"/>
  <c r="BH280" i="1"/>
  <c r="AV280" i="1"/>
  <c r="AL280" i="1"/>
  <c r="AD280" i="1"/>
  <c r="AI280" i="1" s="1"/>
  <c r="U280" i="1"/>
  <c r="O280" i="1"/>
  <c r="BD280" i="1" s="1"/>
  <c r="L280" i="1"/>
  <c r="BL279" i="1"/>
  <c r="BH279" i="1"/>
  <c r="AV279" i="1"/>
  <c r="AL279" i="1"/>
  <c r="AD279" i="1"/>
  <c r="AI279" i="1" s="1"/>
  <c r="U279" i="1"/>
  <c r="O279" i="1"/>
  <c r="L279" i="1"/>
  <c r="BC279" i="1" s="1"/>
  <c r="BL278" i="1"/>
  <c r="BH278" i="1"/>
  <c r="AV278" i="1"/>
  <c r="AL278" i="1"/>
  <c r="AD278" i="1"/>
  <c r="U278" i="1"/>
  <c r="O278" i="1"/>
  <c r="BD278" i="1" s="1"/>
  <c r="L278" i="1"/>
  <c r="V278" i="1" s="1"/>
  <c r="Z278" i="1" s="1"/>
  <c r="AC278" i="1" s="1"/>
  <c r="BL277" i="1"/>
  <c r="BH277" i="1"/>
  <c r="AV277" i="1"/>
  <c r="AL277" i="1"/>
  <c r="AD277" i="1"/>
  <c r="AI277" i="1" s="1"/>
  <c r="AJ277" i="1" s="1"/>
  <c r="U277" i="1"/>
  <c r="O277" i="1"/>
  <c r="L277" i="1"/>
  <c r="BC277" i="1" s="1"/>
  <c r="BL276" i="1"/>
  <c r="BH276" i="1"/>
  <c r="AV276" i="1"/>
  <c r="AL276" i="1"/>
  <c r="AD276" i="1"/>
  <c r="AI276" i="1" s="1"/>
  <c r="U276" i="1"/>
  <c r="O276" i="1"/>
  <c r="BD276" i="1" s="1"/>
  <c r="L276" i="1"/>
  <c r="BL275" i="1"/>
  <c r="BH275" i="1"/>
  <c r="AV275" i="1"/>
  <c r="AL275" i="1"/>
  <c r="AD275" i="1"/>
  <c r="AI275" i="1" s="1"/>
  <c r="U275" i="1"/>
  <c r="O275" i="1"/>
  <c r="L275" i="1"/>
  <c r="BL274" i="1"/>
  <c r="BH274" i="1"/>
  <c r="AV274" i="1"/>
  <c r="AL274" i="1"/>
  <c r="AD274" i="1"/>
  <c r="U274" i="1"/>
  <c r="O274" i="1"/>
  <c r="BD274" i="1" s="1"/>
  <c r="L274" i="1"/>
  <c r="BC274" i="1" s="1"/>
  <c r="BL273" i="1"/>
  <c r="BH273" i="1"/>
  <c r="AV273" i="1"/>
  <c r="AL273" i="1"/>
  <c r="AD273" i="1"/>
  <c r="U273" i="1"/>
  <c r="O273" i="1"/>
  <c r="BD273" i="1" s="1"/>
  <c r="L273" i="1"/>
  <c r="BC273" i="1" s="1"/>
  <c r="BL272" i="1"/>
  <c r="BH272" i="1"/>
  <c r="AV272" i="1"/>
  <c r="AL272" i="1"/>
  <c r="AD272" i="1"/>
  <c r="U272" i="1"/>
  <c r="O272" i="1"/>
  <c r="BD272" i="1" s="1"/>
  <c r="L272" i="1"/>
  <c r="BL271" i="1"/>
  <c r="BH271" i="1"/>
  <c r="AV271" i="1"/>
  <c r="AL271" i="1"/>
  <c r="AD271" i="1"/>
  <c r="AI271" i="1" s="1"/>
  <c r="U271" i="1"/>
  <c r="O271" i="1"/>
  <c r="BD271" i="1" s="1"/>
  <c r="L271" i="1"/>
  <c r="BL270" i="1"/>
  <c r="BH270" i="1"/>
  <c r="AV270" i="1"/>
  <c r="AL270" i="1"/>
  <c r="AD270" i="1"/>
  <c r="U270" i="1"/>
  <c r="O270" i="1"/>
  <c r="BD270" i="1" s="1"/>
  <c r="L270" i="1"/>
  <c r="BL269" i="1"/>
  <c r="BH269" i="1"/>
  <c r="AV269" i="1"/>
  <c r="AL269" i="1"/>
  <c r="AD269" i="1"/>
  <c r="AI269" i="1" s="1"/>
  <c r="AJ269" i="1" s="1"/>
  <c r="U269" i="1"/>
  <c r="O269" i="1"/>
  <c r="BD269" i="1" s="1"/>
  <c r="L269" i="1"/>
  <c r="BL268" i="1"/>
  <c r="BH268" i="1"/>
  <c r="AV268" i="1"/>
  <c r="AL268" i="1"/>
  <c r="AD268" i="1"/>
  <c r="AI268" i="1" s="1"/>
  <c r="AJ268" i="1" s="1"/>
  <c r="U268" i="1"/>
  <c r="O268" i="1"/>
  <c r="BD268" i="1" s="1"/>
  <c r="L268" i="1"/>
  <c r="BC268" i="1" s="1"/>
  <c r="BL267" i="1"/>
  <c r="BH267" i="1"/>
  <c r="AV267" i="1"/>
  <c r="AL267" i="1"/>
  <c r="AD267" i="1"/>
  <c r="AI267" i="1" s="1"/>
  <c r="U267" i="1"/>
  <c r="O267" i="1"/>
  <c r="L267" i="1"/>
  <c r="BL266" i="1"/>
  <c r="BH266" i="1"/>
  <c r="AV266" i="1"/>
  <c r="AL266" i="1"/>
  <c r="AD266" i="1"/>
  <c r="AI266" i="1" s="1"/>
  <c r="U266" i="1"/>
  <c r="O266" i="1"/>
  <c r="BD266" i="1" s="1"/>
  <c r="L266" i="1"/>
  <c r="BL265" i="1"/>
  <c r="BH265" i="1"/>
  <c r="AV265" i="1"/>
  <c r="AL265" i="1"/>
  <c r="AD265" i="1"/>
  <c r="AI265" i="1" s="1"/>
  <c r="AJ265" i="1" s="1"/>
  <c r="U265" i="1"/>
  <c r="O265" i="1"/>
  <c r="BD265" i="1" s="1"/>
  <c r="L265" i="1"/>
  <c r="V265" i="1" s="1"/>
  <c r="Z265" i="1" s="1"/>
  <c r="AC265" i="1" s="1"/>
  <c r="BL264" i="1"/>
  <c r="BH264" i="1"/>
  <c r="AV264" i="1"/>
  <c r="AL264" i="1"/>
  <c r="AD264" i="1"/>
  <c r="U264" i="1"/>
  <c r="O264" i="1"/>
  <c r="BD264" i="1" s="1"/>
  <c r="L264" i="1"/>
  <c r="BC264" i="1" s="1"/>
  <c r="BL263" i="1"/>
  <c r="BH263" i="1"/>
  <c r="AV263" i="1"/>
  <c r="AL263" i="1"/>
  <c r="AD263" i="1"/>
  <c r="U263" i="1"/>
  <c r="O263" i="1"/>
  <c r="BD263" i="1" s="1"/>
  <c r="L263" i="1"/>
  <c r="BL262" i="1"/>
  <c r="BH262" i="1"/>
  <c r="AV262" i="1"/>
  <c r="AL262" i="1"/>
  <c r="AD262" i="1"/>
  <c r="U262" i="1"/>
  <c r="O262" i="1"/>
  <c r="BD262" i="1" s="1"/>
  <c r="L262" i="1"/>
  <c r="BL261" i="1"/>
  <c r="BH261" i="1"/>
  <c r="AV261" i="1"/>
  <c r="AL261" i="1"/>
  <c r="AD261" i="1"/>
  <c r="U261" i="1"/>
  <c r="O261" i="1"/>
  <c r="BD261" i="1" s="1"/>
  <c r="L261" i="1"/>
  <c r="BL260" i="1"/>
  <c r="BH260" i="1"/>
  <c r="AV260" i="1"/>
  <c r="AL260" i="1"/>
  <c r="AD260" i="1"/>
  <c r="U260" i="1"/>
  <c r="O260" i="1"/>
  <c r="BD260" i="1" s="1"/>
  <c r="L260" i="1"/>
  <c r="V260" i="1" s="1"/>
  <c r="BL259" i="1"/>
  <c r="BH259" i="1"/>
  <c r="AV259" i="1"/>
  <c r="AL259" i="1"/>
  <c r="AD259" i="1"/>
  <c r="AI259" i="1" s="1"/>
  <c r="U259" i="1"/>
  <c r="O259" i="1"/>
  <c r="L259" i="1"/>
  <c r="BL258" i="1"/>
  <c r="BH258" i="1"/>
  <c r="AV258" i="1"/>
  <c r="AL258" i="1"/>
  <c r="AD258" i="1"/>
  <c r="U258" i="1"/>
  <c r="O258" i="1"/>
  <c r="BD258" i="1" s="1"/>
  <c r="L258" i="1"/>
  <c r="BL257" i="1"/>
  <c r="BH257" i="1"/>
  <c r="AV257" i="1"/>
  <c r="AL257" i="1"/>
  <c r="AD257" i="1"/>
  <c r="U257" i="1"/>
  <c r="O257" i="1"/>
  <c r="BD257" i="1" s="1"/>
  <c r="L257" i="1"/>
  <c r="BL256" i="1"/>
  <c r="BH256" i="1"/>
  <c r="AV256" i="1"/>
  <c r="AL256" i="1"/>
  <c r="AD256" i="1"/>
  <c r="U256" i="1"/>
  <c r="O256" i="1"/>
  <c r="BD256" i="1" s="1"/>
  <c r="L256" i="1"/>
  <c r="BC256" i="1" s="1"/>
  <c r="BL255" i="1"/>
  <c r="BH255" i="1"/>
  <c r="AV255" i="1"/>
  <c r="AL255" i="1"/>
  <c r="AD255" i="1"/>
  <c r="AI255" i="1" s="1"/>
  <c r="AJ255" i="1" s="1"/>
  <c r="U255" i="1"/>
  <c r="O255" i="1"/>
  <c r="L255" i="1"/>
  <c r="BL254" i="1"/>
  <c r="BH254" i="1"/>
  <c r="AV254" i="1"/>
  <c r="AL254" i="1"/>
  <c r="AD254" i="1"/>
  <c r="U254" i="1"/>
  <c r="O254" i="1"/>
  <c r="BD254" i="1" s="1"/>
  <c r="L254" i="1"/>
  <c r="BC254" i="1" s="1"/>
  <c r="BL253" i="1"/>
  <c r="BH253" i="1"/>
  <c r="AV253" i="1"/>
  <c r="AL253" i="1"/>
  <c r="AD253" i="1"/>
  <c r="U253" i="1"/>
  <c r="O253" i="1"/>
  <c r="BD253" i="1" s="1"/>
  <c r="L253" i="1"/>
  <c r="BC253" i="1" s="1"/>
  <c r="BL252" i="1"/>
  <c r="BH252" i="1"/>
  <c r="AV252" i="1"/>
  <c r="AL252" i="1"/>
  <c r="AD252" i="1"/>
  <c r="U252" i="1"/>
  <c r="O252" i="1"/>
  <c r="BD252" i="1" s="1"/>
  <c r="L252" i="1"/>
  <c r="BL251" i="1"/>
  <c r="BH251" i="1"/>
  <c r="AV251" i="1"/>
  <c r="AL251" i="1"/>
  <c r="AD251" i="1"/>
  <c r="U251" i="1"/>
  <c r="O251" i="1"/>
  <c r="BD251" i="1" s="1"/>
  <c r="L251" i="1"/>
  <c r="BL250" i="1"/>
  <c r="BH250" i="1"/>
  <c r="AV250" i="1"/>
  <c r="AL250" i="1"/>
  <c r="AD250" i="1"/>
  <c r="AI250" i="1" s="1"/>
  <c r="U250" i="1"/>
  <c r="O250" i="1"/>
  <c r="L250" i="1"/>
  <c r="BC250" i="1" s="1"/>
  <c r="BL249" i="1"/>
  <c r="BH249" i="1"/>
  <c r="AV249" i="1"/>
  <c r="AL249" i="1"/>
  <c r="AD249" i="1"/>
  <c r="AI249" i="1" s="1"/>
  <c r="U249" i="1"/>
  <c r="O249" i="1"/>
  <c r="BD249" i="1" s="1"/>
  <c r="L249" i="1"/>
  <c r="BL248" i="1"/>
  <c r="BH248" i="1"/>
  <c r="AV248" i="1"/>
  <c r="AL248" i="1"/>
  <c r="AD248" i="1"/>
  <c r="AI248" i="1" s="1"/>
  <c r="AJ248" i="1" s="1"/>
  <c r="U248" i="1"/>
  <c r="O248" i="1"/>
  <c r="BD248" i="1" s="1"/>
  <c r="L248" i="1"/>
  <c r="BL247" i="1"/>
  <c r="BH247" i="1"/>
  <c r="AV247" i="1"/>
  <c r="AL247" i="1"/>
  <c r="AD247" i="1"/>
  <c r="AI247" i="1" s="1"/>
  <c r="U247" i="1"/>
  <c r="O247" i="1"/>
  <c r="BD247" i="1" s="1"/>
  <c r="L247" i="1"/>
  <c r="BL246" i="1"/>
  <c r="BH246" i="1"/>
  <c r="AV246" i="1"/>
  <c r="AL246" i="1"/>
  <c r="AD246" i="1"/>
  <c r="U246" i="1"/>
  <c r="O246" i="1"/>
  <c r="BD246" i="1" s="1"/>
  <c r="L246" i="1"/>
  <c r="BL245" i="1"/>
  <c r="BH245" i="1"/>
  <c r="AV245" i="1"/>
  <c r="AL245" i="1"/>
  <c r="AD245" i="1"/>
  <c r="AI245" i="1" s="1"/>
  <c r="AJ245" i="1" s="1"/>
  <c r="U245" i="1"/>
  <c r="O245" i="1"/>
  <c r="L245" i="1"/>
  <c r="BL244" i="1"/>
  <c r="BH244" i="1"/>
  <c r="AV244" i="1"/>
  <c r="AL244" i="1"/>
  <c r="AD244" i="1"/>
  <c r="AI244" i="1" s="1"/>
  <c r="AJ244" i="1" s="1"/>
  <c r="U244" i="1"/>
  <c r="O244" i="1"/>
  <c r="L244" i="1"/>
  <c r="BL243" i="1"/>
  <c r="BH243" i="1"/>
  <c r="AV243" i="1"/>
  <c r="AL243" i="1"/>
  <c r="AD243" i="1"/>
  <c r="U243" i="1"/>
  <c r="O243" i="1"/>
  <c r="BD243" i="1" s="1"/>
  <c r="L243" i="1"/>
  <c r="V243" i="1" s="1"/>
  <c r="Z243" i="1" s="1"/>
  <c r="AC243" i="1" s="1"/>
  <c r="BL242" i="1"/>
  <c r="BH242" i="1"/>
  <c r="AV242" i="1"/>
  <c r="AL242" i="1"/>
  <c r="AD242" i="1"/>
  <c r="U242" i="1"/>
  <c r="O242" i="1"/>
  <c r="BD242" i="1" s="1"/>
  <c r="L242" i="1"/>
  <c r="BL241" i="1"/>
  <c r="BH241" i="1"/>
  <c r="AV241" i="1"/>
  <c r="AL241" i="1"/>
  <c r="AD241" i="1"/>
  <c r="AI241" i="1" s="1"/>
  <c r="AJ241" i="1" s="1"/>
  <c r="U241" i="1"/>
  <c r="O241" i="1"/>
  <c r="L241" i="1"/>
  <c r="BC241" i="1" s="1"/>
  <c r="BL240" i="1"/>
  <c r="BH240" i="1"/>
  <c r="AV240" i="1"/>
  <c r="AL240" i="1"/>
  <c r="AD240" i="1"/>
  <c r="AI240" i="1" s="1"/>
  <c r="AJ240" i="1" s="1"/>
  <c r="U240" i="1"/>
  <c r="O240" i="1"/>
  <c r="L240" i="1"/>
  <c r="BL239" i="1"/>
  <c r="BH239" i="1"/>
  <c r="AV239" i="1"/>
  <c r="AL239" i="1"/>
  <c r="AD239" i="1"/>
  <c r="AI239" i="1" s="1"/>
  <c r="U239" i="1"/>
  <c r="O239" i="1"/>
  <c r="BD239" i="1" s="1"/>
  <c r="L239" i="1"/>
  <c r="V239" i="1" s="1"/>
  <c r="BL238" i="1"/>
  <c r="BH238" i="1"/>
  <c r="AV238" i="1"/>
  <c r="AL238" i="1"/>
  <c r="AD238" i="1"/>
  <c r="AI238" i="1" s="1"/>
  <c r="U238" i="1"/>
  <c r="O238" i="1"/>
  <c r="BD238" i="1" s="1"/>
  <c r="L238" i="1"/>
  <c r="V238" i="1" s="1"/>
  <c r="BL237" i="1"/>
  <c r="BH237" i="1"/>
  <c r="AV237" i="1"/>
  <c r="AL237" i="1"/>
  <c r="AD237" i="1"/>
  <c r="U237" i="1"/>
  <c r="O237" i="1"/>
  <c r="BD237" i="1" s="1"/>
  <c r="L237" i="1"/>
  <c r="BL236" i="1"/>
  <c r="BH236" i="1"/>
  <c r="AV236" i="1"/>
  <c r="AL236" i="1"/>
  <c r="AD236" i="1"/>
  <c r="U236" i="1"/>
  <c r="O236" i="1"/>
  <c r="BD236" i="1" s="1"/>
  <c r="L236" i="1"/>
  <c r="BL235" i="1"/>
  <c r="BH235" i="1"/>
  <c r="AV235" i="1"/>
  <c r="AL235" i="1"/>
  <c r="AD235" i="1"/>
  <c r="U235" i="1"/>
  <c r="O235" i="1"/>
  <c r="BD235" i="1" s="1"/>
  <c r="L235" i="1"/>
  <c r="BL234" i="1"/>
  <c r="BH234" i="1"/>
  <c r="AV234" i="1"/>
  <c r="AL234" i="1"/>
  <c r="AD234" i="1"/>
  <c r="U234" i="1"/>
  <c r="O234" i="1"/>
  <c r="BD234" i="1" s="1"/>
  <c r="L234" i="1"/>
  <c r="V234" i="1" s="1"/>
  <c r="BL233" i="1"/>
  <c r="BH233" i="1"/>
  <c r="AV233" i="1"/>
  <c r="AL233" i="1"/>
  <c r="AD233" i="1"/>
  <c r="AI233" i="1" s="1"/>
  <c r="AJ233" i="1" s="1"/>
  <c r="U233" i="1"/>
  <c r="O233" i="1"/>
  <c r="L233" i="1"/>
  <c r="BL232" i="1"/>
  <c r="BH232" i="1"/>
  <c r="AV232" i="1"/>
  <c r="AL232" i="1"/>
  <c r="AD232" i="1"/>
  <c r="AI232" i="1" s="1"/>
  <c r="AJ232" i="1" s="1"/>
  <c r="U232" i="1"/>
  <c r="O232" i="1"/>
  <c r="L232" i="1"/>
  <c r="BL231" i="1"/>
  <c r="BH231" i="1"/>
  <c r="AV231" i="1"/>
  <c r="AL231" i="1"/>
  <c r="AD231" i="1"/>
  <c r="AI231" i="1" s="1"/>
  <c r="U231" i="1"/>
  <c r="O231" i="1"/>
  <c r="BD231" i="1" s="1"/>
  <c r="L231" i="1"/>
  <c r="V231" i="1" s="1"/>
  <c r="Z231" i="1" s="1"/>
  <c r="AC231" i="1" s="1"/>
  <c r="BL230" i="1"/>
  <c r="BH230" i="1"/>
  <c r="AV230" i="1"/>
  <c r="AL230" i="1"/>
  <c r="AD230" i="1"/>
  <c r="AI230" i="1" s="1"/>
  <c r="U230" i="1"/>
  <c r="O230" i="1"/>
  <c r="L230" i="1"/>
  <c r="V230" i="1" s="1"/>
  <c r="Z230" i="1" s="1"/>
  <c r="AC230" i="1" s="1"/>
  <c r="BL229" i="1"/>
  <c r="BH229" i="1"/>
  <c r="AV229" i="1"/>
  <c r="AL229" i="1"/>
  <c r="AD229" i="1"/>
  <c r="AI229" i="1" s="1"/>
  <c r="AJ229" i="1" s="1"/>
  <c r="U229" i="1"/>
  <c r="O229" i="1"/>
  <c r="BD229" i="1" s="1"/>
  <c r="L229" i="1"/>
  <c r="BL228" i="1"/>
  <c r="BH228" i="1"/>
  <c r="AV228" i="1"/>
  <c r="AL228" i="1"/>
  <c r="AD228" i="1"/>
  <c r="U228" i="1"/>
  <c r="O228" i="1"/>
  <c r="BD228" i="1" s="1"/>
  <c r="L228" i="1"/>
  <c r="BL227" i="1"/>
  <c r="BH227" i="1"/>
  <c r="AV227" i="1"/>
  <c r="AL227" i="1"/>
  <c r="AD227" i="1"/>
  <c r="U227" i="1"/>
  <c r="O227" i="1"/>
  <c r="BD227" i="1" s="1"/>
  <c r="L227" i="1"/>
  <c r="BL226" i="1"/>
  <c r="BH226" i="1"/>
  <c r="AV226" i="1"/>
  <c r="AL226" i="1"/>
  <c r="AD226" i="1"/>
  <c r="AI226" i="1" s="1"/>
  <c r="AJ226" i="1" s="1"/>
  <c r="U226" i="1"/>
  <c r="O226" i="1"/>
  <c r="BD226" i="1" s="1"/>
  <c r="L226" i="1"/>
  <c r="BC226" i="1" s="1"/>
  <c r="BL225" i="1"/>
  <c r="BH225" i="1"/>
  <c r="AV225" i="1"/>
  <c r="AL225" i="1"/>
  <c r="AD225" i="1"/>
  <c r="AI225" i="1" s="1"/>
  <c r="U225" i="1"/>
  <c r="O225" i="1"/>
  <c r="BD225" i="1" s="1"/>
  <c r="L225" i="1"/>
  <c r="BC225" i="1" s="1"/>
  <c r="BL224" i="1"/>
  <c r="BH224" i="1"/>
  <c r="AV224" i="1"/>
  <c r="AL224" i="1"/>
  <c r="AD224" i="1"/>
  <c r="U224" i="1"/>
  <c r="O224" i="1"/>
  <c r="BD224" i="1" s="1"/>
  <c r="L224" i="1"/>
  <c r="BL223" i="1"/>
  <c r="BH223" i="1"/>
  <c r="AV223" i="1"/>
  <c r="AL223" i="1"/>
  <c r="AD223" i="1"/>
  <c r="U223" i="1"/>
  <c r="O223" i="1"/>
  <c r="BD223" i="1" s="1"/>
  <c r="L223" i="1"/>
  <c r="BL222" i="1"/>
  <c r="BH222" i="1"/>
  <c r="AV222" i="1"/>
  <c r="AL222" i="1"/>
  <c r="AD222" i="1"/>
  <c r="U222" i="1"/>
  <c r="O222" i="1"/>
  <c r="BD222" i="1" s="1"/>
  <c r="L222" i="1"/>
  <c r="BL221" i="1"/>
  <c r="BH221" i="1"/>
  <c r="AV221" i="1"/>
  <c r="AL221" i="1"/>
  <c r="AD221" i="1"/>
  <c r="AI221" i="1" s="1"/>
  <c r="U221" i="1"/>
  <c r="O221" i="1"/>
  <c r="L221" i="1"/>
  <c r="BL220" i="1"/>
  <c r="BH220" i="1"/>
  <c r="AV220" i="1"/>
  <c r="AL220" i="1"/>
  <c r="AD220" i="1"/>
  <c r="U220" i="1"/>
  <c r="O220" i="1"/>
  <c r="BD220" i="1" s="1"/>
  <c r="L220" i="1"/>
  <c r="BC220" i="1" s="1"/>
  <c r="BL219" i="1"/>
  <c r="BH219" i="1"/>
  <c r="AV219" i="1"/>
  <c r="AL219" i="1"/>
  <c r="AD219" i="1"/>
  <c r="AI219" i="1" s="1"/>
  <c r="AJ219" i="1" s="1"/>
  <c r="U219" i="1"/>
  <c r="O219" i="1"/>
  <c r="L219" i="1"/>
  <c r="V219" i="1" s="1"/>
  <c r="BL218" i="1"/>
  <c r="BH218" i="1"/>
  <c r="AV218" i="1"/>
  <c r="AL218" i="1"/>
  <c r="AD218" i="1"/>
  <c r="U218" i="1"/>
  <c r="O218" i="1"/>
  <c r="BD218" i="1" s="1"/>
  <c r="L218" i="1"/>
  <c r="BL217" i="1"/>
  <c r="BH217" i="1"/>
  <c r="AV217" i="1"/>
  <c r="AL217" i="1"/>
  <c r="AD217" i="1"/>
  <c r="AI217" i="1" s="1"/>
  <c r="AJ217" i="1" s="1"/>
  <c r="U217" i="1"/>
  <c r="O217" i="1"/>
  <c r="BD217" i="1" s="1"/>
  <c r="L217" i="1"/>
  <c r="V217" i="1" s="1"/>
  <c r="BL216" i="1"/>
  <c r="BH216" i="1"/>
  <c r="AV216" i="1"/>
  <c r="AL216" i="1"/>
  <c r="AD216" i="1"/>
  <c r="AI216" i="1" s="1"/>
  <c r="AJ216" i="1" s="1"/>
  <c r="U216" i="1"/>
  <c r="O216" i="1"/>
  <c r="BD216" i="1" s="1"/>
  <c r="L216" i="1"/>
  <c r="BL215" i="1"/>
  <c r="BH215" i="1"/>
  <c r="AV215" i="1"/>
  <c r="AL215" i="1"/>
  <c r="AD215" i="1"/>
  <c r="AI215" i="1" s="1"/>
  <c r="U215" i="1"/>
  <c r="O215" i="1"/>
  <c r="L215" i="1"/>
  <c r="BL214" i="1"/>
  <c r="BH214" i="1"/>
  <c r="AV214" i="1"/>
  <c r="AL214" i="1"/>
  <c r="AD214" i="1"/>
  <c r="AI214" i="1" s="1"/>
  <c r="U214" i="1"/>
  <c r="O214" i="1"/>
  <c r="BD214" i="1" s="1"/>
  <c r="L214" i="1"/>
  <c r="BC214" i="1" s="1"/>
  <c r="BL213" i="1"/>
  <c r="BH213" i="1"/>
  <c r="AV213" i="1"/>
  <c r="AL213" i="1"/>
  <c r="AD213" i="1"/>
  <c r="AI213" i="1" s="1"/>
  <c r="U213" i="1"/>
  <c r="O213" i="1"/>
  <c r="BD213" i="1" s="1"/>
  <c r="L213" i="1"/>
  <c r="BC213" i="1" s="1"/>
  <c r="BL212" i="1"/>
  <c r="BH212" i="1"/>
  <c r="AV212" i="1"/>
  <c r="AL212" i="1"/>
  <c r="AD212" i="1"/>
  <c r="U212" i="1"/>
  <c r="O212" i="1"/>
  <c r="BD212" i="1" s="1"/>
  <c r="L212" i="1"/>
  <c r="BL211" i="1"/>
  <c r="BH211" i="1"/>
  <c r="AV211" i="1"/>
  <c r="AL211" i="1"/>
  <c r="AD211" i="1"/>
  <c r="U211" i="1"/>
  <c r="O211" i="1"/>
  <c r="BD211" i="1" s="1"/>
  <c r="L211" i="1"/>
  <c r="BL210" i="1"/>
  <c r="BH210" i="1"/>
  <c r="AV210" i="1"/>
  <c r="AL210" i="1"/>
  <c r="AD210" i="1"/>
  <c r="U210" i="1"/>
  <c r="O210" i="1"/>
  <c r="BD210" i="1" s="1"/>
  <c r="L210" i="1"/>
  <c r="V210" i="1" s="1"/>
  <c r="Z210" i="1" s="1"/>
  <c r="AC210" i="1" s="1"/>
  <c r="BL209" i="1"/>
  <c r="BH209" i="1"/>
  <c r="AV209" i="1"/>
  <c r="AL209" i="1"/>
  <c r="AD209" i="1"/>
  <c r="AI209" i="1" s="1"/>
  <c r="U209" i="1"/>
  <c r="O209" i="1"/>
  <c r="BD209" i="1" s="1"/>
  <c r="L209" i="1"/>
  <c r="BL208" i="1"/>
  <c r="BH208" i="1"/>
  <c r="AV208" i="1"/>
  <c r="AL208" i="1"/>
  <c r="AD208" i="1"/>
  <c r="AI208" i="1" s="1"/>
  <c r="U208" i="1"/>
  <c r="O208" i="1"/>
  <c r="BD208" i="1" s="1"/>
  <c r="L208" i="1"/>
  <c r="BC208" i="1" s="1"/>
  <c r="BL207" i="1"/>
  <c r="BH207" i="1"/>
  <c r="AV207" i="1"/>
  <c r="AL207" i="1"/>
  <c r="AD207" i="1"/>
  <c r="AI207" i="1" s="1"/>
  <c r="AJ207" i="1" s="1"/>
  <c r="U207" i="1"/>
  <c r="O207" i="1"/>
  <c r="BD207" i="1" s="1"/>
  <c r="L207" i="1"/>
  <c r="V207" i="1" s="1"/>
  <c r="BL206" i="1"/>
  <c r="BH206" i="1"/>
  <c r="AV206" i="1"/>
  <c r="AL206" i="1"/>
  <c r="AD206" i="1"/>
  <c r="AI206" i="1" s="1"/>
  <c r="U206" i="1"/>
  <c r="O206" i="1"/>
  <c r="BD206" i="1" s="1"/>
  <c r="L206" i="1"/>
  <c r="BC206" i="1" s="1"/>
  <c r="BL205" i="1"/>
  <c r="BH205" i="1"/>
  <c r="AV205" i="1"/>
  <c r="AL205" i="1"/>
  <c r="AD205" i="1"/>
  <c r="U205" i="1"/>
  <c r="O205" i="1"/>
  <c r="BD205" i="1" s="1"/>
  <c r="L205" i="1"/>
  <c r="V205" i="1" s="1"/>
  <c r="BL204" i="1"/>
  <c r="BH204" i="1"/>
  <c r="AV204" i="1"/>
  <c r="AL204" i="1"/>
  <c r="AD204" i="1"/>
  <c r="U204" i="1"/>
  <c r="O204" i="1"/>
  <c r="BD204" i="1" s="1"/>
  <c r="L204" i="1"/>
  <c r="BL203" i="1"/>
  <c r="BH203" i="1"/>
  <c r="AV203" i="1"/>
  <c r="AL203" i="1"/>
  <c r="AD203" i="1"/>
  <c r="AI203" i="1" s="1"/>
  <c r="AJ203" i="1" s="1"/>
  <c r="U203" i="1"/>
  <c r="O203" i="1"/>
  <c r="L203" i="1"/>
  <c r="BC203" i="1" s="1"/>
  <c r="BL202" i="1"/>
  <c r="BH202" i="1"/>
  <c r="AV202" i="1"/>
  <c r="AL202" i="1"/>
  <c r="AD202" i="1"/>
  <c r="AI202" i="1" s="1"/>
  <c r="U202" i="1"/>
  <c r="O202" i="1"/>
  <c r="BD202" i="1" s="1"/>
  <c r="L202" i="1"/>
  <c r="BC202" i="1" s="1"/>
  <c r="BL201" i="1"/>
  <c r="BH201" i="1"/>
  <c r="AV201" i="1"/>
  <c r="AL201" i="1"/>
  <c r="AD201" i="1"/>
  <c r="U201" i="1"/>
  <c r="O201" i="1"/>
  <c r="BD201" i="1" s="1"/>
  <c r="L201" i="1"/>
  <c r="BL200" i="1"/>
  <c r="BH200" i="1"/>
  <c r="AV200" i="1"/>
  <c r="AL200" i="1"/>
  <c r="AD200" i="1"/>
  <c r="AI200" i="1" s="1"/>
  <c r="AJ200" i="1" s="1"/>
  <c r="U200" i="1"/>
  <c r="O200" i="1"/>
  <c r="BD200" i="1" s="1"/>
  <c r="L200" i="1"/>
  <c r="BL199" i="1"/>
  <c r="BH199" i="1"/>
  <c r="AV199" i="1"/>
  <c r="AL199" i="1"/>
  <c r="AD199" i="1"/>
  <c r="U199" i="1"/>
  <c r="O199" i="1"/>
  <c r="BD199" i="1" s="1"/>
  <c r="L199" i="1"/>
  <c r="V199" i="1" s="1"/>
  <c r="BL198" i="1"/>
  <c r="BH198" i="1"/>
  <c r="AV198" i="1"/>
  <c r="AL198" i="1"/>
  <c r="AD198" i="1"/>
  <c r="U198" i="1"/>
  <c r="O198" i="1"/>
  <c r="BD198" i="1" s="1"/>
  <c r="L198" i="1"/>
  <c r="BL197" i="1"/>
  <c r="BH197" i="1"/>
  <c r="AV197" i="1"/>
  <c r="AL197" i="1"/>
  <c r="AD197" i="1"/>
  <c r="U197" i="1"/>
  <c r="O197" i="1"/>
  <c r="BD197" i="1" s="1"/>
  <c r="L197" i="1"/>
  <c r="BC197" i="1" s="1"/>
  <c r="BL196" i="1"/>
  <c r="BH196" i="1"/>
  <c r="AV196" i="1"/>
  <c r="AL196" i="1"/>
  <c r="AD196" i="1"/>
  <c r="U196" i="1"/>
  <c r="O196" i="1"/>
  <c r="BD196" i="1" s="1"/>
  <c r="L196" i="1"/>
  <c r="BL195" i="1"/>
  <c r="BH195" i="1"/>
  <c r="AV195" i="1"/>
  <c r="AL195" i="1"/>
  <c r="AD195" i="1"/>
  <c r="U195" i="1"/>
  <c r="O195" i="1"/>
  <c r="BD195" i="1" s="1"/>
  <c r="L195" i="1"/>
  <c r="BC195" i="1" s="1"/>
  <c r="BL194" i="1"/>
  <c r="BH194" i="1"/>
  <c r="AV194" i="1"/>
  <c r="AL194" i="1"/>
  <c r="AD194" i="1"/>
  <c r="AI194" i="1" s="1"/>
  <c r="U194" i="1"/>
  <c r="O194" i="1"/>
  <c r="L194" i="1"/>
  <c r="BL193" i="1"/>
  <c r="BH193" i="1"/>
  <c r="AV193" i="1"/>
  <c r="AL193" i="1"/>
  <c r="AD193" i="1"/>
  <c r="AI193" i="1" s="1"/>
  <c r="AJ193" i="1" s="1"/>
  <c r="U193" i="1"/>
  <c r="O193" i="1"/>
  <c r="L193" i="1"/>
  <c r="V193" i="1" s="1"/>
  <c r="BL192" i="1"/>
  <c r="BH192" i="1"/>
  <c r="AV192" i="1"/>
  <c r="AL192" i="1"/>
  <c r="AD192" i="1"/>
  <c r="U192" i="1"/>
  <c r="O192" i="1"/>
  <c r="BD192" i="1" s="1"/>
  <c r="L192" i="1"/>
  <c r="BL191" i="1"/>
  <c r="BH191" i="1"/>
  <c r="AV191" i="1"/>
  <c r="AL191" i="1"/>
  <c r="AD191" i="1"/>
  <c r="U191" i="1"/>
  <c r="O191" i="1"/>
  <c r="BD191" i="1" s="1"/>
  <c r="L191" i="1"/>
  <c r="V191" i="1" s="1"/>
  <c r="BL190" i="1"/>
  <c r="BH190" i="1"/>
  <c r="AV190" i="1"/>
  <c r="AL190" i="1"/>
  <c r="AD190" i="1"/>
  <c r="AI190" i="1" s="1"/>
  <c r="U190" i="1"/>
  <c r="O190" i="1"/>
  <c r="BD190" i="1" s="1"/>
  <c r="L190" i="1"/>
  <c r="BC190" i="1" s="1"/>
  <c r="BL189" i="1"/>
  <c r="BH189" i="1"/>
  <c r="AV189" i="1"/>
  <c r="AL189" i="1"/>
  <c r="AD189" i="1"/>
  <c r="AI189" i="1" s="1"/>
  <c r="AJ189" i="1" s="1"/>
  <c r="U189" i="1"/>
  <c r="O189" i="1"/>
  <c r="BD189" i="1" s="1"/>
  <c r="L189" i="1"/>
  <c r="V189" i="1" s="1"/>
  <c r="BL188" i="1"/>
  <c r="BH188" i="1"/>
  <c r="AV188" i="1"/>
  <c r="AL188" i="1"/>
  <c r="AD188" i="1"/>
  <c r="AI188" i="1" s="1"/>
  <c r="U188" i="1"/>
  <c r="O188" i="1"/>
  <c r="BD188" i="1" s="1"/>
  <c r="L188" i="1"/>
  <c r="BL187" i="1"/>
  <c r="BH187" i="1"/>
  <c r="AV187" i="1"/>
  <c r="AL187" i="1"/>
  <c r="AD187" i="1"/>
  <c r="U187" i="1"/>
  <c r="O187" i="1"/>
  <c r="BD187" i="1" s="1"/>
  <c r="L187" i="1"/>
  <c r="BC187" i="1" s="1"/>
  <c r="BL186" i="1"/>
  <c r="BH186" i="1"/>
  <c r="AV186" i="1"/>
  <c r="AL186" i="1"/>
  <c r="AD186" i="1"/>
  <c r="AI186" i="1" s="1"/>
  <c r="AJ186" i="1" s="1"/>
  <c r="U186" i="1"/>
  <c r="O186" i="1"/>
  <c r="BD186" i="1" s="1"/>
  <c r="L186" i="1"/>
  <c r="BL185" i="1"/>
  <c r="BH185" i="1"/>
  <c r="AV185" i="1"/>
  <c r="AL185" i="1"/>
  <c r="AD185" i="1"/>
  <c r="U185" i="1"/>
  <c r="O185" i="1"/>
  <c r="BD185" i="1" s="1"/>
  <c r="L185" i="1"/>
  <c r="BL184" i="1"/>
  <c r="BH184" i="1"/>
  <c r="AV184" i="1"/>
  <c r="AL184" i="1"/>
  <c r="AD184" i="1"/>
  <c r="AI184" i="1" s="1"/>
  <c r="AJ184" i="1" s="1"/>
  <c r="U184" i="1"/>
  <c r="O184" i="1"/>
  <c r="L184" i="1"/>
  <c r="BL183" i="1"/>
  <c r="BH183" i="1"/>
  <c r="AV183" i="1"/>
  <c r="AL183" i="1"/>
  <c r="AD183" i="1"/>
  <c r="U183" i="1"/>
  <c r="O183" i="1"/>
  <c r="BD183" i="1" s="1"/>
  <c r="L183" i="1"/>
  <c r="BL182" i="1"/>
  <c r="BH182" i="1"/>
  <c r="AV182" i="1"/>
  <c r="AL182" i="1"/>
  <c r="AD182" i="1"/>
  <c r="AI182" i="1" s="1"/>
  <c r="AJ182" i="1" s="1"/>
  <c r="U182" i="1"/>
  <c r="O182" i="1"/>
  <c r="BD182" i="1" s="1"/>
  <c r="L182" i="1"/>
  <c r="V182" i="1" s="1"/>
  <c r="Z182" i="1" s="1"/>
  <c r="AC182" i="1" s="1"/>
  <c r="BL181" i="1"/>
  <c r="BH181" i="1"/>
  <c r="AV181" i="1"/>
  <c r="AL181" i="1"/>
  <c r="AD181" i="1"/>
  <c r="U181" i="1"/>
  <c r="O181" i="1"/>
  <c r="BD181" i="1" s="1"/>
  <c r="L181" i="1"/>
  <c r="V181" i="1" s="1"/>
  <c r="BL180" i="1"/>
  <c r="BH180" i="1"/>
  <c r="AV180" i="1"/>
  <c r="AL180" i="1"/>
  <c r="AD180" i="1"/>
  <c r="U180" i="1"/>
  <c r="O180" i="1"/>
  <c r="BD180" i="1" s="1"/>
  <c r="L180" i="1"/>
  <c r="V180" i="1" s="1"/>
  <c r="BL179" i="1"/>
  <c r="BH179" i="1"/>
  <c r="AV179" i="1"/>
  <c r="AL179" i="1"/>
  <c r="AD179" i="1"/>
  <c r="AI179" i="1" s="1"/>
  <c r="U179" i="1"/>
  <c r="O179" i="1"/>
  <c r="BD179" i="1" s="1"/>
  <c r="L179" i="1"/>
  <c r="V179" i="1" s="1"/>
  <c r="Z179" i="1" s="1"/>
  <c r="AC179" i="1" s="1"/>
  <c r="BL178" i="1"/>
  <c r="BH178" i="1"/>
  <c r="AV178" i="1"/>
  <c r="AL178" i="1"/>
  <c r="AD178" i="1"/>
  <c r="AI178" i="1" s="1"/>
  <c r="U178" i="1"/>
  <c r="O178" i="1"/>
  <c r="BD178" i="1" s="1"/>
  <c r="L178" i="1"/>
  <c r="V178" i="1" s="1"/>
  <c r="Z178" i="1" s="1"/>
  <c r="AC178" i="1" s="1"/>
  <c r="BL177" i="1"/>
  <c r="BH177" i="1"/>
  <c r="AV177" i="1"/>
  <c r="AL177" i="1"/>
  <c r="AD177" i="1"/>
  <c r="AI177" i="1" s="1"/>
  <c r="AJ177" i="1" s="1"/>
  <c r="U177" i="1"/>
  <c r="O177" i="1"/>
  <c r="BD177" i="1" s="1"/>
  <c r="L177" i="1"/>
  <c r="V177" i="1" s="1"/>
  <c r="Z177" i="1" s="1"/>
  <c r="AC177" i="1" s="1"/>
  <c r="BL176" i="1"/>
  <c r="BH176" i="1"/>
  <c r="AV176" i="1"/>
  <c r="AL176" i="1"/>
  <c r="AD176" i="1"/>
  <c r="AI176" i="1" s="1"/>
  <c r="U176" i="1"/>
  <c r="O176" i="1"/>
  <c r="BD176" i="1" s="1"/>
  <c r="L176" i="1"/>
  <c r="BL175" i="1"/>
  <c r="BH175" i="1"/>
  <c r="AV175" i="1"/>
  <c r="AL175" i="1"/>
  <c r="AD175" i="1"/>
  <c r="U175" i="1"/>
  <c r="O175" i="1"/>
  <c r="BD175" i="1" s="1"/>
  <c r="L175" i="1"/>
  <c r="BL174" i="1"/>
  <c r="BH174" i="1"/>
  <c r="AV174" i="1"/>
  <c r="AL174" i="1"/>
  <c r="AD174" i="1"/>
  <c r="AI174" i="1" s="1"/>
  <c r="AJ174" i="1" s="1"/>
  <c r="U174" i="1"/>
  <c r="O174" i="1"/>
  <c r="BD174" i="1" s="1"/>
  <c r="L174" i="1"/>
  <c r="BL173" i="1"/>
  <c r="BH173" i="1"/>
  <c r="AV173" i="1"/>
  <c r="AL173" i="1"/>
  <c r="AD173" i="1"/>
  <c r="U173" i="1"/>
  <c r="O173" i="1"/>
  <c r="BD173" i="1" s="1"/>
  <c r="L173" i="1"/>
  <c r="BL172" i="1"/>
  <c r="AV172" i="1"/>
  <c r="AL172" i="1"/>
  <c r="AD172" i="1"/>
  <c r="U172" i="1"/>
  <c r="O172" i="1"/>
  <c r="BD172" i="1" s="1"/>
  <c r="L172" i="1"/>
  <c r="BL171" i="1"/>
  <c r="BH171" i="1"/>
  <c r="AV171" i="1"/>
  <c r="AL171" i="1"/>
  <c r="AD171" i="1"/>
  <c r="U171" i="1"/>
  <c r="O171" i="1"/>
  <c r="BD171" i="1" s="1"/>
  <c r="L171" i="1"/>
  <c r="BL170" i="1"/>
  <c r="BH170" i="1"/>
  <c r="AV170" i="1"/>
  <c r="AL170" i="1"/>
  <c r="AD170" i="1"/>
  <c r="U170" i="1"/>
  <c r="O170" i="1"/>
  <c r="BD170" i="1" s="1"/>
  <c r="L170" i="1"/>
  <c r="BL169" i="1"/>
  <c r="AV169" i="1"/>
  <c r="AL169" i="1"/>
  <c r="AD169" i="1"/>
  <c r="U169" i="1"/>
  <c r="O169" i="1"/>
  <c r="BD169" i="1" s="1"/>
  <c r="L169" i="1"/>
  <c r="BC169" i="1" s="1"/>
  <c r="BL168" i="1"/>
  <c r="BH168" i="1"/>
  <c r="AV168" i="1"/>
  <c r="AL168" i="1"/>
  <c r="AD168" i="1"/>
  <c r="AI168" i="1" s="1"/>
  <c r="AJ168" i="1" s="1"/>
  <c r="U168" i="1"/>
  <c r="O168" i="1"/>
  <c r="BD168" i="1" s="1"/>
  <c r="L168" i="1"/>
  <c r="BL167" i="1"/>
  <c r="BH167" i="1"/>
  <c r="AV167" i="1"/>
  <c r="AL167" i="1"/>
  <c r="AD167" i="1"/>
  <c r="U167" i="1"/>
  <c r="O167" i="1"/>
  <c r="BD167" i="1" s="1"/>
  <c r="L167" i="1"/>
  <c r="BC167" i="1" s="1"/>
  <c r="BL166" i="1"/>
  <c r="BH166" i="1"/>
  <c r="AV166" i="1"/>
  <c r="AL166" i="1"/>
  <c r="AD166" i="1"/>
  <c r="AI166" i="1" s="1"/>
  <c r="U166" i="1"/>
  <c r="O166" i="1"/>
  <c r="BD166" i="1" s="1"/>
  <c r="L166" i="1"/>
  <c r="BL165" i="1"/>
  <c r="BH165" i="1"/>
  <c r="AV165" i="1"/>
  <c r="AL165" i="1"/>
  <c r="AD165" i="1"/>
  <c r="U165" i="1"/>
  <c r="O165" i="1"/>
  <c r="BD165" i="1" s="1"/>
  <c r="L165" i="1"/>
  <c r="BC165" i="1" s="1"/>
  <c r="BL164" i="1"/>
  <c r="BH164" i="1"/>
  <c r="AV164" i="1"/>
  <c r="AL164" i="1"/>
  <c r="AD164" i="1"/>
  <c r="U164" i="1"/>
  <c r="O164" i="1"/>
  <c r="BD164" i="1" s="1"/>
  <c r="L164" i="1"/>
  <c r="BC164" i="1" s="1"/>
  <c r="BL163" i="1"/>
  <c r="BH163" i="1"/>
  <c r="AV163" i="1"/>
  <c r="AL163" i="1"/>
  <c r="AD163" i="1"/>
  <c r="AI163" i="1" s="1"/>
  <c r="U163" i="1"/>
  <c r="O163" i="1"/>
  <c r="BD163" i="1" s="1"/>
  <c r="L163" i="1"/>
  <c r="BL162" i="1"/>
  <c r="BH162" i="1"/>
  <c r="AV162" i="1"/>
  <c r="AL162" i="1"/>
  <c r="AD162" i="1"/>
  <c r="U162" i="1"/>
  <c r="O162" i="1"/>
  <c r="BD162" i="1" s="1"/>
  <c r="L162" i="1"/>
  <c r="BL161" i="1"/>
  <c r="BH161" i="1"/>
  <c r="AV161" i="1"/>
  <c r="AL161" i="1"/>
  <c r="AD161" i="1"/>
  <c r="AI161" i="1" s="1"/>
  <c r="AJ161" i="1" s="1"/>
  <c r="U161" i="1"/>
  <c r="O161" i="1"/>
  <c r="BD161" i="1" s="1"/>
  <c r="L161" i="1"/>
  <c r="BL160" i="1"/>
  <c r="BH160" i="1"/>
  <c r="AV160" i="1"/>
  <c r="AL160" i="1"/>
  <c r="AD160" i="1"/>
  <c r="AI160" i="1" s="1"/>
  <c r="U160" i="1"/>
  <c r="O160" i="1"/>
  <c r="BD160" i="1" s="1"/>
  <c r="L160" i="1"/>
  <c r="BL159" i="1"/>
  <c r="BH159" i="1"/>
  <c r="AV159" i="1"/>
  <c r="AL159" i="1"/>
  <c r="AD159" i="1"/>
  <c r="AI159" i="1" s="1"/>
  <c r="U159" i="1"/>
  <c r="O159" i="1"/>
  <c r="L159" i="1"/>
  <c r="BC159" i="1" s="1"/>
  <c r="BL158" i="1"/>
  <c r="BH158" i="1"/>
  <c r="AV158" i="1"/>
  <c r="AL158" i="1"/>
  <c r="AD158" i="1"/>
  <c r="AI158" i="1" s="1"/>
  <c r="AJ158" i="1" s="1"/>
  <c r="U158" i="1"/>
  <c r="O158" i="1"/>
  <c r="BD158" i="1" s="1"/>
  <c r="L158" i="1"/>
  <c r="V158" i="1" s="1"/>
  <c r="Z158" i="1" s="1"/>
  <c r="AC158" i="1" s="1"/>
  <c r="BL157" i="1"/>
  <c r="BH157" i="1"/>
  <c r="AV157" i="1"/>
  <c r="AL157" i="1"/>
  <c r="AD157" i="1"/>
  <c r="U157" i="1"/>
  <c r="O157" i="1"/>
  <c r="BD157" i="1" s="1"/>
  <c r="L157" i="1"/>
  <c r="BC157" i="1" s="1"/>
  <c r="BL156" i="1"/>
  <c r="BH156" i="1"/>
  <c r="AV156" i="1"/>
  <c r="AL156" i="1"/>
  <c r="AD156" i="1"/>
  <c r="AI156" i="1" s="1"/>
  <c r="AJ156" i="1" s="1"/>
  <c r="U156" i="1"/>
  <c r="O156" i="1"/>
  <c r="L156" i="1"/>
  <c r="BC156" i="1" s="1"/>
  <c r="BL155" i="1"/>
  <c r="BH155" i="1"/>
  <c r="AV155" i="1"/>
  <c r="AL155" i="1"/>
  <c r="AD155" i="1"/>
  <c r="AI155" i="1" s="1"/>
  <c r="AJ155" i="1" s="1"/>
  <c r="U155" i="1"/>
  <c r="O155" i="1"/>
  <c r="BD155" i="1" s="1"/>
  <c r="L155" i="1"/>
  <c r="BL154" i="1"/>
  <c r="BH154" i="1"/>
  <c r="AV154" i="1"/>
  <c r="AL154" i="1"/>
  <c r="AD154" i="1"/>
  <c r="U154" i="1"/>
  <c r="O154" i="1"/>
  <c r="BD154" i="1" s="1"/>
  <c r="L154" i="1"/>
  <c r="BC154" i="1" s="1"/>
  <c r="BL153" i="1"/>
  <c r="BH153" i="1"/>
  <c r="AV153" i="1"/>
  <c r="AL153" i="1"/>
  <c r="AD153" i="1"/>
  <c r="AI153" i="1" s="1"/>
  <c r="AJ153" i="1" s="1"/>
  <c r="U153" i="1"/>
  <c r="O153" i="1"/>
  <c r="L153" i="1"/>
  <c r="V153" i="1" s="1"/>
  <c r="Z153" i="1" s="1"/>
  <c r="AC153" i="1" s="1"/>
  <c r="BL152" i="1"/>
  <c r="BH152" i="1"/>
  <c r="AV152" i="1"/>
  <c r="AL152" i="1"/>
  <c r="AD152" i="1"/>
  <c r="AI152" i="1" s="1"/>
  <c r="AJ152" i="1" s="1"/>
  <c r="U152" i="1"/>
  <c r="O152" i="1"/>
  <c r="BD152" i="1" s="1"/>
  <c r="L152" i="1"/>
  <c r="BL151" i="1"/>
  <c r="BH151" i="1"/>
  <c r="AV151" i="1"/>
  <c r="AL151" i="1"/>
  <c r="AD151" i="1"/>
  <c r="AI151" i="1" s="1"/>
  <c r="AJ151" i="1" s="1"/>
  <c r="U151" i="1"/>
  <c r="O151" i="1"/>
  <c r="BD151" i="1" s="1"/>
  <c r="L151" i="1"/>
  <c r="BL150" i="1"/>
  <c r="BH150" i="1"/>
  <c r="AV150" i="1"/>
  <c r="AL150" i="1"/>
  <c r="AD150" i="1"/>
  <c r="U150" i="1"/>
  <c r="O150" i="1"/>
  <c r="BD150" i="1" s="1"/>
  <c r="L150" i="1"/>
  <c r="BC150" i="1" s="1"/>
  <c r="BL149" i="1"/>
  <c r="BH149" i="1"/>
  <c r="AV149" i="1"/>
  <c r="AL149" i="1"/>
  <c r="AD149" i="1"/>
  <c r="U149" i="1"/>
  <c r="O149" i="1"/>
  <c r="BD149" i="1" s="1"/>
  <c r="L149" i="1"/>
  <c r="BC149" i="1" s="1"/>
  <c r="BL148" i="1"/>
  <c r="BH148" i="1"/>
  <c r="AV148" i="1"/>
  <c r="AL148" i="1"/>
  <c r="AD148" i="1"/>
  <c r="AI148" i="1" s="1"/>
  <c r="AJ148" i="1" s="1"/>
  <c r="U148" i="1"/>
  <c r="O148" i="1"/>
  <c r="L148" i="1"/>
  <c r="BL147" i="1"/>
  <c r="BH147" i="1"/>
  <c r="AV147" i="1"/>
  <c r="AL147" i="1"/>
  <c r="AD147" i="1"/>
  <c r="AI147" i="1" s="1"/>
  <c r="AJ147" i="1" s="1"/>
  <c r="U147" i="1"/>
  <c r="O147" i="1"/>
  <c r="BD147" i="1" s="1"/>
  <c r="L147" i="1"/>
  <c r="BC147" i="1" s="1"/>
  <c r="BL146" i="1"/>
  <c r="BH146" i="1"/>
  <c r="AV146" i="1"/>
  <c r="AL146" i="1"/>
  <c r="AD146" i="1"/>
  <c r="AI146" i="1" s="1"/>
  <c r="AJ146" i="1" s="1"/>
  <c r="U146" i="1"/>
  <c r="O146" i="1"/>
  <c r="BD146" i="1" s="1"/>
  <c r="L146" i="1"/>
  <c r="BC146" i="1" s="1"/>
  <c r="BL145" i="1"/>
  <c r="BH145" i="1"/>
  <c r="AV145" i="1"/>
  <c r="AL145" i="1"/>
  <c r="AD145" i="1"/>
  <c r="AI145" i="1" s="1"/>
  <c r="AJ145" i="1" s="1"/>
  <c r="U145" i="1"/>
  <c r="O145" i="1"/>
  <c r="BD145" i="1" s="1"/>
  <c r="L145" i="1"/>
  <c r="BL144" i="1"/>
  <c r="BH144" i="1"/>
  <c r="AV144" i="1"/>
  <c r="AL144" i="1"/>
  <c r="AD144" i="1"/>
  <c r="U144" i="1"/>
  <c r="O144" i="1"/>
  <c r="BD144" i="1" s="1"/>
  <c r="L144" i="1"/>
  <c r="BL143" i="1"/>
  <c r="BH143" i="1"/>
  <c r="AV143" i="1"/>
  <c r="AL143" i="1"/>
  <c r="AD143" i="1"/>
  <c r="U143" i="1"/>
  <c r="O143" i="1"/>
  <c r="BD143" i="1" s="1"/>
  <c r="L143" i="1"/>
  <c r="BC143" i="1" s="1"/>
  <c r="BL142" i="1"/>
  <c r="BH142" i="1"/>
  <c r="AV142" i="1"/>
  <c r="AL142" i="1"/>
  <c r="AD142" i="1"/>
  <c r="U142" i="1"/>
  <c r="O142" i="1"/>
  <c r="BD142" i="1" s="1"/>
  <c r="L142" i="1"/>
  <c r="BL141" i="1"/>
  <c r="BH141" i="1"/>
  <c r="AV141" i="1"/>
  <c r="AL141" i="1"/>
  <c r="AD141" i="1"/>
  <c r="U141" i="1"/>
  <c r="O141" i="1"/>
  <c r="BD141" i="1" s="1"/>
  <c r="L141" i="1"/>
  <c r="V141" i="1" s="1"/>
  <c r="BL140" i="1"/>
  <c r="BH140" i="1"/>
  <c r="AV140" i="1"/>
  <c r="AL140" i="1"/>
  <c r="AD140" i="1"/>
  <c r="AI140" i="1" s="1"/>
  <c r="U140" i="1"/>
  <c r="O140" i="1"/>
  <c r="BD140" i="1" s="1"/>
  <c r="L140" i="1"/>
  <c r="BC140" i="1" s="1"/>
  <c r="BL139" i="1"/>
  <c r="BH139" i="1"/>
  <c r="AV139" i="1"/>
  <c r="AL139" i="1"/>
  <c r="AD139" i="1"/>
  <c r="U139" i="1"/>
  <c r="O139" i="1"/>
  <c r="BD139" i="1" s="1"/>
  <c r="L139" i="1"/>
  <c r="V139" i="1" s="1"/>
  <c r="BL138" i="1"/>
  <c r="BH138" i="1"/>
  <c r="AV138" i="1"/>
  <c r="AL138" i="1"/>
  <c r="AD138" i="1"/>
  <c r="AI138" i="1" s="1"/>
  <c r="U138" i="1"/>
  <c r="O138" i="1"/>
  <c r="BD138" i="1" s="1"/>
  <c r="L138" i="1"/>
  <c r="BC138" i="1" s="1"/>
  <c r="BL137" i="1"/>
  <c r="BH137" i="1"/>
  <c r="AV137" i="1"/>
  <c r="AL137" i="1"/>
  <c r="AD137" i="1"/>
  <c r="U137" i="1"/>
  <c r="O137" i="1"/>
  <c r="BD137" i="1" s="1"/>
  <c r="L137" i="1"/>
  <c r="V137" i="1" s="1"/>
  <c r="Z137" i="1" s="1"/>
  <c r="AC137" i="1" s="1"/>
  <c r="BL136" i="1"/>
  <c r="BH136" i="1"/>
  <c r="AV136" i="1"/>
  <c r="AL136" i="1"/>
  <c r="AD136" i="1"/>
  <c r="U136" i="1"/>
  <c r="O136" i="1"/>
  <c r="BD136" i="1" s="1"/>
  <c r="L136" i="1"/>
  <c r="V136" i="1" s="1"/>
  <c r="BL135" i="1"/>
  <c r="BH135" i="1"/>
  <c r="AV135" i="1"/>
  <c r="AL135" i="1"/>
  <c r="AD135" i="1"/>
  <c r="U135" i="1"/>
  <c r="O135" i="1"/>
  <c r="BD135" i="1" s="1"/>
  <c r="L135" i="1"/>
  <c r="BL134" i="1"/>
  <c r="BH134" i="1"/>
  <c r="AV134" i="1"/>
  <c r="AL134" i="1"/>
  <c r="AD134" i="1"/>
  <c r="AI134" i="1" s="1"/>
  <c r="U134" i="1"/>
  <c r="O134" i="1"/>
  <c r="BD134" i="1" s="1"/>
  <c r="L134" i="1"/>
  <c r="V134" i="1" s="1"/>
  <c r="Z134" i="1" s="1"/>
  <c r="AC134" i="1" s="1"/>
  <c r="BL133" i="1"/>
  <c r="BH133" i="1"/>
  <c r="AV133" i="1"/>
  <c r="AL133" i="1"/>
  <c r="AD133" i="1"/>
  <c r="AI133" i="1" s="1"/>
  <c r="AJ133" i="1" s="1"/>
  <c r="U133" i="1"/>
  <c r="O133" i="1"/>
  <c r="L133" i="1"/>
  <c r="BL132" i="1"/>
  <c r="BH132" i="1"/>
  <c r="AV132" i="1"/>
  <c r="AL132" i="1"/>
  <c r="AD132" i="1"/>
  <c r="AI132" i="1" s="1"/>
  <c r="U132" i="1"/>
  <c r="O132" i="1"/>
  <c r="BD132" i="1" s="1"/>
  <c r="L132" i="1"/>
  <c r="BL131" i="1"/>
  <c r="BH131" i="1"/>
  <c r="AV131" i="1"/>
  <c r="AL131" i="1"/>
  <c r="AD131" i="1"/>
  <c r="U131" i="1"/>
  <c r="O131" i="1"/>
  <c r="BD131" i="1" s="1"/>
  <c r="L131" i="1"/>
  <c r="V131" i="1" s="1"/>
  <c r="BL130" i="1"/>
  <c r="BH130" i="1"/>
  <c r="AV130" i="1"/>
  <c r="AL130" i="1"/>
  <c r="AD130" i="1"/>
  <c r="AI130" i="1" s="1"/>
  <c r="AJ130" i="1" s="1"/>
  <c r="U130" i="1"/>
  <c r="O130" i="1"/>
  <c r="BD130" i="1" s="1"/>
  <c r="L130" i="1"/>
  <c r="BC130" i="1" s="1"/>
  <c r="BL129" i="1"/>
  <c r="BH129" i="1"/>
  <c r="AV129" i="1"/>
  <c r="AL129" i="1"/>
  <c r="AD129" i="1"/>
  <c r="U129" i="1"/>
  <c r="O129" i="1"/>
  <c r="BD129" i="1" s="1"/>
  <c r="L129" i="1"/>
  <c r="BL128" i="1"/>
  <c r="BH128" i="1"/>
  <c r="AV128" i="1"/>
  <c r="AL128" i="1"/>
  <c r="AD128" i="1"/>
  <c r="U128" i="1"/>
  <c r="O128" i="1"/>
  <c r="BD128" i="1" s="1"/>
  <c r="L128" i="1"/>
  <c r="BL127" i="1"/>
  <c r="BH127" i="1"/>
  <c r="AV127" i="1"/>
  <c r="AL127" i="1"/>
  <c r="AD127" i="1"/>
  <c r="AI127" i="1" s="1"/>
  <c r="AJ127" i="1" s="1"/>
  <c r="U127" i="1"/>
  <c r="O127" i="1"/>
  <c r="BD127" i="1" s="1"/>
  <c r="L127" i="1"/>
  <c r="BL126" i="1"/>
  <c r="BH126" i="1"/>
  <c r="AV126" i="1"/>
  <c r="AL126" i="1"/>
  <c r="AD126" i="1"/>
  <c r="AI126" i="1" s="1"/>
  <c r="AJ126" i="1" s="1"/>
  <c r="U126" i="1"/>
  <c r="O126" i="1"/>
  <c r="BD126" i="1" s="1"/>
  <c r="L126" i="1"/>
  <c r="BC126" i="1" s="1"/>
  <c r="BL125" i="1"/>
  <c r="BH125" i="1"/>
  <c r="AV125" i="1"/>
  <c r="AL125" i="1"/>
  <c r="AD125" i="1"/>
  <c r="AI125" i="1" s="1"/>
  <c r="AJ125" i="1" s="1"/>
  <c r="U125" i="1"/>
  <c r="O125" i="1"/>
  <c r="BD125" i="1" s="1"/>
  <c r="L125" i="1"/>
  <c r="BC125" i="1" s="1"/>
  <c r="BL124" i="1"/>
  <c r="BH124" i="1"/>
  <c r="AV124" i="1"/>
  <c r="AL124" i="1"/>
  <c r="AD124" i="1"/>
  <c r="AI124" i="1" s="1"/>
  <c r="U124" i="1"/>
  <c r="O124" i="1"/>
  <c r="BD124" i="1" s="1"/>
  <c r="L124" i="1"/>
  <c r="V124" i="1" s="1"/>
  <c r="Z124" i="1" s="1"/>
  <c r="AC124" i="1" s="1"/>
  <c r="BL123" i="1"/>
  <c r="BH123" i="1"/>
  <c r="AV123" i="1"/>
  <c r="AL123" i="1"/>
  <c r="AD123" i="1"/>
  <c r="AI123" i="1" s="1"/>
  <c r="AJ123" i="1" s="1"/>
  <c r="U123" i="1"/>
  <c r="O123" i="1"/>
  <c r="BD123" i="1" s="1"/>
  <c r="L123" i="1"/>
  <c r="V123" i="1" s="1"/>
  <c r="BL122" i="1"/>
  <c r="BH122" i="1"/>
  <c r="AV122" i="1"/>
  <c r="AL122" i="1"/>
  <c r="AD122" i="1"/>
  <c r="AI122" i="1" s="1"/>
  <c r="AJ122" i="1" s="1"/>
  <c r="U122" i="1"/>
  <c r="O122" i="1"/>
  <c r="BD122" i="1" s="1"/>
  <c r="L122" i="1"/>
  <c r="BC122" i="1" s="1"/>
  <c r="BL121" i="1"/>
  <c r="BH121" i="1"/>
  <c r="AV121" i="1"/>
  <c r="AL121" i="1"/>
  <c r="AD121" i="1"/>
  <c r="AI121" i="1" s="1"/>
  <c r="U121" i="1"/>
  <c r="O121" i="1"/>
  <c r="BD121" i="1" s="1"/>
  <c r="L121" i="1"/>
  <c r="BC121" i="1" s="1"/>
  <c r="BL120" i="1"/>
  <c r="BH120" i="1"/>
  <c r="AV120" i="1"/>
  <c r="AL120" i="1"/>
  <c r="AD120" i="1"/>
  <c r="U120" i="1"/>
  <c r="O120" i="1"/>
  <c r="BD120" i="1" s="1"/>
  <c r="L120" i="1"/>
  <c r="V120" i="1" s="1"/>
  <c r="BL119" i="1"/>
  <c r="BH119" i="1"/>
  <c r="AV119" i="1"/>
  <c r="AL119" i="1"/>
  <c r="AD119" i="1"/>
  <c r="U119" i="1"/>
  <c r="O119" i="1"/>
  <c r="BD119" i="1" s="1"/>
  <c r="L119" i="1"/>
  <c r="BL118" i="1"/>
  <c r="BH118" i="1"/>
  <c r="AV118" i="1"/>
  <c r="AL118" i="1"/>
  <c r="AD118" i="1"/>
  <c r="AI118" i="1" s="1"/>
  <c r="U118" i="1"/>
  <c r="O118" i="1"/>
  <c r="BD118" i="1" s="1"/>
  <c r="L118" i="1"/>
  <c r="V118" i="1" s="1"/>
  <c r="Z118" i="1" s="1"/>
  <c r="AC118" i="1" s="1"/>
  <c r="BL117" i="1"/>
  <c r="BH117" i="1"/>
  <c r="AV117" i="1"/>
  <c r="AL117" i="1"/>
  <c r="AD117" i="1"/>
  <c r="AI117" i="1" s="1"/>
  <c r="U117" i="1"/>
  <c r="O117" i="1"/>
  <c r="BD117" i="1" s="1"/>
  <c r="L117" i="1"/>
  <c r="BL116" i="1"/>
  <c r="BH116" i="1"/>
  <c r="AV116" i="1"/>
  <c r="AL116" i="1"/>
  <c r="AD116" i="1"/>
  <c r="U116" i="1"/>
  <c r="O116" i="1"/>
  <c r="BD116" i="1" s="1"/>
  <c r="L116" i="1"/>
  <c r="BC116" i="1" s="1"/>
  <c r="BL115" i="1"/>
  <c r="BH115" i="1"/>
  <c r="AV115" i="1"/>
  <c r="AL115" i="1"/>
  <c r="AD115" i="1"/>
  <c r="AI115" i="1" s="1"/>
  <c r="AJ115" i="1" s="1"/>
  <c r="U115" i="1"/>
  <c r="O115" i="1"/>
  <c r="BD115" i="1" s="1"/>
  <c r="L115" i="1"/>
  <c r="BL114" i="1"/>
  <c r="BH114" i="1"/>
  <c r="AV114" i="1"/>
  <c r="AL114" i="1"/>
  <c r="AD114" i="1"/>
  <c r="AI114" i="1" s="1"/>
  <c r="AJ114" i="1" s="1"/>
  <c r="U114" i="1"/>
  <c r="O114" i="1"/>
  <c r="BD114" i="1" s="1"/>
  <c r="L114" i="1"/>
  <c r="V114" i="1" s="1"/>
  <c r="Z114" i="1" s="1"/>
  <c r="AC114" i="1" s="1"/>
  <c r="BL113" i="1"/>
  <c r="BH113" i="1"/>
  <c r="AV113" i="1"/>
  <c r="AL113" i="1"/>
  <c r="AD113" i="1"/>
  <c r="AI113" i="1" s="1"/>
  <c r="AJ113" i="1" s="1"/>
  <c r="U113" i="1"/>
  <c r="O113" i="1"/>
  <c r="BD113" i="1" s="1"/>
  <c r="L113" i="1"/>
  <c r="BL112" i="1"/>
  <c r="BH112" i="1"/>
  <c r="AV112" i="1"/>
  <c r="AL112" i="1"/>
  <c r="AD112" i="1"/>
  <c r="U112" i="1"/>
  <c r="O112" i="1"/>
  <c r="BD112" i="1" s="1"/>
  <c r="L112" i="1"/>
  <c r="V112" i="1" s="1"/>
  <c r="Z112" i="1" s="1"/>
  <c r="AC112" i="1" s="1"/>
  <c r="BL111" i="1"/>
  <c r="BH111" i="1"/>
  <c r="AV111" i="1"/>
  <c r="AL111" i="1"/>
  <c r="AD111" i="1"/>
  <c r="AI111" i="1" s="1"/>
  <c r="AJ111" i="1" s="1"/>
  <c r="U111" i="1"/>
  <c r="O111" i="1"/>
  <c r="BD111" i="1" s="1"/>
  <c r="L111" i="1"/>
  <c r="BL110" i="1"/>
  <c r="BH110" i="1"/>
  <c r="AV110" i="1"/>
  <c r="AL110" i="1"/>
  <c r="AD110" i="1"/>
  <c r="U110" i="1"/>
  <c r="O110" i="1"/>
  <c r="BD110" i="1" s="1"/>
  <c r="L110" i="1"/>
  <c r="BC110" i="1" s="1"/>
  <c r="BL109" i="1"/>
  <c r="BH109" i="1"/>
  <c r="AV109" i="1"/>
  <c r="AL109" i="1"/>
  <c r="AD109" i="1"/>
  <c r="AI109" i="1" s="1"/>
  <c r="U109" i="1"/>
  <c r="O109" i="1"/>
  <c r="BD109" i="1" s="1"/>
  <c r="L109" i="1"/>
  <c r="V109" i="1" s="1"/>
  <c r="Z109" i="1" s="1"/>
  <c r="AC109" i="1" s="1"/>
  <c r="BL108" i="1"/>
  <c r="BH108" i="1"/>
  <c r="AV108" i="1"/>
  <c r="AL108" i="1"/>
  <c r="AD108" i="1"/>
  <c r="AI108" i="1" s="1"/>
  <c r="AJ108" i="1" s="1"/>
  <c r="U108" i="1"/>
  <c r="O108" i="1"/>
  <c r="BD108" i="1" s="1"/>
  <c r="L108" i="1"/>
  <c r="V108" i="1" s="1"/>
  <c r="BL107" i="1"/>
  <c r="BH107" i="1"/>
  <c r="AV107" i="1"/>
  <c r="AL107" i="1"/>
  <c r="AD107" i="1"/>
  <c r="U107" i="1"/>
  <c r="O107" i="1"/>
  <c r="BD107" i="1" s="1"/>
  <c r="L107" i="1"/>
  <c r="BC107" i="1" s="1"/>
  <c r="BL106" i="1"/>
  <c r="BH106" i="1"/>
  <c r="AV106" i="1"/>
  <c r="AL106" i="1"/>
  <c r="AD106" i="1"/>
  <c r="AI106" i="1" s="1"/>
  <c r="U106" i="1"/>
  <c r="O106" i="1"/>
  <c r="BD106" i="1" s="1"/>
  <c r="L106" i="1"/>
  <c r="BL105" i="1"/>
  <c r="BH105" i="1"/>
  <c r="AV105" i="1"/>
  <c r="AL105" i="1"/>
  <c r="AD105" i="1"/>
  <c r="U105" i="1"/>
  <c r="O105" i="1"/>
  <c r="BD105" i="1" s="1"/>
  <c r="L105" i="1"/>
  <c r="BL104" i="1"/>
  <c r="BH104" i="1"/>
  <c r="AV104" i="1"/>
  <c r="AL104" i="1"/>
  <c r="AD104" i="1"/>
  <c r="U104" i="1"/>
  <c r="O104" i="1"/>
  <c r="BD104" i="1" s="1"/>
  <c r="L104" i="1"/>
  <c r="BC104" i="1" s="1"/>
  <c r="BL103" i="1"/>
  <c r="BH103" i="1"/>
  <c r="AV103" i="1"/>
  <c r="AL103" i="1"/>
  <c r="AD103" i="1"/>
  <c r="AI103" i="1" s="1"/>
  <c r="AJ103" i="1" s="1"/>
  <c r="U103" i="1"/>
  <c r="O103" i="1"/>
  <c r="BD103" i="1" s="1"/>
  <c r="L103" i="1"/>
  <c r="BL102" i="1"/>
  <c r="BH102" i="1"/>
  <c r="AV102" i="1"/>
  <c r="AL102" i="1"/>
  <c r="AD102" i="1"/>
  <c r="U102" i="1"/>
  <c r="O102" i="1"/>
  <c r="BD102" i="1" s="1"/>
  <c r="L102" i="1"/>
  <c r="BC102" i="1" s="1"/>
  <c r="BL101" i="1"/>
  <c r="BH101" i="1"/>
  <c r="AV101" i="1"/>
  <c r="AL101" i="1"/>
  <c r="AD101" i="1"/>
  <c r="AI101" i="1" s="1"/>
  <c r="AJ101" i="1" s="1"/>
  <c r="U101" i="1"/>
  <c r="O101" i="1"/>
  <c r="BD101" i="1" s="1"/>
  <c r="L101" i="1"/>
  <c r="BL100" i="1"/>
  <c r="BH100" i="1"/>
  <c r="AV100" i="1"/>
  <c r="AL100" i="1"/>
  <c r="AD100" i="1"/>
  <c r="AI100" i="1" s="1"/>
  <c r="AJ100" i="1" s="1"/>
  <c r="U100" i="1"/>
  <c r="O100" i="1"/>
  <c r="BD100" i="1" s="1"/>
  <c r="L100" i="1"/>
  <c r="BC100" i="1" s="1"/>
  <c r="BL99" i="1"/>
  <c r="BH99" i="1"/>
  <c r="AV99" i="1"/>
  <c r="AL99" i="1"/>
  <c r="AD99" i="1"/>
  <c r="AI99" i="1" s="1"/>
  <c r="AJ99" i="1" s="1"/>
  <c r="U99" i="1"/>
  <c r="O99" i="1"/>
  <c r="L99" i="1"/>
  <c r="BL98" i="1"/>
  <c r="BH98" i="1"/>
  <c r="AV98" i="1"/>
  <c r="AL98" i="1"/>
  <c r="AD98" i="1"/>
  <c r="AI98" i="1" s="1"/>
  <c r="U98" i="1"/>
  <c r="O98" i="1"/>
  <c r="BD98" i="1" s="1"/>
  <c r="L98" i="1"/>
  <c r="BC98" i="1" s="1"/>
  <c r="BL97" i="1"/>
  <c r="BH97" i="1"/>
  <c r="AV97" i="1"/>
  <c r="AL97" i="1"/>
  <c r="AD97" i="1"/>
  <c r="AI97" i="1" s="1"/>
  <c r="U97" i="1"/>
  <c r="O97" i="1"/>
  <c r="BD97" i="1" s="1"/>
  <c r="L97" i="1"/>
  <c r="V97" i="1" s="1"/>
  <c r="Z97" i="1" s="1"/>
  <c r="AC97" i="1" s="1"/>
  <c r="BL96" i="1"/>
  <c r="BH96" i="1"/>
  <c r="AV96" i="1"/>
  <c r="AL96" i="1"/>
  <c r="AD96" i="1"/>
  <c r="AI96" i="1" s="1"/>
  <c r="AJ96" i="1" s="1"/>
  <c r="U96" i="1"/>
  <c r="O96" i="1"/>
  <c r="BD96" i="1" s="1"/>
  <c r="L96" i="1"/>
  <c r="BL95" i="1"/>
  <c r="BH95" i="1"/>
  <c r="AV95" i="1"/>
  <c r="AL95" i="1"/>
  <c r="AD95" i="1"/>
  <c r="U95" i="1"/>
  <c r="O95" i="1"/>
  <c r="BD95" i="1" s="1"/>
  <c r="L95" i="1"/>
  <c r="V95" i="1" s="1"/>
  <c r="BL94" i="1"/>
  <c r="BH94" i="1"/>
  <c r="AV94" i="1"/>
  <c r="AL94" i="1"/>
  <c r="AD94" i="1"/>
  <c r="U94" i="1"/>
  <c r="O94" i="1"/>
  <c r="BD94" i="1" s="1"/>
  <c r="L94" i="1"/>
  <c r="BC94" i="1" s="1"/>
  <c r="BL93" i="1"/>
  <c r="BH93" i="1"/>
  <c r="AV93" i="1"/>
  <c r="AL93" i="1"/>
  <c r="AD93" i="1"/>
  <c r="AI93" i="1" s="1"/>
  <c r="U93" i="1"/>
  <c r="O93" i="1"/>
  <c r="BD93" i="1" s="1"/>
  <c r="L93" i="1"/>
  <c r="BL92" i="1"/>
  <c r="BH92" i="1"/>
  <c r="AV92" i="1"/>
  <c r="AL92" i="1"/>
  <c r="AD92" i="1"/>
  <c r="U92" i="1"/>
  <c r="O92" i="1"/>
  <c r="BD92" i="1" s="1"/>
  <c r="L92" i="1"/>
  <c r="V92" i="1" s="1"/>
  <c r="BL91" i="1"/>
  <c r="BH91" i="1"/>
  <c r="AV91" i="1"/>
  <c r="AL91" i="1"/>
  <c r="AD91" i="1"/>
  <c r="U91" i="1"/>
  <c r="O91" i="1"/>
  <c r="BD91" i="1" s="1"/>
  <c r="L91" i="1"/>
  <c r="BL90" i="1"/>
  <c r="BH90" i="1"/>
  <c r="AV90" i="1"/>
  <c r="AL90" i="1"/>
  <c r="AD90" i="1"/>
  <c r="AI90" i="1" s="1"/>
  <c r="U90" i="1"/>
  <c r="O90" i="1"/>
  <c r="BD90" i="1" s="1"/>
  <c r="L90" i="1"/>
  <c r="V90" i="1" s="1"/>
  <c r="BL89" i="1"/>
  <c r="BH89" i="1"/>
  <c r="AV89" i="1"/>
  <c r="AL89" i="1"/>
  <c r="AD89" i="1"/>
  <c r="AI89" i="1" s="1"/>
  <c r="AJ89" i="1" s="1"/>
  <c r="U89" i="1"/>
  <c r="O89" i="1"/>
  <c r="BD89" i="1" s="1"/>
  <c r="L89" i="1"/>
  <c r="BL88" i="1"/>
  <c r="BH88" i="1"/>
  <c r="AV88" i="1"/>
  <c r="AL88" i="1"/>
  <c r="AD88" i="1"/>
  <c r="AI88" i="1" s="1"/>
  <c r="AJ88" i="1" s="1"/>
  <c r="U88" i="1"/>
  <c r="O88" i="1"/>
  <c r="L88" i="1"/>
  <c r="BL87" i="1"/>
  <c r="BH87" i="1"/>
  <c r="AV87" i="1"/>
  <c r="AL87" i="1"/>
  <c r="AD87" i="1"/>
  <c r="AI87" i="1" s="1"/>
  <c r="AJ87" i="1" s="1"/>
  <c r="U87" i="1"/>
  <c r="O87" i="1"/>
  <c r="L87" i="1"/>
  <c r="V87" i="1" s="1"/>
  <c r="BL86" i="1"/>
  <c r="BH86" i="1"/>
  <c r="AV86" i="1"/>
  <c r="AL86" i="1"/>
  <c r="AD86" i="1"/>
  <c r="AI86" i="1" s="1"/>
  <c r="U86" i="1"/>
  <c r="O86" i="1"/>
  <c r="BD86" i="1" s="1"/>
  <c r="L86" i="1"/>
  <c r="BL85" i="1"/>
  <c r="BH85" i="1"/>
  <c r="AV85" i="1"/>
  <c r="AL85" i="1"/>
  <c r="AD85" i="1"/>
  <c r="AI85" i="1" s="1"/>
  <c r="U85" i="1"/>
  <c r="O85" i="1"/>
  <c r="BD85" i="1" s="1"/>
  <c r="L85" i="1"/>
  <c r="BC85" i="1" s="1"/>
  <c r="BL84" i="1"/>
  <c r="BH84" i="1"/>
  <c r="AV84" i="1"/>
  <c r="AL84" i="1"/>
  <c r="AD84" i="1"/>
  <c r="AI84" i="1" s="1"/>
  <c r="U84" i="1"/>
  <c r="O84" i="1"/>
  <c r="L84" i="1"/>
  <c r="V84" i="1" s="1"/>
  <c r="BL83" i="1"/>
  <c r="BH83" i="1"/>
  <c r="AV83" i="1"/>
  <c r="AL83" i="1"/>
  <c r="AD83" i="1"/>
  <c r="U83" i="1"/>
  <c r="O83" i="1"/>
  <c r="BD83" i="1" s="1"/>
  <c r="L83" i="1"/>
  <c r="BL82" i="1"/>
  <c r="BH82" i="1"/>
  <c r="AV82" i="1"/>
  <c r="AL82" i="1"/>
  <c r="AD82" i="1"/>
  <c r="AI82" i="1" s="1"/>
  <c r="U82" i="1"/>
  <c r="O82" i="1"/>
  <c r="L82" i="1"/>
  <c r="BL81" i="1"/>
  <c r="BH81" i="1"/>
  <c r="AV81" i="1"/>
  <c r="AL81" i="1"/>
  <c r="AD81" i="1"/>
  <c r="U81" i="1"/>
  <c r="O81" i="1"/>
  <c r="BD81" i="1" s="1"/>
  <c r="L81" i="1"/>
  <c r="BC81" i="1" s="1"/>
  <c r="BL80" i="1"/>
  <c r="BH80" i="1"/>
  <c r="AV80" i="1"/>
  <c r="AL80" i="1"/>
  <c r="AD80" i="1"/>
  <c r="AI80" i="1" s="1"/>
  <c r="AJ80" i="1" s="1"/>
  <c r="U80" i="1"/>
  <c r="O80" i="1"/>
  <c r="BD80" i="1" s="1"/>
  <c r="L80" i="1"/>
  <c r="BL79" i="1"/>
  <c r="BH79" i="1"/>
  <c r="AV79" i="1"/>
  <c r="AL79" i="1"/>
  <c r="AD79" i="1"/>
  <c r="AI79" i="1" s="1"/>
  <c r="AJ79" i="1" s="1"/>
  <c r="U79" i="1"/>
  <c r="O79" i="1"/>
  <c r="BD79" i="1" s="1"/>
  <c r="L79" i="1"/>
  <c r="BC79" i="1" s="1"/>
  <c r="BL78" i="1"/>
  <c r="BH78" i="1"/>
  <c r="AV78" i="1"/>
  <c r="AL78" i="1"/>
  <c r="AD78" i="1"/>
  <c r="AI78" i="1" s="1"/>
  <c r="U78" i="1"/>
  <c r="O78" i="1"/>
  <c r="L78" i="1"/>
  <c r="BC78" i="1" s="1"/>
  <c r="BL77" i="1"/>
  <c r="BH77" i="1"/>
  <c r="AV77" i="1"/>
  <c r="AL77" i="1"/>
  <c r="AD77" i="1"/>
  <c r="AI77" i="1" s="1"/>
  <c r="U77" i="1"/>
  <c r="O77" i="1"/>
  <c r="BD77" i="1" s="1"/>
  <c r="L77" i="1"/>
  <c r="V77" i="1" s="1"/>
  <c r="BL76" i="1"/>
  <c r="BH76" i="1"/>
  <c r="AV76" i="1"/>
  <c r="AL76" i="1"/>
  <c r="AD76" i="1"/>
  <c r="U76" i="1"/>
  <c r="O76" i="1"/>
  <c r="BD76" i="1" s="1"/>
  <c r="L76" i="1"/>
  <c r="BL75" i="1"/>
  <c r="BH75" i="1"/>
  <c r="AV75" i="1"/>
  <c r="AL75" i="1"/>
  <c r="AD75" i="1"/>
  <c r="AI75" i="1" s="1"/>
  <c r="U75" i="1"/>
  <c r="O75" i="1"/>
  <c r="BD75" i="1" s="1"/>
  <c r="L75" i="1"/>
  <c r="BC75" i="1" s="1"/>
  <c r="BL74" i="1"/>
  <c r="BH74" i="1"/>
  <c r="AV74" i="1"/>
  <c r="AL74" i="1"/>
  <c r="AD74" i="1"/>
  <c r="AI74" i="1" s="1"/>
  <c r="AJ74" i="1" s="1"/>
  <c r="U74" i="1"/>
  <c r="O74" i="1"/>
  <c r="BD74" i="1" s="1"/>
  <c r="L74" i="1"/>
  <c r="V74" i="1" s="1"/>
  <c r="Z74" i="1" s="1"/>
  <c r="AC74" i="1" s="1"/>
  <c r="BL73" i="1"/>
  <c r="BH73" i="1"/>
  <c r="AV73" i="1"/>
  <c r="AL73" i="1"/>
  <c r="AD73" i="1"/>
  <c r="AI73" i="1" s="1"/>
  <c r="U73" i="1"/>
  <c r="O73" i="1"/>
  <c r="BD73" i="1" s="1"/>
  <c r="L73" i="1"/>
  <c r="V73" i="1" s="1"/>
  <c r="BL72" i="1"/>
  <c r="BH72" i="1"/>
  <c r="AV72" i="1"/>
  <c r="AL72" i="1"/>
  <c r="AD72" i="1"/>
  <c r="U72" i="1"/>
  <c r="O72" i="1"/>
  <c r="BD72" i="1" s="1"/>
  <c r="L72" i="1"/>
  <c r="BC72" i="1" s="1"/>
  <c r="BL71" i="1"/>
  <c r="BH71" i="1"/>
  <c r="AV71" i="1"/>
  <c r="AL71" i="1"/>
  <c r="AD71" i="1"/>
  <c r="U71" i="1"/>
  <c r="O71" i="1"/>
  <c r="BD71" i="1" s="1"/>
  <c r="L71" i="1"/>
  <c r="BL70" i="1"/>
  <c r="BH70" i="1"/>
  <c r="AV70" i="1"/>
  <c r="AL70" i="1"/>
  <c r="AD70" i="1"/>
  <c r="AI70" i="1" s="1"/>
  <c r="U70" i="1"/>
  <c r="O70" i="1"/>
  <c r="BD70" i="1" s="1"/>
  <c r="L70" i="1"/>
  <c r="BL69" i="1"/>
  <c r="BH69" i="1"/>
  <c r="AV69" i="1"/>
  <c r="AL69" i="1"/>
  <c r="AD69" i="1"/>
  <c r="U69" i="1"/>
  <c r="O69" i="1"/>
  <c r="BD69" i="1" s="1"/>
  <c r="L69" i="1"/>
  <c r="BC69" i="1" s="1"/>
  <c r="BL68" i="1"/>
  <c r="BH68" i="1"/>
  <c r="AV68" i="1"/>
  <c r="AL68" i="1"/>
  <c r="AD68" i="1"/>
  <c r="AI68" i="1" s="1"/>
  <c r="U68" i="1"/>
  <c r="O68" i="1"/>
  <c r="BD68" i="1" s="1"/>
  <c r="L68" i="1"/>
  <c r="BL67" i="1"/>
  <c r="BH67" i="1"/>
  <c r="AV67" i="1"/>
  <c r="AL67" i="1"/>
  <c r="AD67" i="1"/>
  <c r="U67" i="1"/>
  <c r="O67" i="1"/>
  <c r="BD67" i="1" s="1"/>
  <c r="L67" i="1"/>
  <c r="V67" i="1" s="1"/>
  <c r="Z67" i="1" s="1"/>
  <c r="AC67" i="1" s="1"/>
  <c r="BL66" i="1"/>
  <c r="BH66" i="1"/>
  <c r="AV66" i="1"/>
  <c r="AL66" i="1"/>
  <c r="AD66" i="1"/>
  <c r="AI66" i="1" s="1"/>
  <c r="U66" i="1"/>
  <c r="O66" i="1"/>
  <c r="L66" i="1"/>
  <c r="BC66" i="1" s="1"/>
  <c r="BL65" i="1"/>
  <c r="BH65" i="1"/>
  <c r="AV65" i="1"/>
  <c r="AL65" i="1"/>
  <c r="AD65" i="1"/>
  <c r="U65" i="1"/>
  <c r="O65" i="1"/>
  <c r="BD65" i="1" s="1"/>
  <c r="L65" i="1"/>
  <c r="V65" i="1" s="1"/>
  <c r="BL64" i="1"/>
  <c r="BH64" i="1"/>
  <c r="AV64" i="1"/>
  <c r="AL64" i="1"/>
  <c r="AD64" i="1"/>
  <c r="AI64" i="1" s="1"/>
  <c r="AJ64" i="1" s="1"/>
  <c r="U64" i="1"/>
  <c r="O64" i="1"/>
  <c r="BD64" i="1" s="1"/>
  <c r="L64" i="1"/>
  <c r="BC64" i="1" s="1"/>
  <c r="BL63" i="1"/>
  <c r="BH63" i="1"/>
  <c r="AV63" i="1"/>
  <c r="AL63" i="1"/>
  <c r="AD63" i="1"/>
  <c r="AI63" i="1" s="1"/>
  <c r="AJ63" i="1" s="1"/>
  <c r="U63" i="1"/>
  <c r="O63" i="1"/>
  <c r="BD63" i="1" s="1"/>
  <c r="L63" i="1"/>
  <c r="V63" i="1" s="1"/>
  <c r="BL62" i="1"/>
  <c r="BH62" i="1"/>
  <c r="AV62" i="1"/>
  <c r="AL62" i="1"/>
  <c r="AD62" i="1"/>
  <c r="AI62" i="1" s="1"/>
  <c r="U62" i="1"/>
  <c r="O62" i="1"/>
  <c r="BD62" i="1" s="1"/>
  <c r="L62" i="1"/>
  <c r="BC62" i="1" s="1"/>
  <c r="BL61" i="1"/>
  <c r="BH61" i="1"/>
  <c r="AV61" i="1"/>
  <c r="AL61" i="1"/>
  <c r="AD61" i="1"/>
  <c r="AI61" i="1" s="1"/>
  <c r="AJ61" i="1" s="1"/>
  <c r="U61" i="1"/>
  <c r="O61" i="1"/>
  <c r="BD61" i="1" s="1"/>
  <c r="L61" i="1"/>
  <c r="BL60" i="1"/>
  <c r="BH60" i="1"/>
  <c r="AV60" i="1"/>
  <c r="AL60" i="1"/>
  <c r="AD60" i="1"/>
  <c r="AI60" i="1" s="1"/>
  <c r="U60" i="1"/>
  <c r="O60" i="1"/>
  <c r="BD60" i="1" s="1"/>
  <c r="L60" i="1"/>
  <c r="BL59" i="1"/>
  <c r="BH59" i="1"/>
  <c r="AV59" i="1"/>
  <c r="AL59" i="1"/>
  <c r="AD59" i="1"/>
  <c r="AI59" i="1" s="1"/>
  <c r="U59" i="1"/>
  <c r="O59" i="1"/>
  <c r="BD59" i="1" s="1"/>
  <c r="L59" i="1"/>
  <c r="BC59" i="1" s="1"/>
  <c r="BL58" i="1"/>
  <c r="BH58" i="1"/>
  <c r="AV58" i="1"/>
  <c r="AL58" i="1"/>
  <c r="AD58" i="1"/>
  <c r="AI58" i="1" s="1"/>
  <c r="U58" i="1"/>
  <c r="O58" i="1"/>
  <c r="BD58" i="1" s="1"/>
  <c r="L58" i="1"/>
  <c r="BL57" i="1"/>
  <c r="BH57" i="1"/>
  <c r="AV57" i="1"/>
  <c r="AL57" i="1"/>
  <c r="AD57" i="1"/>
  <c r="U57" i="1"/>
  <c r="O57" i="1"/>
  <c r="BD57" i="1" s="1"/>
  <c r="L57" i="1"/>
  <c r="BC57" i="1" s="1"/>
  <c r="BL56" i="1"/>
  <c r="BH56" i="1"/>
  <c r="AV56" i="1"/>
  <c r="AL56" i="1"/>
  <c r="AD56" i="1"/>
  <c r="U56" i="1"/>
  <c r="O56" i="1"/>
  <c r="BD56" i="1" s="1"/>
  <c r="L56" i="1"/>
  <c r="BL55" i="1"/>
  <c r="BH55" i="1"/>
  <c r="AV55" i="1"/>
  <c r="AL55" i="1"/>
  <c r="AD55" i="1"/>
  <c r="AI55" i="1" s="1"/>
  <c r="U55" i="1"/>
  <c r="O55" i="1"/>
  <c r="BD55" i="1" s="1"/>
  <c r="L55" i="1"/>
  <c r="BL54" i="1"/>
  <c r="BH54" i="1"/>
  <c r="AV54" i="1"/>
  <c r="AL54" i="1"/>
  <c r="AD54" i="1"/>
  <c r="AI54" i="1" s="1"/>
  <c r="AJ54" i="1" s="1"/>
  <c r="U54" i="1"/>
  <c r="O54" i="1"/>
  <c r="L54" i="1"/>
  <c r="V54" i="1" s="1"/>
  <c r="BL53" i="1"/>
  <c r="BH53" i="1"/>
  <c r="AV53" i="1"/>
  <c r="AL53" i="1"/>
  <c r="AD53" i="1"/>
  <c r="AI53" i="1" s="1"/>
  <c r="AJ53" i="1" s="1"/>
  <c r="U53" i="1"/>
  <c r="O53" i="1"/>
  <c r="BD53" i="1" s="1"/>
  <c r="L53" i="1"/>
  <c r="BC53" i="1" s="1"/>
  <c r="BL52" i="1"/>
  <c r="BH52" i="1"/>
  <c r="AV52" i="1"/>
  <c r="AL52" i="1"/>
  <c r="AD52" i="1"/>
  <c r="AI52" i="1" s="1"/>
  <c r="U52" i="1"/>
  <c r="O52" i="1"/>
  <c r="L52" i="1"/>
  <c r="V52" i="1" s="1"/>
  <c r="Z52" i="1" s="1"/>
  <c r="AC52" i="1" s="1"/>
  <c r="BL51" i="1"/>
  <c r="BH51" i="1"/>
  <c r="AV51" i="1"/>
  <c r="AL51" i="1"/>
  <c r="AD51" i="1"/>
  <c r="U51" i="1"/>
  <c r="O51" i="1"/>
  <c r="BD51" i="1" s="1"/>
  <c r="L51" i="1"/>
  <c r="V51" i="1" s="1"/>
  <c r="BL50" i="1"/>
  <c r="BH50" i="1"/>
  <c r="AV50" i="1"/>
  <c r="AL50" i="1"/>
  <c r="AD50" i="1"/>
  <c r="U50" i="1"/>
  <c r="O50" i="1"/>
  <c r="BD50" i="1" s="1"/>
  <c r="L50" i="1"/>
  <c r="V50" i="1" s="1"/>
  <c r="BL49" i="1"/>
  <c r="BH49" i="1"/>
  <c r="AV49" i="1"/>
  <c r="AL49" i="1"/>
  <c r="AD49" i="1"/>
  <c r="AI49" i="1" s="1"/>
  <c r="U49" i="1"/>
  <c r="O49" i="1"/>
  <c r="BD49" i="1" s="1"/>
  <c r="L49" i="1"/>
  <c r="V49" i="1" s="1"/>
  <c r="BL48" i="1"/>
  <c r="BH48" i="1"/>
  <c r="AV48" i="1"/>
  <c r="AL48" i="1"/>
  <c r="AD48" i="1"/>
  <c r="AI48" i="1" s="1"/>
  <c r="U48" i="1"/>
  <c r="O48" i="1"/>
  <c r="BD48" i="1" s="1"/>
  <c r="L48" i="1"/>
  <c r="V48" i="1" s="1"/>
  <c r="BL47" i="1"/>
  <c r="BH47" i="1"/>
  <c r="AV47" i="1"/>
  <c r="AL47" i="1"/>
  <c r="AD47" i="1"/>
  <c r="U47" i="1"/>
  <c r="O47" i="1"/>
  <c r="BD47" i="1" s="1"/>
  <c r="L47" i="1"/>
  <c r="V47" i="1" s="1"/>
  <c r="BL46" i="1"/>
  <c r="BH46" i="1"/>
  <c r="AV46" i="1"/>
  <c r="AL46" i="1"/>
  <c r="AD46" i="1"/>
  <c r="AI46" i="1" s="1"/>
  <c r="U46" i="1"/>
  <c r="O46" i="1"/>
  <c r="L46" i="1"/>
  <c r="BC46" i="1" s="1"/>
  <c r="BL45" i="1"/>
  <c r="BH45" i="1"/>
  <c r="AV45" i="1"/>
  <c r="AL45" i="1"/>
  <c r="AD45" i="1"/>
  <c r="U45" i="1"/>
  <c r="O45" i="1"/>
  <c r="BD45" i="1" s="1"/>
  <c r="L45" i="1"/>
  <c r="BL44" i="1"/>
  <c r="BH44" i="1"/>
  <c r="AV44" i="1"/>
  <c r="AL44" i="1"/>
  <c r="AD44" i="1"/>
  <c r="AI44" i="1" s="1"/>
  <c r="U44" i="1"/>
  <c r="O44" i="1"/>
  <c r="BD44" i="1" s="1"/>
  <c r="L44" i="1"/>
  <c r="BL43" i="1"/>
  <c r="BH43" i="1"/>
  <c r="AV43" i="1"/>
  <c r="AL43" i="1"/>
  <c r="AD43" i="1"/>
  <c r="U43" i="1"/>
  <c r="O43" i="1"/>
  <c r="BD43" i="1" s="1"/>
  <c r="L43" i="1"/>
  <c r="BC43" i="1" s="1"/>
  <c r="BL42" i="1"/>
  <c r="BH42" i="1"/>
  <c r="AV42" i="1"/>
  <c r="AL42" i="1"/>
  <c r="AD42" i="1"/>
  <c r="AI42" i="1" s="1"/>
  <c r="U42" i="1"/>
  <c r="O42" i="1"/>
  <c r="BD42" i="1" s="1"/>
  <c r="L42" i="1"/>
  <c r="V42" i="1" s="1"/>
  <c r="BL41" i="1"/>
  <c r="BH41" i="1"/>
  <c r="AV41" i="1"/>
  <c r="AL41" i="1"/>
  <c r="AD41" i="1"/>
  <c r="AI41" i="1" s="1"/>
  <c r="U41" i="1"/>
  <c r="O41" i="1"/>
  <c r="BD41" i="1" s="1"/>
  <c r="L41" i="1"/>
  <c r="BL40" i="1"/>
  <c r="BH40" i="1"/>
  <c r="AV40" i="1"/>
  <c r="AL40" i="1"/>
  <c r="AD40" i="1"/>
  <c r="U40" i="1"/>
  <c r="O40" i="1"/>
  <c r="BD40" i="1" s="1"/>
  <c r="L40" i="1"/>
  <c r="BL39" i="1"/>
  <c r="BH39" i="1"/>
  <c r="AV39" i="1"/>
  <c r="AL39" i="1"/>
  <c r="AD39" i="1"/>
  <c r="U39" i="1"/>
  <c r="O39" i="1"/>
  <c r="BD39" i="1" s="1"/>
  <c r="L39" i="1"/>
  <c r="BC39" i="1" s="1"/>
  <c r="BL38" i="1"/>
  <c r="BH38" i="1"/>
  <c r="AV38" i="1"/>
  <c r="AL38" i="1"/>
  <c r="AD38" i="1"/>
  <c r="AI38" i="1" s="1"/>
  <c r="U38" i="1"/>
  <c r="O38" i="1"/>
  <c r="BD38" i="1" s="1"/>
  <c r="L38" i="1"/>
  <c r="BC38" i="1" s="1"/>
  <c r="BL37" i="1"/>
  <c r="BH37" i="1"/>
  <c r="AV37" i="1"/>
  <c r="AL37" i="1"/>
  <c r="AD37" i="1"/>
  <c r="U37" i="1"/>
  <c r="O37" i="1"/>
  <c r="BD37" i="1" s="1"/>
  <c r="L37" i="1"/>
  <c r="BL36" i="1"/>
  <c r="BH36" i="1"/>
  <c r="AV36" i="1"/>
  <c r="AL36" i="1"/>
  <c r="AD36" i="1"/>
  <c r="AI36" i="1" s="1"/>
  <c r="AJ36" i="1" s="1"/>
  <c r="U36" i="1"/>
  <c r="O36" i="1"/>
  <c r="BD36" i="1" s="1"/>
  <c r="L36" i="1"/>
  <c r="BL35" i="1"/>
  <c r="BH35" i="1"/>
  <c r="AV35" i="1"/>
  <c r="AL35" i="1"/>
  <c r="AD35" i="1"/>
  <c r="U35" i="1"/>
  <c r="O35" i="1"/>
  <c r="BD35" i="1" s="1"/>
  <c r="L35" i="1"/>
  <c r="BC35" i="1" s="1"/>
  <c r="BL34" i="1"/>
  <c r="BH34" i="1"/>
  <c r="AV34" i="1"/>
  <c r="AL34" i="1"/>
  <c r="AD34" i="1"/>
  <c r="U34" i="1"/>
  <c r="O34" i="1"/>
  <c r="BD34" i="1" s="1"/>
  <c r="L34" i="1"/>
  <c r="BC34" i="1" s="1"/>
  <c r="BL33" i="1"/>
  <c r="BH33" i="1"/>
  <c r="AV33" i="1"/>
  <c r="AL33" i="1"/>
  <c r="AD33" i="1"/>
  <c r="AI33" i="1" s="1"/>
  <c r="U33" i="1"/>
  <c r="O33" i="1"/>
  <c r="BD33" i="1" s="1"/>
  <c r="L33" i="1"/>
  <c r="BC33" i="1" s="1"/>
  <c r="BL32" i="1"/>
  <c r="BH32" i="1"/>
  <c r="AV32" i="1"/>
  <c r="AL32" i="1"/>
  <c r="AD32" i="1"/>
  <c r="U32" i="1"/>
  <c r="O32" i="1"/>
  <c r="BD32" i="1" s="1"/>
  <c r="L32" i="1"/>
  <c r="BC32" i="1" s="1"/>
  <c r="BL31" i="1"/>
  <c r="BH31" i="1"/>
  <c r="AV31" i="1"/>
  <c r="AL31" i="1"/>
  <c r="AD31" i="1"/>
  <c r="AI31" i="1" s="1"/>
  <c r="U31" i="1"/>
  <c r="O31" i="1"/>
  <c r="BD31" i="1" s="1"/>
  <c r="L31" i="1"/>
  <c r="BL30" i="1"/>
  <c r="BH30" i="1"/>
  <c r="AV30" i="1"/>
  <c r="AL30" i="1"/>
  <c r="AD30" i="1"/>
  <c r="AI30" i="1" s="1"/>
  <c r="U30" i="1"/>
  <c r="O30" i="1"/>
  <c r="BD30" i="1" s="1"/>
  <c r="L30" i="1"/>
  <c r="V30" i="1" s="1"/>
  <c r="BH29" i="1"/>
  <c r="AV29" i="1"/>
  <c r="AL29" i="1"/>
  <c r="AD29" i="1"/>
  <c r="AI29" i="1" s="1"/>
  <c r="U29" i="1"/>
  <c r="O29" i="1"/>
  <c r="BD29" i="1" s="1"/>
  <c r="L29" i="1"/>
  <c r="V29" i="1" s="1"/>
  <c r="BH28" i="1"/>
  <c r="AV28" i="1"/>
  <c r="AL28" i="1"/>
  <c r="AD28" i="1"/>
  <c r="U28" i="1"/>
  <c r="O28" i="1"/>
  <c r="BD28" i="1" s="1"/>
  <c r="L28" i="1"/>
  <c r="BC28" i="1" s="1"/>
  <c r="BH27" i="1"/>
  <c r="AV27" i="1"/>
  <c r="AL27" i="1"/>
  <c r="AD27" i="1"/>
  <c r="AI27" i="1" s="1"/>
  <c r="U27" i="1"/>
  <c r="O27" i="1"/>
  <c r="BD27" i="1" s="1"/>
  <c r="L27" i="1"/>
  <c r="BC27" i="1" s="1"/>
  <c r="BH26" i="1"/>
  <c r="AV26" i="1"/>
  <c r="AL26" i="1"/>
  <c r="AD26" i="1"/>
  <c r="U26" i="1"/>
  <c r="O26" i="1"/>
  <c r="BD26" i="1" s="1"/>
  <c r="L26" i="1"/>
  <c r="V26" i="1" s="1"/>
  <c r="BH25" i="1"/>
  <c r="AV25" i="1"/>
  <c r="AL25" i="1"/>
  <c r="AD25" i="1"/>
  <c r="AI25" i="1" s="1"/>
  <c r="AJ25" i="1" s="1"/>
  <c r="U25" i="1"/>
  <c r="O25" i="1"/>
  <c r="BD25" i="1" s="1"/>
  <c r="L25" i="1"/>
  <c r="V25" i="1" s="1"/>
  <c r="BH24" i="1"/>
  <c r="AV24" i="1"/>
  <c r="AL24" i="1"/>
  <c r="AD24" i="1"/>
  <c r="AI24" i="1" s="1"/>
  <c r="AJ24" i="1" s="1"/>
  <c r="U24" i="1"/>
  <c r="O24" i="1"/>
  <c r="L24" i="1"/>
  <c r="V24" i="1" s="1"/>
  <c r="BH23" i="1"/>
  <c r="AV23" i="1"/>
  <c r="AL23" i="1"/>
  <c r="AD23" i="1"/>
  <c r="AI23" i="1" s="1"/>
  <c r="U23" i="1"/>
  <c r="O23" i="1"/>
  <c r="BD23" i="1" s="1"/>
  <c r="L23" i="1"/>
  <c r="BC23" i="1" s="1"/>
  <c r="BH22" i="1"/>
  <c r="AV22" i="1"/>
  <c r="AL22" i="1"/>
  <c r="AD22" i="1"/>
  <c r="AI22" i="1" s="1"/>
  <c r="U22" i="1"/>
  <c r="O22" i="1"/>
  <c r="BD22" i="1" s="1"/>
  <c r="L22" i="1"/>
  <c r="V22" i="1" s="1"/>
  <c r="BH21" i="1"/>
  <c r="AV21" i="1"/>
  <c r="AL21" i="1"/>
  <c r="AD21" i="1"/>
  <c r="AI21" i="1" s="1"/>
  <c r="AJ21" i="1" s="1"/>
  <c r="U21" i="1"/>
  <c r="O21" i="1"/>
  <c r="BD21" i="1" s="1"/>
  <c r="L21" i="1"/>
  <c r="BH20" i="1"/>
  <c r="AV20" i="1"/>
  <c r="AL20" i="1"/>
  <c r="AD20" i="1"/>
  <c r="AI20" i="1" s="1"/>
  <c r="U20" i="1"/>
  <c r="O20" i="1"/>
  <c r="BD20" i="1" s="1"/>
  <c r="L20" i="1"/>
  <c r="BH19" i="1"/>
  <c r="AV19" i="1"/>
  <c r="AL19" i="1"/>
  <c r="AD19" i="1"/>
  <c r="U19" i="1"/>
  <c r="O19" i="1"/>
  <c r="BD19" i="1" s="1"/>
  <c r="L19" i="1"/>
  <c r="BH18" i="1"/>
  <c r="AV18" i="1"/>
  <c r="AL18" i="1"/>
  <c r="AD18" i="1"/>
  <c r="AI18" i="1" s="1"/>
  <c r="AJ18" i="1" s="1"/>
  <c r="U18" i="1"/>
  <c r="O18" i="1"/>
  <c r="BD18" i="1" s="1"/>
  <c r="L18" i="1"/>
  <c r="BC18" i="1" s="1"/>
  <c r="BH17" i="1"/>
  <c r="AV17" i="1"/>
  <c r="AL17" i="1"/>
  <c r="AD17" i="1"/>
  <c r="AI17" i="1" s="1"/>
  <c r="AJ17" i="1" s="1"/>
  <c r="U17" i="1"/>
  <c r="O17" i="1"/>
  <c r="L17" i="1"/>
  <c r="V17" i="1" s="1"/>
  <c r="BH16" i="1"/>
  <c r="AV16" i="1"/>
  <c r="AL16" i="1"/>
  <c r="AD16" i="1"/>
  <c r="U16" i="1"/>
  <c r="O16" i="1"/>
  <c r="BD16" i="1" s="1"/>
  <c r="L16" i="1"/>
  <c r="BC16" i="1" s="1"/>
  <c r="BH15" i="1"/>
  <c r="AV15" i="1"/>
  <c r="AL15" i="1"/>
  <c r="AD15" i="1"/>
  <c r="AI15" i="1" s="1"/>
  <c r="U15" i="1"/>
  <c r="O15" i="1"/>
  <c r="BD15" i="1" s="1"/>
  <c r="L15" i="1"/>
  <c r="V15" i="1" s="1"/>
  <c r="BH14" i="1"/>
  <c r="AV14" i="1"/>
  <c r="AL14" i="1"/>
  <c r="AD14" i="1"/>
  <c r="AI14" i="1" s="1"/>
  <c r="AJ14" i="1" s="1"/>
  <c r="U14" i="1"/>
  <c r="O14" i="1"/>
  <c r="BD14" i="1" s="1"/>
  <c r="L14" i="1"/>
  <c r="BH13" i="1"/>
  <c r="AV13" i="1"/>
  <c r="AL13" i="1"/>
  <c r="AD13" i="1"/>
  <c r="AI13" i="1" s="1"/>
  <c r="U13" i="1"/>
  <c r="O13" i="1"/>
  <c r="BD13" i="1" s="1"/>
  <c r="L13" i="1"/>
  <c r="BH12" i="1"/>
  <c r="AV12" i="1"/>
  <c r="AL12" i="1"/>
  <c r="AD12" i="1"/>
  <c r="AI12" i="1" s="1"/>
  <c r="U12" i="1"/>
  <c r="O12" i="1"/>
  <c r="BD12" i="1" s="1"/>
  <c r="L12" i="1"/>
  <c r="V12" i="1" s="1"/>
  <c r="Z12" i="1" s="1"/>
  <c r="BH11" i="1"/>
  <c r="AV11" i="1"/>
  <c r="AL11" i="1"/>
  <c r="AD11" i="1"/>
  <c r="AI11" i="1" s="1"/>
  <c r="AJ11" i="1" s="1"/>
  <c r="U11" i="1"/>
  <c r="O11" i="1"/>
  <c r="BD11" i="1" s="1"/>
  <c r="L11" i="1"/>
  <c r="BC11" i="1" s="1"/>
  <c r="BH10" i="1"/>
  <c r="AV10" i="1"/>
  <c r="AL10" i="1"/>
  <c r="AD10" i="1"/>
  <c r="AI10" i="1" s="1"/>
  <c r="U10" i="1"/>
  <c r="O10" i="1"/>
  <c r="BD10" i="1" s="1"/>
  <c r="L10" i="1"/>
  <c r="V10" i="1" s="1"/>
  <c r="Z10" i="1" s="1"/>
  <c r="AC10" i="1" s="1"/>
  <c r="BH9" i="1"/>
  <c r="AV9" i="1"/>
  <c r="AL9" i="1"/>
  <c r="AD9" i="1"/>
  <c r="AI9" i="1" s="1"/>
  <c r="U9" i="1"/>
  <c r="O9" i="1"/>
  <c r="BD9" i="1" s="1"/>
  <c r="L9" i="1"/>
  <c r="BC9" i="1" s="1"/>
  <c r="BH8" i="1"/>
  <c r="AV8" i="1"/>
  <c r="AL8" i="1"/>
  <c r="AD8" i="1"/>
  <c r="AI8" i="1" s="1"/>
  <c r="U8" i="1"/>
  <c r="O8" i="1"/>
  <c r="BD8" i="1" s="1"/>
  <c r="L8" i="1"/>
  <c r="BC8" i="1" s="1"/>
  <c r="BH7" i="1"/>
  <c r="AV7" i="1"/>
  <c r="AL7" i="1"/>
  <c r="AD7" i="1"/>
  <c r="AI7" i="1" s="1"/>
  <c r="U7" i="1"/>
  <c r="O7" i="1"/>
  <c r="BD7" i="1" s="1"/>
  <c r="L7" i="1"/>
  <c r="BH6" i="1"/>
  <c r="AV6" i="1"/>
  <c r="AL6" i="1"/>
  <c r="AD6" i="1"/>
  <c r="AI6" i="1" s="1"/>
  <c r="U6" i="1"/>
  <c r="O6" i="1"/>
  <c r="BD6" i="1" s="1"/>
  <c r="L6" i="1"/>
  <c r="V6" i="1" s="1"/>
  <c r="Z6" i="1" s="1"/>
  <c r="AC6" i="1" s="1"/>
  <c r="BH5" i="1"/>
  <c r="AV5" i="1"/>
  <c r="AL5" i="1"/>
  <c r="AD5" i="1"/>
  <c r="AI5" i="1" s="1"/>
  <c r="U5" i="1"/>
  <c r="O5" i="1"/>
  <c r="BD5" i="1" s="1"/>
  <c r="L5" i="1"/>
  <c r="BC5" i="1" s="1"/>
  <c r="BH4" i="1"/>
  <c r="AV4" i="1"/>
  <c r="AL4" i="1"/>
  <c r="AD4" i="1"/>
  <c r="AI4" i="1" s="1"/>
  <c r="U4" i="1"/>
  <c r="O4" i="1"/>
  <c r="BD4" i="1" s="1"/>
  <c r="L4" i="1"/>
  <c r="V4" i="1" s="1"/>
  <c r="Z4" i="1" s="1"/>
  <c r="AC4" i="1" s="1"/>
  <c r="BH3" i="1"/>
  <c r="AV3" i="1"/>
  <c r="AL3" i="1"/>
  <c r="AD3" i="1"/>
  <c r="AI3" i="1" s="1"/>
  <c r="U3" i="1"/>
  <c r="O3" i="1"/>
  <c r="BD3" i="1" s="1"/>
  <c r="L3" i="1"/>
  <c r="BC3" i="1" s="1"/>
  <c r="BH2" i="1"/>
  <c r="AV2" i="1"/>
  <c r="AL2" i="1"/>
  <c r="AD2" i="1"/>
  <c r="AI2" i="1" s="1"/>
  <c r="U2" i="1"/>
  <c r="O2" i="1"/>
  <c r="BD2" i="1" s="1"/>
  <c r="L2" i="1"/>
  <c r="B14" i="2" l="1"/>
  <c r="B19" i="2"/>
  <c r="AJ540" i="1"/>
  <c r="BC2" i="1"/>
  <c r="BC7" i="1"/>
  <c r="V7" i="1"/>
  <c r="W7" i="1" s="1"/>
  <c r="W77" i="1"/>
  <c r="AG954" i="1"/>
  <c r="AH954" i="1" s="1"/>
  <c r="AG414" i="1"/>
  <c r="AH414" i="1" s="1"/>
  <c r="W546" i="1"/>
  <c r="BC670" i="1"/>
  <c r="BC234" i="1"/>
  <c r="BC124" i="1"/>
  <c r="BC477" i="1"/>
  <c r="BC600" i="1"/>
  <c r="BC596" i="1"/>
  <c r="BC230" i="1"/>
  <c r="AM304" i="1"/>
  <c r="AW304" i="1" s="1"/>
  <c r="AX304" i="1" s="1"/>
  <c r="AZ304" i="1" s="1"/>
  <c r="BA304" i="1" s="1"/>
  <c r="BC756" i="1"/>
  <c r="BC935" i="1"/>
  <c r="BC846" i="1"/>
  <c r="V666" i="1"/>
  <c r="Z666" i="1" s="1"/>
  <c r="AC666" i="1" s="1"/>
  <c r="AM666" i="1" s="1"/>
  <c r="V634" i="1"/>
  <c r="Z634" i="1" s="1"/>
  <c r="AC634" i="1" s="1"/>
  <c r="V411" i="1"/>
  <c r="W411" i="1" s="1"/>
  <c r="V368" i="1"/>
  <c r="Z368" i="1" s="1"/>
  <c r="AC368" i="1" s="1"/>
  <c r="AM368" i="1" s="1"/>
  <c r="V404" i="1"/>
  <c r="W404" i="1" s="1"/>
  <c r="BC942" i="1"/>
  <c r="BC503" i="1"/>
  <c r="BC616" i="1"/>
  <c r="BC656" i="1"/>
  <c r="BC818" i="1"/>
  <c r="BC484" i="1"/>
  <c r="AG935" i="1"/>
  <c r="AH935" i="1" s="1"/>
  <c r="V641" i="1"/>
  <c r="W641" i="1" s="1"/>
  <c r="AN641" i="1" s="1"/>
  <c r="AO641" i="1" s="1"/>
  <c r="V69" i="1"/>
  <c r="Z69" i="1" s="1"/>
  <c r="AC69" i="1" s="1"/>
  <c r="V314" i="1"/>
  <c r="W314" i="1" s="1"/>
  <c r="V264" i="1"/>
  <c r="Z264" i="1" s="1"/>
  <c r="AC264" i="1" s="1"/>
  <c r="BC265" i="1"/>
  <c r="AG267" i="1"/>
  <c r="AH267" i="1" s="1"/>
  <c r="BC496" i="1"/>
  <c r="V759" i="1"/>
  <c r="Z759" i="1" s="1"/>
  <c r="AC759" i="1" s="1"/>
  <c r="AM759" i="1" s="1"/>
  <c r="V636" i="1"/>
  <c r="W636" i="1" s="1"/>
  <c r="BC441" i="1"/>
  <c r="W871" i="1"/>
  <c r="BC876" i="1"/>
  <c r="BC921" i="1"/>
  <c r="AG656" i="1"/>
  <c r="AH656" i="1" s="1"/>
  <c r="V817" i="1"/>
  <c r="Z817" i="1" s="1"/>
  <c r="AC817" i="1" s="1"/>
  <c r="AM817" i="1" s="1"/>
  <c r="AW817" i="1" s="1"/>
  <c r="AX817" i="1" s="1"/>
  <c r="AZ817" i="1" s="1"/>
  <c r="BA817" i="1" s="1"/>
  <c r="V595" i="1"/>
  <c r="Z595" i="1" s="1"/>
  <c r="AC595" i="1" s="1"/>
  <c r="V711" i="1"/>
  <c r="W711" i="1" s="1"/>
  <c r="BC179" i="1"/>
  <c r="V416" i="1"/>
  <c r="Z416" i="1" s="1"/>
  <c r="AC416" i="1" s="1"/>
  <c r="AM416" i="1" s="1"/>
  <c r="AW416" i="1" s="1"/>
  <c r="AX416" i="1" s="1"/>
  <c r="AZ416" i="1" s="1"/>
  <c r="BA416" i="1" s="1"/>
  <c r="V620" i="1"/>
  <c r="W620" i="1" s="1"/>
  <c r="BC752" i="1"/>
  <c r="AG16" i="1"/>
  <c r="AH16" i="1" s="1"/>
  <c r="BC511" i="1"/>
  <c r="V613" i="1"/>
  <c r="W613" i="1" s="1"/>
  <c r="BC6" i="1"/>
  <c r="BC74" i="1"/>
  <c r="AG87" i="1"/>
  <c r="AH87" i="1" s="1"/>
  <c r="AM124" i="1"/>
  <c r="AW124" i="1" s="1"/>
  <c r="AX124" i="1" s="1"/>
  <c r="AZ124" i="1" s="1"/>
  <c r="BA124" i="1" s="1"/>
  <c r="AG133" i="1"/>
  <c r="AH133" i="1" s="1"/>
  <c r="V250" i="1"/>
  <c r="Z250" i="1" s="1"/>
  <c r="AC250" i="1" s="1"/>
  <c r="AM250" i="1" s="1"/>
  <c r="AW250" i="1" s="1"/>
  <c r="AX250" i="1" s="1"/>
  <c r="AZ250" i="1" s="1"/>
  <c r="BA250" i="1" s="1"/>
  <c r="W356" i="1"/>
  <c r="BC554" i="1"/>
  <c r="BC816" i="1"/>
  <c r="V890" i="1"/>
  <c r="W890" i="1" s="1"/>
  <c r="BC721" i="1"/>
  <c r="BC139" i="1"/>
  <c r="BC847" i="1"/>
  <c r="AG595" i="1"/>
  <c r="AH595" i="1" s="1"/>
  <c r="V16" i="1"/>
  <c r="W16" i="1" s="1"/>
  <c r="AG413" i="1"/>
  <c r="AH413" i="1" s="1"/>
  <c r="V872" i="1"/>
  <c r="Z872" i="1" s="1"/>
  <c r="AC872" i="1" s="1"/>
  <c r="AM872" i="1" s="1"/>
  <c r="V360" i="1"/>
  <c r="W360" i="1" s="1"/>
  <c r="AN360" i="1" s="1"/>
  <c r="AO360" i="1" s="1"/>
  <c r="BC394" i="1"/>
  <c r="V130" i="1"/>
  <c r="W130" i="1" s="1"/>
  <c r="AN130" i="1" s="1"/>
  <c r="AO130" i="1" s="1"/>
  <c r="BC351" i="1"/>
  <c r="V462" i="1"/>
  <c r="Z462" i="1" s="1"/>
  <c r="AC462" i="1" s="1"/>
  <c r="V490" i="1"/>
  <c r="Z490" i="1" s="1"/>
  <c r="AC490" i="1" s="1"/>
  <c r="AM490" i="1" s="1"/>
  <c r="AG277" i="1"/>
  <c r="AH277" i="1" s="1"/>
  <c r="V506" i="1"/>
  <c r="Z506" i="1" s="1"/>
  <c r="AC506" i="1" s="1"/>
  <c r="AM506" i="1" s="1"/>
  <c r="AG572" i="1"/>
  <c r="AH572" i="1" s="1"/>
  <c r="BC946" i="1"/>
  <c r="AG707" i="1"/>
  <c r="AH707" i="1" s="1"/>
  <c r="BC507" i="1"/>
  <c r="BC612" i="1"/>
  <c r="BC629" i="1"/>
  <c r="BC663" i="1"/>
  <c r="AG700" i="1"/>
  <c r="AH700" i="1" s="1"/>
  <c r="BC714" i="1"/>
  <c r="BC51" i="1"/>
  <c r="AI595" i="1"/>
  <c r="AJ595" i="1" s="1"/>
  <c r="BC303" i="1"/>
  <c r="BC73" i="1"/>
  <c r="V143" i="1"/>
  <c r="Z143" i="1" s="1"/>
  <c r="AC143" i="1" s="1"/>
  <c r="V361" i="1"/>
  <c r="Z361" i="1" s="1"/>
  <c r="AC361" i="1" s="1"/>
  <c r="AG46" i="1"/>
  <c r="AH46" i="1" s="1"/>
  <c r="W49" i="1"/>
  <c r="BC137" i="1"/>
  <c r="AG263" i="1"/>
  <c r="AH263" i="1" s="1"/>
  <c r="AG327" i="1"/>
  <c r="AH327" i="1" s="1"/>
  <c r="BC470" i="1"/>
  <c r="BC483" i="1"/>
  <c r="BC652" i="1"/>
  <c r="V751" i="1"/>
  <c r="Z751" i="1" s="1"/>
  <c r="AC751" i="1" s="1"/>
  <c r="AG911" i="1"/>
  <c r="AH911" i="1" s="1"/>
  <c r="AG943" i="1"/>
  <c r="AH943" i="1" s="1"/>
  <c r="AG401" i="1"/>
  <c r="AH401" i="1" s="1"/>
  <c r="BC588" i="1"/>
  <c r="BC790" i="1"/>
  <c r="BC90" i="1"/>
  <c r="BC112" i="1"/>
  <c r="BC134" i="1"/>
  <c r="BC231" i="1"/>
  <c r="BC238" i="1"/>
  <c r="BC466" i="1"/>
  <c r="AG822" i="1"/>
  <c r="AH822" i="1" s="1"/>
  <c r="BC861" i="1"/>
  <c r="BC871" i="1"/>
  <c r="V894" i="1"/>
  <c r="Z894" i="1" s="1"/>
  <c r="AC894" i="1" s="1"/>
  <c r="AM894" i="1" s="1"/>
  <c r="V400" i="1"/>
  <c r="W400" i="1" s="1"/>
  <c r="BC815" i="1"/>
  <c r="V853" i="1"/>
  <c r="W853" i="1" s="1"/>
  <c r="BD954" i="1"/>
  <c r="V297" i="1"/>
  <c r="Z297" i="1" s="1"/>
  <c r="AC297" i="1" s="1"/>
  <c r="AM297" i="1" s="1"/>
  <c r="BC638" i="1"/>
  <c r="AG843" i="1"/>
  <c r="AH843" i="1" s="1"/>
  <c r="V859" i="1"/>
  <c r="Z859" i="1" s="1"/>
  <c r="AC859" i="1" s="1"/>
  <c r="BC864" i="1"/>
  <c r="BC930" i="1"/>
  <c r="V169" i="1"/>
  <c r="Z169" i="1" s="1"/>
  <c r="AC169" i="1" s="1"/>
  <c r="V701" i="1"/>
  <c r="Z701" i="1" s="1"/>
  <c r="AC701" i="1" s="1"/>
  <c r="AM701" i="1" s="1"/>
  <c r="AW701" i="1" s="1"/>
  <c r="AX701" i="1" s="1"/>
  <c r="AZ701" i="1" s="1"/>
  <c r="BA701" i="1" s="1"/>
  <c r="AG889" i="1"/>
  <c r="AH889" i="1" s="1"/>
  <c r="AG333" i="1"/>
  <c r="AH333" i="1" s="1"/>
  <c r="V190" i="1"/>
  <c r="Z190" i="1" s="1"/>
  <c r="AC190" i="1" s="1"/>
  <c r="AM190" i="1" s="1"/>
  <c r="AG255" i="1"/>
  <c r="AH255" i="1" s="1"/>
  <c r="W612" i="1"/>
  <c r="W189" i="1"/>
  <c r="AN189" i="1" s="1"/>
  <c r="AO189" i="1" s="1"/>
  <c r="BC278" i="1"/>
  <c r="BC304" i="1"/>
  <c r="BC344" i="1"/>
  <c r="AG612" i="1"/>
  <c r="AH612" i="1" s="1"/>
  <c r="AG727" i="1"/>
  <c r="AH727" i="1" s="1"/>
  <c r="V730" i="1"/>
  <c r="Z730" i="1" s="1"/>
  <c r="AC730" i="1" s="1"/>
  <c r="V763" i="1"/>
  <c r="Z763" i="1" s="1"/>
  <c r="AC763" i="1" s="1"/>
  <c r="AI889" i="1"/>
  <c r="AJ889" i="1" s="1"/>
  <c r="BD943" i="1"/>
  <c r="V622" i="1"/>
  <c r="Z622" i="1" s="1"/>
  <c r="AC622" i="1" s="1"/>
  <c r="BC622" i="1"/>
  <c r="BC650" i="1"/>
  <c r="V650" i="1"/>
  <c r="Z650" i="1" s="1"/>
  <c r="AC650" i="1" s="1"/>
  <c r="AJ109" i="1"/>
  <c r="AM109" i="1"/>
  <c r="AW109" i="1" s="1"/>
  <c r="AX109" i="1" s="1"/>
  <c r="AZ109" i="1" s="1"/>
  <c r="BA109" i="1" s="1"/>
  <c r="BC298" i="1"/>
  <c r="V298" i="1"/>
  <c r="Z298" i="1" s="1"/>
  <c r="AC298" i="1" s="1"/>
  <c r="V569" i="1"/>
  <c r="Z569" i="1" s="1"/>
  <c r="AC569" i="1" s="1"/>
  <c r="AM569" i="1" s="1"/>
  <c r="Z356" i="1"/>
  <c r="AC356" i="1" s="1"/>
  <c r="AG65" i="1"/>
  <c r="AH65" i="1" s="1"/>
  <c r="V519" i="1"/>
  <c r="Z519" i="1" s="1"/>
  <c r="AC519" i="1" s="1"/>
  <c r="AM519" i="1" s="1"/>
  <c r="BC519" i="1"/>
  <c r="AG259" i="1"/>
  <c r="AH259" i="1" s="1"/>
  <c r="BD259" i="1"/>
  <c r="V346" i="1"/>
  <c r="W346" i="1" s="1"/>
  <c r="BC346" i="1"/>
  <c r="V465" i="1"/>
  <c r="Z465" i="1" s="1"/>
  <c r="AC465" i="1" s="1"/>
  <c r="BC465" i="1"/>
  <c r="AG558" i="1"/>
  <c r="AH558" i="1" s="1"/>
  <c r="AG390" i="1"/>
  <c r="AH390" i="1" s="1"/>
  <c r="BC607" i="1"/>
  <c r="V607" i="1"/>
  <c r="W607" i="1" s="1"/>
  <c r="V552" i="1"/>
  <c r="Z552" i="1" s="1"/>
  <c r="AC552" i="1" s="1"/>
  <c r="AM552" i="1" s="1"/>
  <c r="BC552" i="1"/>
  <c r="V632" i="1"/>
  <c r="Z632" i="1" s="1"/>
  <c r="AC632" i="1" s="1"/>
  <c r="AM632" i="1" s="1"/>
  <c r="V692" i="1"/>
  <c r="Z692" i="1" s="1"/>
  <c r="AC692" i="1" s="1"/>
  <c r="AG755" i="1"/>
  <c r="AH755" i="1" s="1"/>
  <c r="V430" i="1"/>
  <c r="Z430" i="1" s="1"/>
  <c r="AC430" i="1" s="1"/>
  <c r="AM430" i="1" s="1"/>
  <c r="BC430" i="1"/>
  <c r="BC775" i="1"/>
  <c r="V775" i="1"/>
  <c r="Z775" i="1" s="1"/>
  <c r="AC775" i="1" s="1"/>
  <c r="BD712" i="1"/>
  <c r="AG712" i="1"/>
  <c r="AH712" i="1" s="1"/>
  <c r="BD232" i="1"/>
  <c r="AG232" i="1"/>
  <c r="AH232" i="1" s="1"/>
  <c r="V288" i="1"/>
  <c r="W288" i="1" s="1"/>
  <c r="BC288" i="1"/>
  <c r="AI509" i="1"/>
  <c r="AJ509" i="1" s="1"/>
  <c r="AG509" i="1"/>
  <c r="AH509" i="1" s="1"/>
  <c r="AG386" i="1"/>
  <c r="AH386" i="1" s="1"/>
  <c r="V458" i="1"/>
  <c r="Z458" i="1" s="1"/>
  <c r="AC458" i="1" s="1"/>
  <c r="AM458" i="1" s="1"/>
  <c r="BC458" i="1"/>
  <c r="BC325" i="1"/>
  <c r="BC356" i="1"/>
  <c r="V389" i="1"/>
  <c r="Z389" i="1" s="1"/>
  <c r="AC389" i="1" s="1"/>
  <c r="BC688" i="1"/>
  <c r="V688" i="1"/>
  <c r="Z688" i="1" s="1"/>
  <c r="AC688" i="1" s="1"/>
  <c r="V746" i="1"/>
  <c r="BC746" i="1"/>
  <c r="BC761" i="1"/>
  <c r="V761" i="1"/>
  <c r="Z761" i="1" s="1"/>
  <c r="AC761" i="1" s="1"/>
  <c r="AM761" i="1" s="1"/>
  <c r="AG787" i="1"/>
  <c r="AH787" i="1" s="1"/>
  <c r="BC873" i="1"/>
  <c r="V873" i="1"/>
  <c r="Z873" i="1" s="1"/>
  <c r="AC873" i="1" s="1"/>
  <c r="V931" i="1"/>
  <c r="Z931" i="1" s="1"/>
  <c r="AC931" i="1" s="1"/>
  <c r="BC931" i="1"/>
  <c r="V643" i="1"/>
  <c r="Z643" i="1" s="1"/>
  <c r="AC643" i="1" s="1"/>
  <c r="BC643" i="1"/>
  <c r="V803" i="1"/>
  <c r="Z803" i="1" s="1"/>
  <c r="AC803" i="1" s="1"/>
  <c r="AM803" i="1" s="1"/>
  <c r="AW803" i="1" s="1"/>
  <c r="AX803" i="1" s="1"/>
  <c r="AZ803" i="1" s="1"/>
  <c r="BA803" i="1" s="1"/>
  <c r="BC803" i="1"/>
  <c r="AG814" i="1"/>
  <c r="AH814" i="1" s="1"/>
  <c r="BC887" i="1"/>
  <c r="V887" i="1"/>
  <c r="Z887" i="1" s="1"/>
  <c r="AC887" i="1" s="1"/>
  <c r="AG938" i="1"/>
  <c r="AH938" i="1" s="1"/>
  <c r="V20" i="1"/>
  <c r="W20" i="1" s="1"/>
  <c r="BC20" i="1"/>
  <c r="AG32" i="1"/>
  <c r="AH32" i="1" s="1"/>
  <c r="V55" i="1"/>
  <c r="Z55" i="1" s="1"/>
  <c r="AC55" i="1" s="1"/>
  <c r="AM55" i="1" s="1"/>
  <c r="BC55" i="1"/>
  <c r="V85" i="1"/>
  <c r="Z85" i="1" s="1"/>
  <c r="AC85" i="1" s="1"/>
  <c r="AM85" i="1" s="1"/>
  <c r="AG550" i="1"/>
  <c r="AH550" i="1" s="1"/>
  <c r="V557" i="1"/>
  <c r="W557" i="1" s="1"/>
  <c r="BC940" i="1"/>
  <c r="V940" i="1"/>
  <c r="Z940" i="1" s="1"/>
  <c r="AC940" i="1" s="1"/>
  <c r="AM940" i="1" s="1"/>
  <c r="AW940" i="1" s="1"/>
  <c r="AX940" i="1" s="1"/>
  <c r="AZ940" i="1" s="1"/>
  <c r="BA940" i="1" s="1"/>
  <c r="AG40" i="1"/>
  <c r="AH40" i="1" s="1"/>
  <c r="BC65" i="1"/>
  <c r="V218" i="1"/>
  <c r="Z218" i="1" s="1"/>
  <c r="AC218" i="1" s="1"/>
  <c r="BC218" i="1"/>
  <c r="BC108" i="1"/>
  <c r="V113" i="1"/>
  <c r="W113" i="1" s="1"/>
  <c r="AN113" i="1" s="1"/>
  <c r="AO113" i="1" s="1"/>
  <c r="BC113" i="1"/>
  <c r="V119" i="1"/>
  <c r="Z119" i="1" s="1"/>
  <c r="AC119" i="1" s="1"/>
  <c r="BC119" i="1"/>
  <c r="V333" i="1"/>
  <c r="W333" i="1" s="1"/>
  <c r="BC333" i="1"/>
  <c r="V750" i="1"/>
  <c r="Z750" i="1" s="1"/>
  <c r="AC750" i="1" s="1"/>
  <c r="AG790" i="1"/>
  <c r="AH790" i="1" s="1"/>
  <c r="BC915" i="1"/>
  <c r="V915" i="1"/>
  <c r="W915" i="1" s="1"/>
  <c r="V918" i="1"/>
  <c r="Z918" i="1" s="1"/>
  <c r="AC918" i="1" s="1"/>
  <c r="AM918" i="1" s="1"/>
  <c r="V945" i="1"/>
  <c r="W945" i="1" s="1"/>
  <c r="BC945" i="1"/>
  <c r="V375" i="1"/>
  <c r="Z375" i="1" s="1"/>
  <c r="AC375" i="1" s="1"/>
  <c r="BC375" i="1"/>
  <c r="AG385" i="1"/>
  <c r="AH385" i="1" s="1"/>
  <c r="V454" i="1"/>
  <c r="Z454" i="1" s="1"/>
  <c r="AC454" i="1" s="1"/>
  <c r="AM454" i="1" s="1"/>
  <c r="BC454" i="1"/>
  <c r="BD497" i="1"/>
  <c r="AG497" i="1"/>
  <c r="AH497" i="1" s="1"/>
  <c r="V626" i="1"/>
  <c r="W626" i="1" s="1"/>
  <c r="AN626" i="1" s="1"/>
  <c r="AO626" i="1" s="1"/>
  <c r="BC626" i="1"/>
  <c r="V627" i="1"/>
  <c r="Z627" i="1" s="1"/>
  <c r="AC627" i="1" s="1"/>
  <c r="BC899" i="1"/>
  <c r="V899" i="1"/>
  <c r="Z899" i="1" s="1"/>
  <c r="AC899" i="1" s="1"/>
  <c r="AM899" i="1" s="1"/>
  <c r="W618" i="1"/>
  <c r="AN618" i="1" s="1"/>
  <c r="AO618" i="1" s="1"/>
  <c r="Z618" i="1"/>
  <c r="AC618" i="1" s="1"/>
  <c r="AM618" i="1" s="1"/>
  <c r="AW618" i="1" s="1"/>
  <c r="AX618" i="1" s="1"/>
  <c r="AZ618" i="1" s="1"/>
  <c r="BA618" i="1" s="1"/>
  <c r="AG709" i="1"/>
  <c r="AH709" i="1" s="1"/>
  <c r="BD709" i="1"/>
  <c r="BC406" i="1"/>
  <c r="V406" i="1"/>
  <c r="Z406" i="1" s="1"/>
  <c r="AC406" i="1" s="1"/>
  <c r="AM406" i="1" s="1"/>
  <c r="AG605" i="1"/>
  <c r="AH605" i="1" s="1"/>
  <c r="BC481" i="1"/>
  <c r="V481" i="1"/>
  <c r="Z481" i="1" s="1"/>
  <c r="AC481" i="1" s="1"/>
  <c r="BC698" i="1"/>
  <c r="V698" i="1"/>
  <c r="Z698" i="1" s="1"/>
  <c r="AC698" i="1" s="1"/>
  <c r="AM698" i="1" s="1"/>
  <c r="BC373" i="1"/>
  <c r="V623" i="1"/>
  <c r="W623" i="1" s="1"/>
  <c r="BC623" i="1"/>
  <c r="AG110" i="1"/>
  <c r="AH110" i="1" s="1"/>
  <c r="AG815" i="1"/>
  <c r="AH815" i="1" s="1"/>
  <c r="BD815" i="1"/>
  <c r="AG842" i="1"/>
  <c r="AH842" i="1" s="1"/>
  <c r="V849" i="1"/>
  <c r="Z849" i="1" s="1"/>
  <c r="AC849" i="1" s="1"/>
  <c r="AM849" i="1" s="1"/>
  <c r="V86" i="1"/>
  <c r="Z86" i="1" s="1"/>
  <c r="AC86" i="1" s="1"/>
  <c r="AM86" i="1" s="1"/>
  <c r="BC86" i="1"/>
  <c r="V353" i="1"/>
  <c r="Z353" i="1" s="1"/>
  <c r="AC353" i="1" s="1"/>
  <c r="BC353" i="1"/>
  <c r="V370" i="1"/>
  <c r="W370" i="1" s="1"/>
  <c r="BC370" i="1"/>
  <c r="BC944" i="1"/>
  <c r="V944" i="1"/>
  <c r="W944" i="1" s="1"/>
  <c r="V433" i="1"/>
  <c r="W433" i="1" s="1"/>
  <c r="BC433" i="1"/>
  <c r="BC489" i="1"/>
  <c r="V489" i="1"/>
  <c r="W489" i="1" s="1"/>
  <c r="AI700" i="1"/>
  <c r="BD944" i="1"/>
  <c r="AG944" i="1"/>
  <c r="AH944" i="1" s="1"/>
  <c r="V722" i="1"/>
  <c r="Z722" i="1" s="1"/>
  <c r="AC722" i="1" s="1"/>
  <c r="AM722" i="1" s="1"/>
  <c r="BC722" i="1"/>
  <c r="AG562" i="1"/>
  <c r="AH562" i="1" s="1"/>
  <c r="AG28" i="1"/>
  <c r="AH28" i="1" s="1"/>
  <c r="V76" i="1"/>
  <c r="Z76" i="1" s="1"/>
  <c r="AC76" i="1" s="1"/>
  <c r="BC76" i="1"/>
  <c r="V164" i="1"/>
  <c r="Z164" i="1" s="1"/>
  <c r="AC164" i="1" s="1"/>
  <c r="W373" i="1"/>
  <c r="AN373" i="1" s="1"/>
  <c r="AO373" i="1" s="1"/>
  <c r="AG374" i="1"/>
  <c r="AH374" i="1" s="1"/>
  <c r="V498" i="1"/>
  <c r="W498" i="1" s="1"/>
  <c r="AN498" i="1" s="1"/>
  <c r="AO498" i="1" s="1"/>
  <c r="BC498" i="1"/>
  <c r="AG142" i="1"/>
  <c r="AH142" i="1" s="1"/>
  <c r="V151" i="1"/>
  <c r="Z151" i="1" s="1"/>
  <c r="AC151" i="1" s="1"/>
  <c r="AM151" i="1" s="1"/>
  <c r="BC151" i="1"/>
  <c r="V185" i="1"/>
  <c r="Z185" i="1" s="1"/>
  <c r="AC185" i="1" s="1"/>
  <c r="BC185" i="1"/>
  <c r="BD352" i="1"/>
  <c r="AG352" i="1"/>
  <c r="AH352" i="1" s="1"/>
  <c r="V294" i="1"/>
  <c r="W294" i="1" s="1"/>
  <c r="BC294" i="1"/>
  <c r="V327" i="1"/>
  <c r="Z327" i="1" s="1"/>
  <c r="AC327" i="1" s="1"/>
  <c r="AM327" i="1" s="1"/>
  <c r="BC327" i="1"/>
  <c r="V448" i="1"/>
  <c r="Z448" i="1" s="1"/>
  <c r="AC448" i="1" s="1"/>
  <c r="AM448" i="1" s="1"/>
  <c r="BC448" i="1"/>
  <c r="BC497" i="1"/>
  <c r="V497" i="1"/>
  <c r="Z497" i="1" s="1"/>
  <c r="AC497" i="1" s="1"/>
  <c r="AM497" i="1" s="1"/>
  <c r="AM177" i="1"/>
  <c r="AW177" i="1" s="1"/>
  <c r="AX177" i="1" s="1"/>
  <c r="AZ177" i="1" s="1"/>
  <c r="BA177" i="1" s="1"/>
  <c r="AG184" i="1"/>
  <c r="AH184" i="1" s="1"/>
  <c r="BD184" i="1"/>
  <c r="BC219" i="1"/>
  <c r="AG490" i="1"/>
  <c r="AH490" i="1" s="1"/>
  <c r="BD490" i="1"/>
  <c r="BC529" i="1"/>
  <c r="V529" i="1"/>
  <c r="Z529" i="1" s="1"/>
  <c r="AC529" i="1" s="1"/>
  <c r="V576" i="1"/>
  <c r="W576" i="1" s="1"/>
  <c r="AN576" i="1" s="1"/>
  <c r="AO576" i="1" s="1"/>
  <c r="BC576" i="1"/>
  <c r="BC585" i="1"/>
  <c r="V585" i="1"/>
  <c r="Z585" i="1" s="1"/>
  <c r="AC585" i="1" s="1"/>
  <c r="AG66" i="1"/>
  <c r="AH66" i="1" s="1"/>
  <c r="BC84" i="1"/>
  <c r="V96" i="1"/>
  <c r="W96" i="1" s="1"/>
  <c r="AN96" i="1" s="1"/>
  <c r="AO96" i="1" s="1"/>
  <c r="BC96" i="1"/>
  <c r="BC171" i="1"/>
  <c r="V171" i="1"/>
  <c r="Z171" i="1" s="1"/>
  <c r="AC171" i="1" s="1"/>
  <c r="V266" i="1"/>
  <c r="W266" i="1" s="1"/>
  <c r="BC266" i="1"/>
  <c r="BC309" i="1"/>
  <c r="V309" i="1"/>
  <c r="W309" i="1" s="1"/>
  <c r="V520" i="1"/>
  <c r="Z520" i="1" s="1"/>
  <c r="AC520" i="1" s="1"/>
  <c r="AM520" i="1" s="1"/>
  <c r="AW520" i="1" s="1"/>
  <c r="AX520" i="1" s="1"/>
  <c r="AZ520" i="1" s="1"/>
  <c r="BA520" i="1" s="1"/>
  <c r="AG773" i="1"/>
  <c r="AH773" i="1" s="1"/>
  <c r="BD773" i="1"/>
  <c r="BC776" i="1"/>
  <c r="V776" i="1"/>
  <c r="Z776" i="1" s="1"/>
  <c r="AC776" i="1" s="1"/>
  <c r="AM776" i="1" s="1"/>
  <c r="BC782" i="1"/>
  <c r="V782" i="1"/>
  <c r="W782" i="1" s="1"/>
  <c r="AG99" i="1"/>
  <c r="AH99" i="1" s="1"/>
  <c r="W638" i="1"/>
  <c r="AG471" i="1"/>
  <c r="AH471" i="1" s="1"/>
  <c r="AG643" i="1"/>
  <c r="AH643" i="1" s="1"/>
  <c r="AG639" i="1"/>
  <c r="AH639" i="1" s="1"/>
  <c r="AG905" i="1"/>
  <c r="AH905" i="1" s="1"/>
  <c r="AG650" i="1"/>
  <c r="AH650" i="1" s="1"/>
  <c r="AG404" i="1"/>
  <c r="AH404" i="1" s="1"/>
  <c r="AG428" i="1"/>
  <c r="AH428" i="1" s="1"/>
  <c r="V811" i="1"/>
  <c r="Z811" i="1" s="1"/>
  <c r="AC811" i="1" s="1"/>
  <c r="AM811" i="1" s="1"/>
  <c r="AG812" i="1"/>
  <c r="AH812" i="1" s="1"/>
  <c r="W818" i="1"/>
  <c r="AI822" i="1"/>
  <c r="AJ822" i="1" s="1"/>
  <c r="V825" i="1"/>
  <c r="Z825" i="1" s="1"/>
  <c r="AC825" i="1" s="1"/>
  <c r="V939" i="1"/>
  <c r="Z939" i="1" s="1"/>
  <c r="AC939" i="1" s="1"/>
  <c r="AM939" i="1" s="1"/>
  <c r="AW939" i="1" s="1"/>
  <c r="AX939" i="1" s="1"/>
  <c r="AZ939" i="1" s="1"/>
  <c r="BA939" i="1" s="1"/>
  <c r="AI413" i="1"/>
  <c r="AJ413" i="1" s="1"/>
  <c r="AM428" i="1"/>
  <c r="AW428" i="1" s="1"/>
  <c r="AX428" i="1" s="1"/>
  <c r="AZ428" i="1" s="1"/>
  <c r="BA428" i="1" s="1"/>
  <c r="AG54" i="1"/>
  <c r="AH54" i="1" s="1"/>
  <c r="AG144" i="1"/>
  <c r="AH144" i="1" s="1"/>
  <c r="AM153" i="1"/>
  <c r="AW153" i="1" s="1"/>
  <c r="AX153" i="1" s="1"/>
  <c r="AZ153" i="1" s="1"/>
  <c r="BA153" i="1" s="1"/>
  <c r="AG271" i="1"/>
  <c r="AH271" i="1" s="1"/>
  <c r="V286" i="1"/>
  <c r="W286" i="1" s="1"/>
  <c r="AN286" i="1" s="1"/>
  <c r="AO286" i="1" s="1"/>
  <c r="V377" i="1"/>
  <c r="W377" i="1" s="1"/>
  <c r="AG484" i="1"/>
  <c r="AH484" i="1" s="1"/>
  <c r="V518" i="1"/>
  <c r="W518" i="1" s="1"/>
  <c r="AG587" i="1"/>
  <c r="AH587" i="1" s="1"/>
  <c r="AI144" i="1"/>
  <c r="AJ144" i="1" s="1"/>
  <c r="AG432" i="1"/>
  <c r="AH432" i="1" s="1"/>
  <c r="V535" i="1"/>
  <c r="Z535" i="1" s="1"/>
  <c r="AC535" i="1" s="1"/>
  <c r="AM535" i="1" s="1"/>
  <c r="V571" i="1"/>
  <c r="Z571" i="1" s="1"/>
  <c r="AC571" i="1" s="1"/>
  <c r="W714" i="1"/>
  <c r="V767" i="1"/>
  <c r="Z767" i="1" s="1"/>
  <c r="AC767" i="1" s="1"/>
  <c r="AM767" i="1" s="1"/>
  <c r="AG811" i="1"/>
  <c r="AH811" i="1" s="1"/>
  <c r="W815" i="1"/>
  <c r="AG846" i="1"/>
  <c r="AH846" i="1" s="1"/>
  <c r="Z871" i="1"/>
  <c r="AC871" i="1" s="1"/>
  <c r="V904" i="1"/>
  <c r="W904" i="1" s="1"/>
  <c r="V938" i="1"/>
  <c r="Z938" i="1" s="1"/>
  <c r="AC938" i="1" s="1"/>
  <c r="AM938" i="1" s="1"/>
  <c r="Z90" i="1"/>
  <c r="AC90" i="1" s="1"/>
  <c r="AM90" i="1" s="1"/>
  <c r="AW90" i="1" s="1"/>
  <c r="AX90" i="1" s="1"/>
  <c r="AZ90" i="1" s="1"/>
  <c r="BA90" i="1" s="1"/>
  <c r="W90" i="1"/>
  <c r="BC686" i="1"/>
  <c r="V686" i="1"/>
  <c r="Z686" i="1" s="1"/>
  <c r="AC686" i="1" s="1"/>
  <c r="V100" i="1"/>
  <c r="Z100" i="1" s="1"/>
  <c r="AC100" i="1" s="1"/>
  <c r="AM100" i="1" s="1"/>
  <c r="V581" i="1"/>
  <c r="Z581" i="1" s="1"/>
  <c r="AC581" i="1" s="1"/>
  <c r="BC227" i="1"/>
  <c r="V227" i="1"/>
  <c r="V289" i="1"/>
  <c r="W289" i="1" s="1"/>
  <c r="AN289" i="1" s="1"/>
  <c r="AO289" i="1" s="1"/>
  <c r="BC289" i="1"/>
  <c r="AG297" i="1"/>
  <c r="AH297" i="1" s="1"/>
  <c r="AI425" i="1"/>
  <c r="AJ425" i="1" s="1"/>
  <c r="AG425" i="1"/>
  <c r="AH425" i="1" s="1"/>
  <c r="BC463" i="1"/>
  <c r="V463" i="1"/>
  <c r="Z463" i="1" s="1"/>
  <c r="AC463" i="1" s="1"/>
  <c r="AG506" i="1"/>
  <c r="AH506" i="1" s="1"/>
  <c r="BC766" i="1"/>
  <c r="V766" i="1"/>
  <c r="W766" i="1" s="1"/>
  <c r="BC770" i="1"/>
  <c r="V770" i="1"/>
  <c r="Z770" i="1" s="1"/>
  <c r="AC770" i="1" s="1"/>
  <c r="AG774" i="1"/>
  <c r="AH774" i="1" s="1"/>
  <c r="AG778" i="1"/>
  <c r="AH778" i="1" s="1"/>
  <c r="V927" i="1"/>
  <c r="Z927" i="1" s="1"/>
  <c r="AC927" i="1" s="1"/>
  <c r="AM927" i="1" s="1"/>
  <c r="BC927" i="1"/>
  <c r="V844" i="1"/>
  <c r="Z844" i="1" s="1"/>
  <c r="AC844" i="1" s="1"/>
  <c r="AM844" i="1" s="1"/>
  <c r="BC844" i="1"/>
  <c r="BC392" i="1"/>
  <c r="V392" i="1"/>
  <c r="W392" i="1" s="1"/>
  <c r="AN392" i="1" s="1"/>
  <c r="AO392" i="1" s="1"/>
  <c r="V505" i="1"/>
  <c r="Z505" i="1" s="1"/>
  <c r="AC505" i="1" s="1"/>
  <c r="AM505" i="1" s="1"/>
  <c r="BC540" i="1"/>
  <c r="V540" i="1"/>
  <c r="W540" i="1" s="1"/>
  <c r="AN540" i="1" s="1"/>
  <c r="V661" i="1"/>
  <c r="W661" i="1" s="1"/>
  <c r="BC661" i="1"/>
  <c r="V719" i="1"/>
  <c r="BC719" i="1"/>
  <c r="BC936" i="1"/>
  <c r="V936" i="1"/>
  <c r="V367" i="1"/>
  <c r="Z367" i="1" s="1"/>
  <c r="AC367" i="1" s="1"/>
  <c r="AM367" i="1" s="1"/>
  <c r="AW367" i="1" s="1"/>
  <c r="AX367" i="1" s="1"/>
  <c r="AZ367" i="1" s="1"/>
  <c r="BA367" i="1" s="1"/>
  <c r="BC367" i="1"/>
  <c r="AI728" i="1"/>
  <c r="AJ728" i="1" s="1"/>
  <c r="AG728" i="1"/>
  <c r="AH728" i="1" s="1"/>
  <c r="BC224" i="1"/>
  <c r="V224" i="1"/>
  <c r="W224" i="1" s="1"/>
  <c r="V202" i="1"/>
  <c r="Z202" i="1" s="1"/>
  <c r="AC202" i="1" s="1"/>
  <c r="AM202" i="1" s="1"/>
  <c r="V203" i="1"/>
  <c r="W203" i="1" s="1"/>
  <c r="AN203" i="1" s="1"/>
  <c r="AO203" i="1" s="1"/>
  <c r="BC215" i="1"/>
  <c r="V215" i="1"/>
  <c r="W215" i="1" s="1"/>
  <c r="AG224" i="1"/>
  <c r="AH224" i="1" s="1"/>
  <c r="AI224" i="1"/>
  <c r="AJ224" i="1" s="1"/>
  <c r="BD245" i="1"/>
  <c r="AG245" i="1"/>
  <c r="AH245" i="1" s="1"/>
  <c r="AG285" i="1"/>
  <c r="AH285" i="1" s="1"/>
  <c r="BC316" i="1"/>
  <c r="V316" i="1"/>
  <c r="AG317" i="1"/>
  <c r="AH317" i="1" s="1"/>
  <c r="AG362" i="1"/>
  <c r="AH362" i="1" s="1"/>
  <c r="BD362" i="1"/>
  <c r="AG496" i="1"/>
  <c r="AH496" i="1" s="1"/>
  <c r="W600" i="1"/>
  <c r="V657" i="1"/>
  <c r="BC657" i="1"/>
  <c r="AI755" i="1"/>
  <c r="AJ755" i="1" s="1"/>
  <c r="V280" i="1"/>
  <c r="Z280" i="1" s="1"/>
  <c r="AC280" i="1" s="1"/>
  <c r="AM280" i="1" s="1"/>
  <c r="BC280" i="1"/>
  <c r="V302" i="1"/>
  <c r="Z302" i="1" s="1"/>
  <c r="AC302" i="1" s="1"/>
  <c r="AM302" i="1" s="1"/>
  <c r="BC302" i="1"/>
  <c r="AG537" i="1"/>
  <c r="AH537" i="1" s="1"/>
  <c r="V642" i="1"/>
  <c r="Z642" i="1" s="1"/>
  <c r="AC642" i="1" s="1"/>
  <c r="BC642" i="1"/>
  <c r="V769" i="1"/>
  <c r="Z769" i="1" s="1"/>
  <c r="AC769" i="1" s="1"/>
  <c r="AM769" i="1" s="1"/>
  <c r="BC769" i="1"/>
  <c r="BD816" i="1"/>
  <c r="AG816" i="1"/>
  <c r="AH816" i="1" s="1"/>
  <c r="BC882" i="1"/>
  <c r="V882" i="1"/>
  <c r="Z882" i="1" s="1"/>
  <c r="AC882" i="1" s="1"/>
  <c r="BC919" i="1"/>
  <c r="V919" i="1"/>
  <c r="Z919" i="1" s="1"/>
  <c r="AC919" i="1" s="1"/>
  <c r="AM919" i="1" s="1"/>
  <c r="AG670" i="1"/>
  <c r="AH670" i="1" s="1"/>
  <c r="V676" i="1"/>
  <c r="Z676" i="1" s="1"/>
  <c r="AC676" i="1" s="1"/>
  <c r="AM676" i="1" s="1"/>
  <c r="AW676" i="1" s="1"/>
  <c r="AX676" i="1" s="1"/>
  <c r="AZ676" i="1" s="1"/>
  <c r="BA676" i="1" s="1"/>
  <c r="BC676" i="1"/>
  <c r="AG174" i="1"/>
  <c r="AH174" i="1" s="1"/>
  <c r="V45" i="1"/>
  <c r="W45" i="1" s="1"/>
  <c r="BC45" i="1"/>
  <c r="V292" i="1"/>
  <c r="Z292" i="1" s="1"/>
  <c r="AC292" i="1" s="1"/>
  <c r="BC292" i="1"/>
  <c r="BC210" i="1"/>
  <c r="AI758" i="1"/>
  <c r="AJ758" i="1" s="1"/>
  <c r="AG758" i="1"/>
  <c r="AH758" i="1" s="1"/>
  <c r="AI886" i="1"/>
  <c r="AJ886" i="1" s="1"/>
  <c r="AG886" i="1"/>
  <c r="AH886" i="1" s="1"/>
  <c r="BC196" i="1"/>
  <c r="V196" i="1"/>
  <c r="Z196" i="1" s="1"/>
  <c r="AC196" i="1" s="1"/>
  <c r="AG291" i="1"/>
  <c r="AH291" i="1" s="1"/>
  <c r="AI291" i="1"/>
  <c r="AJ291" i="1" s="1"/>
  <c r="V464" i="1"/>
  <c r="W464" i="1" s="1"/>
  <c r="AN464" i="1" s="1"/>
  <c r="AO464" i="1" s="1"/>
  <c r="BC464" i="1"/>
  <c r="AG551" i="1"/>
  <c r="AH551" i="1" s="1"/>
  <c r="BD551" i="1"/>
  <c r="V858" i="1"/>
  <c r="Z858" i="1" s="1"/>
  <c r="AC858" i="1" s="1"/>
  <c r="BC858" i="1"/>
  <c r="V249" i="1"/>
  <c r="Z249" i="1" s="1"/>
  <c r="AC249" i="1" s="1"/>
  <c r="AM249" i="1" s="1"/>
  <c r="BC249" i="1"/>
  <c r="BC403" i="1"/>
  <c r="V403" i="1"/>
  <c r="Z403" i="1" s="1"/>
  <c r="AC403" i="1" s="1"/>
  <c r="AM403" i="1" s="1"/>
  <c r="BC584" i="1"/>
  <c r="V584" i="1"/>
  <c r="Z584" i="1" s="1"/>
  <c r="AC584" i="1" s="1"/>
  <c r="AM584" i="1" s="1"/>
  <c r="V798" i="1"/>
  <c r="W798" i="1" s="1"/>
  <c r="BC798" i="1"/>
  <c r="V399" i="1"/>
  <c r="BC399" i="1"/>
  <c r="AG514" i="1"/>
  <c r="AH514" i="1" s="1"/>
  <c r="BC791" i="1"/>
  <c r="V791" i="1"/>
  <c r="Z791" i="1" s="1"/>
  <c r="AC791" i="1" s="1"/>
  <c r="BC835" i="1"/>
  <c r="V835" i="1"/>
  <c r="Z835" i="1" s="1"/>
  <c r="AC835" i="1" s="1"/>
  <c r="AM835" i="1" s="1"/>
  <c r="AG845" i="1"/>
  <c r="AH845" i="1" s="1"/>
  <c r="AI845" i="1"/>
  <c r="AJ845" i="1" s="1"/>
  <c r="BC252" i="1"/>
  <c r="V252" i="1"/>
  <c r="W252" i="1" s="1"/>
  <c r="BC909" i="1"/>
  <c r="V909" i="1"/>
  <c r="Z909" i="1" s="1"/>
  <c r="AC909" i="1" s="1"/>
  <c r="AM909" i="1" s="1"/>
  <c r="AG945" i="1"/>
  <c r="AH945" i="1" s="1"/>
  <c r="AI945" i="1"/>
  <c r="AJ945" i="1" s="1"/>
  <c r="V72" i="1"/>
  <c r="Z72" i="1" s="1"/>
  <c r="AC72" i="1" s="1"/>
  <c r="V57" i="1"/>
  <c r="Z57" i="1" s="1"/>
  <c r="AC57" i="1" s="1"/>
  <c r="AG166" i="1"/>
  <c r="AH166" i="1" s="1"/>
  <c r="AG182" i="1"/>
  <c r="AH182" i="1" s="1"/>
  <c r="V363" i="1"/>
  <c r="Z363" i="1" s="1"/>
  <c r="AC363" i="1" s="1"/>
  <c r="BC50" i="1"/>
  <c r="BC136" i="1"/>
  <c r="BC199" i="1"/>
  <c r="AG76" i="1"/>
  <c r="AH76" i="1" s="1"/>
  <c r="BC87" i="1"/>
  <c r="BC118" i="1"/>
  <c r="AG202" i="1"/>
  <c r="AH202" i="1" s="1"/>
  <c r="V237" i="1"/>
  <c r="Z237" i="1" s="1"/>
  <c r="AC237" i="1" s="1"/>
  <c r="BC237" i="1"/>
  <c r="V244" i="1"/>
  <c r="Z244" i="1" s="1"/>
  <c r="AC244" i="1" s="1"/>
  <c r="AM244" i="1" s="1"/>
  <c r="BC244" i="1"/>
  <c r="AG269" i="1"/>
  <c r="AH269" i="1" s="1"/>
  <c r="BC321" i="1"/>
  <c r="V326" i="1"/>
  <c r="Z326" i="1" s="1"/>
  <c r="AC326" i="1" s="1"/>
  <c r="AM326" i="1" s="1"/>
  <c r="BC326" i="1"/>
  <c r="BC343" i="1"/>
  <c r="V387" i="1"/>
  <c r="Z387" i="1" s="1"/>
  <c r="AC387" i="1" s="1"/>
  <c r="BC387" i="1"/>
  <c r="BD428" i="1"/>
  <c r="V446" i="1"/>
  <c r="Z446" i="1" s="1"/>
  <c r="AC446" i="1" s="1"/>
  <c r="V500" i="1"/>
  <c r="W500" i="1" s="1"/>
  <c r="AN500" i="1" s="1"/>
  <c r="AO500" i="1" s="1"/>
  <c r="BC536" i="1"/>
  <c r="V536" i="1"/>
  <c r="Z536" i="1" s="1"/>
  <c r="AC536" i="1" s="1"/>
  <c r="BC10" i="1"/>
  <c r="V19" i="1"/>
  <c r="Z19" i="1" s="1"/>
  <c r="AC19" i="1" s="1"/>
  <c r="BC19" i="1"/>
  <c r="BC67" i="1"/>
  <c r="AI76" i="1"/>
  <c r="AJ76" i="1" s="1"/>
  <c r="BC77" i="1"/>
  <c r="AG82" i="1"/>
  <c r="AH82" i="1" s="1"/>
  <c r="BD82" i="1"/>
  <c r="BD87" i="1"/>
  <c r="V89" i="1"/>
  <c r="Z89" i="1" s="1"/>
  <c r="AC89" i="1" s="1"/>
  <c r="AM89" i="1" s="1"/>
  <c r="AW89" i="1" s="1"/>
  <c r="AX89" i="1" s="1"/>
  <c r="AZ89" i="1" s="1"/>
  <c r="BA89" i="1" s="1"/>
  <c r="BC89" i="1"/>
  <c r="BC177" i="1"/>
  <c r="BC229" i="1"/>
  <c r="V229" i="1"/>
  <c r="W229" i="1" s="1"/>
  <c r="AN229" i="1" s="1"/>
  <c r="AO229" i="1" s="1"/>
  <c r="W303" i="1"/>
  <c r="V349" i="1"/>
  <c r="Z349" i="1" s="1"/>
  <c r="AC349" i="1" s="1"/>
  <c r="AM349" i="1" s="1"/>
  <c r="BC349" i="1"/>
  <c r="AG350" i="1"/>
  <c r="AH350" i="1" s="1"/>
  <c r="AG380" i="1"/>
  <c r="AH380" i="1" s="1"/>
  <c r="BD380" i="1"/>
  <c r="W394" i="1"/>
  <c r="V409" i="1"/>
  <c r="V445" i="1"/>
  <c r="Z445" i="1" s="1"/>
  <c r="AC445" i="1" s="1"/>
  <c r="BC445" i="1"/>
  <c r="V522" i="1"/>
  <c r="Z522" i="1" s="1"/>
  <c r="AC522" i="1" s="1"/>
  <c r="AM522" i="1" s="1"/>
  <c r="BC522" i="1"/>
  <c r="V637" i="1"/>
  <c r="W637" i="1" s="1"/>
  <c r="AN637" i="1" s="1"/>
  <c r="AO637" i="1" s="1"/>
  <c r="BC637" i="1"/>
  <c r="BC718" i="1"/>
  <c r="V718" i="1"/>
  <c r="Z718" i="1" s="1"/>
  <c r="AC718" i="1" s="1"/>
  <c r="AM718" i="1" s="1"/>
  <c r="BD761" i="1"/>
  <c r="AG761" i="1"/>
  <c r="AH761" i="1" s="1"/>
  <c r="BC802" i="1"/>
  <c r="V802" i="1"/>
  <c r="W802" i="1" s="1"/>
  <c r="V345" i="1"/>
  <c r="W345" i="1" s="1"/>
  <c r="BC345" i="1"/>
  <c r="AG346" i="1"/>
  <c r="AH346" i="1" s="1"/>
  <c r="AM401" i="1"/>
  <c r="AW401" i="1" s="1"/>
  <c r="AX401" i="1" s="1"/>
  <c r="AZ401" i="1" s="1"/>
  <c r="BA401" i="1" s="1"/>
  <c r="BD414" i="1"/>
  <c r="BD440" i="1"/>
  <c r="AG440" i="1"/>
  <c r="AH440" i="1" s="1"/>
  <c r="V532" i="1"/>
  <c r="W532" i="1" s="1"/>
  <c r="BC532" i="1"/>
  <c r="BC561" i="1"/>
  <c r="V561" i="1"/>
  <c r="Z561" i="1" s="1"/>
  <c r="AC561" i="1" s="1"/>
  <c r="AG566" i="1"/>
  <c r="AH566" i="1" s="1"/>
  <c r="V677" i="1"/>
  <c r="Z677" i="1" s="1"/>
  <c r="AC677" i="1" s="1"/>
  <c r="AM677" i="1" s="1"/>
  <c r="BC677" i="1"/>
  <c r="BC697" i="1"/>
  <c r="V697" i="1"/>
  <c r="W697" i="1" s="1"/>
  <c r="V874" i="1"/>
  <c r="W874" i="1" s="1"/>
  <c r="AN874" i="1" s="1"/>
  <c r="AO874" i="1" s="1"/>
  <c r="BC874" i="1"/>
  <c r="AI879" i="1"/>
  <c r="AJ879" i="1" s="1"/>
  <c r="AG879" i="1"/>
  <c r="AH879" i="1" s="1"/>
  <c r="V88" i="1"/>
  <c r="Z88" i="1" s="1"/>
  <c r="AC88" i="1" s="1"/>
  <c r="AM88" i="1" s="1"/>
  <c r="AW88" i="1" s="1"/>
  <c r="AX88" i="1" s="1"/>
  <c r="AZ88" i="1" s="1"/>
  <c r="BA88" i="1" s="1"/>
  <c r="BC88" i="1"/>
  <c r="AJ90" i="1"/>
  <c r="V232" i="1"/>
  <c r="Z232" i="1" s="1"/>
  <c r="AC232" i="1" s="1"/>
  <c r="AM232" i="1" s="1"/>
  <c r="BC232" i="1"/>
  <c r="V471" i="1"/>
  <c r="Z471" i="1" s="1"/>
  <c r="AC471" i="1" s="1"/>
  <c r="BC471" i="1"/>
  <c r="V788" i="1"/>
  <c r="W788" i="1" s="1"/>
  <c r="BC788" i="1"/>
  <c r="AG795" i="1"/>
  <c r="AH795" i="1" s="1"/>
  <c r="BD795" i="1"/>
  <c r="BC805" i="1"/>
  <c r="V805" i="1"/>
  <c r="AI345" i="1"/>
  <c r="AJ345" i="1" s="1"/>
  <c r="AG345" i="1"/>
  <c r="AH345" i="1" s="1"/>
  <c r="V801" i="1"/>
  <c r="Z801" i="1" s="1"/>
  <c r="AC801" i="1" s="1"/>
  <c r="BC801" i="1"/>
  <c r="BC13" i="1"/>
  <c r="V13" i="1"/>
  <c r="Z13" i="1" s="1"/>
  <c r="AC13" i="1" s="1"/>
  <c r="AM13" i="1" s="1"/>
  <c r="AI37" i="1"/>
  <c r="AJ37" i="1" s="1"/>
  <c r="AG37" i="1"/>
  <c r="AH37" i="1" s="1"/>
  <c r="W177" i="1"/>
  <c r="AN177" i="1" s="1"/>
  <c r="AO177" i="1" s="1"/>
  <c r="AG253" i="1"/>
  <c r="AH253" i="1" s="1"/>
  <c r="AI253" i="1"/>
  <c r="AJ253" i="1" s="1"/>
  <c r="V501" i="1"/>
  <c r="Z501" i="1" s="1"/>
  <c r="AC501" i="1" s="1"/>
  <c r="BC501" i="1"/>
  <c r="V41" i="1"/>
  <c r="W41" i="1" s="1"/>
  <c r="BC41" i="1"/>
  <c r="V106" i="1"/>
  <c r="Z106" i="1" s="1"/>
  <c r="AC106" i="1" s="1"/>
  <c r="AM106" i="1" s="1"/>
  <c r="BC106" i="1"/>
  <c r="BC145" i="1"/>
  <c r="V145" i="1"/>
  <c r="Z145" i="1" s="1"/>
  <c r="AC145" i="1" s="1"/>
  <c r="AM145" i="1" s="1"/>
  <c r="AW145" i="1" s="1"/>
  <c r="AX145" i="1" s="1"/>
  <c r="AZ145" i="1" s="1"/>
  <c r="BA145" i="1" s="1"/>
  <c r="BC248" i="1"/>
  <c r="V248" i="1"/>
  <c r="W248" i="1" s="1"/>
  <c r="AN248" i="1" s="1"/>
  <c r="AO248" i="1" s="1"/>
  <c r="V330" i="1"/>
  <c r="W330" i="1" s="1"/>
  <c r="BC330" i="1"/>
  <c r="BD46" i="1"/>
  <c r="AG95" i="1"/>
  <c r="AH95" i="1" s="1"/>
  <c r="V144" i="1"/>
  <c r="Z144" i="1" s="1"/>
  <c r="AC144" i="1" s="1"/>
  <c r="BC144" i="1"/>
  <c r="V220" i="1"/>
  <c r="Z220" i="1" s="1"/>
  <c r="AC220" i="1" s="1"/>
  <c r="AI347" i="1"/>
  <c r="AJ347" i="1" s="1"/>
  <c r="AG347" i="1"/>
  <c r="AH347" i="1" s="1"/>
  <c r="V35" i="1"/>
  <c r="Z35" i="1" s="1"/>
  <c r="AC35" i="1" s="1"/>
  <c r="BC42" i="1"/>
  <c r="W137" i="1"/>
  <c r="BC182" i="1"/>
  <c r="BC4" i="1"/>
  <c r="V34" i="1"/>
  <c r="Z34" i="1" s="1"/>
  <c r="AC34" i="1" s="1"/>
  <c r="W51" i="1"/>
  <c r="BC95" i="1"/>
  <c r="V98" i="1"/>
  <c r="W98" i="1" s="1"/>
  <c r="W108" i="1"/>
  <c r="AN108" i="1" s="1"/>
  <c r="AO108" i="1" s="1"/>
  <c r="AG180" i="1"/>
  <c r="AH180" i="1" s="1"/>
  <c r="BC181" i="1"/>
  <c r="AG191" i="1"/>
  <c r="AH191" i="1" s="1"/>
  <c r="AI223" i="1"/>
  <c r="AJ223" i="1" s="1"/>
  <c r="AG223" i="1"/>
  <c r="AH223" i="1" s="1"/>
  <c r="V241" i="1"/>
  <c r="W241" i="1" s="1"/>
  <c r="AN241" i="1" s="1"/>
  <c r="AO241" i="1" s="1"/>
  <c r="V254" i="1"/>
  <c r="Z254" i="1" s="1"/>
  <c r="AC254" i="1" s="1"/>
  <c r="BD277" i="1"/>
  <c r="V301" i="1"/>
  <c r="Z301" i="1" s="1"/>
  <c r="AC301" i="1" s="1"/>
  <c r="AM301" i="1" s="1"/>
  <c r="BC301" i="1"/>
  <c r="BC315" i="1"/>
  <c r="V315" i="1"/>
  <c r="V75" i="1"/>
  <c r="W75" i="1" s="1"/>
  <c r="V183" i="1"/>
  <c r="Z183" i="1" s="1"/>
  <c r="AC183" i="1" s="1"/>
  <c r="BC183" i="1"/>
  <c r="V197" i="1"/>
  <c r="W197" i="1" s="1"/>
  <c r="AG302" i="1"/>
  <c r="AH302" i="1" s="1"/>
  <c r="BC320" i="1"/>
  <c r="BC322" i="1"/>
  <c r="V322" i="1"/>
  <c r="Z322" i="1" s="1"/>
  <c r="AC322" i="1" s="1"/>
  <c r="BC362" i="1"/>
  <c r="V429" i="1"/>
  <c r="BC429" i="1"/>
  <c r="V556" i="1"/>
  <c r="Z556" i="1" s="1"/>
  <c r="AC556" i="1" s="1"/>
  <c r="AG590" i="1"/>
  <c r="AH590" i="1" s="1"/>
  <c r="BD590" i="1"/>
  <c r="AI749" i="1"/>
  <c r="AJ749" i="1" s="1"/>
  <c r="AG749" i="1"/>
  <c r="AH749" i="1" s="1"/>
  <c r="V806" i="1"/>
  <c r="Z806" i="1" s="1"/>
  <c r="AC806" i="1" s="1"/>
  <c r="V813" i="1"/>
  <c r="BC813" i="1"/>
  <c r="AG853" i="1"/>
  <c r="AH853" i="1" s="1"/>
  <c r="AI853" i="1"/>
  <c r="AJ853" i="1" s="1"/>
  <c r="BC913" i="1"/>
  <c r="V913" i="1"/>
  <c r="Z913" i="1" s="1"/>
  <c r="AC913" i="1" s="1"/>
  <c r="AM913" i="1" s="1"/>
  <c r="AM114" i="1"/>
  <c r="AW114" i="1" s="1"/>
  <c r="AX114" i="1" s="1"/>
  <c r="AZ114" i="1" s="1"/>
  <c r="BA114" i="1" s="1"/>
  <c r="W193" i="1"/>
  <c r="AN193" i="1" s="1"/>
  <c r="AO193" i="1" s="1"/>
  <c r="AG367" i="1"/>
  <c r="AH367" i="1" s="1"/>
  <c r="AG492" i="1"/>
  <c r="AH492" i="1" s="1"/>
  <c r="AG631" i="1"/>
  <c r="AH631" i="1" s="1"/>
  <c r="V640" i="1"/>
  <c r="Z640" i="1" s="1"/>
  <c r="AC640" i="1" s="1"/>
  <c r="BC640" i="1"/>
  <c r="BD805" i="1"/>
  <c r="AG805" i="1"/>
  <c r="AH805" i="1" s="1"/>
  <c r="V827" i="1"/>
  <c r="Z827" i="1" s="1"/>
  <c r="AC827" i="1" s="1"/>
  <c r="BC827" i="1"/>
  <c r="AG887" i="1"/>
  <c r="AH887" i="1" s="1"/>
  <c r="AI887" i="1"/>
  <c r="AJ887" i="1" s="1"/>
  <c r="AG891" i="1"/>
  <c r="AH891" i="1" s="1"/>
  <c r="AI891" i="1"/>
  <c r="AJ891" i="1" s="1"/>
  <c r="AG320" i="1"/>
  <c r="AH320" i="1" s="1"/>
  <c r="AG343" i="1"/>
  <c r="AH343" i="1" s="1"/>
  <c r="BC660" i="1"/>
  <c r="V660" i="1"/>
  <c r="Z660" i="1" s="1"/>
  <c r="AC660" i="1" s="1"/>
  <c r="AM660" i="1" s="1"/>
  <c r="AG661" i="1"/>
  <c r="AH661" i="1" s="1"/>
  <c r="BC693" i="1"/>
  <c r="V693" i="1"/>
  <c r="Z693" i="1" s="1"/>
  <c r="AC693" i="1" s="1"/>
  <c r="BC830" i="1"/>
  <c r="V830" i="1"/>
  <c r="Z830" i="1" s="1"/>
  <c r="AC830" i="1" s="1"/>
  <c r="BC854" i="1"/>
  <c r="V854" i="1"/>
  <c r="Z854" i="1" s="1"/>
  <c r="AC854" i="1" s="1"/>
  <c r="AI320" i="1"/>
  <c r="AJ320" i="1" s="1"/>
  <c r="AG321" i="1"/>
  <c r="AH321" i="1" s="1"/>
  <c r="AI343" i="1"/>
  <c r="AJ343" i="1" s="1"/>
  <c r="V348" i="1"/>
  <c r="W348" i="1" s="1"/>
  <c r="AN348" i="1" s="1"/>
  <c r="AO348" i="1" s="1"/>
  <c r="BC348" i="1"/>
  <c r="V655" i="1"/>
  <c r="Z655" i="1" s="1"/>
  <c r="AC655" i="1" s="1"/>
  <c r="BC655" i="1"/>
  <c r="AG748" i="1"/>
  <c r="AH748" i="1" s="1"/>
  <c r="BC804" i="1"/>
  <c r="V804" i="1"/>
  <c r="Z804" i="1" s="1"/>
  <c r="AC804" i="1" s="1"/>
  <c r="AM804" i="1" s="1"/>
  <c r="AG834" i="1"/>
  <c r="AH834" i="1" s="1"/>
  <c r="AI834" i="1"/>
  <c r="AJ834" i="1" s="1"/>
  <c r="AG348" i="1"/>
  <c r="AH348" i="1" s="1"/>
  <c r="AI664" i="1"/>
  <c r="AJ664" i="1" s="1"/>
  <c r="AG664" i="1"/>
  <c r="AH664" i="1" s="1"/>
  <c r="BD717" i="1"/>
  <c r="AG717" i="1"/>
  <c r="AH717" i="1" s="1"/>
  <c r="BC833" i="1"/>
  <c r="V833" i="1"/>
  <c r="Z833" i="1" s="1"/>
  <c r="AC833" i="1" s="1"/>
  <c r="AM833" i="1" s="1"/>
  <c r="V928" i="1"/>
  <c r="Z928" i="1" s="1"/>
  <c r="AC928" i="1" s="1"/>
  <c r="AM928" i="1" s="1"/>
  <c r="BC928" i="1"/>
  <c r="AG33" i="1"/>
  <c r="AH33" i="1" s="1"/>
  <c r="AG48" i="1"/>
  <c r="AH48" i="1" s="1"/>
  <c r="AG56" i="1"/>
  <c r="AH56" i="1" s="1"/>
  <c r="W112" i="1"/>
  <c r="AG129" i="1"/>
  <c r="AH129" i="1" s="1"/>
  <c r="AG283" i="1"/>
  <c r="AH283" i="1" s="1"/>
  <c r="AG287" i="1"/>
  <c r="AH287" i="1" s="1"/>
  <c r="AG516" i="1"/>
  <c r="AH516" i="1" s="1"/>
  <c r="V568" i="1"/>
  <c r="W568" i="1" s="1"/>
  <c r="AG576" i="1"/>
  <c r="AH576" i="1" s="1"/>
  <c r="AI656" i="1"/>
  <c r="AJ656" i="1" s="1"/>
  <c r="V729" i="1"/>
  <c r="W729" i="1" s="1"/>
  <c r="AG733" i="1"/>
  <c r="AH733" i="1" s="1"/>
  <c r="AG759" i="1"/>
  <c r="AH759" i="1" s="1"/>
  <c r="AG797" i="1"/>
  <c r="AH797" i="1" s="1"/>
  <c r="AG877" i="1"/>
  <c r="AH877" i="1" s="1"/>
  <c r="V896" i="1"/>
  <c r="Z896" i="1" s="1"/>
  <c r="AC896" i="1" s="1"/>
  <c r="BC896" i="1"/>
  <c r="BC925" i="1"/>
  <c r="V925" i="1"/>
  <c r="Z925" i="1" s="1"/>
  <c r="AC925" i="1" s="1"/>
  <c r="AM925" i="1" s="1"/>
  <c r="V937" i="1"/>
  <c r="Z937" i="1" s="1"/>
  <c r="AC937" i="1" s="1"/>
  <c r="AM937" i="1" s="1"/>
  <c r="BC937" i="1"/>
  <c r="AG488" i="1"/>
  <c r="AH488" i="1" s="1"/>
  <c r="BC819" i="1"/>
  <c r="V819" i="1"/>
  <c r="Z819" i="1" s="1"/>
  <c r="AC819" i="1" s="1"/>
  <c r="AM819" i="1" s="1"/>
  <c r="AW819" i="1" s="1"/>
  <c r="AX819" i="1" s="1"/>
  <c r="AZ819" i="1" s="1"/>
  <c r="BA819" i="1" s="1"/>
  <c r="V832" i="1"/>
  <c r="BC832" i="1"/>
  <c r="BC114" i="1"/>
  <c r="W123" i="1"/>
  <c r="AN123" i="1" s="1"/>
  <c r="AO123" i="1" s="1"/>
  <c r="BC193" i="1"/>
  <c r="W238" i="1"/>
  <c r="BC242" i="1"/>
  <c r="V242" i="1"/>
  <c r="Z242" i="1" s="1"/>
  <c r="AC242" i="1" s="1"/>
  <c r="V313" i="1"/>
  <c r="W313" i="1" s="1"/>
  <c r="V328" i="1"/>
  <c r="Z328" i="1" s="1"/>
  <c r="AC328" i="1" s="1"/>
  <c r="BC339" i="1"/>
  <c r="BC427" i="1"/>
  <c r="W530" i="1"/>
  <c r="BC546" i="1"/>
  <c r="AI588" i="1"/>
  <c r="AJ588" i="1" s="1"/>
  <c r="AG588" i="1"/>
  <c r="AH588" i="1" s="1"/>
  <c r="V611" i="1"/>
  <c r="W611" i="1" s="1"/>
  <c r="AG624" i="1"/>
  <c r="AH624" i="1" s="1"/>
  <c r="AG629" i="1"/>
  <c r="AH629" i="1" s="1"/>
  <c r="AI629" i="1"/>
  <c r="AJ629" i="1" s="1"/>
  <c r="V654" i="1"/>
  <c r="W654" i="1" s="1"/>
  <c r="AN654" i="1" s="1"/>
  <c r="AO654" i="1" s="1"/>
  <c r="BC654" i="1"/>
  <c r="V671" i="1"/>
  <c r="BC702" i="1"/>
  <c r="V702" i="1"/>
  <c r="Z702" i="1" s="1"/>
  <c r="AC702" i="1" s="1"/>
  <c r="V725" i="1"/>
  <c r="Z725" i="1" s="1"/>
  <c r="AC725" i="1" s="1"/>
  <c r="AM725" i="1" s="1"/>
  <c r="AG864" i="1"/>
  <c r="AH864" i="1" s="1"/>
  <c r="V892" i="1"/>
  <c r="Z892" i="1" s="1"/>
  <c r="AC892" i="1" s="1"/>
  <c r="BC892" i="1"/>
  <c r="AG858" i="1"/>
  <c r="AH858" i="1" s="1"/>
  <c r="W678" i="1"/>
  <c r="AN678" i="1" s="1"/>
  <c r="AO678" i="1" s="1"/>
  <c r="AG743" i="1"/>
  <c r="AH743" i="1" s="1"/>
  <c r="AG764" i="1"/>
  <c r="AH764" i="1" s="1"/>
  <c r="AG768" i="1"/>
  <c r="AH768" i="1" s="1"/>
  <c r="AG799" i="1"/>
  <c r="AH799" i="1" s="1"/>
  <c r="AG947" i="1"/>
  <c r="AH947" i="1" s="1"/>
  <c r="AG849" i="1"/>
  <c r="AH849" i="1" s="1"/>
  <c r="W861" i="1"/>
  <c r="AG869" i="1"/>
  <c r="AH869" i="1" s="1"/>
  <c r="BC886" i="1"/>
  <c r="AG899" i="1"/>
  <c r="AH899" i="1" s="1"/>
  <c r="AG928" i="1"/>
  <c r="AH928" i="1" s="1"/>
  <c r="V574" i="1"/>
  <c r="W574" i="1" s="1"/>
  <c r="V582" i="1"/>
  <c r="Z582" i="1" s="1"/>
  <c r="AC582" i="1" s="1"/>
  <c r="AM582" i="1" s="1"/>
  <c r="AG592" i="1"/>
  <c r="AH592" i="1" s="1"/>
  <c r="V700" i="1"/>
  <c r="W700" i="1" s="1"/>
  <c r="V808" i="1"/>
  <c r="Z808" i="1" s="1"/>
  <c r="AC808" i="1" s="1"/>
  <c r="AG934" i="1"/>
  <c r="AH934" i="1" s="1"/>
  <c r="AG895" i="1"/>
  <c r="AH895" i="1" s="1"/>
  <c r="W180" i="1"/>
  <c r="AG286" i="1"/>
  <c r="AH286" i="1" s="1"/>
  <c r="W503" i="1"/>
  <c r="AG632" i="1"/>
  <c r="AH632" i="1" s="1"/>
  <c r="AG636" i="1"/>
  <c r="AH636" i="1" s="1"/>
  <c r="AG676" i="1"/>
  <c r="AH676" i="1" s="1"/>
  <c r="AG741" i="1"/>
  <c r="AH741" i="1" s="1"/>
  <c r="BD799" i="1"/>
  <c r="AG875" i="1"/>
  <c r="AH875" i="1" s="1"/>
  <c r="AJ337" i="1"/>
  <c r="AJ206" i="1"/>
  <c r="W339" i="1"/>
  <c r="Z339" i="1"/>
  <c r="AC339" i="1" s="1"/>
  <c r="W65" i="1"/>
  <c r="Z65" i="1"/>
  <c r="AC65" i="1" s="1"/>
  <c r="W95" i="1"/>
  <c r="Z95" i="1"/>
  <c r="AC95" i="1" s="1"/>
  <c r="AI420" i="1"/>
  <c r="AJ420" i="1" s="1"/>
  <c r="AG420" i="1"/>
  <c r="AH420" i="1" s="1"/>
  <c r="BC426" i="1"/>
  <c r="V426" i="1"/>
  <c r="Z426" i="1" s="1"/>
  <c r="AC426" i="1" s="1"/>
  <c r="AG209" i="1"/>
  <c r="AH209" i="1" s="1"/>
  <c r="AI262" i="1"/>
  <c r="AJ262" i="1" s="1"/>
  <c r="AG262" i="1"/>
  <c r="AH262" i="1" s="1"/>
  <c r="AG74" i="1"/>
  <c r="AH74" i="1" s="1"/>
  <c r="AG145" i="1"/>
  <c r="AH145" i="1" s="1"/>
  <c r="AG168" i="1"/>
  <c r="AH168" i="1" s="1"/>
  <c r="AG190" i="1"/>
  <c r="AH190" i="1" s="1"/>
  <c r="AI191" i="1"/>
  <c r="AJ191" i="1" s="1"/>
  <c r="V195" i="1"/>
  <c r="AG196" i="1"/>
  <c r="AH196" i="1" s="1"/>
  <c r="V206" i="1"/>
  <c r="V208" i="1"/>
  <c r="W208" i="1" s="1"/>
  <c r="BC212" i="1"/>
  <c r="V212" i="1"/>
  <c r="Z212" i="1" s="1"/>
  <c r="AC212" i="1" s="1"/>
  <c r="V213" i="1"/>
  <c r="Z213" i="1" s="1"/>
  <c r="AC213" i="1" s="1"/>
  <c r="AM213" i="1" s="1"/>
  <c r="AG249" i="1"/>
  <c r="AH249" i="1" s="1"/>
  <c r="V279" i="1"/>
  <c r="Z279" i="1" s="1"/>
  <c r="AC279" i="1" s="1"/>
  <c r="AM279" i="1" s="1"/>
  <c r="AG280" i="1"/>
  <c r="AH280" i="1" s="1"/>
  <c r="AG288" i="1"/>
  <c r="AH288" i="1" s="1"/>
  <c r="BC311" i="1"/>
  <c r="V311" i="1"/>
  <c r="Z311" i="1" s="1"/>
  <c r="AC311" i="1" s="1"/>
  <c r="AG326" i="1"/>
  <c r="AH326" i="1" s="1"/>
  <c r="BC332" i="1"/>
  <c r="V419" i="1"/>
  <c r="V436" i="1"/>
  <c r="BC436" i="1"/>
  <c r="V437" i="1"/>
  <c r="Z437" i="1" s="1"/>
  <c r="AC437" i="1" s="1"/>
  <c r="W441" i="1"/>
  <c r="AI471" i="1"/>
  <c r="AJ471" i="1" s="1"/>
  <c r="V528" i="1"/>
  <c r="Z528" i="1" s="1"/>
  <c r="AC528" i="1" s="1"/>
  <c r="BC528" i="1"/>
  <c r="AG529" i="1"/>
  <c r="AH529" i="1" s="1"/>
  <c r="AI529" i="1"/>
  <c r="AJ529" i="1" s="1"/>
  <c r="AJ817" i="1"/>
  <c r="V270" i="1"/>
  <c r="Z270" i="1" s="1"/>
  <c r="AC270" i="1" s="1"/>
  <c r="BC270" i="1"/>
  <c r="AG444" i="1"/>
  <c r="AH444" i="1" s="1"/>
  <c r="V116" i="1"/>
  <c r="Z116" i="1" s="1"/>
  <c r="AC116" i="1" s="1"/>
  <c r="AG3" i="1"/>
  <c r="AH3" i="1" s="1"/>
  <c r="V8" i="1"/>
  <c r="Z8" i="1" s="1"/>
  <c r="AC8" i="1" s="1"/>
  <c r="AM8" i="1" s="1"/>
  <c r="AG18" i="1"/>
  <c r="AH18" i="1" s="1"/>
  <c r="V27" i="1"/>
  <c r="Z27" i="1" s="1"/>
  <c r="AC27" i="1" s="1"/>
  <c r="AM27" i="1" s="1"/>
  <c r="V59" i="1"/>
  <c r="Z59" i="1" s="1"/>
  <c r="AC59" i="1" s="1"/>
  <c r="AM59" i="1" s="1"/>
  <c r="BD66" i="1"/>
  <c r="AG72" i="1"/>
  <c r="AH72" i="1" s="1"/>
  <c r="W124" i="1"/>
  <c r="V126" i="1"/>
  <c r="Z126" i="1" s="1"/>
  <c r="AC126" i="1" s="1"/>
  <c r="AM126" i="1" s="1"/>
  <c r="AW126" i="1" s="1"/>
  <c r="AX126" i="1" s="1"/>
  <c r="AZ126" i="1" s="1"/>
  <c r="BA126" i="1" s="1"/>
  <c r="AG132" i="1"/>
  <c r="AH132" i="1" s="1"/>
  <c r="W141" i="1"/>
  <c r="AI142" i="1"/>
  <c r="AJ142" i="1" s="1"/>
  <c r="V150" i="1"/>
  <c r="Z150" i="1" s="1"/>
  <c r="AC150" i="1" s="1"/>
  <c r="BC153" i="1"/>
  <c r="V156" i="1"/>
  <c r="W156" i="1" s="1"/>
  <c r="AN156" i="1" s="1"/>
  <c r="AO156" i="1" s="1"/>
  <c r="V157" i="1"/>
  <c r="V159" i="1"/>
  <c r="W159" i="1" s="1"/>
  <c r="AG176" i="1"/>
  <c r="AH176" i="1" s="1"/>
  <c r="AG178" i="1"/>
  <c r="AH178" i="1" s="1"/>
  <c r="AI180" i="1"/>
  <c r="AJ180" i="1" s="1"/>
  <c r="V187" i="1"/>
  <c r="Z187" i="1" s="1"/>
  <c r="AC187" i="1" s="1"/>
  <c r="AI196" i="1"/>
  <c r="AG200" i="1"/>
  <c r="AH200" i="1" s="1"/>
  <c r="BC243" i="1"/>
  <c r="AI257" i="1"/>
  <c r="AJ257" i="1" s="1"/>
  <c r="AG257" i="1"/>
  <c r="AH257" i="1" s="1"/>
  <c r="V268" i="1"/>
  <c r="BD418" i="1"/>
  <c r="AG418" i="1"/>
  <c r="AH418" i="1" s="1"/>
  <c r="AG475" i="1"/>
  <c r="AH475" i="1" s="1"/>
  <c r="BC567" i="1"/>
  <c r="V567" i="1"/>
  <c r="V648" i="1"/>
  <c r="Z648" i="1" s="1"/>
  <c r="AC648" i="1" s="1"/>
  <c r="BC648" i="1"/>
  <c r="AG649" i="1"/>
  <c r="AH649" i="1" s="1"/>
  <c r="BD652" i="1"/>
  <c r="AG652" i="1"/>
  <c r="AH652" i="1" s="1"/>
  <c r="AI339" i="1"/>
  <c r="AJ339" i="1" s="1"/>
  <c r="AG339" i="1"/>
  <c r="AH339" i="1" s="1"/>
  <c r="AG355" i="1"/>
  <c r="AH355" i="1" s="1"/>
  <c r="AI355" i="1"/>
  <c r="AJ355" i="1" s="1"/>
  <c r="V79" i="1"/>
  <c r="Z79" i="1" s="1"/>
  <c r="AC79" i="1" s="1"/>
  <c r="AM79" i="1" s="1"/>
  <c r="AG105" i="1"/>
  <c r="AH105" i="1" s="1"/>
  <c r="AI105" i="1"/>
  <c r="AJ105" i="1" s="1"/>
  <c r="AG121" i="1"/>
  <c r="AH121" i="1" s="1"/>
  <c r="AG179" i="1"/>
  <c r="AH179" i="1" s="1"/>
  <c r="AG188" i="1"/>
  <c r="AH188" i="1" s="1"/>
  <c r="AG207" i="1"/>
  <c r="AH207" i="1" s="1"/>
  <c r="AG213" i="1"/>
  <c r="AH213" i="1" s="1"/>
  <c r="V216" i="1"/>
  <c r="BC216" i="1"/>
  <c r="V256" i="1"/>
  <c r="Z256" i="1" s="1"/>
  <c r="AC256" i="1" s="1"/>
  <c r="V274" i="1"/>
  <c r="W274" i="1" s="1"/>
  <c r="AG299" i="1"/>
  <c r="AH299" i="1" s="1"/>
  <c r="BC323" i="1"/>
  <c r="V323" i="1"/>
  <c r="W323" i="1" s="1"/>
  <c r="AG324" i="1"/>
  <c r="AH324" i="1" s="1"/>
  <c r="AG349" i="1"/>
  <c r="AH349" i="1" s="1"/>
  <c r="BC358" i="1"/>
  <c r="V358" i="1"/>
  <c r="AG376" i="1"/>
  <c r="AH376" i="1" s="1"/>
  <c r="AI376" i="1"/>
  <c r="AJ376" i="1" s="1"/>
  <c r="V451" i="1"/>
  <c r="BC451" i="1"/>
  <c r="BC455" i="1"/>
  <c r="V455" i="1"/>
  <c r="V456" i="1"/>
  <c r="Z456" i="1" s="1"/>
  <c r="AC456" i="1" s="1"/>
  <c r="AM456" i="1" s="1"/>
  <c r="V469" i="1"/>
  <c r="Z469" i="1" s="1"/>
  <c r="AC469" i="1" s="1"/>
  <c r="AM469" i="1" s="1"/>
  <c r="AI513" i="1"/>
  <c r="AJ513" i="1" s="1"/>
  <c r="AG513" i="1"/>
  <c r="AH513" i="1" s="1"/>
  <c r="AG594" i="1"/>
  <c r="AH594" i="1" s="1"/>
  <c r="BD594" i="1"/>
  <c r="AI243" i="1"/>
  <c r="AG243" i="1"/>
  <c r="AH243" i="1" s="1"/>
  <c r="AI251" i="1"/>
  <c r="AJ251" i="1" s="1"/>
  <c r="AG251" i="1"/>
  <c r="AH251" i="1" s="1"/>
  <c r="Z554" i="1"/>
  <c r="AC554" i="1" s="1"/>
  <c r="AM554" i="1" s="1"/>
  <c r="W554" i="1"/>
  <c r="V748" i="1"/>
  <c r="BC748" i="1"/>
  <c r="BC31" i="1"/>
  <c r="V31" i="1"/>
  <c r="Z31" i="1" s="1"/>
  <c r="AC31" i="1" s="1"/>
  <c r="AM31" i="1" s="1"/>
  <c r="AG107" i="1"/>
  <c r="AH107" i="1" s="1"/>
  <c r="AI107" i="1"/>
  <c r="AJ107" i="1" s="1"/>
  <c r="W380" i="1"/>
  <c r="Z380" i="1"/>
  <c r="AC380" i="1" s="1"/>
  <c r="AM380" i="1" s="1"/>
  <c r="BC396" i="1"/>
  <c r="V396" i="1"/>
  <c r="Z396" i="1" s="1"/>
  <c r="AC396" i="1" s="1"/>
  <c r="AG366" i="1"/>
  <c r="AH366" i="1" s="1"/>
  <c r="AG9" i="1"/>
  <c r="AH9" i="1" s="1"/>
  <c r="AI110" i="1"/>
  <c r="AJ110" i="1" s="1"/>
  <c r="V225" i="1"/>
  <c r="W225" i="1" s="1"/>
  <c r="V226" i="1"/>
  <c r="W226" i="1" s="1"/>
  <c r="AN226" i="1" s="1"/>
  <c r="AO226" i="1" s="1"/>
  <c r="AI227" i="1"/>
  <c r="AG227" i="1"/>
  <c r="AH227" i="1" s="1"/>
  <c r="AG247" i="1"/>
  <c r="AH247" i="1" s="1"/>
  <c r="V253" i="1"/>
  <c r="Z253" i="1" s="1"/>
  <c r="AC253" i="1" s="1"/>
  <c r="W265" i="1"/>
  <c r="AN265" i="1" s="1"/>
  <c r="AO265" i="1" s="1"/>
  <c r="V277" i="1"/>
  <c r="Z277" i="1" s="1"/>
  <c r="AC277" i="1" s="1"/>
  <c r="AM277" i="1" s="1"/>
  <c r="AW277" i="1" s="1"/>
  <c r="AX277" i="1" s="1"/>
  <c r="AZ277" i="1" s="1"/>
  <c r="BA277" i="1" s="1"/>
  <c r="V284" i="1"/>
  <c r="Z284" i="1" s="1"/>
  <c r="AC284" i="1" s="1"/>
  <c r="AM284" i="1" s="1"/>
  <c r="AI285" i="1"/>
  <c r="AJ285" i="1" s="1"/>
  <c r="AG315" i="1"/>
  <c r="AH315" i="1" s="1"/>
  <c r="BD315" i="1"/>
  <c r="V341" i="1"/>
  <c r="BC381" i="1"/>
  <c r="AG400" i="1"/>
  <c r="AH400" i="1" s="1"/>
  <c r="V417" i="1"/>
  <c r="BC417" i="1"/>
  <c r="V418" i="1"/>
  <c r="W418" i="1" s="1"/>
  <c r="AN418" i="1" s="1"/>
  <c r="AO418" i="1" s="1"/>
  <c r="BC421" i="1"/>
  <c r="V421" i="1"/>
  <c r="AI432" i="1"/>
  <c r="AJ432" i="1" s="1"/>
  <c r="BC468" i="1"/>
  <c r="V468" i="1"/>
  <c r="W468" i="1" s="1"/>
  <c r="BD543" i="1"/>
  <c r="AG543" i="1"/>
  <c r="AH543" i="1" s="1"/>
  <c r="AI457" i="1"/>
  <c r="AJ457" i="1" s="1"/>
  <c r="AG457" i="1"/>
  <c r="AH457" i="1" s="1"/>
  <c r="V46" i="1"/>
  <c r="Z46" i="1" s="1"/>
  <c r="AC46" i="1" s="1"/>
  <c r="AM46" i="1" s="1"/>
  <c r="BC49" i="1"/>
  <c r="AG399" i="1"/>
  <c r="AH399" i="1" s="1"/>
  <c r="BD417" i="1"/>
  <c r="AG417" i="1"/>
  <c r="AH417" i="1" s="1"/>
  <c r="AI496" i="1"/>
  <c r="AJ496" i="1" s="1"/>
  <c r="AG508" i="1"/>
  <c r="AH508" i="1" s="1"/>
  <c r="BD508" i="1"/>
  <c r="V566" i="1"/>
  <c r="BC566" i="1"/>
  <c r="V590" i="1"/>
  <c r="BC590" i="1"/>
  <c r="BD626" i="1"/>
  <c r="AG626" i="1"/>
  <c r="AH626" i="1" s="1"/>
  <c r="AM332" i="1"/>
  <c r="AW332" i="1" s="1"/>
  <c r="AX332" i="1" s="1"/>
  <c r="AZ332" i="1" s="1"/>
  <c r="BA332" i="1" s="1"/>
  <c r="AJ332" i="1"/>
  <c r="AG5" i="1"/>
  <c r="AH5" i="1" s="1"/>
  <c r="AG242" i="1"/>
  <c r="AH242" i="1" s="1"/>
  <c r="AI242" i="1"/>
  <c r="AJ242" i="1" s="1"/>
  <c r="AM325" i="1"/>
  <c r="AW325" i="1" s="1"/>
  <c r="AX325" i="1" s="1"/>
  <c r="AZ325" i="1" s="1"/>
  <c r="BA325" i="1" s="1"/>
  <c r="V839" i="1"/>
  <c r="BC839" i="1"/>
  <c r="AI28" i="1"/>
  <c r="AJ28" i="1" s="1"/>
  <c r="AI32" i="1"/>
  <c r="AJ32" i="1" s="1"/>
  <c r="AG94" i="1"/>
  <c r="AH94" i="1" s="1"/>
  <c r="AG117" i="1"/>
  <c r="AH117" i="1" s="1"/>
  <c r="AI300" i="1"/>
  <c r="AJ300" i="1" s="1"/>
  <c r="AG300" i="1"/>
  <c r="AH300" i="1" s="1"/>
  <c r="AJ530" i="1"/>
  <c r="AM530" i="1"/>
  <c r="AW530" i="1" s="1"/>
  <c r="AX530" i="1" s="1"/>
  <c r="AZ530" i="1" s="1"/>
  <c r="BA530" i="1" s="1"/>
  <c r="V2" i="1"/>
  <c r="Z2" i="1" s="1"/>
  <c r="V149" i="1"/>
  <c r="AG158" i="1"/>
  <c r="AH158" i="1" s="1"/>
  <c r="AG52" i="1"/>
  <c r="AH52" i="1" s="1"/>
  <c r="BD52" i="1"/>
  <c r="AG7" i="1"/>
  <c r="AH7" i="1" s="1"/>
  <c r="BC24" i="1"/>
  <c r="BC63" i="1"/>
  <c r="AG131" i="1"/>
  <c r="AH131" i="1" s="1"/>
  <c r="W136" i="1"/>
  <c r="AG149" i="1"/>
  <c r="AH149" i="1" s="1"/>
  <c r="AG155" i="1"/>
  <c r="AH155" i="1" s="1"/>
  <c r="BC178" i="1"/>
  <c r="AI256" i="1"/>
  <c r="AJ256" i="1" s="1"/>
  <c r="AG256" i="1"/>
  <c r="AH256" i="1" s="1"/>
  <c r="AG268" i="1"/>
  <c r="AH268" i="1" s="1"/>
  <c r="V23" i="1"/>
  <c r="Z23" i="1" s="1"/>
  <c r="AC23" i="1" s="1"/>
  <c r="AM23" i="1" s="1"/>
  <c r="AG35" i="1"/>
  <c r="AH35" i="1" s="1"/>
  <c r="V39" i="1"/>
  <c r="Z39" i="1" s="1"/>
  <c r="AC39" i="1" s="1"/>
  <c r="BC48" i="1"/>
  <c r="W52" i="1"/>
  <c r="V78" i="1"/>
  <c r="Z78" i="1" s="1"/>
  <c r="AC78" i="1" s="1"/>
  <c r="AM78" i="1" s="1"/>
  <c r="AG124" i="1"/>
  <c r="AH124" i="1" s="1"/>
  <c r="Z136" i="1"/>
  <c r="AC136" i="1" s="1"/>
  <c r="V140" i="1"/>
  <c r="Z140" i="1" s="1"/>
  <c r="AC140" i="1" s="1"/>
  <c r="AM140" i="1" s="1"/>
  <c r="AG186" i="1"/>
  <c r="AH186" i="1" s="1"/>
  <c r="Z193" i="1"/>
  <c r="AC193" i="1" s="1"/>
  <c r="AM193" i="1" s="1"/>
  <c r="BC204" i="1"/>
  <c r="V204" i="1"/>
  <c r="Z204" i="1" s="1"/>
  <c r="AC204" i="1" s="1"/>
  <c r="AG215" i="1"/>
  <c r="AH215" i="1" s="1"/>
  <c r="BD215" i="1"/>
  <c r="AG225" i="1"/>
  <c r="AH225" i="1" s="1"/>
  <c r="AG239" i="1"/>
  <c r="AH239" i="1" s="1"/>
  <c r="V273" i="1"/>
  <c r="Z273" i="1" s="1"/>
  <c r="AC273" i="1" s="1"/>
  <c r="BC282" i="1"/>
  <c r="V282" i="1"/>
  <c r="Z282" i="1" s="1"/>
  <c r="AC282" i="1" s="1"/>
  <c r="AI375" i="1"/>
  <c r="AJ375" i="1" s="1"/>
  <c r="AG375" i="1"/>
  <c r="AH375" i="1" s="1"/>
  <c r="BC380" i="1"/>
  <c r="AI383" i="1"/>
  <c r="AJ383" i="1" s="1"/>
  <c r="AG383" i="1"/>
  <c r="AH383" i="1" s="1"/>
  <c r="AG398" i="1"/>
  <c r="AH398" i="1" s="1"/>
  <c r="AI398" i="1"/>
  <c r="AJ398" i="1" s="1"/>
  <c r="AG416" i="1"/>
  <c r="AH416" i="1" s="1"/>
  <c r="BD416" i="1"/>
  <c r="AG431" i="1"/>
  <c r="AH431" i="1" s="1"/>
  <c r="W484" i="1"/>
  <c r="Z484" i="1"/>
  <c r="AC484" i="1" s="1"/>
  <c r="AM484" i="1" s="1"/>
  <c r="V485" i="1"/>
  <c r="W485" i="1" s="1"/>
  <c r="BC485" i="1"/>
  <c r="W511" i="1"/>
  <c r="Z511" i="1"/>
  <c r="AC511" i="1" s="1"/>
  <c r="AG666" i="1"/>
  <c r="AH666" i="1" s="1"/>
  <c r="BD666" i="1"/>
  <c r="BC467" i="1"/>
  <c r="V467" i="1"/>
  <c r="AI491" i="1"/>
  <c r="AJ491" i="1" s="1"/>
  <c r="AG491" i="1"/>
  <c r="AH491" i="1" s="1"/>
  <c r="AG495" i="1"/>
  <c r="AH495" i="1" s="1"/>
  <c r="AI495" i="1"/>
  <c r="AJ495" i="1" s="1"/>
  <c r="BD500" i="1"/>
  <c r="AG500" i="1"/>
  <c r="AH500" i="1" s="1"/>
  <c r="BC625" i="1"/>
  <c r="V625" i="1"/>
  <c r="W625" i="1" s="1"/>
  <c r="BD250" i="1"/>
  <c r="AG250" i="1"/>
  <c r="AH250" i="1" s="1"/>
  <c r="BD279" i="1"/>
  <c r="AG279" i="1"/>
  <c r="AH279" i="1" s="1"/>
  <c r="BC240" i="1"/>
  <c r="V240" i="1"/>
  <c r="W240" i="1" s="1"/>
  <c r="AN240" i="1" s="1"/>
  <c r="AO240" i="1" s="1"/>
  <c r="AG391" i="1"/>
  <c r="AH391" i="1" s="1"/>
  <c r="BD391" i="1"/>
  <c r="BC120" i="1"/>
  <c r="BC131" i="1"/>
  <c r="BD348" i="1"/>
  <c r="AG360" i="1"/>
  <c r="AH360" i="1" s="1"/>
  <c r="BD360" i="1"/>
  <c r="AI363" i="1"/>
  <c r="AJ363" i="1" s="1"/>
  <c r="AG363" i="1"/>
  <c r="AH363" i="1" s="1"/>
  <c r="BC379" i="1"/>
  <c r="Z394" i="1"/>
  <c r="AC394" i="1" s="1"/>
  <c r="AI531" i="1"/>
  <c r="AJ531" i="1" s="1"/>
  <c r="AG531" i="1"/>
  <c r="AH531" i="1" s="1"/>
  <c r="AG579" i="1"/>
  <c r="AH579" i="1" s="1"/>
  <c r="V583" i="1"/>
  <c r="BC583" i="1"/>
  <c r="BC350" i="1"/>
  <c r="V350" i="1"/>
  <c r="W350" i="1" s="1"/>
  <c r="W466" i="1"/>
  <c r="Z466" i="1"/>
  <c r="AC466" i="1" s="1"/>
  <c r="AM466" i="1" s="1"/>
  <c r="BD483" i="1"/>
  <c r="AG483" i="1"/>
  <c r="AH483" i="1" s="1"/>
  <c r="V553" i="1"/>
  <c r="Z553" i="1" s="1"/>
  <c r="AC553" i="1" s="1"/>
  <c r="AM553" i="1" s="1"/>
  <c r="BC553" i="1"/>
  <c r="W10" i="1"/>
  <c r="AG25" i="1"/>
  <c r="AH25" i="1" s="1"/>
  <c r="AI50" i="1"/>
  <c r="AJ50" i="1" s="1"/>
  <c r="AG50" i="1"/>
  <c r="AH50" i="1" s="1"/>
  <c r="V71" i="1"/>
  <c r="BC71" i="1"/>
  <c r="W74" i="1"/>
  <c r="AN74" i="1" s="1"/>
  <c r="AO74" i="1" s="1"/>
  <c r="AG101" i="1"/>
  <c r="AH101" i="1" s="1"/>
  <c r="AG472" i="1"/>
  <c r="AH472" i="1" s="1"/>
  <c r="AI494" i="1"/>
  <c r="AJ494" i="1" s="1"/>
  <c r="AG494" i="1"/>
  <c r="AH494" i="1" s="1"/>
  <c r="AG553" i="1"/>
  <c r="AH553" i="1" s="1"/>
  <c r="BD553" i="1"/>
  <c r="AI570" i="1"/>
  <c r="AJ570" i="1" s="1"/>
  <c r="AG570" i="1"/>
  <c r="AH570" i="1" s="1"/>
  <c r="BC653" i="1"/>
  <c r="V653" i="1"/>
  <c r="Z653" i="1" s="1"/>
  <c r="AC653" i="1" s="1"/>
  <c r="AM653" i="1" s="1"/>
  <c r="W659" i="1"/>
  <c r="Z659" i="1"/>
  <c r="AC659" i="1" s="1"/>
  <c r="AM659" i="1" s="1"/>
  <c r="AI813" i="1"/>
  <c r="AJ813" i="1" s="1"/>
  <c r="AG813" i="1"/>
  <c r="AH813" i="1" s="1"/>
  <c r="W4" i="1"/>
  <c r="W73" i="1"/>
  <c r="Z73" i="1"/>
  <c r="AC73" i="1" s="1"/>
  <c r="AM73" i="1" s="1"/>
  <c r="AI95" i="1"/>
  <c r="AJ95" i="1" s="1"/>
  <c r="W178" i="1"/>
  <c r="AG338" i="1"/>
  <c r="AH338" i="1" s="1"/>
  <c r="BC513" i="1"/>
  <c r="V513" i="1"/>
  <c r="V525" i="1"/>
  <c r="BC525" i="1"/>
  <c r="BC548" i="1"/>
  <c r="V548" i="1"/>
  <c r="Z548" i="1" s="1"/>
  <c r="AC548" i="1" s="1"/>
  <c r="AI602" i="1"/>
  <c r="AJ602" i="1" s="1"/>
  <c r="AG602" i="1"/>
  <c r="AH602" i="1" s="1"/>
  <c r="AG606" i="1"/>
  <c r="AH606" i="1" s="1"/>
  <c r="BC609" i="1"/>
  <c r="V609" i="1"/>
  <c r="AI720" i="1"/>
  <c r="AJ720" i="1" s="1"/>
  <c r="AG720" i="1"/>
  <c r="AH720" i="1" s="1"/>
  <c r="AG49" i="1"/>
  <c r="AH49" i="1" s="1"/>
  <c r="V53" i="1"/>
  <c r="AI40" i="1"/>
  <c r="AJ40" i="1" s="1"/>
  <c r="BC12" i="1"/>
  <c r="AG39" i="1"/>
  <c r="AH39" i="1" s="1"/>
  <c r="AG45" i="1"/>
  <c r="AH45" i="1" s="1"/>
  <c r="BC47" i="1"/>
  <c r="AG119" i="1"/>
  <c r="AH119" i="1" s="1"/>
  <c r="AG130" i="1"/>
  <c r="AH130" i="1" s="1"/>
  <c r="AG230" i="1"/>
  <c r="AH230" i="1" s="1"/>
  <c r="AI254" i="1"/>
  <c r="AJ254" i="1" s="1"/>
  <c r="AG254" i="1"/>
  <c r="AH254" i="1" s="1"/>
  <c r="AG313" i="1"/>
  <c r="AH313" i="1" s="1"/>
  <c r="BD313" i="1"/>
  <c r="V337" i="1"/>
  <c r="BC337" i="1"/>
  <c r="Z362" i="1"/>
  <c r="AC362" i="1" s="1"/>
  <c r="AM362" i="1" s="1"/>
  <c r="AW362" i="1" s="1"/>
  <c r="AX362" i="1" s="1"/>
  <c r="AZ362" i="1" s="1"/>
  <c r="BA362" i="1" s="1"/>
  <c r="W362" i="1"/>
  <c r="AN362" i="1" s="1"/>
  <c r="AO362" i="1" s="1"/>
  <c r="AG34" i="1"/>
  <c r="AH34" i="1" s="1"/>
  <c r="AG38" i="1"/>
  <c r="AH38" i="1" s="1"/>
  <c r="AG44" i="1"/>
  <c r="AH44" i="1" s="1"/>
  <c r="AG68" i="1"/>
  <c r="AH68" i="1" s="1"/>
  <c r="AI129" i="1"/>
  <c r="AJ129" i="1" s="1"/>
  <c r="AG135" i="1"/>
  <c r="AH135" i="1" s="1"/>
  <c r="AG198" i="1"/>
  <c r="AH198" i="1" s="1"/>
  <c r="AG216" i="1"/>
  <c r="AH216" i="1" s="1"/>
  <c r="W231" i="1"/>
  <c r="W243" i="1"/>
  <c r="BD267" i="1"/>
  <c r="AG29" i="1"/>
  <c r="AH29" i="1" s="1"/>
  <c r="AI34" i="1"/>
  <c r="AJ34" i="1" s="1"/>
  <c r="AI43" i="1"/>
  <c r="AJ43" i="1" s="1"/>
  <c r="AG43" i="1"/>
  <c r="AH43" i="1" s="1"/>
  <c r="V102" i="1"/>
  <c r="V138" i="1"/>
  <c r="AG140" i="1"/>
  <c r="AH140" i="1" s="1"/>
  <c r="V147" i="1"/>
  <c r="Z147" i="1" s="1"/>
  <c r="AC147" i="1" s="1"/>
  <c r="AM147" i="1" s="1"/>
  <c r="BC217" i="1"/>
  <c r="W230" i="1"/>
  <c r="BC239" i="1"/>
  <c r="BD255" i="1"/>
  <c r="AI263" i="1"/>
  <c r="AJ263" i="1" s="1"/>
  <c r="AG289" i="1"/>
  <c r="AH289" i="1" s="1"/>
  <c r="BD289" i="1"/>
  <c r="V290" i="1"/>
  <c r="W290" i="1" s="1"/>
  <c r="AG295" i="1"/>
  <c r="AH295" i="1" s="1"/>
  <c r="AG316" i="1"/>
  <c r="AH316" i="1" s="1"/>
  <c r="W332" i="1"/>
  <c r="V338" i="1"/>
  <c r="BC405" i="1"/>
  <c r="AG409" i="1"/>
  <c r="AH409" i="1" s="1"/>
  <c r="AG445" i="1"/>
  <c r="AH445" i="1" s="1"/>
  <c r="AI445" i="1"/>
  <c r="AJ445" i="1" s="1"/>
  <c r="AG441" i="1"/>
  <c r="AH441" i="1" s="1"/>
  <c r="AI446" i="1"/>
  <c r="AJ446" i="1" s="1"/>
  <c r="AG446" i="1"/>
  <c r="AH446" i="1" s="1"/>
  <c r="BC487" i="1"/>
  <c r="BC517" i="1"/>
  <c r="V517" i="1"/>
  <c r="W517" i="1" s="1"/>
  <c r="AN517" i="1" s="1"/>
  <c r="AO517" i="1" s="1"/>
  <c r="V523" i="1"/>
  <c r="BC523" i="1"/>
  <c r="AG548" i="1"/>
  <c r="AH548" i="1" s="1"/>
  <c r="AI548" i="1"/>
  <c r="BC597" i="1"/>
  <c r="AI693" i="1"/>
  <c r="AJ693" i="1" s="1"/>
  <c r="AG693" i="1"/>
  <c r="AH693" i="1" s="1"/>
  <c r="AI702" i="1"/>
  <c r="AJ702" i="1" s="1"/>
  <c r="AG702" i="1"/>
  <c r="AH702" i="1" s="1"/>
  <c r="BC708" i="1"/>
  <c r="V708" i="1"/>
  <c r="W708" i="1" s="1"/>
  <c r="AG228" i="1"/>
  <c r="AH228" i="1" s="1"/>
  <c r="AG272" i="1"/>
  <c r="AH272" i="1" s="1"/>
  <c r="AG301" i="1"/>
  <c r="AH301" i="1" s="1"/>
  <c r="W351" i="1"/>
  <c r="AI382" i="1"/>
  <c r="AJ382" i="1" s="1"/>
  <c r="AG382" i="1"/>
  <c r="AH382" i="1" s="1"/>
  <c r="V413" i="1"/>
  <c r="W413" i="1" s="1"/>
  <c r="BC413" i="1"/>
  <c r="BC493" i="1"/>
  <c r="V493" i="1"/>
  <c r="Z493" i="1" s="1"/>
  <c r="AC493" i="1" s="1"/>
  <c r="V527" i="1"/>
  <c r="Z527" i="1" s="1"/>
  <c r="AC527" i="1" s="1"/>
  <c r="AM527" i="1" s="1"/>
  <c r="AW527" i="1" s="1"/>
  <c r="AX527" i="1" s="1"/>
  <c r="AZ527" i="1" s="1"/>
  <c r="BA527" i="1" s="1"/>
  <c r="BC527" i="1"/>
  <c r="V551" i="1"/>
  <c r="BC551" i="1"/>
  <c r="AI566" i="1"/>
  <c r="AJ566" i="1" s="1"/>
  <c r="AI567" i="1"/>
  <c r="AJ567" i="1" s="1"/>
  <c r="AG567" i="1"/>
  <c r="AH567" i="1" s="1"/>
  <c r="AI665" i="1"/>
  <c r="AJ665" i="1" s="1"/>
  <c r="AG665" i="1"/>
  <c r="AH665" i="1" s="1"/>
  <c r="V794" i="1"/>
  <c r="BC794" i="1"/>
  <c r="AG278" i="1"/>
  <c r="AH278" i="1" s="1"/>
  <c r="AG361" i="1"/>
  <c r="AH361" i="1" s="1"/>
  <c r="AG415" i="1"/>
  <c r="AH415" i="1" s="1"/>
  <c r="V453" i="1"/>
  <c r="BC453" i="1"/>
  <c r="V479" i="1"/>
  <c r="Z479" i="1" s="1"/>
  <c r="AC479" i="1" s="1"/>
  <c r="BC491" i="1"/>
  <c r="V491" i="1"/>
  <c r="V515" i="1"/>
  <c r="BC515" i="1"/>
  <c r="V542" i="1"/>
  <c r="Z542" i="1" s="1"/>
  <c r="AC542" i="1" s="1"/>
  <c r="AM542" i="1" s="1"/>
  <c r="AI675" i="1"/>
  <c r="AJ675" i="1" s="1"/>
  <c r="AG675" i="1"/>
  <c r="AH675" i="1" s="1"/>
  <c r="AG687" i="1"/>
  <c r="AH687" i="1" s="1"/>
  <c r="Z695" i="1"/>
  <c r="AC695" i="1" s="1"/>
  <c r="W695" i="1"/>
  <c r="AG221" i="1"/>
  <c r="AH221" i="1" s="1"/>
  <c r="AG371" i="1"/>
  <c r="AH371" i="1" s="1"/>
  <c r="AG379" i="1"/>
  <c r="AH379" i="1" s="1"/>
  <c r="AI379" i="1"/>
  <c r="AJ379" i="1" s="1"/>
  <c r="AG17" i="1"/>
  <c r="AH17" i="1" s="1"/>
  <c r="W26" i="1"/>
  <c r="AG89" i="1"/>
  <c r="AH89" i="1" s="1"/>
  <c r="W92" i="1"/>
  <c r="AG93" i="1"/>
  <c r="AH93" i="1" s="1"/>
  <c r="AG111" i="1"/>
  <c r="AH111" i="1" s="1"/>
  <c r="AG238" i="1"/>
  <c r="AH238" i="1" s="1"/>
  <c r="AG281" i="1"/>
  <c r="AH281" i="1" s="1"/>
  <c r="W321" i="1"/>
  <c r="AG331" i="1"/>
  <c r="AH331" i="1" s="1"/>
  <c r="AI361" i="1"/>
  <c r="AG364" i="1"/>
  <c r="AH364" i="1" s="1"/>
  <c r="AI415" i="1"/>
  <c r="AJ415" i="1" s="1"/>
  <c r="AG438" i="1"/>
  <c r="AH438" i="1" s="1"/>
  <c r="AG455" i="1"/>
  <c r="AH455" i="1" s="1"/>
  <c r="AG517" i="1"/>
  <c r="AH517" i="1" s="1"/>
  <c r="AI523" i="1"/>
  <c r="AG523" i="1"/>
  <c r="AH523" i="1" s="1"/>
  <c r="Z546" i="1"/>
  <c r="AC546" i="1" s="1"/>
  <c r="V550" i="1"/>
  <c r="BC550" i="1"/>
  <c r="V559" i="1"/>
  <c r="AI572" i="1"/>
  <c r="AJ572" i="1" s="1"/>
  <c r="AI623" i="1"/>
  <c r="AJ623" i="1" s="1"/>
  <c r="AG623" i="1"/>
  <c r="AH623" i="1" s="1"/>
  <c r="AG630" i="1"/>
  <c r="AH630" i="1" s="1"/>
  <c r="BD630" i="1"/>
  <c r="AG642" i="1"/>
  <c r="AH642" i="1" s="1"/>
  <c r="AI642" i="1"/>
  <c r="AJ642" i="1" s="1"/>
  <c r="V664" i="1"/>
  <c r="BC685" i="1"/>
  <c r="V685" i="1"/>
  <c r="V707" i="1"/>
  <c r="W707" i="1" s="1"/>
  <c r="BC707" i="1"/>
  <c r="BC786" i="1"/>
  <c r="V786" i="1"/>
  <c r="AI936" i="1"/>
  <c r="AG936" i="1"/>
  <c r="AH936" i="1" s="1"/>
  <c r="AG402" i="1"/>
  <c r="AH402" i="1" s="1"/>
  <c r="AG405" i="1"/>
  <c r="AH405" i="1" s="1"/>
  <c r="AG424" i="1"/>
  <c r="AH424" i="1" s="1"/>
  <c r="AG430" i="1"/>
  <c r="AH430" i="1" s="1"/>
  <c r="BD430" i="1"/>
  <c r="AG449" i="1"/>
  <c r="AH449" i="1" s="1"/>
  <c r="V478" i="1"/>
  <c r="Z478" i="1" s="1"/>
  <c r="AC478" i="1" s="1"/>
  <c r="AG577" i="1"/>
  <c r="AH577" i="1" s="1"/>
  <c r="AI577" i="1"/>
  <c r="AJ577" i="1" s="1"/>
  <c r="AG598" i="1"/>
  <c r="AH598" i="1" s="1"/>
  <c r="BD598" i="1"/>
  <c r="AJ631" i="1"/>
  <c r="BD766" i="1"/>
  <c r="AG766" i="1"/>
  <c r="AH766" i="1" s="1"/>
  <c r="AI690" i="1"/>
  <c r="AJ690" i="1" s="1"/>
  <c r="AG690" i="1"/>
  <c r="AH690" i="1" s="1"/>
  <c r="AG894" i="1"/>
  <c r="AH894" i="1" s="1"/>
  <c r="BD894" i="1"/>
  <c r="BC442" i="1"/>
  <c r="V442" i="1"/>
  <c r="Z442" i="1" s="1"/>
  <c r="AC442" i="1" s="1"/>
  <c r="AM442" i="1" s="1"/>
  <c r="AI478" i="1"/>
  <c r="AJ478" i="1" s="1"/>
  <c r="AG478" i="1"/>
  <c r="AH478" i="1" s="1"/>
  <c r="BC504" i="1"/>
  <c r="V504" i="1"/>
  <c r="Z504" i="1" s="1"/>
  <c r="AC504" i="1" s="1"/>
  <c r="AM504" i="1" s="1"/>
  <c r="V510" i="1"/>
  <c r="W510" i="1" s="1"/>
  <c r="BC510" i="1"/>
  <c r="BC526" i="1"/>
  <c r="V526" i="1"/>
  <c r="W526" i="1" s="1"/>
  <c r="BC544" i="1"/>
  <c r="V544" i="1"/>
  <c r="AG112" i="1"/>
  <c r="AH112" i="1" s="1"/>
  <c r="AG123" i="1"/>
  <c r="AH123" i="1" s="1"/>
  <c r="AG161" i="1"/>
  <c r="AH161" i="1" s="1"/>
  <c r="W199" i="1"/>
  <c r="AG260" i="1"/>
  <c r="AH260" i="1" s="1"/>
  <c r="W287" i="1"/>
  <c r="AG309" i="1"/>
  <c r="AH309" i="1" s="1"/>
  <c r="W318" i="1"/>
  <c r="W325" i="1"/>
  <c r="AN325" i="1" s="1"/>
  <c r="AO325" i="1" s="1"/>
  <c r="AG356" i="1"/>
  <c r="AH356" i="1" s="1"/>
  <c r="V385" i="1"/>
  <c r="AI402" i="1"/>
  <c r="AJ402" i="1" s="1"/>
  <c r="AG412" i="1"/>
  <c r="AH412" i="1" s="1"/>
  <c r="BC415" i="1"/>
  <c r="V431" i="1"/>
  <c r="Z431" i="1" s="1"/>
  <c r="AC431" i="1" s="1"/>
  <c r="AM431" i="1" s="1"/>
  <c r="AG442" i="1"/>
  <c r="AH442" i="1" s="1"/>
  <c r="BC452" i="1"/>
  <c r="V452" i="1"/>
  <c r="W452" i="1" s="1"/>
  <c r="AN452" i="1" s="1"/>
  <c r="AO452" i="1" s="1"/>
  <c r="AG470" i="1"/>
  <c r="AH470" i="1" s="1"/>
  <c r="V472" i="1"/>
  <c r="W472" i="1" s="1"/>
  <c r="AG473" i="1"/>
  <c r="AH473" i="1" s="1"/>
  <c r="BC555" i="1"/>
  <c r="V555" i="1"/>
  <c r="AI592" i="1"/>
  <c r="AJ592" i="1" s="1"/>
  <c r="BC639" i="1"/>
  <c r="V639" i="1"/>
  <c r="Z639" i="1" s="1"/>
  <c r="AC639" i="1" s="1"/>
  <c r="AM639" i="1" s="1"/>
  <c r="AG657" i="1"/>
  <c r="AH657" i="1" s="1"/>
  <c r="V706" i="1"/>
  <c r="BC706" i="1"/>
  <c r="AG726" i="1"/>
  <c r="AH726" i="1" s="1"/>
  <c r="V749" i="1"/>
  <c r="W749" i="1" s="1"/>
  <c r="BC749" i="1"/>
  <c r="BC760" i="1"/>
  <c r="V760" i="1"/>
  <c r="Z760" i="1" s="1"/>
  <c r="AC760" i="1" s="1"/>
  <c r="AG456" i="1"/>
  <c r="AH456" i="1" s="1"/>
  <c r="AG507" i="1"/>
  <c r="AH507" i="1" s="1"/>
  <c r="AG559" i="1"/>
  <c r="AH559" i="1" s="1"/>
  <c r="AG610" i="1"/>
  <c r="AH610" i="1" s="1"/>
  <c r="AG618" i="1"/>
  <c r="AH618" i="1" s="1"/>
  <c r="BC659" i="1"/>
  <c r="BD676" i="1"/>
  <c r="BC678" i="1"/>
  <c r="BC695" i="1"/>
  <c r="V712" i="1"/>
  <c r="BC712" i="1"/>
  <c r="W721" i="1"/>
  <c r="BC735" i="1"/>
  <c r="V735" i="1"/>
  <c r="BC743" i="1"/>
  <c r="V743" i="1"/>
  <c r="W743" i="1" s="1"/>
  <c r="W846" i="1"/>
  <c r="AN846" i="1" s="1"/>
  <c r="AO846" i="1" s="1"/>
  <c r="Z846" i="1"/>
  <c r="AC846" i="1" s="1"/>
  <c r="AM846" i="1" s="1"/>
  <c r="BC680" i="1"/>
  <c r="V680" i="1"/>
  <c r="V739" i="1"/>
  <c r="BC739" i="1"/>
  <c r="AI791" i="1"/>
  <c r="AJ791" i="1" s="1"/>
  <c r="AG791" i="1"/>
  <c r="AH791" i="1" s="1"/>
  <c r="BC764" i="1"/>
  <c r="V764" i="1"/>
  <c r="AG779" i="1"/>
  <c r="AH779" i="1" s="1"/>
  <c r="AI779" i="1"/>
  <c r="AJ779" i="1" s="1"/>
  <c r="AI883" i="1"/>
  <c r="AJ883" i="1" s="1"/>
  <c r="AG883" i="1"/>
  <c r="AH883" i="1" s="1"/>
  <c r="AI924" i="1"/>
  <c r="AJ924" i="1" s="1"/>
  <c r="AG924" i="1"/>
  <c r="AH924" i="1" s="1"/>
  <c r="V933" i="1"/>
  <c r="BC933" i="1"/>
  <c r="AG563" i="1"/>
  <c r="AH563" i="1" s="1"/>
  <c r="AG575" i="1"/>
  <c r="AH575" i="1" s="1"/>
  <c r="AG583" i="1"/>
  <c r="AH583" i="1" s="1"/>
  <c r="Z588" i="1"/>
  <c r="AC588" i="1" s="1"/>
  <c r="W588" i="1"/>
  <c r="BC742" i="1"/>
  <c r="V742" i="1"/>
  <c r="W742" i="1" s="1"/>
  <c r="AN742" i="1" s="1"/>
  <c r="AO742" i="1" s="1"/>
  <c r="BC878" i="1"/>
  <c r="V878" i="1"/>
  <c r="AG512" i="1"/>
  <c r="AH512" i="1" s="1"/>
  <c r="AI550" i="1"/>
  <c r="AG582" i="1"/>
  <c r="AH582" i="1" s="1"/>
  <c r="AG628" i="1"/>
  <c r="AH628" i="1" s="1"/>
  <c r="V630" i="1"/>
  <c r="AG641" i="1"/>
  <c r="AH641" i="1" s="1"/>
  <c r="AM663" i="1"/>
  <c r="AW663" i="1" s="1"/>
  <c r="AX663" i="1" s="1"/>
  <c r="AZ663" i="1" s="1"/>
  <c r="BA663" i="1" s="1"/>
  <c r="AI735" i="1"/>
  <c r="AJ735" i="1" s="1"/>
  <c r="AG735" i="1"/>
  <c r="AH735" i="1" s="1"/>
  <c r="AG803" i="1"/>
  <c r="AH803" i="1" s="1"/>
  <c r="AG804" i="1"/>
  <c r="AH804" i="1" s="1"/>
  <c r="V863" i="1"/>
  <c r="BC863" i="1"/>
  <c r="BC923" i="1"/>
  <c r="V923" i="1"/>
  <c r="Z923" i="1" s="1"/>
  <c r="AC923" i="1" s="1"/>
  <c r="AM923" i="1" s="1"/>
  <c r="AI662" i="1"/>
  <c r="AJ662" i="1" s="1"/>
  <c r="AG662" i="1"/>
  <c r="AH662" i="1" s="1"/>
  <c r="AI697" i="1"/>
  <c r="AJ697" i="1" s="1"/>
  <c r="AG697" i="1"/>
  <c r="AH697" i="1" s="1"/>
  <c r="AG757" i="1"/>
  <c r="AH757" i="1" s="1"/>
  <c r="BD757" i="1"/>
  <c r="BC866" i="1"/>
  <c r="V866" i="1"/>
  <c r="Z866" i="1" s="1"/>
  <c r="AC866" i="1" s="1"/>
  <c r="AM866" i="1" s="1"/>
  <c r="V631" i="1"/>
  <c r="AI661" i="1"/>
  <c r="V672" i="1"/>
  <c r="Z672" i="1" s="1"/>
  <c r="AC672" i="1" s="1"/>
  <c r="AM672" i="1" s="1"/>
  <c r="AW672" i="1" s="1"/>
  <c r="AX672" i="1" s="1"/>
  <c r="AZ672" i="1" s="1"/>
  <c r="BA672" i="1" s="1"/>
  <c r="Z678" i="1"/>
  <c r="AC678" i="1" s="1"/>
  <c r="AM678" i="1" s="1"/>
  <c r="AG696" i="1"/>
  <c r="AH696" i="1" s="1"/>
  <c r="AI696" i="1"/>
  <c r="AJ696" i="1" s="1"/>
  <c r="V704" i="1"/>
  <c r="BC737" i="1"/>
  <c r="V737" i="1"/>
  <c r="V738" i="1"/>
  <c r="W738" i="1" s="1"/>
  <c r="V777" i="1"/>
  <c r="Z777" i="1" s="1"/>
  <c r="AC777" i="1" s="1"/>
  <c r="AM777" i="1" s="1"/>
  <c r="BC777" i="1"/>
  <c r="V796" i="1"/>
  <c r="W796" i="1" s="1"/>
  <c r="BC796" i="1"/>
  <c r="AI802" i="1"/>
  <c r="AJ802" i="1" s="1"/>
  <c r="AG802" i="1"/>
  <c r="AH802" i="1" s="1"/>
  <c r="AI858" i="1"/>
  <c r="AJ858" i="1" s="1"/>
  <c r="BC900" i="1"/>
  <c r="V900" i="1"/>
  <c r="V948" i="1"/>
  <c r="BC948" i="1"/>
  <c r="AG568" i="1"/>
  <c r="AH568" i="1" s="1"/>
  <c r="AG573" i="1"/>
  <c r="AH573" i="1" s="1"/>
  <c r="BC589" i="1"/>
  <c r="BC618" i="1"/>
  <c r="AI643" i="1"/>
  <c r="AG644" i="1"/>
  <c r="AH644" i="1" s="1"/>
  <c r="AG645" i="1"/>
  <c r="AH645" i="1" s="1"/>
  <c r="AG679" i="1"/>
  <c r="AH679" i="1" s="1"/>
  <c r="AG777" i="1"/>
  <c r="AH777" i="1" s="1"/>
  <c r="BD777" i="1"/>
  <c r="AI781" i="1"/>
  <c r="AJ781" i="1" s="1"/>
  <c r="AG781" i="1"/>
  <c r="AH781" i="1" s="1"/>
  <c r="V800" i="1"/>
  <c r="W800" i="1" s="1"/>
  <c r="BC800" i="1"/>
  <c r="AG844" i="1"/>
  <c r="AH844" i="1" s="1"/>
  <c r="BD844" i="1"/>
  <c r="V852" i="1"/>
  <c r="BC852" i="1"/>
  <c r="AG448" i="1"/>
  <c r="AH448" i="1" s="1"/>
  <c r="AG485" i="1"/>
  <c r="AH485" i="1" s="1"/>
  <c r="AG502" i="1"/>
  <c r="AH502" i="1" s="1"/>
  <c r="BC530" i="1"/>
  <c r="AG547" i="1"/>
  <c r="AH547" i="1" s="1"/>
  <c r="AI573" i="1"/>
  <c r="AJ573" i="1" s="1"/>
  <c r="AG580" i="1"/>
  <c r="AH580" i="1" s="1"/>
  <c r="AG599" i="1"/>
  <c r="AH599" i="1" s="1"/>
  <c r="AG611" i="1"/>
  <c r="AH611" i="1" s="1"/>
  <c r="AG614" i="1"/>
  <c r="AH614" i="1" s="1"/>
  <c r="AG667" i="1"/>
  <c r="AH667" i="1" s="1"/>
  <c r="AI671" i="1"/>
  <c r="AJ671" i="1" s="1"/>
  <c r="AG671" i="1"/>
  <c r="AH671" i="1" s="1"/>
  <c r="BD694" i="1"/>
  <c r="AG694" i="1"/>
  <c r="AH694" i="1" s="1"/>
  <c r="V720" i="1"/>
  <c r="BC720" i="1"/>
  <c r="AI753" i="1"/>
  <c r="AJ753" i="1" s="1"/>
  <c r="AG753" i="1"/>
  <c r="AH753" i="1" s="1"/>
  <c r="BC780" i="1"/>
  <c r="V780" i="1"/>
  <c r="W780" i="1" s="1"/>
  <c r="V895" i="1"/>
  <c r="Z895" i="1" s="1"/>
  <c r="AC895" i="1" s="1"/>
  <c r="AM895" i="1" s="1"/>
  <c r="BC895" i="1"/>
  <c r="BC950" i="1"/>
  <c r="V950" i="1"/>
  <c r="AG828" i="1"/>
  <c r="AH828" i="1" s="1"/>
  <c r="BC837" i="1"/>
  <c r="Z847" i="1"/>
  <c r="AC847" i="1" s="1"/>
  <c r="AM847" i="1" s="1"/>
  <c r="W847" i="1"/>
  <c r="BD864" i="1"/>
  <c r="BD950" i="1"/>
  <c r="AG950" i="1"/>
  <c r="AH950" i="1" s="1"/>
  <c r="AI794" i="1"/>
  <c r="AJ794" i="1" s="1"/>
  <c r="AG794" i="1"/>
  <c r="AH794" i="1" s="1"/>
  <c r="AG820" i="1"/>
  <c r="AH820" i="1" s="1"/>
  <c r="BC907" i="1"/>
  <c r="V907" i="1"/>
  <c r="W907" i="1" s="1"/>
  <c r="AI752" i="1"/>
  <c r="AJ752" i="1" s="1"/>
  <c r="AG752" i="1"/>
  <c r="AH752" i="1" s="1"/>
  <c r="AG800" i="1"/>
  <c r="AH800" i="1" s="1"/>
  <c r="AG818" i="1"/>
  <c r="AH818" i="1" s="1"/>
  <c r="BD818" i="1"/>
  <c r="AI820" i="1"/>
  <c r="AJ820" i="1" s="1"/>
  <c r="AJ900" i="1"/>
  <c r="AG744" i="1"/>
  <c r="AH744" i="1" s="1"/>
  <c r="W756" i="1"/>
  <c r="AI793" i="1"/>
  <c r="AJ793" i="1" s="1"/>
  <c r="AG793" i="1"/>
  <c r="AH793" i="1" s="1"/>
  <c r="V799" i="1"/>
  <c r="Z799" i="1" s="1"/>
  <c r="AC799" i="1" s="1"/>
  <c r="AM799" i="1" s="1"/>
  <c r="AI800" i="1"/>
  <c r="W823" i="1"/>
  <c r="BC902" i="1"/>
  <c r="V902" i="1"/>
  <c r="Z902" i="1" s="1"/>
  <c r="AC902" i="1" s="1"/>
  <c r="BC912" i="1"/>
  <c r="V912" i="1"/>
  <c r="Z912" i="1" s="1"/>
  <c r="AC912" i="1" s="1"/>
  <c r="AM912" i="1" s="1"/>
  <c r="V922" i="1"/>
  <c r="Z922" i="1" s="1"/>
  <c r="AC922" i="1" s="1"/>
  <c r="AM922" i="1" s="1"/>
  <c r="BC922" i="1"/>
  <c r="AI953" i="1"/>
  <c r="AJ953" i="1" s="1"/>
  <c r="AG953" i="1"/>
  <c r="AH953" i="1" s="1"/>
  <c r="AG677" i="1"/>
  <c r="AH677" i="1" s="1"/>
  <c r="AG685" i="1"/>
  <c r="AH685" i="1" s="1"/>
  <c r="AI685" i="1"/>
  <c r="AJ685" i="1" s="1"/>
  <c r="AG708" i="1"/>
  <c r="AH708" i="1" s="1"/>
  <c r="V728" i="1"/>
  <c r="BC728" i="1"/>
  <c r="BC747" i="1"/>
  <c r="V747" i="1"/>
  <c r="Z747" i="1" s="1"/>
  <c r="AC747" i="1" s="1"/>
  <c r="AM747" i="1" s="1"/>
  <c r="AG881" i="1"/>
  <c r="AH881" i="1" s="1"/>
  <c r="V884" i="1"/>
  <c r="BC884" i="1"/>
  <c r="V898" i="1"/>
  <c r="W898" i="1" s="1"/>
  <c r="BC949" i="1"/>
  <c r="V949" i="1"/>
  <c r="W949" i="1" s="1"/>
  <c r="BC768" i="1"/>
  <c r="V768" i="1"/>
  <c r="V792" i="1"/>
  <c r="Z792" i="1" s="1"/>
  <c r="AC792" i="1" s="1"/>
  <c r="AM792" i="1" s="1"/>
  <c r="BC810" i="1"/>
  <c r="V810" i="1"/>
  <c r="AG831" i="1"/>
  <c r="AH831" i="1" s="1"/>
  <c r="Z864" i="1"/>
  <c r="AC864" i="1" s="1"/>
  <c r="AM864" i="1" s="1"/>
  <c r="W864" i="1"/>
  <c r="BD880" i="1"/>
  <c r="AG880" i="1"/>
  <c r="AH880" i="1" s="1"/>
  <c r="V897" i="1"/>
  <c r="Z897" i="1" s="1"/>
  <c r="AC897" i="1" s="1"/>
  <c r="BC897" i="1"/>
  <c r="AJ939" i="1"/>
  <c r="AG549" i="1"/>
  <c r="AH549" i="1" s="1"/>
  <c r="AG569" i="1"/>
  <c r="AH569" i="1" s="1"/>
  <c r="AG625" i="1"/>
  <c r="AH625" i="1" s="1"/>
  <c r="V646" i="1"/>
  <c r="AG659" i="1"/>
  <c r="AH659" i="1" s="1"/>
  <c r="AG701" i="1"/>
  <c r="AH701" i="1" s="1"/>
  <c r="V733" i="1"/>
  <c r="BC733" i="1"/>
  <c r="V758" i="1"/>
  <c r="Z758" i="1" s="1"/>
  <c r="AC758" i="1" s="1"/>
  <c r="BC758" i="1"/>
  <c r="V762" i="1"/>
  <c r="W762" i="1" s="1"/>
  <c r="AG769" i="1"/>
  <c r="AH769" i="1" s="1"/>
  <c r="BC793" i="1"/>
  <c r="BC823" i="1"/>
  <c r="AG850" i="1"/>
  <c r="AH850" i="1" s="1"/>
  <c r="V879" i="1"/>
  <c r="Z879" i="1" s="1"/>
  <c r="AC879" i="1" s="1"/>
  <c r="BC879" i="1"/>
  <c r="V910" i="1"/>
  <c r="Z910" i="1" s="1"/>
  <c r="AC910" i="1" s="1"/>
  <c r="AM910" i="1" s="1"/>
  <c r="BC932" i="1"/>
  <c r="V934" i="1"/>
  <c r="BC934" i="1"/>
  <c r="AG937" i="1"/>
  <c r="AH937" i="1" s="1"/>
  <c r="AG939" i="1"/>
  <c r="AH939" i="1" s="1"/>
  <c r="V952" i="1"/>
  <c r="BC868" i="1"/>
  <c r="BC885" i="1"/>
  <c r="AG913" i="1"/>
  <c r="AH913" i="1" s="1"/>
  <c r="AG930" i="1"/>
  <c r="AH930" i="1" s="1"/>
  <c r="AG901" i="1"/>
  <c r="AH901" i="1" s="1"/>
  <c r="BD934" i="1"/>
  <c r="AG940" i="1"/>
  <c r="AH940" i="1" s="1"/>
  <c r="AG941" i="1"/>
  <c r="AH941" i="1" s="1"/>
  <c r="AG951" i="1"/>
  <c r="AH951" i="1" s="1"/>
  <c r="AG789" i="1"/>
  <c r="AH789" i="1" s="1"/>
  <c r="V848" i="1"/>
  <c r="Z848" i="1" s="1"/>
  <c r="AC848" i="1" s="1"/>
  <c r="AG870" i="1"/>
  <c r="AH870" i="1" s="1"/>
  <c r="AG890" i="1"/>
  <c r="AH890" i="1" s="1"/>
  <c r="AG910" i="1"/>
  <c r="AH910" i="1" s="1"/>
  <c r="V916" i="1"/>
  <c r="AG732" i="1"/>
  <c r="AH732" i="1" s="1"/>
  <c r="AJ737" i="1"/>
  <c r="AI789" i="1"/>
  <c r="AJ789" i="1" s="1"/>
  <c r="AG862" i="1"/>
  <c r="AH862" i="1" s="1"/>
  <c r="W876" i="1"/>
  <c r="BC883" i="1"/>
  <c r="AG932" i="1"/>
  <c r="AH932" i="1" s="1"/>
  <c r="AG817" i="1"/>
  <c r="AH817" i="1" s="1"/>
  <c r="BD899" i="1"/>
  <c r="AG933" i="1"/>
  <c r="AH933" i="1" s="1"/>
  <c r="AG809" i="1"/>
  <c r="AH809" i="1" s="1"/>
  <c r="W816" i="1"/>
  <c r="AG871" i="1"/>
  <c r="AH871" i="1" s="1"/>
  <c r="AG888" i="1"/>
  <c r="AH888" i="1" s="1"/>
  <c r="Z816" i="1"/>
  <c r="AC816" i="1" s="1"/>
  <c r="AM816" i="1" s="1"/>
  <c r="AG836" i="1"/>
  <c r="AH836" i="1" s="1"/>
  <c r="AI842" i="1"/>
  <c r="AJ842" i="1" s="1"/>
  <c r="AG852" i="1"/>
  <c r="AH852" i="1" s="1"/>
  <c r="AG855" i="1"/>
  <c r="AH855" i="1" s="1"/>
  <c r="AI871" i="1"/>
  <c r="AG872" i="1"/>
  <c r="AH872" i="1" s="1"/>
  <c r="AJ5" i="1"/>
  <c r="AM6" i="1"/>
  <c r="AJ6" i="1"/>
  <c r="AJ20" i="1"/>
  <c r="AG22" i="1"/>
  <c r="AH22" i="1" s="1"/>
  <c r="W63" i="1"/>
  <c r="AN63" i="1" s="1"/>
  <c r="AO63" i="1" s="1"/>
  <c r="Z63" i="1"/>
  <c r="AC63" i="1" s="1"/>
  <c r="AM63" i="1" s="1"/>
  <c r="BC83" i="1"/>
  <c r="V83" i="1"/>
  <c r="Z87" i="1"/>
  <c r="AC87" i="1" s="1"/>
  <c r="AM87" i="1" s="1"/>
  <c r="W87" i="1"/>
  <c r="AN87" i="1" s="1"/>
  <c r="AO87" i="1" s="1"/>
  <c r="BC155" i="1"/>
  <c r="V155" i="1"/>
  <c r="AG172" i="1"/>
  <c r="AH172" i="1" s="1"/>
  <c r="AI172" i="1"/>
  <c r="V194" i="1"/>
  <c r="BC194" i="1"/>
  <c r="AJ209" i="1"/>
  <c r="BD240" i="1"/>
  <c r="AG240" i="1"/>
  <c r="AH240" i="1" s="1"/>
  <c r="BC422" i="1"/>
  <c r="V422" i="1"/>
  <c r="Z26" i="1"/>
  <c r="AC26" i="1" s="1"/>
  <c r="BC175" i="1"/>
  <c r="V175" i="1"/>
  <c r="BD194" i="1"/>
  <c r="AG194" i="1"/>
  <c r="AH194" i="1" s="1"/>
  <c r="BC247" i="1"/>
  <c r="V247" i="1"/>
  <c r="AJ22" i="1"/>
  <c r="AJ29" i="1"/>
  <c r="Z51" i="1"/>
  <c r="AC51" i="1" s="1"/>
  <c r="AJ73" i="1"/>
  <c r="AJ85" i="1"/>
  <c r="AJ86" i="1"/>
  <c r="BD88" i="1"/>
  <c r="AG88" i="1"/>
  <c r="AH88" i="1" s="1"/>
  <c r="AG120" i="1"/>
  <c r="AH120" i="1" s="1"/>
  <c r="AI120" i="1"/>
  <c r="AJ124" i="1"/>
  <c r="Z139" i="1"/>
  <c r="AC139" i="1" s="1"/>
  <c r="W139" i="1"/>
  <c r="V142" i="1"/>
  <c r="BC142" i="1"/>
  <c r="BC152" i="1"/>
  <c r="V152" i="1"/>
  <c r="BD153" i="1"/>
  <c r="AG153" i="1"/>
  <c r="AH153" i="1" s="1"/>
  <c r="AG170" i="1"/>
  <c r="AH170" i="1" s="1"/>
  <c r="AI170" i="1"/>
  <c r="BD193" i="1"/>
  <c r="AG193" i="1"/>
  <c r="AH193" i="1" s="1"/>
  <c r="BC228" i="1"/>
  <c r="V228" i="1"/>
  <c r="AI292" i="1"/>
  <c r="AG292" i="1"/>
  <c r="AH292" i="1" s="1"/>
  <c r="AG150" i="1"/>
  <c r="AH150" i="1" s="1"/>
  <c r="AI150" i="1"/>
  <c r="AJ214" i="1"/>
  <c r="AG314" i="1"/>
  <c r="AH314" i="1" s="1"/>
  <c r="AI314" i="1"/>
  <c r="AM4" i="1"/>
  <c r="AJ4" i="1"/>
  <c r="AM10" i="1"/>
  <c r="AJ10" i="1"/>
  <c r="W22" i="1"/>
  <c r="Z22" i="1"/>
  <c r="AC22" i="1" s="1"/>
  <c r="AM22" i="1" s="1"/>
  <c r="AJ30" i="1"/>
  <c r="AJ46" i="1"/>
  <c r="Z50" i="1"/>
  <c r="AC50" i="1" s="1"/>
  <c r="W50" i="1"/>
  <c r="AJ60" i="1"/>
  <c r="AJ12" i="1"/>
  <c r="AJ15" i="1"/>
  <c r="Z25" i="1"/>
  <c r="AC25" i="1" s="1"/>
  <c r="AM25" i="1" s="1"/>
  <c r="W25" i="1"/>
  <c r="AN25" i="1" s="1"/>
  <c r="AO25" i="1" s="1"/>
  <c r="V36" i="1"/>
  <c r="BC36" i="1"/>
  <c r="AJ59" i="1"/>
  <c r="AG71" i="1"/>
  <c r="AH71" i="1" s="1"/>
  <c r="AI71" i="1"/>
  <c r="AJ77" i="1"/>
  <c r="BC111" i="1"/>
  <c r="V111" i="1"/>
  <c r="BC117" i="1"/>
  <c r="V117" i="1"/>
  <c r="AI131" i="1"/>
  <c r="AJ132" i="1"/>
  <c r="AI136" i="1"/>
  <c r="AG136" i="1"/>
  <c r="AH136" i="1" s="1"/>
  <c r="AJ160" i="1"/>
  <c r="AG181" i="1"/>
  <c r="AH181" i="1" s="1"/>
  <c r="AI181" i="1"/>
  <c r="AI183" i="1"/>
  <c r="AG183" i="1"/>
  <c r="AH183" i="1" s="1"/>
  <c r="AJ297" i="1"/>
  <c r="W379" i="1"/>
  <c r="Z379" i="1"/>
  <c r="AC379" i="1" s="1"/>
  <c r="AJ386" i="1"/>
  <c r="AG12" i="1"/>
  <c r="AH12" i="1" s="1"/>
  <c r="AG15" i="1"/>
  <c r="AH15" i="1" s="1"/>
  <c r="BD24" i="1"/>
  <c r="AG24" i="1"/>
  <c r="AH24" i="1" s="1"/>
  <c r="Z29" i="1"/>
  <c r="AC29" i="1" s="1"/>
  <c r="AM29" i="1" s="1"/>
  <c r="W29" i="1"/>
  <c r="AJ41" i="1"/>
  <c r="Z42" i="1"/>
  <c r="AC42" i="1" s="1"/>
  <c r="AM42" i="1" s="1"/>
  <c r="W42" i="1"/>
  <c r="AJ48" i="1"/>
  <c r="AJ70" i="1"/>
  <c r="AJ93" i="1"/>
  <c r="BC99" i="1"/>
  <c r="V99" i="1"/>
  <c r="AJ106" i="1"/>
  <c r="BC168" i="1"/>
  <c r="V168" i="1"/>
  <c r="AI185" i="1"/>
  <c r="AG185" i="1"/>
  <c r="AH185" i="1" s="1"/>
  <c r="W6" i="1"/>
  <c r="AJ31" i="1"/>
  <c r="AG41" i="1"/>
  <c r="AH41" i="1" s="1"/>
  <c r="AJ49" i="1"/>
  <c r="AI19" i="1"/>
  <c r="AG19" i="1"/>
  <c r="AH19" i="1" s="1"/>
  <c r="AG26" i="1"/>
  <c r="AH26" i="1" s="1"/>
  <c r="AI26" i="1"/>
  <c r="Z54" i="1"/>
  <c r="AC54" i="1" s="1"/>
  <c r="AM54" i="1" s="1"/>
  <c r="W54" i="1"/>
  <c r="AN54" i="1" s="1"/>
  <c r="AO54" i="1" s="1"/>
  <c r="V133" i="1"/>
  <c r="BC133" i="1"/>
  <c r="BC148" i="1"/>
  <c r="V148" i="1"/>
  <c r="AG201" i="1"/>
  <c r="AH201" i="1" s="1"/>
  <c r="AI201" i="1"/>
  <c r="AJ2" i="1"/>
  <c r="AJ7" i="1"/>
  <c r="AJ8" i="1"/>
  <c r="BC17" i="1"/>
  <c r="AJ44" i="1"/>
  <c r="AI51" i="1"/>
  <c r="AG51" i="1"/>
  <c r="AH51" i="1" s="1"/>
  <c r="BC61" i="1"/>
  <c r="V61" i="1"/>
  <c r="AJ121" i="1"/>
  <c r="BD148" i="1"/>
  <c r="AG148" i="1"/>
  <c r="AH148" i="1" s="1"/>
  <c r="BC173" i="1"/>
  <c r="V173" i="1"/>
  <c r="BC184" i="1"/>
  <c r="V184" i="1"/>
  <c r="AJ239" i="1"/>
  <c r="AJ302" i="1"/>
  <c r="Z47" i="1"/>
  <c r="AC47" i="1" s="1"/>
  <c r="W47" i="1"/>
  <c r="AJ97" i="1"/>
  <c r="AM97" i="1"/>
  <c r="W131" i="1"/>
  <c r="Z131" i="1"/>
  <c r="AC131" i="1" s="1"/>
  <c r="AG139" i="1"/>
  <c r="AH139" i="1" s="1"/>
  <c r="AI139" i="1"/>
  <c r="BD159" i="1"/>
  <c r="AG159" i="1"/>
  <c r="AH159" i="1" s="1"/>
  <c r="AI167" i="1"/>
  <c r="AG167" i="1"/>
  <c r="AH167" i="1" s="1"/>
  <c r="W191" i="1"/>
  <c r="Z191" i="1"/>
  <c r="AC191" i="1" s="1"/>
  <c r="AI195" i="1"/>
  <c r="AG195" i="1"/>
  <c r="AH195" i="1" s="1"/>
  <c r="BC246" i="1"/>
  <c r="V246" i="1"/>
  <c r="AI365" i="1"/>
  <c r="AG365" i="1"/>
  <c r="AH365" i="1" s="1"/>
  <c r="AJ38" i="1"/>
  <c r="AJ55" i="1"/>
  <c r="AJ75" i="1"/>
  <c r="AM134" i="1"/>
  <c r="AJ134" i="1"/>
  <c r="AJ3" i="1"/>
  <c r="AJ9" i="1"/>
  <c r="V21" i="1"/>
  <c r="BC21" i="1"/>
  <c r="AG55" i="1"/>
  <c r="AH55" i="1" s="1"/>
  <c r="W67" i="1"/>
  <c r="AJ281" i="1"/>
  <c r="AI298" i="1"/>
  <c r="AG298" i="1"/>
  <c r="AH298" i="1" s="1"/>
  <c r="V516" i="1"/>
  <c r="BC516" i="1"/>
  <c r="W24" i="1"/>
  <c r="AN24" i="1" s="1"/>
  <c r="AO24" i="1" s="1"/>
  <c r="Z24" i="1"/>
  <c r="AC24" i="1" s="1"/>
  <c r="AM24" i="1" s="1"/>
  <c r="AG30" i="1"/>
  <c r="AH30" i="1" s="1"/>
  <c r="AG42" i="1"/>
  <c r="AH42" i="1" s="1"/>
  <c r="BD84" i="1"/>
  <c r="AG84" i="1"/>
  <c r="AH84" i="1" s="1"/>
  <c r="AM118" i="1"/>
  <c r="AJ118" i="1"/>
  <c r="W12" i="1"/>
  <c r="AC12" i="1"/>
  <c r="AM12" i="1" s="1"/>
  <c r="BD17" i="1"/>
  <c r="W30" i="1"/>
  <c r="Z30" i="1"/>
  <c r="AC30" i="1" s="1"/>
  <c r="AM30" i="1" s="1"/>
  <c r="V40" i="1"/>
  <c r="BC40" i="1"/>
  <c r="Z48" i="1"/>
  <c r="AC48" i="1" s="1"/>
  <c r="AM48" i="1" s="1"/>
  <c r="W48" i="1"/>
  <c r="BC60" i="1"/>
  <c r="V60" i="1"/>
  <c r="AJ62" i="1"/>
  <c r="V14" i="1"/>
  <c r="BC14" i="1"/>
  <c r="Z15" i="1"/>
  <c r="AC15" i="1" s="1"/>
  <c r="AM15" i="1" s="1"/>
  <c r="W15" i="1"/>
  <c r="Z17" i="1"/>
  <c r="AC17" i="1" s="1"/>
  <c r="AM17" i="1" s="1"/>
  <c r="W17" i="1"/>
  <c r="AN17" i="1" s="1"/>
  <c r="AO17" i="1" s="1"/>
  <c r="AM52" i="1"/>
  <c r="BD78" i="1"/>
  <c r="AG78" i="1"/>
  <c r="AH78" i="1" s="1"/>
  <c r="V128" i="1"/>
  <c r="BC128" i="1"/>
  <c r="AG154" i="1"/>
  <c r="AH154" i="1" s="1"/>
  <c r="AI154" i="1"/>
  <c r="AJ215" i="1"/>
  <c r="AI218" i="1"/>
  <c r="AG218" i="1"/>
  <c r="AH218" i="1" s="1"/>
  <c r="AI235" i="1"/>
  <c r="AG235" i="1"/>
  <c r="AH235" i="1" s="1"/>
  <c r="BD540" i="1"/>
  <c r="AG540" i="1"/>
  <c r="AH540" i="1" s="1"/>
  <c r="BC93" i="1"/>
  <c r="V93" i="1"/>
  <c r="AI67" i="1"/>
  <c r="AG67" i="1"/>
  <c r="AH67" i="1" s="1"/>
  <c r="AG85" i="1"/>
  <c r="AH85" i="1" s="1"/>
  <c r="BC103" i="1"/>
  <c r="V103" i="1"/>
  <c r="W134" i="1"/>
  <c r="AG138" i="1"/>
  <c r="AH138" i="1" s="1"/>
  <c r="AI45" i="1"/>
  <c r="AJ52" i="1"/>
  <c r="AI57" i="1"/>
  <c r="AG57" i="1"/>
  <c r="AH57" i="1" s="1"/>
  <c r="AI119" i="1"/>
  <c r="AI173" i="1"/>
  <c r="AG173" i="1"/>
  <c r="AH173" i="1" s="1"/>
  <c r="AG2" i="1"/>
  <c r="AH2" i="1" s="1"/>
  <c r="V11" i="1"/>
  <c r="AI16" i="1"/>
  <c r="AG20" i="1"/>
  <c r="AH20" i="1" s="1"/>
  <c r="AI35" i="1"/>
  <c r="V64" i="1"/>
  <c r="AI72" i="1"/>
  <c r="AG77" i="1"/>
  <c r="AH77" i="1" s="1"/>
  <c r="Z92" i="1"/>
  <c r="AC92" i="1" s="1"/>
  <c r="V104" i="1"/>
  <c r="Z108" i="1"/>
  <c r="AC108" i="1" s="1"/>
  <c r="AM108" i="1" s="1"/>
  <c r="V110" i="1"/>
  <c r="W114" i="1"/>
  <c r="AN114" i="1" s="1"/>
  <c r="AO114" i="1" s="1"/>
  <c r="AG319" i="1"/>
  <c r="AH319" i="1" s="1"/>
  <c r="AI319" i="1"/>
  <c r="BC54" i="1"/>
  <c r="BD54" i="1"/>
  <c r="AG70" i="1"/>
  <c r="AH70" i="1" s="1"/>
  <c r="AI135" i="1"/>
  <c r="AG86" i="1"/>
  <c r="AH86" i="1" s="1"/>
  <c r="BC115" i="1"/>
  <c r="V115" i="1"/>
  <c r="BC25" i="1"/>
  <c r="W158" i="1"/>
  <c r="AN158" i="1" s="1"/>
  <c r="AO158" i="1" s="1"/>
  <c r="BC174" i="1"/>
  <c r="V174" i="1"/>
  <c r="AI228" i="1"/>
  <c r="AI237" i="1"/>
  <c r="AG237" i="1"/>
  <c r="AH237" i="1" s="1"/>
  <c r="AJ338" i="1"/>
  <c r="AJ364" i="1"/>
  <c r="AG4" i="1"/>
  <c r="AH4" i="1" s="1"/>
  <c r="AG6" i="1"/>
  <c r="AH6" i="1" s="1"/>
  <c r="AG8" i="1"/>
  <c r="AH8" i="1" s="1"/>
  <c r="AG10" i="1"/>
  <c r="AH10" i="1" s="1"/>
  <c r="AG13" i="1"/>
  <c r="AH13" i="1" s="1"/>
  <c r="BC15" i="1"/>
  <c r="V28" i="1"/>
  <c r="AG31" i="1"/>
  <c r="AH31" i="1" s="1"/>
  <c r="V32" i="1"/>
  <c r="AI39" i="1"/>
  <c r="AG58" i="1"/>
  <c r="AH58" i="1" s="1"/>
  <c r="AG83" i="1"/>
  <c r="AH83" i="1" s="1"/>
  <c r="AI83" i="1"/>
  <c r="V94" i="1"/>
  <c r="W97" i="1"/>
  <c r="W109" i="1"/>
  <c r="V122" i="1"/>
  <c r="Z123" i="1"/>
  <c r="AC123" i="1" s="1"/>
  <c r="AM123" i="1" s="1"/>
  <c r="V125" i="1"/>
  <c r="AG134" i="1"/>
  <c r="AH134" i="1" s="1"/>
  <c r="AJ138" i="1"/>
  <c r="BC160" i="1"/>
  <c r="V160" i="1"/>
  <c r="AI164" i="1"/>
  <c r="AG164" i="1"/>
  <c r="AH164" i="1" s="1"/>
  <c r="AJ166" i="1"/>
  <c r="BC189" i="1"/>
  <c r="BC191" i="1"/>
  <c r="AJ194" i="1"/>
  <c r="Z199" i="1"/>
  <c r="AC199" i="1" s="1"/>
  <c r="BC200" i="1"/>
  <c r="V200" i="1"/>
  <c r="Z207" i="1"/>
  <c r="AC207" i="1" s="1"/>
  <c r="AM207" i="1" s="1"/>
  <c r="W207" i="1"/>
  <c r="AN207" i="1" s="1"/>
  <c r="AO207" i="1" s="1"/>
  <c r="AJ221" i="1"/>
  <c r="AI222" i="1"/>
  <c r="AG222" i="1"/>
  <c r="AH222" i="1" s="1"/>
  <c r="AG226" i="1"/>
  <c r="AH226" i="1" s="1"/>
  <c r="Z238" i="1"/>
  <c r="AC238" i="1" s="1"/>
  <c r="AM238" i="1" s="1"/>
  <c r="AJ247" i="1"/>
  <c r="V3" i="1"/>
  <c r="V5" i="1"/>
  <c r="V9" i="1"/>
  <c r="V18" i="1"/>
  <c r="BC22" i="1"/>
  <c r="AJ23" i="1"/>
  <c r="AG27" i="1"/>
  <c r="AH27" i="1" s="1"/>
  <c r="BC29" i="1"/>
  <c r="BC30" i="1"/>
  <c r="AJ33" i="1"/>
  <c r="BC37" i="1"/>
  <c r="V37" i="1"/>
  <c r="V38" i="1"/>
  <c r="V43" i="1"/>
  <c r="BC44" i="1"/>
  <c r="V44" i="1"/>
  <c r="BC52" i="1"/>
  <c r="AG53" i="1"/>
  <c r="AH53" i="1" s="1"/>
  <c r="AG60" i="1"/>
  <c r="AH60" i="1" s="1"/>
  <c r="AG61" i="1"/>
  <c r="AH61" i="1" s="1"/>
  <c r="AJ68" i="1"/>
  <c r="AM74" i="1"/>
  <c r="AJ78" i="1"/>
  <c r="AJ84" i="1"/>
  <c r="V107" i="1"/>
  <c r="AG113" i="1"/>
  <c r="AH113" i="1" s="1"/>
  <c r="AI116" i="1"/>
  <c r="AG116" i="1"/>
  <c r="AH116" i="1" s="1"/>
  <c r="AJ117" i="1"/>
  <c r="AI128" i="1"/>
  <c r="AG128" i="1"/>
  <c r="AH128" i="1" s="1"/>
  <c r="Z141" i="1"/>
  <c r="AC141" i="1" s="1"/>
  <c r="V146" i="1"/>
  <c r="AG152" i="1"/>
  <c r="AH152" i="1" s="1"/>
  <c r="BC158" i="1"/>
  <c r="Z180" i="1"/>
  <c r="AC180" i="1" s="1"/>
  <c r="AJ188" i="1"/>
  <c r="AI205" i="1"/>
  <c r="AG205" i="1"/>
  <c r="AH205" i="1" s="1"/>
  <c r="AJ208" i="1"/>
  <c r="V214" i="1"/>
  <c r="AG229" i="1"/>
  <c r="AH229" i="1" s="1"/>
  <c r="V285" i="1"/>
  <c r="BC285" i="1"/>
  <c r="AG73" i="1"/>
  <c r="AH73" i="1" s="1"/>
  <c r="AI143" i="1"/>
  <c r="AG143" i="1"/>
  <c r="AH143" i="1" s="1"/>
  <c r="AI69" i="1"/>
  <c r="AG69" i="1"/>
  <c r="AH69" i="1" s="1"/>
  <c r="Z77" i="1"/>
  <c r="AC77" i="1" s="1"/>
  <c r="AM77" i="1" s="1"/>
  <c r="AJ140" i="1"/>
  <c r="AI56" i="1"/>
  <c r="AG59" i="1"/>
  <c r="AH59" i="1" s="1"/>
  <c r="AI65" i="1"/>
  <c r="BC91" i="1"/>
  <c r="V91" i="1"/>
  <c r="AI149" i="1"/>
  <c r="AI81" i="1"/>
  <c r="AG81" i="1"/>
  <c r="AH81" i="1" s="1"/>
  <c r="AI92" i="1"/>
  <c r="AG92" i="1"/>
  <c r="AH92" i="1" s="1"/>
  <c r="AG108" i="1"/>
  <c r="AH108" i="1" s="1"/>
  <c r="V121" i="1"/>
  <c r="BD156" i="1"/>
  <c r="AG156" i="1"/>
  <c r="AH156" i="1" s="1"/>
  <c r="AG163" i="1"/>
  <c r="AH163" i="1" s="1"/>
  <c r="Z189" i="1"/>
  <c r="AC189" i="1" s="1"/>
  <c r="AM189" i="1" s="1"/>
  <c r="AG14" i="1"/>
  <c r="AH14" i="1" s="1"/>
  <c r="BC56" i="1"/>
  <c r="V56" i="1"/>
  <c r="AG98" i="1"/>
  <c r="AH98" i="1" s="1"/>
  <c r="AG151" i="1"/>
  <c r="AH151" i="1" s="1"/>
  <c r="BC192" i="1"/>
  <c r="V192" i="1"/>
  <c r="AI211" i="1"/>
  <c r="AG211" i="1"/>
  <c r="AH211" i="1" s="1"/>
  <c r="V236" i="1"/>
  <c r="BC236" i="1"/>
  <c r="AG36" i="1"/>
  <c r="AH36" i="1" s="1"/>
  <c r="AG64" i="1"/>
  <c r="AH64" i="1" s="1"/>
  <c r="BC68" i="1"/>
  <c r="V68" i="1"/>
  <c r="BC70" i="1"/>
  <c r="V70" i="1"/>
  <c r="AG79" i="1"/>
  <c r="AH79" i="1" s="1"/>
  <c r="AJ82" i="1"/>
  <c r="AG97" i="1"/>
  <c r="AH97" i="1" s="1"/>
  <c r="AI102" i="1"/>
  <c r="AG102" i="1"/>
  <c r="AH102" i="1" s="1"/>
  <c r="AI104" i="1"/>
  <c r="AG104" i="1"/>
  <c r="AH104" i="1" s="1"/>
  <c r="AG109" i="1"/>
  <c r="AH109" i="1" s="1"/>
  <c r="AI112" i="1"/>
  <c r="AG115" i="1"/>
  <c r="AH115" i="1" s="1"/>
  <c r="W120" i="1"/>
  <c r="AG122" i="1"/>
  <c r="AH122" i="1" s="1"/>
  <c r="AG125" i="1"/>
  <c r="AH125" i="1" s="1"/>
  <c r="BC135" i="1"/>
  <c r="V135" i="1"/>
  <c r="AG146" i="1"/>
  <c r="AH146" i="1" s="1"/>
  <c r="AG157" i="1"/>
  <c r="AH157" i="1" s="1"/>
  <c r="AJ163" i="1"/>
  <c r="AG165" i="1"/>
  <c r="AH165" i="1" s="1"/>
  <c r="AI165" i="1"/>
  <c r="V166" i="1"/>
  <c r="BC166" i="1"/>
  <c r="V167" i="1"/>
  <c r="AI169" i="1"/>
  <c r="AG169" i="1"/>
  <c r="AH169" i="1" s="1"/>
  <c r="AI171" i="1"/>
  <c r="AG171" i="1"/>
  <c r="AH171" i="1" s="1"/>
  <c r="AJ176" i="1"/>
  <c r="AM182" i="1"/>
  <c r="BC207" i="1"/>
  <c r="AJ238" i="1"/>
  <c r="BD312" i="1"/>
  <c r="AG312" i="1"/>
  <c r="AH312" i="1" s="1"/>
  <c r="AG384" i="1"/>
  <c r="AH384" i="1" s="1"/>
  <c r="BD384" i="1"/>
  <c r="BC82" i="1"/>
  <c r="V82" i="1"/>
  <c r="W84" i="1"/>
  <c r="BC101" i="1"/>
  <c r="V101" i="1"/>
  <c r="AI162" i="1"/>
  <c r="AG162" i="1"/>
  <c r="AH162" i="1" s="1"/>
  <c r="BC186" i="1"/>
  <c r="V186" i="1"/>
  <c r="V222" i="1"/>
  <c r="BC222" i="1"/>
  <c r="AG233" i="1"/>
  <c r="AH233" i="1" s="1"/>
  <c r="BD233" i="1"/>
  <c r="AG241" i="1"/>
  <c r="AH241" i="1" s="1"/>
  <c r="BD241" i="1"/>
  <c r="AI261" i="1"/>
  <c r="AG261" i="1"/>
  <c r="AH261" i="1" s="1"/>
  <c r="V263" i="1"/>
  <c r="BC263" i="1"/>
  <c r="AG75" i="1"/>
  <c r="AH75" i="1" s="1"/>
  <c r="BC80" i="1"/>
  <c r="V80" i="1"/>
  <c r="Z84" i="1"/>
  <c r="AC84" i="1" s="1"/>
  <c r="AM84" i="1" s="1"/>
  <c r="W118" i="1"/>
  <c r="W205" i="1"/>
  <c r="Z205" i="1"/>
  <c r="AC205" i="1" s="1"/>
  <c r="BC205" i="1"/>
  <c r="W210" i="1"/>
  <c r="AM230" i="1"/>
  <c r="AJ230" i="1"/>
  <c r="BC255" i="1"/>
  <c r="V255" i="1"/>
  <c r="AJ266" i="1"/>
  <c r="AG273" i="1"/>
  <c r="AH273" i="1" s="1"/>
  <c r="AI273" i="1"/>
  <c r="AJ350" i="1"/>
  <c r="AI378" i="1"/>
  <c r="AG378" i="1"/>
  <c r="AH378" i="1" s="1"/>
  <c r="BC105" i="1"/>
  <c r="V105" i="1"/>
  <c r="BC180" i="1"/>
  <c r="W182" i="1"/>
  <c r="AN182" i="1" s="1"/>
  <c r="AO182" i="1" s="1"/>
  <c r="AG266" i="1"/>
  <c r="AH266" i="1" s="1"/>
  <c r="AI272" i="1"/>
  <c r="BC296" i="1"/>
  <c r="V296" i="1"/>
  <c r="AJ315" i="1"/>
  <c r="BD358" i="1"/>
  <c r="AG358" i="1"/>
  <c r="AH358" i="1" s="1"/>
  <c r="BD467" i="1"/>
  <c r="AG467" i="1"/>
  <c r="AH467" i="1" s="1"/>
  <c r="AG23" i="1"/>
  <c r="AH23" i="1" s="1"/>
  <c r="V62" i="1"/>
  <c r="AJ66" i="1"/>
  <c r="V81" i="1"/>
  <c r="AG118" i="1"/>
  <c r="AH118" i="1" s="1"/>
  <c r="BC132" i="1"/>
  <c r="V132" i="1"/>
  <c r="AG137" i="1"/>
  <c r="AH137" i="1" s="1"/>
  <c r="AI137" i="1"/>
  <c r="AJ179" i="1"/>
  <c r="AM179" i="1"/>
  <c r="AJ190" i="1"/>
  <c r="AI198" i="1"/>
  <c r="AI204" i="1"/>
  <c r="AG204" i="1"/>
  <c r="AH204" i="1" s="1"/>
  <c r="BD244" i="1"/>
  <c r="AG244" i="1"/>
  <c r="AH244" i="1" s="1"/>
  <c r="BD454" i="1"/>
  <c r="AG454" i="1"/>
  <c r="AH454" i="1" s="1"/>
  <c r="AJ13" i="1"/>
  <c r="Z49" i="1"/>
  <c r="AC49" i="1" s="1"/>
  <c r="AM49" i="1" s="1"/>
  <c r="AJ58" i="1"/>
  <c r="AG100" i="1"/>
  <c r="AH100" i="1" s="1"/>
  <c r="AG208" i="1"/>
  <c r="AH208" i="1" s="1"/>
  <c r="AG214" i="1"/>
  <c r="AH214" i="1" s="1"/>
  <c r="AG217" i="1"/>
  <c r="AH217" i="1" s="1"/>
  <c r="AG231" i="1"/>
  <c r="AH231" i="1" s="1"/>
  <c r="V276" i="1"/>
  <c r="BC276" i="1"/>
  <c r="BC281" i="1"/>
  <c r="V281" i="1"/>
  <c r="BC293" i="1"/>
  <c r="V293" i="1"/>
  <c r="BC308" i="1"/>
  <c r="V308" i="1"/>
  <c r="BC26" i="1"/>
  <c r="AJ27" i="1"/>
  <c r="AJ42" i="1"/>
  <c r="AG47" i="1"/>
  <c r="AH47" i="1" s="1"/>
  <c r="AG80" i="1"/>
  <c r="AH80" i="1" s="1"/>
  <c r="AG91" i="1"/>
  <c r="AH91" i="1" s="1"/>
  <c r="AG96" i="1"/>
  <c r="AH96" i="1" s="1"/>
  <c r="AG103" i="1"/>
  <c r="AH103" i="1" s="1"/>
  <c r="AG114" i="1"/>
  <c r="AH114" i="1" s="1"/>
  <c r="AG127" i="1"/>
  <c r="AH127" i="1" s="1"/>
  <c r="BD133" i="1"/>
  <c r="BC141" i="1"/>
  <c r="AG147" i="1"/>
  <c r="AH147" i="1" s="1"/>
  <c r="V154" i="1"/>
  <c r="V162" i="1"/>
  <c r="BC162" i="1"/>
  <c r="V165" i="1"/>
  <c r="V170" i="1"/>
  <c r="BC170" i="1"/>
  <c r="BC172" i="1"/>
  <c r="V172" i="1"/>
  <c r="AG189" i="1"/>
  <c r="AH189" i="1" s="1"/>
  <c r="V201" i="1"/>
  <c r="BC201" i="1"/>
  <c r="AJ279" i="1"/>
  <c r="AI389" i="1"/>
  <c r="AG389" i="1"/>
  <c r="AH389" i="1" s="1"/>
  <c r="AI465" i="1"/>
  <c r="AG465" i="1"/>
  <c r="AH465" i="1" s="1"/>
  <c r="AG21" i="1"/>
  <c r="AH21" i="1" s="1"/>
  <c r="AG62" i="1"/>
  <c r="AH62" i="1" s="1"/>
  <c r="AG63" i="1"/>
  <c r="AH63" i="1" s="1"/>
  <c r="AG11" i="1"/>
  <c r="AH11" i="1" s="1"/>
  <c r="V33" i="1"/>
  <c r="AI47" i="1"/>
  <c r="BC58" i="1"/>
  <c r="V58" i="1"/>
  <c r="V66" i="1"/>
  <c r="AG90" i="1"/>
  <c r="AH90" i="1" s="1"/>
  <c r="AI91" i="1"/>
  <c r="BC92" i="1"/>
  <c r="AI94" i="1"/>
  <c r="BC97" i="1"/>
  <c r="AJ98" i="1"/>
  <c r="BD99" i="1"/>
  <c r="BC109" i="1"/>
  <c r="Z120" i="1"/>
  <c r="AC120" i="1" s="1"/>
  <c r="BC123" i="1"/>
  <c r="AG126" i="1"/>
  <c r="AH126" i="1" s="1"/>
  <c r="W153" i="1"/>
  <c r="AN153" i="1" s="1"/>
  <c r="AO153" i="1" s="1"/>
  <c r="AI157" i="1"/>
  <c r="AM158" i="1"/>
  <c r="AM178" i="1"/>
  <c r="AJ178" i="1"/>
  <c r="AI197" i="1"/>
  <c r="AG197" i="1"/>
  <c r="AH197" i="1" s="1"/>
  <c r="BD221" i="1"/>
  <c r="BD230" i="1"/>
  <c r="AM265" i="1"/>
  <c r="AJ290" i="1"/>
  <c r="AI353" i="1"/>
  <c r="AG353" i="1"/>
  <c r="AH353" i="1" s="1"/>
  <c r="AG354" i="1"/>
  <c r="AH354" i="1" s="1"/>
  <c r="AI354" i="1"/>
  <c r="V258" i="1"/>
  <c r="BC258" i="1"/>
  <c r="V267" i="1"/>
  <c r="BC267" i="1"/>
  <c r="BC306" i="1"/>
  <c r="V306" i="1"/>
  <c r="V310" i="1"/>
  <c r="BC310" i="1"/>
  <c r="AG329" i="1"/>
  <c r="AH329" i="1" s="1"/>
  <c r="AI329" i="1"/>
  <c r="Z343" i="1"/>
  <c r="AC343" i="1" s="1"/>
  <c r="W343" i="1"/>
  <c r="AG106" i="1"/>
  <c r="AH106" i="1" s="1"/>
  <c r="AJ159" i="1"/>
  <c r="W181" i="1"/>
  <c r="Z181" i="1"/>
  <c r="AC181" i="1" s="1"/>
  <c r="AJ202" i="1"/>
  <c r="BD203" i="1"/>
  <c r="AG203" i="1"/>
  <c r="AH203" i="1" s="1"/>
  <c r="W217" i="1"/>
  <c r="AN217" i="1" s="1"/>
  <c r="AO217" i="1" s="1"/>
  <c r="Z217" i="1"/>
  <c r="AC217" i="1" s="1"/>
  <c r="AM217" i="1" s="1"/>
  <c r="AM231" i="1"/>
  <c r="AJ231" i="1"/>
  <c r="BC259" i="1"/>
  <c r="V259" i="1"/>
  <c r="AJ280" i="1"/>
  <c r="AJ287" i="1"/>
  <c r="AM287" i="1"/>
  <c r="AJ295" i="1"/>
  <c r="AG296" i="1"/>
  <c r="AH296" i="1" s="1"/>
  <c r="BD310" i="1"/>
  <c r="AG310" i="1"/>
  <c r="AH310" i="1" s="1"/>
  <c r="AI328" i="1"/>
  <c r="AG328" i="1"/>
  <c r="AH328" i="1" s="1"/>
  <c r="AJ712" i="1"/>
  <c r="AI187" i="1"/>
  <c r="AG187" i="1"/>
  <c r="AH187" i="1" s="1"/>
  <c r="BC198" i="1"/>
  <c r="V198" i="1"/>
  <c r="Z219" i="1"/>
  <c r="AC219" i="1" s="1"/>
  <c r="AM219" i="1" s="1"/>
  <c r="W219" i="1"/>
  <c r="AN219" i="1" s="1"/>
  <c r="AO219" i="1" s="1"/>
  <c r="Z239" i="1"/>
  <c r="AC239" i="1" s="1"/>
  <c r="AM239" i="1" s="1"/>
  <c r="W239" i="1"/>
  <c r="V291" i="1"/>
  <c r="BC291" i="1"/>
  <c r="V299" i="1"/>
  <c r="BC299" i="1"/>
  <c r="AI306" i="1"/>
  <c r="AG306" i="1"/>
  <c r="AH306" i="1" s="1"/>
  <c r="AJ309" i="1"/>
  <c r="BD340" i="1"/>
  <c r="AG340" i="1"/>
  <c r="AH340" i="1" s="1"/>
  <c r="AI344" i="1"/>
  <c r="AG344" i="1"/>
  <c r="AH344" i="1" s="1"/>
  <c r="BC366" i="1"/>
  <c r="V366" i="1"/>
  <c r="V374" i="1"/>
  <c r="BC374" i="1"/>
  <c r="BC440" i="1"/>
  <c r="V440" i="1"/>
  <c r="AI532" i="1"/>
  <c r="AG532" i="1"/>
  <c r="AH532" i="1" s="1"/>
  <c r="V572" i="1"/>
  <c r="BC572" i="1"/>
  <c r="V163" i="1"/>
  <c r="BC163" i="1"/>
  <c r="AG192" i="1"/>
  <c r="AH192" i="1" s="1"/>
  <c r="AI192" i="1"/>
  <c r="BD219" i="1"/>
  <c r="AG219" i="1"/>
  <c r="AH219" i="1" s="1"/>
  <c r="AI220" i="1"/>
  <c r="AG220" i="1"/>
  <c r="AH220" i="1" s="1"/>
  <c r="AG252" i="1"/>
  <c r="AH252" i="1" s="1"/>
  <c r="AI252" i="1"/>
  <c r="V261" i="1"/>
  <c r="BC261" i="1"/>
  <c r="AI264" i="1"/>
  <c r="AG264" i="1"/>
  <c r="AH264" i="1" s="1"/>
  <c r="AJ284" i="1"/>
  <c r="AI311" i="1"/>
  <c r="AG311" i="1"/>
  <c r="AH311" i="1" s="1"/>
  <c r="BC331" i="1"/>
  <c r="V331" i="1"/>
  <c r="AJ259" i="1"/>
  <c r="W260" i="1"/>
  <c r="Z260" i="1"/>
  <c r="AC260" i="1" s="1"/>
  <c r="BC283" i="1"/>
  <c r="V283" i="1"/>
  <c r="BC300" i="1"/>
  <c r="V300" i="1"/>
  <c r="Z320" i="1"/>
  <c r="AC320" i="1" s="1"/>
  <c r="W320" i="1"/>
  <c r="BC334" i="1"/>
  <c r="V334" i="1"/>
  <c r="BC335" i="1"/>
  <c r="V335" i="1"/>
  <c r="AG337" i="1"/>
  <c r="AH337" i="1" s="1"/>
  <c r="BD337" i="1"/>
  <c r="BC347" i="1"/>
  <c r="V347" i="1"/>
  <c r="Z381" i="1"/>
  <c r="AC381" i="1" s="1"/>
  <c r="AM381" i="1" s="1"/>
  <c r="W381" i="1"/>
  <c r="AN381" i="1" s="1"/>
  <c r="AO381" i="1" s="1"/>
  <c r="V129" i="1"/>
  <c r="BC129" i="1"/>
  <c r="AI141" i="1"/>
  <c r="AG141" i="1"/>
  <c r="AH141" i="1" s="1"/>
  <c r="BC211" i="1"/>
  <c r="V211" i="1"/>
  <c r="AJ225" i="1"/>
  <c r="BC235" i="1"/>
  <c r="V235" i="1"/>
  <c r="AJ250" i="1"/>
  <c r="V251" i="1"/>
  <c r="BC251" i="1"/>
  <c r="AJ267" i="1"/>
  <c r="AG276" i="1"/>
  <c r="AH276" i="1" s="1"/>
  <c r="W278" i="1"/>
  <c r="BC287" i="1"/>
  <c r="AJ288" i="1"/>
  <c r="AG307" i="1"/>
  <c r="AH307" i="1" s="1"/>
  <c r="V357" i="1"/>
  <c r="BC357" i="1"/>
  <c r="AJ366" i="1"/>
  <c r="AJ380" i="1"/>
  <c r="BC443" i="1"/>
  <c r="V443" i="1"/>
  <c r="AJ568" i="1"/>
  <c r="AG236" i="1"/>
  <c r="AH236" i="1" s="1"/>
  <c r="AI236" i="1"/>
  <c r="BC272" i="1"/>
  <c r="V272" i="1"/>
  <c r="BC275" i="1"/>
  <c r="V275" i="1"/>
  <c r="AJ276" i="1"/>
  <c r="BC317" i="1"/>
  <c r="V317" i="1"/>
  <c r="BC318" i="1"/>
  <c r="AG336" i="1"/>
  <c r="AH336" i="1" s="1"/>
  <c r="V369" i="1"/>
  <c r="BC369" i="1"/>
  <c r="BC372" i="1"/>
  <c r="BC391" i="1"/>
  <c r="V391" i="1"/>
  <c r="BD427" i="1"/>
  <c r="AG427" i="1"/>
  <c r="AH427" i="1" s="1"/>
  <c r="AJ473" i="1"/>
  <c r="BC260" i="1"/>
  <c r="BD275" i="1"/>
  <c r="AG275" i="1"/>
  <c r="AH275" i="1" s="1"/>
  <c r="AI294" i="1"/>
  <c r="AG294" i="1"/>
  <c r="AH294" i="1" s="1"/>
  <c r="BC305" i="1"/>
  <c r="V305" i="1"/>
  <c r="AG334" i="1"/>
  <c r="AH334" i="1" s="1"/>
  <c r="AI334" i="1"/>
  <c r="AJ336" i="1"/>
  <c r="Z372" i="1"/>
  <c r="AC372" i="1" s="1"/>
  <c r="AM372" i="1" s="1"/>
  <c r="W372" i="1"/>
  <c r="AN372" i="1" s="1"/>
  <c r="AO372" i="1" s="1"/>
  <c r="AI555" i="1"/>
  <c r="AG555" i="1"/>
  <c r="AH555" i="1" s="1"/>
  <c r="V161" i="1"/>
  <c r="BC161" i="1"/>
  <c r="BC176" i="1"/>
  <c r="V176" i="1"/>
  <c r="BC209" i="1"/>
  <c r="V209" i="1"/>
  <c r="AJ213" i="1"/>
  <c r="Z234" i="1"/>
  <c r="AC234" i="1" s="1"/>
  <c r="W234" i="1"/>
  <c r="BC245" i="1"/>
  <c r="V245" i="1"/>
  <c r="AJ249" i="1"/>
  <c r="AI258" i="1"/>
  <c r="AG258" i="1"/>
  <c r="AH258" i="1" s="1"/>
  <c r="AI260" i="1"/>
  <c r="V262" i="1"/>
  <c r="BC262" i="1"/>
  <c r="AJ271" i="1"/>
  <c r="AI278" i="1"/>
  <c r="AG304" i="1"/>
  <c r="AH304" i="1" s="1"/>
  <c r="AJ312" i="1"/>
  <c r="AI335" i="1"/>
  <c r="AG335" i="1"/>
  <c r="AH335" i="1" s="1"/>
  <c r="AI356" i="1"/>
  <c r="AG357" i="1"/>
  <c r="AH357" i="1" s="1"/>
  <c r="AG359" i="1"/>
  <c r="AH359" i="1" s="1"/>
  <c r="AG372" i="1"/>
  <c r="AH372" i="1" s="1"/>
  <c r="BD372" i="1"/>
  <c r="AJ400" i="1"/>
  <c r="AI443" i="1"/>
  <c r="AG443" i="1"/>
  <c r="AH443" i="1" s="1"/>
  <c r="BD525" i="1"/>
  <c r="AG525" i="1"/>
  <c r="AH525" i="1" s="1"/>
  <c r="BC342" i="1"/>
  <c r="V342" i="1"/>
  <c r="V412" i="1"/>
  <c r="BC412" i="1"/>
  <c r="AI426" i="1"/>
  <c r="AG426" i="1"/>
  <c r="AH426" i="1" s="1"/>
  <c r="BC127" i="1"/>
  <c r="V127" i="1"/>
  <c r="AG160" i="1"/>
  <c r="AH160" i="1" s="1"/>
  <c r="AI210" i="1"/>
  <c r="AG210" i="1"/>
  <c r="AH210" i="1" s="1"/>
  <c r="BC221" i="1"/>
  <c r="V221" i="1"/>
  <c r="BC233" i="1"/>
  <c r="V233" i="1"/>
  <c r="AI234" i="1"/>
  <c r="AG234" i="1"/>
  <c r="AH234" i="1" s="1"/>
  <c r="AG265" i="1"/>
  <c r="AH265" i="1" s="1"/>
  <c r="AJ317" i="1"/>
  <c r="BC355" i="1"/>
  <c r="V355" i="1"/>
  <c r="AI371" i="1"/>
  <c r="BC382" i="1"/>
  <c r="V382" i="1"/>
  <c r="BC393" i="1"/>
  <c r="V393" i="1"/>
  <c r="BC398" i="1"/>
  <c r="V398" i="1"/>
  <c r="V549" i="1"/>
  <c r="BC549" i="1"/>
  <c r="BC563" i="1"/>
  <c r="V563" i="1"/>
  <c r="AJ659" i="1"/>
  <c r="BC732" i="1"/>
  <c r="V732" i="1"/>
  <c r="AJ352" i="1"/>
  <c r="AG397" i="1"/>
  <c r="AH397" i="1" s="1"/>
  <c r="AI397" i="1"/>
  <c r="AG408" i="1"/>
  <c r="AH408" i="1" s="1"/>
  <c r="BD408" i="1"/>
  <c r="Z457" i="1"/>
  <c r="AC457" i="1" s="1"/>
  <c r="W457" i="1"/>
  <c r="AJ542" i="1"/>
  <c r="BC295" i="1"/>
  <c r="V295" i="1"/>
  <c r="AJ303" i="1"/>
  <c r="AM303" i="1"/>
  <c r="BD305" i="1"/>
  <c r="AG305" i="1"/>
  <c r="AH305" i="1" s="1"/>
  <c r="AG322" i="1"/>
  <c r="AH322" i="1" s="1"/>
  <c r="AJ346" i="1"/>
  <c r="AJ349" i="1"/>
  <c r="AJ357" i="1"/>
  <c r="AI369" i="1"/>
  <c r="AG369" i="1"/>
  <c r="AH369" i="1" s="1"/>
  <c r="BC438" i="1"/>
  <c r="V438" i="1"/>
  <c r="V439" i="1"/>
  <c r="BC439" i="1"/>
  <c r="BC447" i="1"/>
  <c r="V447" i="1"/>
  <c r="Z483" i="1"/>
  <c r="AC483" i="1" s="1"/>
  <c r="AM483" i="1" s="1"/>
  <c r="W483" i="1"/>
  <c r="V494" i="1"/>
  <c r="BC494" i="1"/>
  <c r="AG542" i="1"/>
  <c r="AH542" i="1" s="1"/>
  <c r="BC601" i="1"/>
  <c r="V601" i="1"/>
  <c r="AG607" i="1"/>
  <c r="AH607" i="1" s="1"/>
  <c r="BD607" i="1"/>
  <c r="AJ422" i="1"/>
  <c r="AI434" i="1"/>
  <c r="AG434" i="1"/>
  <c r="AH434" i="1" s="1"/>
  <c r="BD439" i="1"/>
  <c r="AG439" i="1"/>
  <c r="AH439" i="1" s="1"/>
  <c r="BC449" i="1"/>
  <c r="V449" i="1"/>
  <c r="BC460" i="1"/>
  <c r="V460" i="1"/>
  <c r="AG469" i="1"/>
  <c r="AH469" i="1" s="1"/>
  <c r="BD469" i="1"/>
  <c r="BC488" i="1"/>
  <c r="V488" i="1"/>
  <c r="BC538" i="1"/>
  <c r="V538" i="1"/>
  <c r="AG545" i="1"/>
  <c r="AH545" i="1" s="1"/>
  <c r="AI545" i="1"/>
  <c r="BD552" i="1"/>
  <c r="AG552" i="1"/>
  <c r="AH552" i="1" s="1"/>
  <c r="BC674" i="1"/>
  <c r="V674" i="1"/>
  <c r="BC271" i="1"/>
  <c r="V271" i="1"/>
  <c r="AG284" i="1"/>
  <c r="AH284" i="1" s="1"/>
  <c r="AI293" i="1"/>
  <c r="AG293" i="1"/>
  <c r="AH293" i="1" s="1"/>
  <c r="AI322" i="1"/>
  <c r="AI331" i="1"/>
  <c r="BC340" i="1"/>
  <c r="V340" i="1"/>
  <c r="BC359" i="1"/>
  <c r="V359" i="1"/>
  <c r="BC378" i="1"/>
  <c r="V378" i="1"/>
  <c r="AJ390" i="1"/>
  <c r="AG407" i="1"/>
  <c r="AH407" i="1" s="1"/>
  <c r="AG411" i="1"/>
  <c r="AH411" i="1" s="1"/>
  <c r="AI411" i="1"/>
  <c r="AI421" i="1"/>
  <c r="AG421" i="1"/>
  <c r="AH421" i="1" s="1"/>
  <c r="V424" i="1"/>
  <c r="AI482" i="1"/>
  <c r="AG482" i="1"/>
  <c r="AH482" i="1" s="1"/>
  <c r="AI524" i="1"/>
  <c r="AG524" i="1"/>
  <c r="AH524" i="1" s="1"/>
  <c r="Z597" i="1"/>
  <c r="AC597" i="1" s="1"/>
  <c r="W597" i="1"/>
  <c r="BC709" i="1"/>
  <c r="V709" i="1"/>
  <c r="AI175" i="1"/>
  <c r="AG175" i="1"/>
  <c r="AH175" i="1" s="1"/>
  <c r="W179" i="1"/>
  <c r="AG212" i="1"/>
  <c r="AH212" i="1" s="1"/>
  <c r="AI246" i="1"/>
  <c r="AG246" i="1"/>
  <c r="AH246" i="1" s="1"/>
  <c r="BC269" i="1"/>
  <c r="V269" i="1"/>
  <c r="AG308" i="1"/>
  <c r="AH308" i="1" s="1"/>
  <c r="AM321" i="1"/>
  <c r="AJ321" i="1"/>
  <c r="AG325" i="1"/>
  <c r="AH325" i="1" s="1"/>
  <c r="BD325" i="1"/>
  <c r="BD327" i="1"/>
  <c r="BC329" i="1"/>
  <c r="V329" i="1"/>
  <c r="AJ351" i="1"/>
  <c r="AM351" i="1"/>
  <c r="AI387" i="1"/>
  <c r="AG387" i="1"/>
  <c r="AH387" i="1" s="1"/>
  <c r="AJ404" i="1"/>
  <c r="AJ407" i="1"/>
  <c r="AJ414" i="1"/>
  <c r="AJ438" i="1"/>
  <c r="BC444" i="1"/>
  <c r="V444" i="1"/>
  <c r="BC459" i="1"/>
  <c r="V459" i="1"/>
  <c r="V474" i="1"/>
  <c r="BC474" i="1"/>
  <c r="BC578" i="1"/>
  <c r="V578" i="1"/>
  <c r="AI615" i="1"/>
  <c r="AG615" i="1"/>
  <c r="AH615" i="1" s="1"/>
  <c r="BC691" i="1"/>
  <c r="V691" i="1"/>
  <c r="BC257" i="1"/>
  <c r="V257" i="1"/>
  <c r="AI274" i="1"/>
  <c r="AG274" i="1"/>
  <c r="AH274" i="1" s="1"/>
  <c r="AJ275" i="1"/>
  <c r="BC319" i="1"/>
  <c r="V319" i="1"/>
  <c r="W344" i="1"/>
  <c r="Z344" i="1"/>
  <c r="AC344" i="1" s="1"/>
  <c r="AG351" i="1"/>
  <c r="AH351" i="1" s="1"/>
  <c r="BC352" i="1"/>
  <c r="V352" i="1"/>
  <c r="BC365" i="1"/>
  <c r="V365" i="1"/>
  <c r="AI370" i="1"/>
  <c r="AG370" i="1"/>
  <c r="AH370" i="1" s="1"/>
  <c r="AM373" i="1"/>
  <c r="BD410" i="1"/>
  <c r="AG410" i="1"/>
  <c r="AH410" i="1" s="1"/>
  <c r="AI437" i="1"/>
  <c r="AG437" i="1"/>
  <c r="AH437" i="1" s="1"/>
  <c r="AJ468" i="1"/>
  <c r="BC473" i="1"/>
  <c r="V473" i="1"/>
  <c r="AJ687" i="1"/>
  <c r="AJ744" i="1"/>
  <c r="BC188" i="1"/>
  <c r="V188" i="1"/>
  <c r="AG206" i="1"/>
  <c r="AH206" i="1" s="1"/>
  <c r="AI212" i="1"/>
  <c r="AG290" i="1"/>
  <c r="AH290" i="1" s="1"/>
  <c r="BD303" i="1"/>
  <c r="AG303" i="1"/>
  <c r="AH303" i="1" s="1"/>
  <c r="W304" i="1"/>
  <c r="AN304" i="1" s="1"/>
  <c r="AO304" i="1" s="1"/>
  <c r="AJ313" i="1"/>
  <c r="AG332" i="1"/>
  <c r="AH332" i="1" s="1"/>
  <c r="AG342" i="1"/>
  <c r="AH342" i="1" s="1"/>
  <c r="AI342" i="1"/>
  <c r="AG373" i="1"/>
  <c r="AH373" i="1" s="1"/>
  <c r="V384" i="1"/>
  <c r="BC384" i="1"/>
  <c r="AG388" i="1"/>
  <c r="AH388" i="1" s="1"/>
  <c r="AI395" i="1"/>
  <c r="AG395" i="1"/>
  <c r="AH395" i="1" s="1"/>
  <c r="AJ399" i="1"/>
  <c r="AG403" i="1"/>
  <c r="AH403" i="1" s="1"/>
  <c r="BD403" i="1"/>
  <c r="BD406" i="1"/>
  <c r="AG406" i="1"/>
  <c r="AH406" i="1" s="1"/>
  <c r="W415" i="1"/>
  <c r="Z415" i="1"/>
  <c r="AC415" i="1" s="1"/>
  <c r="AJ417" i="1"/>
  <c r="W427" i="1"/>
  <c r="AN427" i="1" s="1"/>
  <c r="AO427" i="1" s="1"/>
  <c r="Z427" i="1"/>
  <c r="AC427" i="1" s="1"/>
  <c r="AM427" i="1" s="1"/>
  <c r="AG450" i="1"/>
  <c r="AH450" i="1" s="1"/>
  <c r="AI450" i="1"/>
  <c r="AJ502" i="1"/>
  <c r="BC610" i="1"/>
  <c r="V610" i="1"/>
  <c r="AI341" i="1"/>
  <c r="AG341" i="1"/>
  <c r="AH341" i="1" s="1"/>
  <c r="BC376" i="1"/>
  <c r="V376" i="1"/>
  <c r="BC388" i="1"/>
  <c r="V388" i="1"/>
  <c r="AJ424" i="1"/>
  <c r="AJ436" i="1"/>
  <c r="AI463" i="1"/>
  <c r="AG463" i="1"/>
  <c r="AH463" i="1" s="1"/>
  <c r="AJ466" i="1"/>
  <c r="AJ475" i="1"/>
  <c r="AJ477" i="1"/>
  <c r="V499" i="1"/>
  <c r="BC499" i="1"/>
  <c r="AI503" i="1"/>
  <c r="AG503" i="1"/>
  <c r="AH503" i="1" s="1"/>
  <c r="Z605" i="1"/>
  <c r="AC605" i="1" s="1"/>
  <c r="W605" i="1"/>
  <c r="BC628" i="1"/>
  <c r="V628" i="1"/>
  <c r="AI651" i="1"/>
  <c r="AG651" i="1"/>
  <c r="AH651" i="1" s="1"/>
  <c r="AG686" i="1"/>
  <c r="AH686" i="1" s="1"/>
  <c r="AI686" i="1"/>
  <c r="BC699" i="1"/>
  <c r="V699" i="1"/>
  <c r="AI736" i="1"/>
  <c r="AG736" i="1"/>
  <c r="AH736" i="1" s="1"/>
  <c r="BC354" i="1"/>
  <c r="V354" i="1"/>
  <c r="BC371" i="1"/>
  <c r="V371" i="1"/>
  <c r="AG381" i="1"/>
  <c r="AH381" i="1" s="1"/>
  <c r="BC390" i="1"/>
  <c r="V390" i="1"/>
  <c r="AJ403" i="1"/>
  <c r="Z405" i="1"/>
  <c r="AC405" i="1" s="1"/>
  <c r="AM405" i="1" s="1"/>
  <c r="W405" i="1"/>
  <c r="AN405" i="1" s="1"/>
  <c r="AO405" i="1" s="1"/>
  <c r="AG436" i="1"/>
  <c r="AH436" i="1" s="1"/>
  <c r="AJ439" i="1"/>
  <c r="AI449" i="1"/>
  <c r="V450" i="1"/>
  <c r="BC450" i="1"/>
  <c r="BD452" i="1"/>
  <c r="AG452" i="1"/>
  <c r="AH452" i="1" s="1"/>
  <c r="AJ454" i="1"/>
  <c r="AJ456" i="1"/>
  <c r="BC461" i="1"/>
  <c r="V461" i="1"/>
  <c r="AG466" i="1"/>
  <c r="AH466" i="1" s="1"/>
  <c r="AJ470" i="1"/>
  <c r="AG477" i="1"/>
  <c r="AH477" i="1" s="1"/>
  <c r="AJ504" i="1"/>
  <c r="BC514" i="1"/>
  <c r="V514" i="1"/>
  <c r="AJ519" i="1"/>
  <c r="AJ525" i="1"/>
  <c r="AI528" i="1"/>
  <c r="AG528" i="1"/>
  <c r="AH528" i="1" s="1"/>
  <c r="BC533" i="1"/>
  <c r="V533" i="1"/>
  <c r="AJ636" i="1"/>
  <c r="BC669" i="1"/>
  <c r="BC364" i="1"/>
  <c r="V364" i="1"/>
  <c r="AJ368" i="1"/>
  <c r="AI377" i="1"/>
  <c r="AG377" i="1"/>
  <c r="AH377" i="1" s="1"/>
  <c r="W401" i="1"/>
  <c r="AN401" i="1" s="1"/>
  <c r="AO401" i="1" s="1"/>
  <c r="AI489" i="1"/>
  <c r="AG489" i="1"/>
  <c r="AH489" i="1" s="1"/>
  <c r="AG504" i="1"/>
  <c r="AH504" i="1" s="1"/>
  <c r="AI511" i="1"/>
  <c r="AG511" i="1"/>
  <c r="AH511" i="1" s="1"/>
  <c r="AG519" i="1"/>
  <c r="AH519" i="1" s="1"/>
  <c r="V565" i="1"/>
  <c r="BC565" i="1"/>
  <c r="AJ574" i="1"/>
  <c r="AI585" i="1"/>
  <c r="AG585" i="1"/>
  <c r="AH585" i="1" s="1"/>
  <c r="AJ667" i="1"/>
  <c r="AG775" i="1"/>
  <c r="AH775" i="1" s="1"/>
  <c r="AI775" i="1"/>
  <c r="BC809" i="1"/>
  <c r="V809" i="1"/>
  <c r="AI282" i="1"/>
  <c r="AG282" i="1"/>
  <c r="AH282" i="1" s="1"/>
  <c r="AI318" i="1"/>
  <c r="AG318" i="1"/>
  <c r="AH318" i="1" s="1"/>
  <c r="AI323" i="1"/>
  <c r="AG323" i="1"/>
  <c r="AH323" i="1" s="1"/>
  <c r="AI330" i="1"/>
  <c r="AG330" i="1"/>
  <c r="AH330" i="1" s="1"/>
  <c r="AG368" i="1"/>
  <c r="AH368" i="1" s="1"/>
  <c r="AJ385" i="1"/>
  <c r="BC386" i="1"/>
  <c r="V386" i="1"/>
  <c r="AG393" i="1"/>
  <c r="AH393" i="1" s="1"/>
  <c r="BC395" i="1"/>
  <c r="V395" i="1"/>
  <c r="V423" i="1"/>
  <c r="BC423" i="1"/>
  <c r="V435" i="1"/>
  <c r="BC435" i="1"/>
  <c r="BD453" i="1"/>
  <c r="AG453" i="1"/>
  <c r="AH453" i="1" s="1"/>
  <c r="Z487" i="1"/>
  <c r="AC487" i="1" s="1"/>
  <c r="W487" i="1"/>
  <c r="AJ543" i="1"/>
  <c r="BD565" i="1"/>
  <c r="AG565" i="1"/>
  <c r="AH565" i="1" s="1"/>
  <c r="AI633" i="1"/>
  <c r="AG633" i="1"/>
  <c r="AH633" i="1" s="1"/>
  <c r="AG423" i="1"/>
  <c r="AH423" i="1" s="1"/>
  <c r="AI423" i="1"/>
  <c r="AJ461" i="1"/>
  <c r="BC475" i="1"/>
  <c r="V475" i="1"/>
  <c r="AJ486" i="1"/>
  <c r="Z507" i="1"/>
  <c r="AC507" i="1" s="1"/>
  <c r="AM507" i="1" s="1"/>
  <c r="W507" i="1"/>
  <c r="AN507" i="1" s="1"/>
  <c r="AO507" i="1" s="1"/>
  <c r="AI560" i="1"/>
  <c r="AG560" i="1"/>
  <c r="AH560" i="1" s="1"/>
  <c r="V580" i="1"/>
  <c r="BC580" i="1"/>
  <c r="V602" i="1"/>
  <c r="BC602" i="1"/>
  <c r="BC614" i="1"/>
  <c r="V614" i="1"/>
  <c r="Z669" i="1"/>
  <c r="AC669" i="1" s="1"/>
  <c r="AM669" i="1" s="1"/>
  <c r="W669" i="1"/>
  <c r="BC307" i="1"/>
  <c r="V307" i="1"/>
  <c r="BC312" i="1"/>
  <c r="V312" i="1"/>
  <c r="BC324" i="1"/>
  <c r="V324" i="1"/>
  <c r="AJ333" i="1"/>
  <c r="BC336" i="1"/>
  <c r="V336" i="1"/>
  <c r="BC401" i="1"/>
  <c r="BC408" i="1"/>
  <c r="V408" i="1"/>
  <c r="AJ409" i="1"/>
  <c r="BD456" i="1"/>
  <c r="AG461" i="1"/>
  <c r="AH461" i="1" s="1"/>
  <c r="BC476" i="1"/>
  <c r="V476" i="1"/>
  <c r="AJ484" i="1"/>
  <c r="AG486" i="1"/>
  <c r="AH486" i="1" s="1"/>
  <c r="AI487" i="1"/>
  <c r="AG487" i="1"/>
  <c r="AH487" i="1" s="1"/>
  <c r="BC508" i="1"/>
  <c r="V508" i="1"/>
  <c r="AG520" i="1"/>
  <c r="AH520" i="1" s="1"/>
  <c r="AI544" i="1"/>
  <c r="AG544" i="1"/>
  <c r="AH544" i="1" s="1"/>
  <c r="AI547" i="1"/>
  <c r="Z573" i="1"/>
  <c r="AC573" i="1" s="1"/>
  <c r="W573" i="1"/>
  <c r="BC593" i="1"/>
  <c r="V593" i="1"/>
  <c r="AI481" i="1"/>
  <c r="AG481" i="1"/>
  <c r="AH481" i="1" s="1"/>
  <c r="AG493" i="1"/>
  <c r="AH493" i="1" s="1"/>
  <c r="AI493" i="1"/>
  <c r="BC534" i="1"/>
  <c r="V534" i="1"/>
  <c r="BC537" i="1"/>
  <c r="V537" i="1"/>
  <c r="AJ554" i="1"/>
  <c r="AG557" i="1"/>
  <c r="AH557" i="1" s="1"/>
  <c r="AI557" i="1"/>
  <c r="AJ569" i="1"/>
  <c r="AG601" i="1"/>
  <c r="AH601" i="1" s="1"/>
  <c r="AI601" i="1"/>
  <c r="V635" i="1"/>
  <c r="BC635" i="1"/>
  <c r="BC684" i="1"/>
  <c r="V684" i="1"/>
  <c r="AG447" i="1"/>
  <c r="AH447" i="1" s="1"/>
  <c r="AI460" i="1"/>
  <c r="AG460" i="1"/>
  <c r="AH460" i="1" s="1"/>
  <c r="W482" i="1"/>
  <c r="Z482" i="1"/>
  <c r="AC482" i="1" s="1"/>
  <c r="AJ483" i="1"/>
  <c r="V502" i="1"/>
  <c r="BC502" i="1"/>
  <c r="AJ505" i="1"/>
  <c r="V531" i="1"/>
  <c r="BC531" i="1"/>
  <c r="AI533" i="1"/>
  <c r="AG533" i="1"/>
  <c r="AH533" i="1" s="1"/>
  <c r="V541" i="1"/>
  <c r="BC541" i="1"/>
  <c r="BC683" i="1"/>
  <c r="V683" i="1"/>
  <c r="AI691" i="1"/>
  <c r="AG691" i="1"/>
  <c r="AH691" i="1" s="1"/>
  <c r="AI396" i="1"/>
  <c r="AG396" i="1"/>
  <c r="AH396" i="1" s="1"/>
  <c r="V414" i="1"/>
  <c r="BC414" i="1"/>
  <c r="W428" i="1"/>
  <c r="AN428" i="1" s="1"/>
  <c r="AO428" i="1" s="1"/>
  <c r="AI441" i="1"/>
  <c r="B16" i="2" s="1"/>
  <c r="AI447" i="1"/>
  <c r="BD464" i="1"/>
  <c r="AG464" i="1"/>
  <c r="AH464" i="1" s="1"/>
  <c r="V480" i="1"/>
  <c r="BC480" i="1"/>
  <c r="BC482" i="1"/>
  <c r="AI485" i="1"/>
  <c r="AI501" i="1"/>
  <c r="AG501" i="1"/>
  <c r="AH501" i="1" s="1"/>
  <c r="BC512" i="1"/>
  <c r="V512" i="1"/>
  <c r="BD512" i="1"/>
  <c r="BD541" i="1"/>
  <c r="AG541" i="1"/>
  <c r="AH541" i="1" s="1"/>
  <c r="AI546" i="1"/>
  <c r="AG546" i="1"/>
  <c r="AH546" i="1" s="1"/>
  <c r="AI655" i="1"/>
  <c r="AG655" i="1"/>
  <c r="AH655" i="1" s="1"/>
  <c r="AG476" i="1"/>
  <c r="AH476" i="1" s="1"/>
  <c r="AI476" i="1"/>
  <c r="AG479" i="1"/>
  <c r="AH479" i="1" s="1"/>
  <c r="AI479" i="1"/>
  <c r="AG499" i="1"/>
  <c r="AH499" i="1" s="1"/>
  <c r="AJ549" i="1"/>
  <c r="AJ552" i="1"/>
  <c r="AJ611" i="1"/>
  <c r="BC644" i="1"/>
  <c r="V644" i="1"/>
  <c r="V689" i="1"/>
  <c r="BC689" i="1"/>
  <c r="BD724" i="1"/>
  <c r="AG724" i="1"/>
  <c r="AH724" i="1" s="1"/>
  <c r="AI763" i="1"/>
  <c r="AG763" i="1"/>
  <c r="AH763" i="1" s="1"/>
  <c r="AI394" i="1"/>
  <c r="AG394" i="1"/>
  <c r="AH394" i="1" s="1"/>
  <c r="AJ412" i="1"/>
  <c r="V425" i="1"/>
  <c r="BC425" i="1"/>
  <c r="AJ429" i="1"/>
  <c r="BC434" i="1"/>
  <c r="V434" i="1"/>
  <c r="Z470" i="1"/>
  <c r="AC470" i="1" s="1"/>
  <c r="AM470" i="1" s="1"/>
  <c r="W470" i="1"/>
  <c r="W477" i="1"/>
  <c r="Z477" i="1"/>
  <c r="AC477" i="1" s="1"/>
  <c r="AM477" i="1" s="1"/>
  <c r="W495" i="1"/>
  <c r="Z495" i="1"/>
  <c r="AC495" i="1" s="1"/>
  <c r="AG505" i="1"/>
  <c r="AH505" i="1" s="1"/>
  <c r="BD505" i="1"/>
  <c r="AJ583" i="1"/>
  <c r="BC586" i="1"/>
  <c r="V586" i="1"/>
  <c r="AI620" i="1"/>
  <c r="AG620" i="1"/>
  <c r="AH620" i="1" s="1"/>
  <c r="AJ717" i="1"/>
  <c r="AG177" i="1"/>
  <c r="AH177" i="1" s="1"/>
  <c r="AI199" i="1"/>
  <c r="AG199" i="1"/>
  <c r="AH199" i="1" s="1"/>
  <c r="BC223" i="1"/>
  <c r="V223" i="1"/>
  <c r="AG248" i="1"/>
  <c r="AH248" i="1" s="1"/>
  <c r="AI270" i="1"/>
  <c r="AG270" i="1"/>
  <c r="AH270" i="1" s="1"/>
  <c r="AG392" i="1"/>
  <c r="AH392" i="1" s="1"/>
  <c r="BC397" i="1"/>
  <c r="V397" i="1"/>
  <c r="BC410" i="1"/>
  <c r="V410" i="1"/>
  <c r="BC428" i="1"/>
  <c r="AG429" i="1"/>
  <c r="AH429" i="1" s="1"/>
  <c r="AJ451" i="1"/>
  <c r="AI459" i="1"/>
  <c r="AG459" i="1"/>
  <c r="AH459" i="1" s="1"/>
  <c r="AG462" i="1"/>
  <c r="AH462" i="1" s="1"/>
  <c r="AI462" i="1"/>
  <c r="AJ467" i="1"/>
  <c r="BC495" i="1"/>
  <c r="AJ506" i="1"/>
  <c r="AI518" i="1"/>
  <c r="AG518" i="1"/>
  <c r="AH518" i="1" s="1"/>
  <c r="BD530" i="1"/>
  <c r="AG530" i="1"/>
  <c r="AH530" i="1" s="1"/>
  <c r="V539" i="1"/>
  <c r="BC539" i="1"/>
  <c r="AG634" i="1"/>
  <c r="AH634" i="1" s="1"/>
  <c r="AI634" i="1"/>
  <c r="BD653" i="1"/>
  <c r="AG653" i="1"/>
  <c r="AH653" i="1" s="1"/>
  <c r="BC665" i="1"/>
  <c r="V665" i="1"/>
  <c r="BC675" i="1"/>
  <c r="V675" i="1"/>
  <c r="AI433" i="1"/>
  <c r="AG433" i="1"/>
  <c r="AH433" i="1" s="1"/>
  <c r="V486" i="1"/>
  <c r="BC486" i="1"/>
  <c r="AI526" i="1"/>
  <c r="AG526" i="1"/>
  <c r="AH526" i="1" s="1"/>
  <c r="AG536" i="1"/>
  <c r="AH536" i="1" s="1"/>
  <c r="AI536" i="1"/>
  <c r="BD538" i="1"/>
  <c r="AG538" i="1"/>
  <c r="AH538" i="1" s="1"/>
  <c r="AI539" i="1"/>
  <c r="AG539" i="1"/>
  <c r="AH539" i="1" s="1"/>
  <c r="Z558" i="1"/>
  <c r="AC558" i="1" s="1"/>
  <c r="AM558" i="1" s="1"/>
  <c r="W558" i="1"/>
  <c r="AN558" i="1" s="1"/>
  <c r="AO558" i="1" s="1"/>
  <c r="V594" i="1"/>
  <c r="BC594" i="1"/>
  <c r="BC604" i="1"/>
  <c r="V604" i="1"/>
  <c r="BC605" i="1"/>
  <c r="AI640" i="1"/>
  <c r="AG640" i="1"/>
  <c r="AH640" i="1" s="1"/>
  <c r="BD663" i="1"/>
  <c r="AG663" i="1"/>
  <c r="AH663" i="1" s="1"/>
  <c r="AJ679" i="1"/>
  <c r="BD684" i="1"/>
  <c r="AG684" i="1"/>
  <c r="AH684" i="1" s="1"/>
  <c r="AJ747" i="1"/>
  <c r="AJ898" i="1"/>
  <c r="BC420" i="1"/>
  <c r="V420" i="1"/>
  <c r="AG422" i="1"/>
  <c r="AH422" i="1" s="1"/>
  <c r="AG451" i="1"/>
  <c r="AH451" i="1" s="1"/>
  <c r="AJ455" i="1"/>
  <c r="BC457" i="1"/>
  <c r="AG458" i="1"/>
  <c r="AH458" i="1" s="1"/>
  <c r="AG468" i="1"/>
  <c r="AH468" i="1" s="1"/>
  <c r="AJ472" i="1"/>
  <c r="AG480" i="1"/>
  <c r="AH480" i="1" s="1"/>
  <c r="AG510" i="1"/>
  <c r="AH510" i="1" s="1"/>
  <c r="AI510" i="1"/>
  <c r="V524" i="1"/>
  <c r="BC524" i="1"/>
  <c r="BC547" i="1"/>
  <c r="V547" i="1"/>
  <c r="AG554" i="1"/>
  <c r="AH554" i="1" s="1"/>
  <c r="AJ562" i="1"/>
  <c r="V570" i="1"/>
  <c r="BC570" i="1"/>
  <c r="AJ580" i="1"/>
  <c r="AJ591" i="1"/>
  <c r="AG596" i="1"/>
  <c r="AH596" i="1" s="1"/>
  <c r="BC598" i="1"/>
  <c r="V598" i="1"/>
  <c r="AI627" i="1"/>
  <c r="AG627" i="1"/>
  <c r="AH627" i="1" s="1"/>
  <c r="AG637" i="1"/>
  <c r="AH637" i="1" s="1"/>
  <c r="BD637" i="1"/>
  <c r="AI695" i="1"/>
  <c r="AG695" i="1"/>
  <c r="AH695" i="1" s="1"/>
  <c r="V731" i="1"/>
  <c r="BC731" i="1"/>
  <c r="W752" i="1"/>
  <c r="Z752" i="1"/>
  <c r="AC752" i="1" s="1"/>
  <c r="AG898" i="1"/>
  <c r="AH898" i="1" s="1"/>
  <c r="BC432" i="1"/>
  <c r="V432" i="1"/>
  <c r="AJ458" i="1"/>
  <c r="AI474" i="1"/>
  <c r="AG474" i="1"/>
  <c r="AH474" i="1" s="1"/>
  <c r="W496" i="1"/>
  <c r="W564" i="1"/>
  <c r="BC564" i="1"/>
  <c r="AJ596" i="1"/>
  <c r="V599" i="1"/>
  <c r="BC599" i="1"/>
  <c r="BC647" i="1"/>
  <c r="V647" i="1"/>
  <c r="V658" i="1"/>
  <c r="AG681" i="1"/>
  <c r="AH681" i="1" s="1"/>
  <c r="AI681" i="1"/>
  <c r="AI689" i="1"/>
  <c r="AG689" i="1"/>
  <c r="AH689" i="1" s="1"/>
  <c r="AG841" i="1"/>
  <c r="AH841" i="1" s="1"/>
  <c r="AI841" i="1"/>
  <c r="V383" i="1"/>
  <c r="V402" i="1"/>
  <c r="V407" i="1"/>
  <c r="AG435" i="1"/>
  <c r="AH435" i="1" s="1"/>
  <c r="BC492" i="1"/>
  <c r="V492" i="1"/>
  <c r="AI521" i="1"/>
  <c r="AG521" i="1"/>
  <c r="AH521" i="1" s="1"/>
  <c r="AG535" i="1"/>
  <c r="AH535" i="1" s="1"/>
  <c r="AJ559" i="1"/>
  <c r="AI561" i="1"/>
  <c r="AG561" i="1"/>
  <c r="AH561" i="1" s="1"/>
  <c r="AI581" i="1"/>
  <c r="AG581" i="1"/>
  <c r="AH581" i="1" s="1"/>
  <c r="BD582" i="1"/>
  <c r="AJ610" i="1"/>
  <c r="AJ613" i="1"/>
  <c r="Z616" i="1"/>
  <c r="AC616" i="1" s="1"/>
  <c r="AM616" i="1" s="1"/>
  <c r="W616" i="1"/>
  <c r="AN616" i="1" s="1"/>
  <c r="AO616" i="1" s="1"/>
  <c r="BC617" i="1"/>
  <c r="V617" i="1"/>
  <c r="V619" i="1"/>
  <c r="AJ624" i="1"/>
  <c r="Z629" i="1"/>
  <c r="AC629" i="1" s="1"/>
  <c r="W629" i="1"/>
  <c r="AJ673" i="1"/>
  <c r="AG711" i="1"/>
  <c r="AH711" i="1" s="1"/>
  <c r="V734" i="1"/>
  <c r="BC734" i="1"/>
  <c r="AJ757" i="1"/>
  <c r="AG419" i="1"/>
  <c r="AH419" i="1" s="1"/>
  <c r="AJ469" i="1"/>
  <c r="AG498" i="1"/>
  <c r="AH498" i="1" s="1"/>
  <c r="AG556" i="1"/>
  <c r="AH556" i="1" s="1"/>
  <c r="AI556" i="1"/>
  <c r="BC558" i="1"/>
  <c r="AJ563" i="1"/>
  <c r="AJ711" i="1"/>
  <c r="AI896" i="1"/>
  <c r="AG896" i="1"/>
  <c r="AH896" i="1" s="1"/>
  <c r="BC562" i="1"/>
  <c r="V562" i="1"/>
  <c r="AI571" i="1"/>
  <c r="AG571" i="1"/>
  <c r="AH571" i="1" s="1"/>
  <c r="Z575" i="1"/>
  <c r="AC575" i="1" s="1"/>
  <c r="AM575" i="1" s="1"/>
  <c r="W575" i="1"/>
  <c r="AN575" i="1" s="1"/>
  <c r="AO575" i="1" s="1"/>
  <c r="Z587" i="1"/>
  <c r="AC587" i="1" s="1"/>
  <c r="AM587" i="1" s="1"/>
  <c r="W587" i="1"/>
  <c r="AN587" i="1" s="1"/>
  <c r="AO587" i="1" s="1"/>
  <c r="AG617" i="1"/>
  <c r="AH617" i="1" s="1"/>
  <c r="BD617" i="1"/>
  <c r="BC645" i="1"/>
  <c r="V645" i="1"/>
  <c r="AI647" i="1"/>
  <c r="AG647" i="1"/>
  <c r="AH647" i="1" s="1"/>
  <c r="BC651" i="1"/>
  <c r="V651" i="1"/>
  <c r="AG658" i="1"/>
  <c r="AH658" i="1" s="1"/>
  <c r="BD658" i="1"/>
  <c r="AJ669" i="1"/>
  <c r="AG678" i="1"/>
  <c r="AH678" i="1" s="1"/>
  <c r="BD678" i="1"/>
  <c r="BD698" i="1"/>
  <c r="AG698" i="1"/>
  <c r="AH698" i="1" s="1"/>
  <c r="AG699" i="1"/>
  <c r="AH699" i="1" s="1"/>
  <c r="BD699" i="1"/>
  <c r="AI729" i="1"/>
  <c r="AG729" i="1"/>
  <c r="AH729" i="1" s="1"/>
  <c r="AG730" i="1"/>
  <c r="AH730" i="1" s="1"/>
  <c r="AI730" i="1"/>
  <c r="AJ762" i="1"/>
  <c r="AJ565" i="1"/>
  <c r="BC587" i="1"/>
  <c r="Z589" i="1"/>
  <c r="AC589" i="1" s="1"/>
  <c r="W589" i="1"/>
  <c r="AI597" i="1"/>
  <c r="AG597" i="1"/>
  <c r="AH597" i="1" s="1"/>
  <c r="V606" i="1"/>
  <c r="BC606" i="1"/>
  <c r="BC608" i="1"/>
  <c r="V608" i="1"/>
  <c r="AI625" i="1"/>
  <c r="AI635" i="1"/>
  <c r="AG635" i="1"/>
  <c r="AH635" i="1" s="1"/>
  <c r="V649" i="1"/>
  <c r="BC649" i="1"/>
  <c r="AI650" i="1"/>
  <c r="AG669" i="1"/>
  <c r="AH669" i="1" s="1"/>
  <c r="BD672" i="1"/>
  <c r="AG672" i="1"/>
  <c r="AH672" i="1" s="1"/>
  <c r="AI674" i="1"/>
  <c r="AG674" i="1"/>
  <c r="AH674" i="1" s="1"/>
  <c r="AI708" i="1"/>
  <c r="AI714" i="1"/>
  <c r="AG714" i="1"/>
  <c r="AH714" i="1" s="1"/>
  <c r="BC509" i="1"/>
  <c r="V509" i="1"/>
  <c r="AG522" i="1"/>
  <c r="AH522" i="1" s="1"/>
  <c r="AI537" i="1"/>
  <c r="V543" i="1"/>
  <c r="BC543" i="1"/>
  <c r="BC560" i="1"/>
  <c r="V560" i="1"/>
  <c r="AI564" i="1"/>
  <c r="AG564" i="1"/>
  <c r="AH564" i="1" s="1"/>
  <c r="V624" i="1"/>
  <c r="BC633" i="1"/>
  <c r="V633" i="1"/>
  <c r="AG638" i="1"/>
  <c r="AH638" i="1" s="1"/>
  <c r="AG648" i="1"/>
  <c r="AH648" i="1" s="1"/>
  <c r="AI648" i="1"/>
  <c r="AG654" i="1"/>
  <c r="AH654" i="1" s="1"/>
  <c r="BD654" i="1"/>
  <c r="V716" i="1"/>
  <c r="AI740" i="1"/>
  <c r="AG740" i="1"/>
  <c r="AH740" i="1" s="1"/>
  <c r="BD746" i="1"/>
  <c r="AG746" i="1"/>
  <c r="AH746" i="1" s="1"/>
  <c r="AJ771" i="1"/>
  <c r="BC545" i="1"/>
  <c r="V545" i="1"/>
  <c r="BC575" i="1"/>
  <c r="BC579" i="1"/>
  <c r="V579" i="1"/>
  <c r="AI603" i="1"/>
  <c r="AG603" i="1"/>
  <c r="AH603" i="1" s="1"/>
  <c r="AI608" i="1"/>
  <c r="AG608" i="1"/>
  <c r="AH608" i="1" s="1"/>
  <c r="AM638" i="1"/>
  <c r="AJ638" i="1"/>
  <c r="V673" i="1"/>
  <c r="BC673" i="1"/>
  <c r="AG680" i="1"/>
  <c r="AH680" i="1" s="1"/>
  <c r="AI680" i="1"/>
  <c r="V682" i="1"/>
  <c r="BC682" i="1"/>
  <c r="AJ698" i="1"/>
  <c r="AI715" i="1"/>
  <c r="AG715" i="1"/>
  <c r="AH715" i="1" s="1"/>
  <c r="AJ726" i="1"/>
  <c r="AJ727" i="1"/>
  <c r="AJ733" i="1"/>
  <c r="AG756" i="1"/>
  <c r="AH756" i="1" s="1"/>
  <c r="AI756" i="1"/>
  <c r="AJ766" i="1"/>
  <c r="AJ767" i="1"/>
  <c r="V779" i="1"/>
  <c r="BC779" i="1"/>
  <c r="BC781" i="1"/>
  <c r="V781" i="1"/>
  <c r="V820" i="1"/>
  <c r="BC820" i="1"/>
  <c r="V880" i="1"/>
  <c r="BC880" i="1"/>
  <c r="AG515" i="1"/>
  <c r="AH515" i="1" s="1"/>
  <c r="AG527" i="1"/>
  <c r="AH527" i="1" s="1"/>
  <c r="BD575" i="1"/>
  <c r="BC577" i="1"/>
  <c r="V577" i="1"/>
  <c r="BC592" i="1"/>
  <c r="V592" i="1"/>
  <c r="AJ658" i="1"/>
  <c r="V668" i="1"/>
  <c r="BC668" i="1"/>
  <c r="AI916" i="1"/>
  <c r="AG916" i="1"/>
  <c r="AH916" i="1" s="1"/>
  <c r="BC621" i="1"/>
  <c r="V621" i="1"/>
  <c r="AI682" i="1"/>
  <c r="AG682" i="1"/>
  <c r="AH682" i="1" s="1"/>
  <c r="AJ731" i="1"/>
  <c r="BD732" i="1"/>
  <c r="AI751" i="1"/>
  <c r="AG751" i="1"/>
  <c r="AH751" i="1" s="1"/>
  <c r="BC755" i="1"/>
  <c r="V755" i="1"/>
  <c r="AI770" i="1"/>
  <c r="AG770" i="1"/>
  <c r="AH770" i="1" s="1"/>
  <c r="AJ777" i="1"/>
  <c r="BC573" i="1"/>
  <c r="AG574" i="1"/>
  <c r="AH574" i="1" s="1"/>
  <c r="AG609" i="1"/>
  <c r="AH609" i="1" s="1"/>
  <c r="AG613" i="1"/>
  <c r="AH613" i="1" s="1"/>
  <c r="AJ614" i="1"/>
  <c r="AG619" i="1"/>
  <c r="AH619" i="1" s="1"/>
  <c r="AJ639" i="1"/>
  <c r="Z656" i="1"/>
  <c r="AC656" i="1" s="1"/>
  <c r="W656" i="1"/>
  <c r="Z662" i="1"/>
  <c r="AC662" i="1" s="1"/>
  <c r="W662" i="1"/>
  <c r="AG673" i="1"/>
  <c r="AH673" i="1" s="1"/>
  <c r="AJ706" i="1"/>
  <c r="AG719" i="1"/>
  <c r="AH719" i="1" s="1"/>
  <c r="AJ724" i="1"/>
  <c r="AJ769" i="1"/>
  <c r="AG801" i="1"/>
  <c r="AH801" i="1" s="1"/>
  <c r="AI801" i="1"/>
  <c r="AI840" i="1"/>
  <c r="AG840" i="1"/>
  <c r="AH840" i="1" s="1"/>
  <c r="BC521" i="1"/>
  <c r="V521" i="1"/>
  <c r="AG534" i="1"/>
  <c r="AH534" i="1" s="1"/>
  <c r="AI578" i="1"/>
  <c r="AG578" i="1"/>
  <c r="AH578" i="1" s="1"/>
  <c r="AG604" i="1"/>
  <c r="AH604" i="1" s="1"/>
  <c r="AI605" i="1"/>
  <c r="AJ607" i="1"/>
  <c r="AI612" i="1"/>
  <c r="AJ619" i="1"/>
  <c r="Z652" i="1"/>
  <c r="AC652" i="1" s="1"/>
  <c r="AM652" i="1" s="1"/>
  <c r="W652" i="1"/>
  <c r="AN652" i="1" s="1"/>
  <c r="AO652" i="1" s="1"/>
  <c r="V690" i="1"/>
  <c r="BD718" i="1"/>
  <c r="AG718" i="1"/>
  <c r="AH718" i="1" s="1"/>
  <c r="V723" i="1"/>
  <c r="BC723" i="1"/>
  <c r="BD767" i="1"/>
  <c r="AG767" i="1"/>
  <c r="AH767" i="1" s="1"/>
  <c r="Z784" i="1"/>
  <c r="AC784" i="1" s="1"/>
  <c r="W784" i="1"/>
  <c r="AI785" i="1"/>
  <c r="AG785" i="1"/>
  <c r="AH785" i="1" s="1"/>
  <c r="AG586" i="1"/>
  <c r="AH586" i="1" s="1"/>
  <c r="Z596" i="1"/>
  <c r="AC596" i="1" s="1"/>
  <c r="AM596" i="1" s="1"/>
  <c r="W596" i="1"/>
  <c r="AJ604" i="1"/>
  <c r="BC615" i="1"/>
  <c r="V615" i="1"/>
  <c r="BC662" i="1"/>
  <c r="V681" i="1"/>
  <c r="AG688" i="1"/>
  <c r="AH688" i="1" s="1"/>
  <c r="AI688" i="1"/>
  <c r="AJ694" i="1"/>
  <c r="V710" i="1"/>
  <c r="V713" i="1"/>
  <c r="BC713" i="1"/>
  <c r="AI765" i="1"/>
  <c r="AG765" i="1"/>
  <c r="AH765" i="1" s="1"/>
  <c r="AG792" i="1"/>
  <c r="AH792" i="1" s="1"/>
  <c r="BD792" i="1"/>
  <c r="AJ799" i="1"/>
  <c r="BC870" i="1"/>
  <c r="V870" i="1"/>
  <c r="AG584" i="1"/>
  <c r="AH584" i="1" s="1"/>
  <c r="AI589" i="1"/>
  <c r="AG589" i="1"/>
  <c r="AH589" i="1" s="1"/>
  <c r="AG591" i="1"/>
  <c r="AH591" i="1" s="1"/>
  <c r="AI593" i="1"/>
  <c r="AG593" i="1"/>
  <c r="AH593" i="1" s="1"/>
  <c r="AI600" i="1"/>
  <c r="AG600" i="1"/>
  <c r="AH600" i="1" s="1"/>
  <c r="AG621" i="1"/>
  <c r="AH621" i="1" s="1"/>
  <c r="AJ657" i="1"/>
  <c r="BC667" i="1"/>
  <c r="V667" i="1"/>
  <c r="AG713" i="1"/>
  <c r="AH713" i="1" s="1"/>
  <c r="BD713" i="1"/>
  <c r="AJ831" i="1"/>
  <c r="AJ862" i="1"/>
  <c r="BC908" i="1"/>
  <c r="V908" i="1"/>
  <c r="BC754" i="1"/>
  <c r="V754" i="1"/>
  <c r="Z757" i="1"/>
  <c r="AC757" i="1" s="1"/>
  <c r="AM757" i="1" s="1"/>
  <c r="W757" i="1"/>
  <c r="BC757" i="1"/>
  <c r="BC851" i="1"/>
  <c r="V851" i="1"/>
  <c r="BC865" i="1"/>
  <c r="V865" i="1"/>
  <c r="AG622" i="1"/>
  <c r="AH622" i="1" s="1"/>
  <c r="AG692" i="1"/>
  <c r="AH692" i="1" s="1"/>
  <c r="AI692" i="1"/>
  <c r="V696" i="1"/>
  <c r="BC696" i="1"/>
  <c r="AI704" i="1"/>
  <c r="AG704" i="1"/>
  <c r="AH704" i="1" s="1"/>
  <c r="BC705" i="1"/>
  <c r="V705" i="1"/>
  <c r="V727" i="1"/>
  <c r="BC727" i="1"/>
  <c r="BC744" i="1"/>
  <c r="V744" i="1"/>
  <c r="AJ746" i="1"/>
  <c r="BC591" i="1"/>
  <c r="V591" i="1"/>
  <c r="AG616" i="1"/>
  <c r="AH616" i="1" s="1"/>
  <c r="AI622" i="1"/>
  <c r="BD632" i="1"/>
  <c r="AG646" i="1"/>
  <c r="AH646" i="1" s="1"/>
  <c r="AI646" i="1"/>
  <c r="BC679" i="1"/>
  <c r="V679" i="1"/>
  <c r="AI738" i="1"/>
  <c r="AG738" i="1"/>
  <c r="AH738" i="1" s="1"/>
  <c r="AI750" i="1"/>
  <c r="AG750" i="1"/>
  <c r="AH750" i="1" s="1"/>
  <c r="BD769" i="1"/>
  <c r="AM815" i="1"/>
  <c r="Z670" i="1"/>
  <c r="AC670" i="1" s="1"/>
  <c r="AM670" i="1" s="1"/>
  <c r="W670" i="1"/>
  <c r="AN670" i="1" s="1"/>
  <c r="AO670" i="1" s="1"/>
  <c r="BC687" i="1"/>
  <c r="V687" i="1"/>
  <c r="AG710" i="1"/>
  <c r="AH710" i="1" s="1"/>
  <c r="AI716" i="1"/>
  <c r="AG716" i="1"/>
  <c r="AH716" i="1" s="1"/>
  <c r="AJ743" i="1"/>
  <c r="AI760" i="1"/>
  <c r="AG760" i="1"/>
  <c r="AH760" i="1" s="1"/>
  <c r="AJ815" i="1"/>
  <c r="BC603" i="1"/>
  <c r="V603" i="1"/>
  <c r="AG660" i="1"/>
  <c r="AH660" i="1" s="1"/>
  <c r="W663" i="1"/>
  <c r="AN663" i="1" s="1"/>
  <c r="AO663" i="1" s="1"/>
  <c r="AG668" i="1"/>
  <c r="AH668" i="1" s="1"/>
  <c r="AG683" i="1"/>
  <c r="AH683" i="1" s="1"/>
  <c r="V694" i="1"/>
  <c r="BC694" i="1"/>
  <c r="AG703" i="1"/>
  <c r="AH703" i="1" s="1"/>
  <c r="AI705" i="1"/>
  <c r="AG705" i="1"/>
  <c r="AH705" i="1" s="1"/>
  <c r="AJ707" i="1"/>
  <c r="BC717" i="1"/>
  <c r="V717" i="1"/>
  <c r="AI721" i="1"/>
  <c r="AG721" i="1"/>
  <c r="AH721" i="1" s="1"/>
  <c r="AI734" i="1"/>
  <c r="AG734" i="1"/>
  <c r="AH734" i="1" s="1"/>
  <c r="V745" i="1"/>
  <c r="BC745" i="1"/>
  <c r="AG747" i="1"/>
  <c r="AH747" i="1" s="1"/>
  <c r="BD776" i="1"/>
  <c r="AG776" i="1"/>
  <c r="AH776" i="1" s="1"/>
  <c r="AG786" i="1"/>
  <c r="AH786" i="1" s="1"/>
  <c r="AI786" i="1"/>
  <c r="BC850" i="1"/>
  <c r="V850" i="1"/>
  <c r="BC855" i="1"/>
  <c r="V855" i="1"/>
  <c r="AI873" i="1"/>
  <c r="AG873" i="1"/>
  <c r="AH873" i="1" s="1"/>
  <c r="AJ875" i="1"/>
  <c r="BC888" i="1"/>
  <c r="V740" i="1"/>
  <c r="BC740" i="1"/>
  <c r="BC741" i="1"/>
  <c r="V741" i="1"/>
  <c r="AG762" i="1"/>
  <c r="AH762" i="1" s="1"/>
  <c r="AJ773" i="1"/>
  <c r="AI782" i="1"/>
  <c r="AG782" i="1"/>
  <c r="AH782" i="1" s="1"/>
  <c r="BC784" i="1"/>
  <c r="BC838" i="1"/>
  <c r="V838" i="1"/>
  <c r="V726" i="1"/>
  <c r="BC726" i="1"/>
  <c r="AG731" i="1"/>
  <c r="AH731" i="1" s="1"/>
  <c r="AG771" i="1"/>
  <c r="AH771" i="1" s="1"/>
  <c r="V772" i="1"/>
  <c r="BC772" i="1"/>
  <c r="BC787" i="1"/>
  <c r="V787" i="1"/>
  <c r="AJ797" i="1"/>
  <c r="BD826" i="1"/>
  <c r="AG826" i="1"/>
  <c r="AH826" i="1" s="1"/>
  <c r="BC828" i="1"/>
  <c r="V828" i="1"/>
  <c r="V829" i="1"/>
  <c r="BC829" i="1"/>
  <c r="AJ863" i="1"/>
  <c r="AJ864" i="1"/>
  <c r="BC905" i="1"/>
  <c r="V905" i="1"/>
  <c r="BC906" i="1"/>
  <c r="V906" i="1"/>
  <c r="BC703" i="1"/>
  <c r="V703" i="1"/>
  <c r="V765" i="1"/>
  <c r="BC765" i="1"/>
  <c r="BC785" i="1"/>
  <c r="V785" i="1"/>
  <c r="AJ847" i="1"/>
  <c r="AJ850" i="1"/>
  <c r="W888" i="1"/>
  <c r="Z888" i="1"/>
  <c r="AC888" i="1" s="1"/>
  <c r="AM888" i="1" s="1"/>
  <c r="AJ928" i="1"/>
  <c r="AG706" i="1"/>
  <c r="AH706" i="1" s="1"/>
  <c r="AG722" i="1"/>
  <c r="AH722" i="1" s="1"/>
  <c r="AG723" i="1"/>
  <c r="AH723" i="1" s="1"/>
  <c r="BC736" i="1"/>
  <c r="V736" i="1"/>
  <c r="AI739" i="1"/>
  <c r="AG739" i="1"/>
  <c r="AH739" i="1" s="1"/>
  <c r="AG742" i="1"/>
  <c r="AH742" i="1" s="1"/>
  <c r="V778" i="1"/>
  <c r="BC778" i="1"/>
  <c r="AI780" i="1"/>
  <c r="AG780" i="1"/>
  <c r="AH780" i="1" s="1"/>
  <c r="BC789" i="1"/>
  <c r="V789" i="1"/>
  <c r="AI829" i="1"/>
  <c r="AG829" i="1"/>
  <c r="AH829" i="1" s="1"/>
  <c r="W837" i="1"/>
  <c r="Z837" i="1"/>
  <c r="AC837" i="1" s="1"/>
  <c r="BC841" i="1"/>
  <c r="V841" i="1"/>
  <c r="V842" i="1"/>
  <c r="AG847" i="1"/>
  <c r="AH847" i="1" s="1"/>
  <c r="AI854" i="1"/>
  <c r="AG854" i="1"/>
  <c r="AH854" i="1" s="1"/>
  <c r="AI884" i="1"/>
  <c r="AG884" i="1"/>
  <c r="AH884" i="1" s="1"/>
  <c r="BD900" i="1"/>
  <c r="AG900" i="1"/>
  <c r="AH900" i="1" s="1"/>
  <c r="BC914" i="1"/>
  <c r="V914" i="1"/>
  <c r="BC715" i="1"/>
  <c r="V715" i="1"/>
  <c r="AG725" i="1"/>
  <c r="AH725" i="1" s="1"/>
  <c r="BC773" i="1"/>
  <c r="V773" i="1"/>
  <c r="AI774" i="1"/>
  <c r="AJ787" i="1"/>
  <c r="W790" i="1"/>
  <c r="AN790" i="1" s="1"/>
  <c r="AO790" i="1" s="1"/>
  <c r="Z790" i="1"/>
  <c r="AC790" i="1" s="1"/>
  <c r="AM790" i="1" s="1"/>
  <c r="Z812" i="1"/>
  <c r="AC812" i="1" s="1"/>
  <c r="AM812" i="1" s="1"/>
  <c r="W812" i="1"/>
  <c r="BC812" i="1"/>
  <c r="AI825" i="1"/>
  <c r="AG825" i="1"/>
  <c r="AH825" i="1" s="1"/>
  <c r="AJ826" i="1"/>
  <c r="BD914" i="1"/>
  <c r="AG914" i="1"/>
  <c r="AH914" i="1" s="1"/>
  <c r="AI788" i="1"/>
  <c r="AG788" i="1"/>
  <c r="AH788" i="1" s="1"/>
  <c r="AI806" i="1"/>
  <c r="AG806" i="1"/>
  <c r="AH806" i="1" s="1"/>
  <c r="BC889" i="1"/>
  <c r="V889" i="1"/>
  <c r="BC807" i="1"/>
  <c r="V807" i="1"/>
  <c r="AG833" i="1"/>
  <c r="AH833" i="1" s="1"/>
  <c r="BD833" i="1"/>
  <c r="AG754" i="1"/>
  <c r="AH754" i="1" s="1"/>
  <c r="AJ776" i="1"/>
  <c r="AJ812" i="1"/>
  <c r="BC821" i="1"/>
  <c r="V821" i="1"/>
  <c r="AG838" i="1"/>
  <c r="AH838" i="1" s="1"/>
  <c r="AJ851" i="1"/>
  <c r="Z885" i="1"/>
  <c r="AC885" i="1" s="1"/>
  <c r="AM885" i="1" s="1"/>
  <c r="W885" i="1"/>
  <c r="AN885" i="1" s="1"/>
  <c r="AO885" i="1" s="1"/>
  <c r="AJ893" i="1"/>
  <c r="AJ912" i="1"/>
  <c r="AJ921" i="1"/>
  <c r="V929" i="1"/>
  <c r="BC929" i="1"/>
  <c r="BC753" i="1"/>
  <c r="V753" i="1"/>
  <c r="AI754" i="1"/>
  <c r="V774" i="1"/>
  <c r="BC774" i="1"/>
  <c r="BC783" i="1"/>
  <c r="V783" i="1"/>
  <c r="AJ809" i="1"/>
  <c r="BC822" i="1"/>
  <c r="V822" i="1"/>
  <c r="V836" i="1"/>
  <c r="BC836" i="1"/>
  <c r="AG860" i="1"/>
  <c r="AH860" i="1" s="1"/>
  <c r="BD918" i="1"/>
  <c r="AG918" i="1"/>
  <c r="AH918" i="1" s="1"/>
  <c r="AG783" i="1"/>
  <c r="AH783" i="1" s="1"/>
  <c r="BD783" i="1"/>
  <c r="Z793" i="1"/>
  <c r="AC793" i="1" s="1"/>
  <c r="W793" i="1"/>
  <c r="AJ811" i="1"/>
  <c r="AJ824" i="1"/>
  <c r="AI830" i="1"/>
  <c r="AG830" i="1"/>
  <c r="AH830" i="1" s="1"/>
  <c r="BC834" i="1"/>
  <c r="V834" i="1"/>
  <c r="AJ835" i="1"/>
  <c r="AJ861" i="1"/>
  <c r="AM861" i="1"/>
  <c r="AJ865" i="1"/>
  <c r="W868" i="1"/>
  <c r="AJ910" i="1"/>
  <c r="BC724" i="1"/>
  <c r="V724" i="1"/>
  <c r="AG737" i="1"/>
  <c r="AH737" i="1" s="1"/>
  <c r="AG745" i="1"/>
  <c r="AH745" i="1" s="1"/>
  <c r="AJ798" i="1"/>
  <c r="AJ805" i="1"/>
  <c r="AG824" i="1"/>
  <c r="AH824" i="1" s="1"/>
  <c r="BC826" i="1"/>
  <c r="V826" i="1"/>
  <c r="AG861" i="1"/>
  <c r="AH861" i="1" s="1"/>
  <c r="BD874" i="1"/>
  <c r="AG874" i="1"/>
  <c r="AH874" i="1" s="1"/>
  <c r="AG827" i="1"/>
  <c r="AH827" i="1" s="1"/>
  <c r="AI827" i="1"/>
  <c r="V843" i="1"/>
  <c r="BC843" i="1"/>
  <c r="AJ844" i="1"/>
  <c r="AJ899" i="1"/>
  <c r="AI915" i="1"/>
  <c r="AG915" i="1"/>
  <c r="AH915" i="1" s="1"/>
  <c r="AG835" i="1"/>
  <c r="AH835" i="1" s="1"/>
  <c r="BD835" i="1"/>
  <c r="BD849" i="1"/>
  <c r="AJ852" i="1"/>
  <c r="AJ903" i="1"/>
  <c r="AI948" i="1"/>
  <c r="AG948" i="1"/>
  <c r="AH948" i="1" s="1"/>
  <c r="AI857" i="1"/>
  <c r="AG857" i="1"/>
  <c r="AH857" i="1" s="1"/>
  <c r="BD867" i="1"/>
  <c r="AG867" i="1"/>
  <c r="AH867" i="1" s="1"/>
  <c r="AJ869" i="1"/>
  <c r="AI876" i="1"/>
  <c r="AG876" i="1"/>
  <c r="AH876" i="1" s="1"/>
  <c r="AJ933" i="1"/>
  <c r="BC771" i="1"/>
  <c r="V771" i="1"/>
  <c r="BC795" i="1"/>
  <c r="V795" i="1"/>
  <c r="AG798" i="1"/>
  <c r="AH798" i="1" s="1"/>
  <c r="V831" i="1"/>
  <c r="AI832" i="1"/>
  <c r="AG832" i="1"/>
  <c r="AH832" i="1" s="1"/>
  <c r="AI839" i="1"/>
  <c r="AG839" i="1"/>
  <c r="AH839" i="1" s="1"/>
  <c r="AG851" i="1"/>
  <c r="AH851" i="1" s="1"/>
  <c r="BD851" i="1"/>
  <c r="BC856" i="1"/>
  <c r="V856" i="1"/>
  <c r="BD865" i="1"/>
  <c r="AG865" i="1"/>
  <c r="AH865" i="1" s="1"/>
  <c r="AJ888" i="1"/>
  <c r="AI796" i="1"/>
  <c r="AG796" i="1"/>
  <c r="AH796" i="1" s="1"/>
  <c r="AG807" i="1"/>
  <c r="AH807" i="1" s="1"/>
  <c r="AJ816" i="1"/>
  <c r="V824" i="1"/>
  <c r="BC824" i="1"/>
  <c r="AI859" i="1"/>
  <c r="AG859" i="1"/>
  <c r="AH859" i="1" s="1"/>
  <c r="V860" i="1"/>
  <c r="BC860" i="1"/>
  <c r="AG863" i="1"/>
  <c r="AH863" i="1" s="1"/>
  <c r="BD863" i="1"/>
  <c r="BC881" i="1"/>
  <c r="V881" i="1"/>
  <c r="AG882" i="1"/>
  <c r="AH882" i="1" s="1"/>
  <c r="AI882" i="1"/>
  <c r="AJ895" i="1"/>
  <c r="BC862" i="1"/>
  <c r="V862" i="1"/>
  <c r="AI878" i="1"/>
  <c r="AG878" i="1"/>
  <c r="AH878" i="1" s="1"/>
  <c r="AI897" i="1"/>
  <c r="AG897" i="1"/>
  <c r="AH897" i="1" s="1"/>
  <c r="BC954" i="1"/>
  <c r="V954" i="1"/>
  <c r="BC867" i="1"/>
  <c r="V867" i="1"/>
  <c r="AG885" i="1"/>
  <c r="AH885" i="1" s="1"/>
  <c r="W886" i="1"/>
  <c r="Z886" i="1"/>
  <c r="AC886" i="1" s="1"/>
  <c r="AJ890" i="1"/>
  <c r="V891" i="1"/>
  <c r="BC891" i="1"/>
  <c r="AG893" i="1"/>
  <c r="AH893" i="1" s="1"/>
  <c r="AJ905" i="1"/>
  <c r="AJ906" i="1"/>
  <c r="BC917" i="1"/>
  <c r="V917" i="1"/>
  <c r="AI772" i="1"/>
  <c r="AG772" i="1"/>
  <c r="AH772" i="1" s="1"/>
  <c r="BC797" i="1"/>
  <c r="V797" i="1"/>
  <c r="AI808" i="1"/>
  <c r="AG808" i="1"/>
  <c r="AH808" i="1" s="1"/>
  <c r="AG810" i="1"/>
  <c r="AH810" i="1" s="1"/>
  <c r="BC814" i="1"/>
  <c r="V814" i="1"/>
  <c r="AG819" i="1"/>
  <c r="AH819" i="1" s="1"/>
  <c r="AI823" i="1"/>
  <c r="AG823" i="1"/>
  <c r="AH823" i="1" s="1"/>
  <c r="AI837" i="1"/>
  <c r="AG837" i="1"/>
  <c r="AH837" i="1" s="1"/>
  <c r="BC869" i="1"/>
  <c r="V869" i="1"/>
  <c r="AI848" i="1"/>
  <c r="AG848" i="1"/>
  <c r="AH848" i="1" s="1"/>
  <c r="AI856" i="1"/>
  <c r="AG856" i="1"/>
  <c r="AH856" i="1" s="1"/>
  <c r="W883" i="1"/>
  <c r="V901" i="1"/>
  <c r="BC901" i="1"/>
  <c r="BC903" i="1"/>
  <c r="V903" i="1"/>
  <c r="AI907" i="1"/>
  <c r="AG907" i="1"/>
  <c r="AH907" i="1" s="1"/>
  <c r="Z935" i="1"/>
  <c r="AC935" i="1" s="1"/>
  <c r="AM935" i="1" s="1"/>
  <c r="W935" i="1"/>
  <c r="AI784" i="1"/>
  <c r="AG784" i="1"/>
  <c r="AH784" i="1" s="1"/>
  <c r="AJ818" i="1"/>
  <c r="AM818" i="1"/>
  <c r="AI821" i="1"/>
  <c r="AG821" i="1"/>
  <c r="AH821" i="1" s="1"/>
  <c r="AJ828" i="1"/>
  <c r="BC857" i="1"/>
  <c r="V857" i="1"/>
  <c r="AI902" i="1"/>
  <c r="AG902" i="1"/>
  <c r="AH902" i="1" s="1"/>
  <c r="BD903" i="1"/>
  <c r="AG903" i="1"/>
  <c r="AH903" i="1" s="1"/>
  <c r="AI892" i="1"/>
  <c r="AG892" i="1"/>
  <c r="AH892" i="1" s="1"/>
  <c r="AG906" i="1"/>
  <c r="AH906" i="1" s="1"/>
  <c r="BD906" i="1"/>
  <c r="AG927" i="1"/>
  <c r="AH927" i="1" s="1"/>
  <c r="BD927" i="1"/>
  <c r="AJ935" i="1"/>
  <c r="BD846" i="1"/>
  <c r="AG908" i="1"/>
  <c r="AH908" i="1" s="1"/>
  <c r="AG929" i="1"/>
  <c r="AH929" i="1" s="1"/>
  <c r="BD929" i="1"/>
  <c r="BC840" i="1"/>
  <c r="V840" i="1"/>
  <c r="BC845" i="1"/>
  <c r="V845" i="1"/>
  <c r="BC877" i="1"/>
  <c r="V877" i="1"/>
  <c r="AJ908" i="1"/>
  <c r="AG909" i="1"/>
  <c r="AH909" i="1" s="1"/>
  <c r="BD909" i="1"/>
  <c r="AJ918" i="1"/>
  <c r="BD920" i="1"/>
  <c r="AG920" i="1"/>
  <c r="AH920" i="1" s="1"/>
  <c r="Z947" i="1"/>
  <c r="AC947" i="1" s="1"/>
  <c r="AM947" i="1" s="1"/>
  <c r="W947" i="1"/>
  <c r="AG866" i="1"/>
  <c r="AH866" i="1" s="1"/>
  <c r="AI868" i="1"/>
  <c r="AG868" i="1"/>
  <c r="AH868" i="1" s="1"/>
  <c r="V875" i="1"/>
  <c r="BC875" i="1"/>
  <c r="Z930" i="1"/>
  <c r="AC930" i="1" s="1"/>
  <c r="AM930" i="1" s="1"/>
  <c r="W930" i="1"/>
  <c r="AN930" i="1" s="1"/>
  <c r="AO930" i="1" s="1"/>
  <c r="BC893" i="1"/>
  <c r="V893" i="1"/>
  <c r="AI931" i="1"/>
  <c r="AG931" i="1"/>
  <c r="AH931" i="1" s="1"/>
  <c r="BC947" i="1"/>
  <c r="AI949" i="1"/>
  <c r="AG949" i="1"/>
  <c r="AH949" i="1" s="1"/>
  <c r="AJ919" i="1"/>
  <c r="Z920" i="1"/>
  <c r="AC920" i="1" s="1"/>
  <c r="AM920" i="1" s="1"/>
  <c r="W920" i="1"/>
  <c r="AN920" i="1" s="1"/>
  <c r="AO920" i="1" s="1"/>
  <c r="BC920" i="1"/>
  <c r="BC924" i="1"/>
  <c r="V924" i="1"/>
  <c r="V941" i="1"/>
  <c r="BC941" i="1"/>
  <c r="BD952" i="1"/>
  <c r="AG952" i="1"/>
  <c r="AH952" i="1" s="1"/>
  <c r="AI904" i="1"/>
  <c r="AG904" i="1"/>
  <c r="AH904" i="1" s="1"/>
  <c r="Z942" i="1"/>
  <c r="AC942" i="1" s="1"/>
  <c r="W942" i="1"/>
  <c r="AG912" i="1"/>
  <c r="AH912" i="1" s="1"/>
  <c r="AJ913" i="1"/>
  <c r="AI917" i="1"/>
  <c r="AG917" i="1"/>
  <c r="AH917" i="1" s="1"/>
  <c r="AI926" i="1"/>
  <c r="AG926" i="1"/>
  <c r="AH926" i="1" s="1"/>
  <c r="AM932" i="1"/>
  <c r="AJ932" i="1"/>
  <c r="AI942" i="1"/>
  <c r="AG942" i="1"/>
  <c r="AH942" i="1" s="1"/>
  <c r="AG925" i="1"/>
  <c r="AH925" i="1" s="1"/>
  <c r="AJ937" i="1"/>
  <c r="V943" i="1"/>
  <c r="BC943" i="1"/>
  <c r="AJ947" i="1"/>
  <c r="V911" i="1"/>
  <c r="AG922" i="1"/>
  <c r="AH922" i="1" s="1"/>
  <c r="AJ944" i="1"/>
  <c r="W921" i="1"/>
  <c r="Z921" i="1"/>
  <c r="AC921" i="1" s="1"/>
  <c r="AM921" i="1" s="1"/>
  <c r="BC926" i="1"/>
  <c r="V926" i="1"/>
  <c r="BC951" i="1"/>
  <c r="V951" i="1"/>
  <c r="AG923" i="1"/>
  <c r="AH923" i="1" s="1"/>
  <c r="W946" i="1"/>
  <c r="AN946" i="1" s="1"/>
  <c r="AO946" i="1" s="1"/>
  <c r="Z946" i="1"/>
  <c r="AC946" i="1" s="1"/>
  <c r="AM946" i="1" s="1"/>
  <c r="AG919" i="1"/>
  <c r="AH919" i="1" s="1"/>
  <c r="AJ951" i="1"/>
  <c r="AG921" i="1"/>
  <c r="AH921" i="1" s="1"/>
  <c r="W932" i="1"/>
  <c r="AG946" i="1"/>
  <c r="AH946" i="1" s="1"/>
  <c r="BC953" i="1"/>
  <c r="V953" i="1"/>
  <c r="AO540" i="1" l="1"/>
  <c r="W368" i="1"/>
  <c r="W406" i="1"/>
  <c r="AN406" i="1" s="1"/>
  <c r="AO406" i="1" s="1"/>
  <c r="AC2" i="1"/>
  <c r="AM2" i="1" s="1"/>
  <c r="AN77" i="1"/>
  <c r="Z229" i="1"/>
  <c r="AC229" i="1" s="1"/>
  <c r="AM229" i="1" s="1"/>
  <c r="AW229" i="1" s="1"/>
  <c r="AX229" i="1" s="1"/>
  <c r="AZ229" i="1" s="1"/>
  <c r="BA229" i="1" s="1"/>
  <c r="W718" i="1"/>
  <c r="AN718" i="1" s="1"/>
  <c r="W519" i="1"/>
  <c r="AN519" i="1" s="1"/>
  <c r="Z623" i="1"/>
  <c r="AC623" i="1" s="1"/>
  <c r="AM623" i="1" s="1"/>
  <c r="AW623" i="1" s="1"/>
  <c r="AX623" i="1" s="1"/>
  <c r="AZ623" i="1" s="1"/>
  <c r="BA623" i="1" s="1"/>
  <c r="W758" i="1"/>
  <c r="AN758" i="1" s="1"/>
  <c r="AO758" i="1" s="1"/>
  <c r="Z641" i="1"/>
  <c r="AC641" i="1" s="1"/>
  <c r="AM641" i="1" s="1"/>
  <c r="AW641" i="1" s="1"/>
  <c r="AX641" i="1" s="1"/>
  <c r="AZ641" i="1" s="1"/>
  <c r="BA641" i="1" s="1"/>
  <c r="W892" i="1"/>
  <c r="W835" i="1"/>
  <c r="AN835" i="1" s="1"/>
  <c r="W686" i="1"/>
  <c r="Z404" i="1"/>
  <c r="AC404" i="1" s="1"/>
  <c r="AM404" i="1" s="1"/>
  <c r="AW404" i="1" s="1"/>
  <c r="AX404" i="1" s="1"/>
  <c r="AZ404" i="1" s="1"/>
  <c r="BA404" i="1" s="1"/>
  <c r="AN343" i="1"/>
  <c r="AO343" i="1" s="1"/>
  <c r="W13" i="1"/>
  <c r="AN13" i="1" s="1"/>
  <c r="Z613" i="1"/>
  <c r="AC613" i="1" s="1"/>
  <c r="AM613" i="1" s="1"/>
  <c r="AW613" i="1" s="1"/>
  <c r="AX613" i="1" s="1"/>
  <c r="AZ613" i="1" s="1"/>
  <c r="BA613" i="1" s="1"/>
  <c r="W634" i="1"/>
  <c r="Z348" i="1"/>
  <c r="AC348" i="1" s="1"/>
  <c r="AM348" i="1" s="1"/>
  <c r="AW348" i="1" s="1"/>
  <c r="AX348" i="1" s="1"/>
  <c r="AZ348" i="1" s="1"/>
  <c r="BA348" i="1" s="1"/>
  <c r="W349" i="1"/>
  <c r="AN349" i="1" s="1"/>
  <c r="AM471" i="1"/>
  <c r="AW471" i="1" s="1"/>
  <c r="AX471" i="1" s="1"/>
  <c r="AZ471" i="1" s="1"/>
  <c r="BA471" i="1" s="1"/>
  <c r="Z738" i="1"/>
  <c r="AC738" i="1" s="1"/>
  <c r="AM738" i="1" s="1"/>
  <c r="AM758" i="1"/>
  <c r="AN638" i="1"/>
  <c r="AN287" i="1"/>
  <c r="W69" i="1"/>
  <c r="Z309" i="1"/>
  <c r="AC309" i="1" s="1"/>
  <c r="AM309" i="1" s="1"/>
  <c r="AW309" i="1" s="1"/>
  <c r="AX309" i="1" s="1"/>
  <c r="AZ309" i="1" s="1"/>
  <c r="BA309" i="1" s="1"/>
  <c r="Z411" i="1"/>
  <c r="AC411" i="1" s="1"/>
  <c r="AM411" i="1" s="1"/>
  <c r="Z654" i="1"/>
  <c r="AC654" i="1" s="1"/>
  <c r="AM654" i="1" s="1"/>
  <c r="AP654" i="1" s="1"/>
  <c r="AS654" i="1" s="1"/>
  <c r="Z323" i="1"/>
  <c r="AC323" i="1" s="1"/>
  <c r="AM323" i="1" s="1"/>
  <c r="W57" i="1"/>
  <c r="W469" i="1"/>
  <c r="AN469" i="1" s="1"/>
  <c r="W328" i="1"/>
  <c r="AP304" i="1"/>
  <c r="AS304" i="1" s="1"/>
  <c r="AM76" i="1"/>
  <c r="AW76" i="1" s="1"/>
  <c r="AX76" i="1" s="1"/>
  <c r="AZ76" i="1" s="1"/>
  <c r="BA76" i="1" s="1"/>
  <c r="W730" i="1"/>
  <c r="AN225" i="1"/>
  <c r="AO225" i="1" s="1"/>
  <c r="AN309" i="1"/>
  <c r="AO309" i="1" s="1"/>
  <c r="W403" i="1"/>
  <c r="AN403" i="1" s="1"/>
  <c r="Z915" i="1"/>
  <c r="AC915" i="1" s="1"/>
  <c r="AM915" i="1" s="1"/>
  <c r="Z330" i="1"/>
  <c r="AC330" i="1" s="1"/>
  <c r="AM330" i="1" s="1"/>
  <c r="AN49" i="1"/>
  <c r="W561" i="1"/>
  <c r="AM595" i="1"/>
  <c r="AW595" i="1" s="1"/>
  <c r="AX595" i="1" s="1"/>
  <c r="AZ595" i="1" s="1"/>
  <c r="BA595" i="1" s="1"/>
  <c r="Z890" i="1"/>
  <c r="AC890" i="1" s="1"/>
  <c r="AM890" i="1" s="1"/>
  <c r="AW890" i="1" s="1"/>
  <c r="AX890" i="1" s="1"/>
  <c r="AZ890" i="1" s="1"/>
  <c r="BA890" i="1" s="1"/>
  <c r="W151" i="1"/>
  <c r="AN151" i="1" s="1"/>
  <c r="W280" i="1"/>
  <c r="AN280" i="1" s="1"/>
  <c r="Z576" i="1"/>
  <c r="AC576" i="1" s="1"/>
  <c r="AM576" i="1" s="1"/>
  <c r="AW576" i="1" s="1"/>
  <c r="AX576" i="1" s="1"/>
  <c r="AZ576" i="1" s="1"/>
  <c r="BA576" i="1" s="1"/>
  <c r="Z626" i="1"/>
  <c r="AC626" i="1" s="1"/>
  <c r="AM626" i="1" s="1"/>
  <c r="AP626" i="1" s="1"/>
  <c r="AS626" i="1" s="1"/>
  <c r="Z377" i="1"/>
  <c r="AC377" i="1" s="1"/>
  <c r="AM377" i="1" s="1"/>
  <c r="Z853" i="1"/>
  <c r="AC853" i="1" s="1"/>
  <c r="AM853" i="1" s="1"/>
  <c r="AW853" i="1" s="1"/>
  <c r="AX853" i="1" s="1"/>
  <c r="AZ853" i="1" s="1"/>
  <c r="BA853" i="1" s="1"/>
  <c r="AN659" i="1"/>
  <c r="Z130" i="1"/>
  <c r="AC130" i="1" s="1"/>
  <c r="AM130" i="1" s="1"/>
  <c r="AP130" i="1" s="1"/>
  <c r="AS130" i="1" s="1"/>
  <c r="Z350" i="1"/>
  <c r="AC350" i="1" s="1"/>
  <c r="AM350" i="1" s="1"/>
  <c r="AW350" i="1" s="1"/>
  <c r="AX350" i="1" s="1"/>
  <c r="AZ350" i="1" s="1"/>
  <c r="BA350" i="1" s="1"/>
  <c r="Z360" i="1"/>
  <c r="AC360" i="1" s="1"/>
  <c r="AM360" i="1" s="1"/>
  <c r="AP360" i="1" s="1"/>
  <c r="AS360" i="1" s="1"/>
  <c r="Z510" i="1"/>
  <c r="AC510" i="1" s="1"/>
  <c r="AM510" i="1" s="1"/>
  <c r="W322" i="1"/>
  <c r="W446" i="1"/>
  <c r="AN446" i="1" s="1"/>
  <c r="AO446" i="1" s="1"/>
  <c r="Z636" i="1"/>
  <c r="AC636" i="1" s="1"/>
  <c r="AM636" i="1" s="1"/>
  <c r="AW636" i="1" s="1"/>
  <c r="AX636" i="1" s="1"/>
  <c r="AZ636" i="1" s="1"/>
  <c r="BA636" i="1" s="1"/>
  <c r="Z904" i="1"/>
  <c r="AC904" i="1" s="1"/>
  <c r="AM904" i="1" s="1"/>
  <c r="AN818" i="1"/>
  <c r="W701" i="1"/>
  <c r="AN701" i="1" s="1"/>
  <c r="AM496" i="1"/>
  <c r="AW496" i="1" s="1"/>
  <c r="AX496" i="1" s="1"/>
  <c r="AZ496" i="1" s="1"/>
  <c r="BA496" i="1" s="1"/>
  <c r="W918" i="1"/>
  <c r="AN918" i="1" s="1"/>
  <c r="AO918" i="1" s="1"/>
  <c r="AP918" i="1" s="1"/>
  <c r="AS918" i="1" s="1"/>
  <c r="W872" i="1"/>
  <c r="AN872" i="1" s="1"/>
  <c r="W763" i="1"/>
  <c r="W775" i="1"/>
  <c r="Z607" i="1"/>
  <c r="AC607" i="1" s="1"/>
  <c r="AM607" i="1" s="1"/>
  <c r="AW607" i="1" s="1"/>
  <c r="AX607" i="1" s="1"/>
  <c r="AZ607" i="1" s="1"/>
  <c r="BA607" i="1" s="1"/>
  <c r="W448" i="1"/>
  <c r="AN448" i="1" s="1"/>
  <c r="W882" i="1"/>
  <c r="W569" i="1"/>
  <c r="AN569" i="1" s="1"/>
  <c r="Z241" i="1"/>
  <c r="AC241" i="1" s="1"/>
  <c r="AM241" i="1" s="1"/>
  <c r="AW241" i="1" s="1"/>
  <c r="AX241" i="1" s="1"/>
  <c r="AZ241" i="1" s="1"/>
  <c r="BA241" i="1" s="1"/>
  <c r="W297" i="1"/>
  <c r="AN297" i="1" s="1"/>
  <c r="W666" i="1"/>
  <c r="AN666" i="1" s="1"/>
  <c r="AM871" i="1"/>
  <c r="AW871" i="1" s="1"/>
  <c r="AX871" i="1" s="1"/>
  <c r="AZ871" i="1" s="1"/>
  <c r="BA871" i="1" s="1"/>
  <c r="Z433" i="1"/>
  <c r="AC433" i="1" s="1"/>
  <c r="AM433" i="1" s="1"/>
  <c r="Z400" i="1"/>
  <c r="AC400" i="1" s="1"/>
  <c r="AM400" i="1" s="1"/>
  <c r="AW400" i="1" s="1"/>
  <c r="AX400" i="1" s="1"/>
  <c r="AZ400" i="1" s="1"/>
  <c r="BA400" i="1" s="1"/>
  <c r="Z620" i="1"/>
  <c r="AC620" i="1" s="1"/>
  <c r="AM620" i="1" s="1"/>
  <c r="Z113" i="1"/>
  <c r="AC113" i="1" s="1"/>
  <c r="AM113" i="1" s="1"/>
  <c r="AP113" i="1" s="1"/>
  <c r="AS113" i="1" s="1"/>
  <c r="AN10" i="1"/>
  <c r="AO10" i="1" s="1"/>
  <c r="AP10" i="1" s="1"/>
  <c r="AS10" i="1" s="1"/>
  <c r="W627" i="1"/>
  <c r="Z289" i="1"/>
  <c r="AC289" i="1" s="1"/>
  <c r="AM289" i="1" s="1"/>
  <c r="AP289" i="1" s="1"/>
  <c r="AS289" i="1" s="1"/>
  <c r="W873" i="1"/>
  <c r="W264" i="1"/>
  <c r="W897" i="1"/>
  <c r="W849" i="1"/>
  <c r="AN849" i="1" s="1"/>
  <c r="Z314" i="1"/>
  <c r="AC314" i="1" s="1"/>
  <c r="AM314" i="1" s="1"/>
  <c r="W552" i="1"/>
  <c r="AN552" i="1" s="1"/>
  <c r="W520" i="1"/>
  <c r="AN520" i="1" s="1"/>
  <c r="W196" i="1"/>
  <c r="Z472" i="1"/>
  <c r="AC472" i="1" s="1"/>
  <c r="AM472" i="1" s="1"/>
  <c r="AW472" i="1" s="1"/>
  <c r="AX472" i="1" s="1"/>
  <c r="AZ472" i="1" s="1"/>
  <c r="BA472" i="1" s="1"/>
  <c r="W632" i="1"/>
  <c r="AN632" i="1" s="1"/>
  <c r="W185" i="1"/>
  <c r="W817" i="1"/>
  <c r="AN817" i="1" s="1"/>
  <c r="W462" i="1"/>
  <c r="W643" i="1"/>
  <c r="W825" i="1"/>
  <c r="Z749" i="1"/>
  <c r="AC749" i="1" s="1"/>
  <c r="AM749" i="1" s="1"/>
  <c r="AW749" i="1" s="1"/>
  <c r="AX749" i="1" s="1"/>
  <c r="AZ749" i="1" s="1"/>
  <c r="BA749" i="1" s="1"/>
  <c r="W622" i="1"/>
  <c r="AM343" i="1"/>
  <c r="AW343" i="1" s="1"/>
  <c r="AX343" i="1" s="1"/>
  <c r="AZ343" i="1" s="1"/>
  <c r="BA343" i="1" s="1"/>
  <c r="W150" i="1"/>
  <c r="W556" i="1"/>
  <c r="AM887" i="1"/>
  <c r="AW887" i="1" s="1"/>
  <c r="AX887" i="1" s="1"/>
  <c r="AZ887" i="1" s="1"/>
  <c r="BA887" i="1" s="1"/>
  <c r="W811" i="1"/>
  <c r="AN811" i="1" s="1"/>
  <c r="W895" i="1"/>
  <c r="AN895" i="1" s="1"/>
  <c r="Z711" i="1"/>
  <c r="AC711" i="1" s="1"/>
  <c r="AM711" i="1" s="1"/>
  <c r="AW711" i="1" s="1"/>
  <c r="AX711" i="1" s="1"/>
  <c r="AZ711" i="1" s="1"/>
  <c r="BA711" i="1" s="1"/>
  <c r="W938" i="1"/>
  <c r="AN938" i="1" s="1"/>
  <c r="W688" i="1"/>
  <c r="W490" i="1"/>
  <c r="AN490" i="1" s="1"/>
  <c r="W326" i="1"/>
  <c r="AN326" i="1" s="1"/>
  <c r="AN864" i="1"/>
  <c r="W55" i="1"/>
  <c r="AN55" i="1" s="1"/>
  <c r="W140" i="1"/>
  <c r="Z225" i="1"/>
  <c r="AC225" i="1" s="1"/>
  <c r="AM225" i="1" s="1"/>
  <c r="AW225" i="1" s="1"/>
  <c r="AX225" i="1" s="1"/>
  <c r="AZ225" i="1" s="1"/>
  <c r="BA225" i="1" s="1"/>
  <c r="W89" i="1"/>
  <c r="AN89" i="1" s="1"/>
  <c r="W39" i="1"/>
  <c r="W454" i="1"/>
  <c r="AN454" i="1" s="1"/>
  <c r="Z637" i="1"/>
  <c r="AC637" i="1" s="1"/>
  <c r="AM637" i="1" s="1"/>
  <c r="AW637" i="1" s="1"/>
  <c r="AX637" i="1" s="1"/>
  <c r="AZ637" i="1" s="1"/>
  <c r="BA637" i="1" s="1"/>
  <c r="W426" i="1"/>
  <c r="Z156" i="1"/>
  <c r="AC156" i="1" s="1"/>
  <c r="AM156" i="1" s="1"/>
  <c r="AP156" i="1" s="1"/>
  <c r="AS156" i="1" s="1"/>
  <c r="Z346" i="1"/>
  <c r="AC346" i="1" s="1"/>
  <c r="AM346" i="1" s="1"/>
  <c r="AW346" i="1" s="1"/>
  <c r="AX346" i="1" s="1"/>
  <c r="AZ346" i="1" s="1"/>
  <c r="BA346" i="1" s="1"/>
  <c r="W164" i="1"/>
  <c r="Z215" i="1"/>
  <c r="AC215" i="1" s="1"/>
  <c r="AM215" i="1" s="1"/>
  <c r="AW215" i="1" s="1"/>
  <c r="AX215" i="1" s="1"/>
  <c r="AZ215" i="1" s="1"/>
  <c r="BA215" i="1" s="1"/>
  <c r="W85" i="1"/>
  <c r="AN85" i="1" s="1"/>
  <c r="Z517" i="1"/>
  <c r="AC517" i="1" s="1"/>
  <c r="AM517" i="1" s="1"/>
  <c r="AW517" i="1" s="1"/>
  <c r="AX517" i="1" s="1"/>
  <c r="AZ517" i="1" s="1"/>
  <c r="BA517" i="1" s="1"/>
  <c r="W311" i="1"/>
  <c r="W750" i="1"/>
  <c r="W361" i="1"/>
  <c r="AM415" i="1"/>
  <c r="AW415" i="1" s="1"/>
  <c r="AX415" i="1" s="1"/>
  <c r="AZ415" i="1" s="1"/>
  <c r="BA415" i="1" s="1"/>
  <c r="Z288" i="1"/>
  <c r="AC288" i="1" s="1"/>
  <c r="AM288" i="1" s="1"/>
  <c r="AW288" i="1" s="1"/>
  <c r="AX288" i="1" s="1"/>
  <c r="AZ288" i="1" s="1"/>
  <c r="BA288" i="1" s="1"/>
  <c r="W298" i="1"/>
  <c r="W458" i="1"/>
  <c r="AN458" i="1" s="1"/>
  <c r="W220" i="1"/>
  <c r="AN816" i="1"/>
  <c r="Z782" i="1"/>
  <c r="AC782" i="1" s="1"/>
  <c r="AM782" i="1" s="1"/>
  <c r="W693" i="1"/>
  <c r="AN693" i="1" s="1"/>
  <c r="AO693" i="1" s="1"/>
  <c r="W923" i="1"/>
  <c r="AN923" i="1" s="1"/>
  <c r="AO923" i="1" s="1"/>
  <c r="AP923" i="1" s="1"/>
  <c r="AS923" i="1" s="1"/>
  <c r="W894" i="1"/>
  <c r="AN894" i="1" s="1"/>
  <c r="Z313" i="1"/>
  <c r="AC313" i="1" s="1"/>
  <c r="AM313" i="1" s="1"/>
  <c r="AW313" i="1" s="1"/>
  <c r="AX313" i="1" s="1"/>
  <c r="AZ313" i="1" s="1"/>
  <c r="BA313" i="1" s="1"/>
  <c r="W672" i="1"/>
  <c r="AN672" i="1" s="1"/>
  <c r="W522" i="1"/>
  <c r="AN522" i="1" s="1"/>
  <c r="W430" i="1"/>
  <c r="AN430" i="1" s="1"/>
  <c r="W169" i="1"/>
  <c r="Z294" i="1"/>
  <c r="AC294" i="1" s="1"/>
  <c r="AM294" i="1" s="1"/>
  <c r="AN793" i="1"/>
  <c r="AO793" i="1" s="1"/>
  <c r="W722" i="1"/>
  <c r="AN722" i="1" s="1"/>
  <c r="W465" i="1"/>
  <c r="W242" i="1"/>
  <c r="AN242" i="1" s="1"/>
  <c r="AO242" i="1" s="1"/>
  <c r="W747" i="1"/>
  <c r="AN747" i="1" s="1"/>
  <c r="AN861" i="1"/>
  <c r="W776" i="1"/>
  <c r="AN776" i="1" s="1"/>
  <c r="Z98" i="1"/>
  <c r="AC98" i="1" s="1"/>
  <c r="AM98" i="1" s="1"/>
  <c r="AW98" i="1" s="1"/>
  <c r="AX98" i="1" s="1"/>
  <c r="AZ98" i="1" s="1"/>
  <c r="BA98" i="1" s="1"/>
  <c r="Z700" i="1"/>
  <c r="AC700" i="1" s="1"/>
  <c r="AM700" i="1" s="1"/>
  <c r="AM495" i="1"/>
  <c r="AN230" i="1"/>
  <c r="AO230" i="1" s="1"/>
  <c r="AP230" i="1" s="1"/>
  <c r="AS230" i="1" s="1"/>
  <c r="W759" i="1"/>
  <c r="AN759" i="1" s="1"/>
  <c r="AN629" i="1"/>
  <c r="AO629" i="1" s="1"/>
  <c r="AN466" i="1"/>
  <c r="AN303" i="1"/>
  <c r="AO303" i="1" s="1"/>
  <c r="AP303" i="1" s="1"/>
  <c r="AS303" i="1" s="1"/>
  <c r="AN320" i="1"/>
  <c r="AO320" i="1" s="1"/>
  <c r="AN853" i="1"/>
  <c r="AO853" i="1" s="1"/>
  <c r="W769" i="1"/>
  <c r="AN769" i="1" s="1"/>
  <c r="Z874" i="1"/>
  <c r="AC874" i="1" s="1"/>
  <c r="AM874" i="1" s="1"/>
  <c r="AP874" i="1" s="1"/>
  <c r="AS874" i="1" s="1"/>
  <c r="AM629" i="1"/>
  <c r="W660" i="1"/>
  <c r="AN660" i="1" s="1"/>
  <c r="W582" i="1"/>
  <c r="AN582" i="1" s="1"/>
  <c r="AN483" i="1"/>
  <c r="W922" i="1"/>
  <c r="AN922" i="1" s="1"/>
  <c r="W925" i="1"/>
  <c r="AN925" i="1" s="1"/>
  <c r="AO925" i="1" s="1"/>
  <c r="AP925" i="1" s="1"/>
  <c r="AS925" i="1" s="1"/>
  <c r="AN84" i="1"/>
  <c r="AM196" i="1"/>
  <c r="AW196" i="1" s="1"/>
  <c r="AX196" i="1" s="1"/>
  <c r="AZ196" i="1" s="1"/>
  <c r="BA196" i="1" s="1"/>
  <c r="W463" i="1"/>
  <c r="AN339" i="1"/>
  <c r="AO339" i="1" s="1"/>
  <c r="W213" i="1"/>
  <c r="AN213" i="1" s="1"/>
  <c r="AN90" i="1"/>
  <c r="AM793" i="1"/>
  <c r="W653" i="1"/>
  <c r="AN653" i="1" s="1"/>
  <c r="W698" i="1"/>
  <c r="AN698" i="1" s="1"/>
  <c r="W471" i="1"/>
  <c r="AN471" i="1" s="1"/>
  <c r="AO471" i="1" s="1"/>
  <c r="AP428" i="1"/>
  <c r="AS428" i="1" s="1"/>
  <c r="AN636" i="1"/>
  <c r="AO636" i="1" s="1"/>
  <c r="AM363" i="1"/>
  <c r="AW363" i="1" s="1"/>
  <c r="AX363" i="1" s="1"/>
  <c r="AZ363" i="1" s="1"/>
  <c r="BA363" i="1" s="1"/>
  <c r="W277" i="1"/>
  <c r="AN277" i="1" s="1"/>
  <c r="AO277" i="1" s="1"/>
  <c r="AP277" i="1" s="1"/>
  <c r="AS277" i="1" s="1"/>
  <c r="BB277" i="1" s="1"/>
  <c r="W912" i="1"/>
  <c r="AN912" i="1" s="1"/>
  <c r="AJ700" i="1"/>
  <c r="AN700" i="1" s="1"/>
  <c r="AO700" i="1" s="1"/>
  <c r="W535" i="1"/>
  <c r="AN535" i="1" s="1"/>
  <c r="W501" i="1"/>
  <c r="Z708" i="1"/>
  <c r="AC708" i="1" s="1"/>
  <c r="AM708" i="1" s="1"/>
  <c r="Z240" i="1"/>
  <c r="AC240" i="1" s="1"/>
  <c r="AM240" i="1" s="1"/>
  <c r="AP240" i="1" s="1"/>
  <c r="AS240" i="1" s="1"/>
  <c r="W79" i="1"/>
  <c r="AN79" i="1" s="1"/>
  <c r="Z489" i="1"/>
  <c r="AC489" i="1" s="1"/>
  <c r="AM489" i="1" s="1"/>
  <c r="W19" i="1"/>
  <c r="AM253" i="1"/>
  <c r="AW253" i="1" s="1"/>
  <c r="AX253" i="1" s="1"/>
  <c r="AZ253" i="1" s="1"/>
  <c r="BA253" i="1" s="1"/>
  <c r="W183" i="1"/>
  <c r="W143" i="1"/>
  <c r="W859" i="1"/>
  <c r="Z796" i="1"/>
  <c r="AC796" i="1" s="1"/>
  <c r="AM796" i="1" s="1"/>
  <c r="W761" i="1"/>
  <c r="AN761" i="1" s="1"/>
  <c r="W506" i="1"/>
  <c r="AN506" i="1" s="1"/>
  <c r="W585" i="1"/>
  <c r="AN109" i="1"/>
  <c r="Z96" i="1"/>
  <c r="AC96" i="1" s="1"/>
  <c r="AM96" i="1" s="1"/>
  <c r="AP96" i="1" s="1"/>
  <c r="AS96" i="1" s="1"/>
  <c r="W571" i="1"/>
  <c r="W648" i="1"/>
  <c r="Z333" i="1"/>
  <c r="AC333" i="1" s="1"/>
  <c r="AM333" i="1" s="1"/>
  <c r="AW333" i="1" s="1"/>
  <c r="AX333" i="1" s="1"/>
  <c r="AZ333" i="1" s="1"/>
  <c r="BA333" i="1" s="1"/>
  <c r="W212" i="1"/>
  <c r="W76" i="1"/>
  <c r="AN76" i="1" s="1"/>
  <c r="AO76" i="1" s="1"/>
  <c r="W119" i="1"/>
  <c r="AP177" i="1"/>
  <c r="AS177" i="1" s="1"/>
  <c r="W927" i="1"/>
  <c r="AN927" i="1" s="1"/>
  <c r="W866" i="1"/>
  <c r="AN866" i="1" s="1"/>
  <c r="W250" i="1"/>
  <c r="AN250" i="1" s="1"/>
  <c r="Z203" i="1"/>
  <c r="AC203" i="1" s="1"/>
  <c r="AM203" i="1" s="1"/>
  <c r="AW203" i="1" s="1"/>
  <c r="AX203" i="1" s="1"/>
  <c r="AZ203" i="1" s="1"/>
  <c r="BA203" i="1" s="1"/>
  <c r="Z20" i="1"/>
  <c r="AC20" i="1" s="1"/>
  <c r="AM20" i="1" s="1"/>
  <c r="AW20" i="1" s="1"/>
  <c r="AX20" i="1" s="1"/>
  <c r="AZ20" i="1" s="1"/>
  <c r="BA20" i="1" s="1"/>
  <c r="AN413" i="1"/>
  <c r="AO413" i="1" s="1"/>
  <c r="W416" i="1"/>
  <c r="AN416" i="1" s="1"/>
  <c r="W86" i="1"/>
  <c r="AN86" i="1" s="1"/>
  <c r="AM242" i="1"/>
  <c r="AW242" i="1" s="1"/>
  <c r="AX242" i="1" s="1"/>
  <c r="AZ242" i="1" s="1"/>
  <c r="BA242" i="1" s="1"/>
  <c r="AN333" i="1"/>
  <c r="AO333" i="1" s="1"/>
  <c r="Z16" i="1"/>
  <c r="AC16" i="1" s="1"/>
  <c r="AM16" i="1" s="1"/>
  <c r="W437" i="1"/>
  <c r="W232" i="1"/>
  <c r="AN232" i="1" s="1"/>
  <c r="W353" i="1"/>
  <c r="AM361" i="1"/>
  <c r="AW361" i="1" s="1"/>
  <c r="AX361" i="1" s="1"/>
  <c r="AZ361" i="1" s="1"/>
  <c r="BA361" i="1" s="1"/>
  <c r="W34" i="1"/>
  <c r="AN34" i="1" s="1"/>
  <c r="AO34" i="1" s="1"/>
  <c r="W808" i="1"/>
  <c r="W595" i="1"/>
  <c r="AN595" i="1" s="1"/>
  <c r="AO595" i="1" s="1"/>
  <c r="W493" i="1"/>
  <c r="Z498" i="1"/>
  <c r="AC498" i="1" s="1"/>
  <c r="AM498" i="1" s="1"/>
  <c r="AW498" i="1" s="1"/>
  <c r="AX498" i="1" s="1"/>
  <c r="AZ498" i="1" s="1"/>
  <c r="BA498" i="1" s="1"/>
  <c r="W387" i="1"/>
  <c r="Z274" i="1"/>
  <c r="AC274" i="1" s="1"/>
  <c r="AM274" i="1" s="1"/>
  <c r="W396" i="1"/>
  <c r="W497" i="1"/>
  <c r="AN497" i="1" s="1"/>
  <c r="W31" i="1"/>
  <c r="AN31" i="1" s="1"/>
  <c r="W939" i="1"/>
  <c r="AN939" i="1" s="1"/>
  <c r="AN662" i="1"/>
  <c r="AO662" i="1" s="1"/>
  <c r="AM529" i="1"/>
  <c r="AW529" i="1" s="1"/>
  <c r="AX529" i="1" s="1"/>
  <c r="AZ529" i="1" s="1"/>
  <c r="BA529" i="1" s="1"/>
  <c r="Z197" i="1"/>
  <c r="AC197" i="1" s="1"/>
  <c r="AM197" i="1" s="1"/>
  <c r="W282" i="1"/>
  <c r="W801" i="1"/>
  <c r="W751" i="1"/>
  <c r="Z557" i="1"/>
  <c r="AC557" i="1" s="1"/>
  <c r="AM557" i="1" s="1"/>
  <c r="Z762" i="1"/>
  <c r="AC762" i="1" s="1"/>
  <c r="AM762" i="1" s="1"/>
  <c r="AW762" i="1" s="1"/>
  <c r="AX762" i="1" s="1"/>
  <c r="AZ762" i="1" s="1"/>
  <c r="BA762" i="1" s="1"/>
  <c r="AM752" i="1"/>
  <c r="AW752" i="1" s="1"/>
  <c r="AX752" i="1" s="1"/>
  <c r="AZ752" i="1" s="1"/>
  <c r="BA752" i="1" s="1"/>
  <c r="Z945" i="1"/>
  <c r="AC945" i="1" s="1"/>
  <c r="AM945" i="1" s="1"/>
  <c r="AP663" i="1"/>
  <c r="AS663" i="1" s="1"/>
  <c r="AN749" i="1"/>
  <c r="AO749" i="1" s="1"/>
  <c r="AN752" i="1"/>
  <c r="AO752" i="1" s="1"/>
  <c r="AM573" i="1"/>
  <c r="AW573" i="1" s="1"/>
  <c r="AX573" i="1" s="1"/>
  <c r="AZ573" i="1" s="1"/>
  <c r="BA573" i="1" s="1"/>
  <c r="W676" i="1"/>
  <c r="AN676" i="1" s="1"/>
  <c r="AM144" i="1"/>
  <c r="AW144" i="1" s="1"/>
  <c r="AX144" i="1" s="1"/>
  <c r="AZ144" i="1" s="1"/>
  <c r="BA144" i="1" s="1"/>
  <c r="AN178" i="1"/>
  <c r="W204" i="1"/>
  <c r="W27" i="1"/>
  <c r="AN27" i="1" s="1"/>
  <c r="Z370" i="1"/>
  <c r="AC370" i="1" s="1"/>
  <c r="AM370" i="1" s="1"/>
  <c r="W190" i="1"/>
  <c r="AN190" i="1" s="1"/>
  <c r="AO190" i="1" s="1"/>
  <c r="AP190" i="1" s="1"/>
  <c r="AS190" i="1" s="1"/>
  <c r="W887" i="1"/>
  <c r="AN887" i="1" s="1"/>
  <c r="AO887" i="1" s="1"/>
  <c r="W806" i="1"/>
  <c r="W72" i="1"/>
  <c r="W848" i="1"/>
  <c r="W542" i="1"/>
  <c r="AN542" i="1" s="1"/>
  <c r="W529" i="1"/>
  <c r="AN529" i="1" s="1"/>
  <c r="AO529" i="1" s="1"/>
  <c r="W270" i="1"/>
  <c r="W46" i="1"/>
  <c r="AN46" i="1" s="1"/>
  <c r="Z41" i="1"/>
  <c r="AC41" i="1" s="1"/>
  <c r="AM41" i="1" s="1"/>
  <c r="AW41" i="1" s="1"/>
  <c r="AX41" i="1" s="1"/>
  <c r="AZ41" i="1" s="1"/>
  <c r="BA41" i="1" s="1"/>
  <c r="Z798" i="1"/>
  <c r="AC798" i="1" s="1"/>
  <c r="AM798" i="1" s="1"/>
  <c r="AW798" i="1" s="1"/>
  <c r="AX798" i="1" s="1"/>
  <c r="AZ798" i="1" s="1"/>
  <c r="BA798" i="1" s="1"/>
  <c r="W249" i="1"/>
  <c r="AN249" i="1" s="1"/>
  <c r="AN351" i="1"/>
  <c r="W879" i="1"/>
  <c r="AN879" i="1" s="1"/>
  <c r="AO879" i="1" s="1"/>
  <c r="Z286" i="1"/>
  <c r="AC286" i="1" s="1"/>
  <c r="AM286" i="1" s="1"/>
  <c r="AP286" i="1" s="1"/>
  <c r="AS286" i="1" s="1"/>
  <c r="Z226" i="1"/>
  <c r="AC226" i="1" s="1"/>
  <c r="AM226" i="1" s="1"/>
  <c r="AP226" i="1" s="1"/>
  <c r="AS226" i="1" s="1"/>
  <c r="W100" i="1"/>
  <c r="AN100" i="1" s="1"/>
  <c r="AM34" i="1"/>
  <c r="AW34" i="1" s="1"/>
  <c r="AX34" i="1" s="1"/>
  <c r="AZ34" i="1" s="1"/>
  <c r="BA34" i="1" s="1"/>
  <c r="W940" i="1"/>
  <c r="AN940" i="1" s="1"/>
  <c r="AO940" i="1" s="1"/>
  <c r="AP940" i="1" s="1"/>
  <c r="AS940" i="1" s="1"/>
  <c r="BB940" i="1" s="1"/>
  <c r="W791" i="1"/>
  <c r="AN791" i="1" s="1"/>
  <c r="AO791" i="1" s="1"/>
  <c r="Z574" i="1"/>
  <c r="AC574" i="1" s="1"/>
  <c r="AM574" i="1" s="1"/>
  <c r="AW574" i="1" s="1"/>
  <c r="AX574" i="1" s="1"/>
  <c r="AZ574" i="1" s="1"/>
  <c r="BA574" i="1" s="1"/>
  <c r="Z392" i="1"/>
  <c r="AC392" i="1" s="1"/>
  <c r="AM392" i="1" s="1"/>
  <c r="AP392" i="1" s="1"/>
  <c r="AS392" i="1" s="1"/>
  <c r="AN945" i="1"/>
  <c r="AO945" i="1" s="1"/>
  <c r="AM791" i="1"/>
  <c r="W292" i="1"/>
  <c r="W375" i="1"/>
  <c r="AN375" i="1" s="1"/>
  <c r="AO375" i="1" s="1"/>
  <c r="AP618" i="1"/>
  <c r="AS618" i="1" s="1"/>
  <c r="AN568" i="1"/>
  <c r="AO568" i="1" s="1"/>
  <c r="AM478" i="1"/>
  <c r="AW478" i="1" s="1"/>
  <c r="AX478" i="1" s="1"/>
  <c r="AZ478" i="1" s="1"/>
  <c r="BA478" i="1" s="1"/>
  <c r="W8" i="1"/>
  <c r="AN8" i="1" s="1"/>
  <c r="W830" i="1"/>
  <c r="Z697" i="1"/>
  <c r="AC697" i="1" s="1"/>
  <c r="AM697" i="1" s="1"/>
  <c r="AW697" i="1" s="1"/>
  <c r="AX697" i="1" s="1"/>
  <c r="AZ697" i="1" s="1"/>
  <c r="BA697" i="1" s="1"/>
  <c r="W254" i="1"/>
  <c r="AN254" i="1" s="1"/>
  <c r="AO254" i="1" s="1"/>
  <c r="AN762" i="1"/>
  <c r="AO762" i="1" s="1"/>
  <c r="AN815" i="1"/>
  <c r="Z625" i="1"/>
  <c r="AC625" i="1" s="1"/>
  <c r="AM625" i="1" s="1"/>
  <c r="AP401" i="1"/>
  <c r="AS401" i="1" s="1"/>
  <c r="Z526" i="1"/>
  <c r="AC526" i="1" s="1"/>
  <c r="AM526" i="1" s="1"/>
  <c r="AM320" i="1"/>
  <c r="AP114" i="1"/>
  <c r="AS114" i="1" s="1"/>
  <c r="W478" i="1"/>
  <c r="AN478" i="1" s="1"/>
  <c r="AO478" i="1" s="1"/>
  <c r="W302" i="1"/>
  <c r="AN302" i="1" s="1"/>
  <c r="AN208" i="1"/>
  <c r="AO208" i="1" s="1"/>
  <c r="AM379" i="1"/>
  <c r="AW379" i="1" s="1"/>
  <c r="AX379" i="1" s="1"/>
  <c r="AZ379" i="1" s="1"/>
  <c r="BA379" i="1" s="1"/>
  <c r="AN697" i="1"/>
  <c r="AO697" i="1" s="1"/>
  <c r="W902" i="1"/>
  <c r="Z788" i="1"/>
  <c r="AC788" i="1" s="1"/>
  <c r="AM788" i="1" s="1"/>
  <c r="W655" i="1"/>
  <c r="W456" i="1"/>
  <c r="AN456" i="1" s="1"/>
  <c r="AN554" i="1"/>
  <c r="AN404" i="1"/>
  <c r="AO404" i="1" s="1"/>
  <c r="W106" i="1"/>
  <c r="AN106" i="1" s="1"/>
  <c r="AN379" i="1"/>
  <c r="AO379" i="1" s="1"/>
  <c r="AM95" i="1"/>
  <c r="W767" i="1"/>
  <c r="AN767" i="1" s="1"/>
  <c r="W584" i="1"/>
  <c r="AN584" i="1" s="1"/>
  <c r="W527" i="1"/>
  <c r="AN527" i="1" s="1"/>
  <c r="AN484" i="1"/>
  <c r="W301" i="1"/>
  <c r="AN301" i="1" s="1"/>
  <c r="AN180" i="1"/>
  <c r="AO180" i="1" s="1"/>
  <c r="W692" i="1"/>
  <c r="W218" i="1"/>
  <c r="W819" i="1"/>
  <c r="AN819" i="1" s="1"/>
  <c r="W792" i="1"/>
  <c r="AN792" i="1" s="1"/>
  <c r="AO792" i="1" s="1"/>
  <c r="AP792" i="1" s="1"/>
  <c r="AS792" i="1" s="1"/>
  <c r="W116" i="1"/>
  <c r="AM879" i="1"/>
  <c r="AW879" i="1" s="1"/>
  <c r="AX879" i="1" s="1"/>
  <c r="AZ879" i="1" s="1"/>
  <c r="BA879" i="1" s="1"/>
  <c r="AM886" i="1"/>
  <c r="AW886" i="1" s="1"/>
  <c r="AX886" i="1" s="1"/>
  <c r="AZ886" i="1" s="1"/>
  <c r="BA886" i="1" s="1"/>
  <c r="W640" i="1"/>
  <c r="Z468" i="1"/>
  <c r="AC468" i="1" s="1"/>
  <c r="AM468" i="1" s="1"/>
  <c r="AW468" i="1" s="1"/>
  <c r="AX468" i="1" s="1"/>
  <c r="AZ468" i="1" s="1"/>
  <c r="BA468" i="1" s="1"/>
  <c r="Z518" i="1"/>
  <c r="AC518" i="1" s="1"/>
  <c r="AM518" i="1" s="1"/>
  <c r="Z208" i="1"/>
  <c r="AC208" i="1" s="1"/>
  <c r="AM208" i="1" s="1"/>
  <c r="AW208" i="1" s="1"/>
  <c r="AX208" i="1" s="1"/>
  <c r="AZ208" i="1" s="1"/>
  <c r="BA208" i="1" s="1"/>
  <c r="W171" i="1"/>
  <c r="W327" i="1"/>
  <c r="AN327" i="1" s="1"/>
  <c r="Z452" i="1"/>
  <c r="AC452" i="1" s="1"/>
  <c r="AM452" i="1" s="1"/>
  <c r="AP452" i="1" s="1"/>
  <c r="AS452" i="1" s="1"/>
  <c r="W389" i="1"/>
  <c r="W931" i="1"/>
  <c r="W650" i="1"/>
  <c r="AM445" i="1"/>
  <c r="AW445" i="1" s="1"/>
  <c r="AX445" i="1" s="1"/>
  <c r="AZ445" i="1" s="1"/>
  <c r="BA445" i="1" s="1"/>
  <c r="W799" i="1"/>
  <c r="AN799" i="1" s="1"/>
  <c r="Z413" i="1"/>
  <c r="AC413" i="1" s="1"/>
  <c r="AM413" i="1" s="1"/>
  <c r="AW413" i="1" s="1"/>
  <c r="AX413" i="1" s="1"/>
  <c r="AZ413" i="1" s="1"/>
  <c r="BA413" i="1" s="1"/>
  <c r="AP153" i="1"/>
  <c r="AS153" i="1" s="1"/>
  <c r="W202" i="1"/>
  <c r="AN202" i="1" s="1"/>
  <c r="Z266" i="1"/>
  <c r="AC266" i="1" s="1"/>
  <c r="AM266" i="1" s="1"/>
  <c r="Z944" i="1"/>
  <c r="AC944" i="1" s="1"/>
  <c r="AM944" i="1" s="1"/>
  <c r="W896" i="1"/>
  <c r="Z224" i="1"/>
  <c r="AC224" i="1" s="1"/>
  <c r="AM224" i="1" s="1"/>
  <c r="AW224" i="1" s="1"/>
  <c r="AX224" i="1" s="1"/>
  <c r="AZ224" i="1" s="1"/>
  <c r="BA224" i="1" s="1"/>
  <c r="AN4" i="1"/>
  <c r="AN73" i="1"/>
  <c r="W481" i="1"/>
  <c r="AN588" i="1"/>
  <c r="AO588" i="1" s="1"/>
  <c r="W746" i="1"/>
  <c r="AN746" i="1" s="1"/>
  <c r="AO746" i="1" s="1"/>
  <c r="Z746" i="1"/>
  <c r="AC746" i="1" s="1"/>
  <c r="AM746" i="1" s="1"/>
  <c r="AW746" i="1" s="1"/>
  <c r="AX746" i="1" s="1"/>
  <c r="AZ746" i="1" s="1"/>
  <c r="BA746" i="1" s="1"/>
  <c r="W919" i="1"/>
  <c r="AN919" i="1" s="1"/>
  <c r="W442" i="1"/>
  <c r="AN442" i="1" s="1"/>
  <c r="AM50" i="1"/>
  <c r="AW50" i="1" s="1"/>
  <c r="AX50" i="1" s="1"/>
  <c r="AZ50" i="1" s="1"/>
  <c r="BA50" i="1" s="1"/>
  <c r="W803" i="1"/>
  <c r="AN803" i="1" s="1"/>
  <c r="W844" i="1"/>
  <c r="AN844" i="1" s="1"/>
  <c r="AM375" i="1"/>
  <c r="AW375" i="1" s="1"/>
  <c r="AX375" i="1" s="1"/>
  <c r="AZ375" i="1" s="1"/>
  <c r="BA375" i="1" s="1"/>
  <c r="AP362" i="1"/>
  <c r="AS362" i="1" s="1"/>
  <c r="AN332" i="1"/>
  <c r="AN530" i="1"/>
  <c r="W899" i="1"/>
  <c r="AN899" i="1" s="1"/>
  <c r="AW909" i="1"/>
  <c r="AX909" i="1" s="1"/>
  <c r="AZ909" i="1" s="1"/>
  <c r="BA909" i="1" s="1"/>
  <c r="Z907" i="1"/>
  <c r="AC907" i="1" s="1"/>
  <c r="AM907" i="1" s="1"/>
  <c r="AM662" i="1"/>
  <c r="AM446" i="1"/>
  <c r="W548" i="1"/>
  <c r="Z345" i="1"/>
  <c r="AC345" i="1" s="1"/>
  <c r="AM345" i="1" s="1"/>
  <c r="AN380" i="1"/>
  <c r="Z290" i="1"/>
  <c r="AC290" i="1" s="1"/>
  <c r="AM290" i="1" s="1"/>
  <c r="AW290" i="1" s="1"/>
  <c r="AX290" i="1" s="1"/>
  <c r="AZ290" i="1" s="1"/>
  <c r="BA290" i="1" s="1"/>
  <c r="W88" i="1"/>
  <c r="AN88" i="1" s="1"/>
  <c r="W642" i="1"/>
  <c r="AN642" i="1" s="1"/>
  <c r="AO642" i="1" s="1"/>
  <c r="AM642" i="1"/>
  <c r="AW642" i="1" s="1"/>
  <c r="AX642" i="1" s="1"/>
  <c r="AZ642" i="1" s="1"/>
  <c r="BA642" i="1" s="1"/>
  <c r="Z45" i="1"/>
  <c r="AC45" i="1" s="1"/>
  <c r="AM45" i="1" s="1"/>
  <c r="W832" i="1"/>
  <c r="Z832" i="1"/>
  <c r="AC832" i="1" s="1"/>
  <c r="AM832" i="1" s="1"/>
  <c r="AN656" i="1"/>
  <c r="AO656" i="1" s="1"/>
  <c r="Z540" i="1"/>
  <c r="W479" i="1"/>
  <c r="W445" i="1"/>
  <c r="AN445" i="1" s="1"/>
  <c r="AO445" i="1" s="1"/>
  <c r="AN313" i="1"/>
  <c r="AO313" i="1" s="1"/>
  <c r="AN321" i="1"/>
  <c r="W35" i="1"/>
  <c r="Z671" i="1"/>
  <c r="AC671" i="1" s="1"/>
  <c r="AM671" i="1" s="1"/>
  <c r="W671" i="1"/>
  <c r="AN671" i="1" s="1"/>
  <c r="AO671" i="1" s="1"/>
  <c r="W813" i="1"/>
  <c r="AN813" i="1" s="1"/>
  <c r="AO813" i="1" s="1"/>
  <c r="Z813" i="1"/>
  <c r="AC813" i="1" s="1"/>
  <c r="AM813" i="1" s="1"/>
  <c r="AW813" i="1" s="1"/>
  <c r="AX813" i="1" s="1"/>
  <c r="AZ813" i="1" s="1"/>
  <c r="BA813" i="1" s="1"/>
  <c r="W770" i="1"/>
  <c r="Z657" i="1"/>
  <c r="AC657" i="1" s="1"/>
  <c r="AM657" i="1" s="1"/>
  <c r="W657" i="1"/>
  <c r="AN657" i="1" s="1"/>
  <c r="AO657" i="1" s="1"/>
  <c r="AN574" i="1"/>
  <c r="AO574" i="1" s="1"/>
  <c r="AM548" i="1"/>
  <c r="AW548" i="1" s="1"/>
  <c r="AX548" i="1" s="1"/>
  <c r="AZ548" i="1" s="1"/>
  <c r="BA548" i="1" s="1"/>
  <c r="W936" i="1"/>
  <c r="Z936" i="1"/>
  <c r="AC936" i="1" s="1"/>
  <c r="AM936" i="1" s="1"/>
  <c r="W937" i="1"/>
  <c r="AN937" i="1" s="1"/>
  <c r="AN888" i="1"/>
  <c r="W858" i="1"/>
  <c r="AN858" i="1" s="1"/>
  <c r="AO858" i="1" s="1"/>
  <c r="AM883" i="1"/>
  <c r="AW883" i="1" s="1"/>
  <c r="AX883" i="1" s="1"/>
  <c r="AZ883" i="1" s="1"/>
  <c r="BA883" i="1" s="1"/>
  <c r="AN847" i="1"/>
  <c r="W702" i="1"/>
  <c r="AN702" i="1" s="1"/>
  <c r="AO702" i="1" s="1"/>
  <c r="W833" i="1"/>
  <c r="AN833" i="1" s="1"/>
  <c r="Z766" i="1"/>
  <c r="AC766" i="1" s="1"/>
  <c r="AM766" i="1" s="1"/>
  <c r="AW766" i="1" s="1"/>
  <c r="AX766" i="1" s="1"/>
  <c r="AZ766" i="1" s="1"/>
  <c r="BA766" i="1" s="1"/>
  <c r="AM656" i="1"/>
  <c r="AW656" i="1" s="1"/>
  <c r="AX656" i="1" s="1"/>
  <c r="AZ656" i="1" s="1"/>
  <c r="BA656" i="1" s="1"/>
  <c r="AN802" i="1"/>
  <c r="AO802" i="1" s="1"/>
  <c r="W536" i="1"/>
  <c r="Z252" i="1"/>
  <c r="AC252" i="1" s="1"/>
  <c r="AM252" i="1" s="1"/>
  <c r="AN266" i="1"/>
  <c r="AO266" i="1" s="1"/>
  <c r="Z248" i="1"/>
  <c r="AC248" i="1" s="1"/>
  <c r="AM248" i="1" s="1"/>
  <c r="AW248" i="1" s="1"/>
  <c r="AX248" i="1" s="1"/>
  <c r="AZ248" i="1" s="1"/>
  <c r="BA248" i="1" s="1"/>
  <c r="W147" i="1"/>
  <c r="AN147" i="1" s="1"/>
  <c r="Z75" i="1"/>
  <c r="AC75" i="1" s="1"/>
  <c r="AM75" i="1" s="1"/>
  <c r="AW75" i="1" s="1"/>
  <c r="AX75" i="1" s="1"/>
  <c r="AZ75" i="1" s="1"/>
  <c r="BA75" i="1" s="1"/>
  <c r="AN15" i="1"/>
  <c r="Z802" i="1"/>
  <c r="AC802" i="1" s="1"/>
  <c r="AM802" i="1" s="1"/>
  <c r="AW802" i="1" s="1"/>
  <c r="AX802" i="1" s="1"/>
  <c r="AZ802" i="1" s="1"/>
  <c r="BA802" i="1" s="1"/>
  <c r="W909" i="1"/>
  <c r="AN909" i="1" s="1"/>
  <c r="AN944" i="1"/>
  <c r="AO944" i="1" s="1"/>
  <c r="Z418" i="1"/>
  <c r="AC418" i="1" s="1"/>
  <c r="AM418" i="1" s="1"/>
  <c r="AW418" i="1" s="1"/>
  <c r="AX418" i="1" s="1"/>
  <c r="AZ418" i="1" s="1"/>
  <c r="BA418" i="1" s="1"/>
  <c r="W725" i="1"/>
  <c r="AN725" i="1" s="1"/>
  <c r="W528" i="1"/>
  <c r="AN98" i="1"/>
  <c r="AO98" i="1" s="1"/>
  <c r="W253" i="1"/>
  <c r="AN253" i="1" s="1"/>
  <c r="AO253" i="1" s="1"/>
  <c r="W237" i="1"/>
  <c r="W316" i="1"/>
  <c r="AN316" i="1" s="1"/>
  <c r="AO316" i="1" s="1"/>
  <c r="Z316" i="1"/>
  <c r="AC316" i="1" s="1"/>
  <c r="AM316" i="1" s="1"/>
  <c r="W227" i="1"/>
  <c r="Z227" i="1"/>
  <c r="AC227" i="1" s="1"/>
  <c r="AM227" i="1" s="1"/>
  <c r="AW227" i="1" s="1"/>
  <c r="AX227" i="1" s="1"/>
  <c r="AZ227" i="1" s="1"/>
  <c r="BA227" i="1" s="1"/>
  <c r="AN611" i="1"/>
  <c r="AO611" i="1" s="1"/>
  <c r="Z409" i="1"/>
  <c r="AC409" i="1" s="1"/>
  <c r="AM409" i="1" s="1"/>
  <c r="AW409" i="1" s="1"/>
  <c r="AX409" i="1" s="1"/>
  <c r="AZ409" i="1" s="1"/>
  <c r="BA409" i="1" s="1"/>
  <c r="W409" i="1"/>
  <c r="AN409" i="1" s="1"/>
  <c r="AO409" i="1" s="1"/>
  <c r="AN707" i="1"/>
  <c r="AO707" i="1" s="1"/>
  <c r="Z707" i="1"/>
  <c r="AC707" i="1" s="1"/>
  <c r="AM707" i="1" s="1"/>
  <c r="W399" i="1"/>
  <c r="AN399" i="1" s="1"/>
  <c r="AO399" i="1" s="1"/>
  <c r="Z399" i="1"/>
  <c r="AC399" i="1" s="1"/>
  <c r="AM399" i="1" s="1"/>
  <c r="W505" i="1"/>
  <c r="AN505" i="1" s="1"/>
  <c r="AO505" i="1" s="1"/>
  <c r="AP505" i="1" s="1"/>
  <c r="AS505" i="1" s="1"/>
  <c r="W827" i="1"/>
  <c r="AN613" i="1"/>
  <c r="AO613" i="1" s="1"/>
  <c r="Z500" i="1"/>
  <c r="AC500" i="1" s="1"/>
  <c r="AM500" i="1" s="1"/>
  <c r="AW500" i="1" s="1"/>
  <c r="AX500" i="1" s="1"/>
  <c r="AZ500" i="1" s="1"/>
  <c r="BA500" i="1" s="1"/>
  <c r="W367" i="1"/>
  <c r="AN367" i="1" s="1"/>
  <c r="AN95" i="1"/>
  <c r="AO95" i="1" s="1"/>
  <c r="W913" i="1"/>
  <c r="AN913" i="1" s="1"/>
  <c r="Z611" i="1"/>
  <c r="AC611" i="1" s="1"/>
  <c r="AM611" i="1" s="1"/>
  <c r="Z532" i="1"/>
  <c r="AC532" i="1" s="1"/>
  <c r="AM532" i="1" s="1"/>
  <c r="W244" i="1"/>
  <c r="AN244" i="1" s="1"/>
  <c r="AN50" i="1"/>
  <c r="AO50" i="1" s="1"/>
  <c r="W273" i="1"/>
  <c r="W284" i="1"/>
  <c r="AN284" i="1" s="1"/>
  <c r="W279" i="1"/>
  <c r="AN279" i="1" s="1"/>
  <c r="AN238" i="1"/>
  <c r="W145" i="1"/>
  <c r="AN145" i="1" s="1"/>
  <c r="AM191" i="1"/>
  <c r="AW191" i="1" s="1"/>
  <c r="AX191" i="1" s="1"/>
  <c r="AZ191" i="1" s="1"/>
  <c r="BA191" i="1" s="1"/>
  <c r="AN97" i="1"/>
  <c r="AP678" i="1"/>
  <c r="AS678" i="1" s="1"/>
  <c r="Z729" i="1"/>
  <c r="AC729" i="1" s="1"/>
  <c r="AM729" i="1" s="1"/>
  <c r="W854" i="1"/>
  <c r="W719" i="1"/>
  <c r="AN719" i="1" s="1"/>
  <c r="AO719" i="1" s="1"/>
  <c r="Z719" i="1"/>
  <c r="AC719" i="1" s="1"/>
  <c r="AM719" i="1" s="1"/>
  <c r="W429" i="1"/>
  <c r="AN429" i="1" s="1"/>
  <c r="AO429" i="1" s="1"/>
  <c r="Z429" i="1"/>
  <c r="AC429" i="1" s="1"/>
  <c r="AM429" i="1" s="1"/>
  <c r="Z805" i="1"/>
  <c r="AC805" i="1" s="1"/>
  <c r="AM805" i="1" s="1"/>
  <c r="AW805" i="1" s="1"/>
  <c r="AX805" i="1" s="1"/>
  <c r="AZ805" i="1" s="1"/>
  <c r="BA805" i="1" s="1"/>
  <c r="W805" i="1"/>
  <c r="AN805" i="1" s="1"/>
  <c r="AO805" i="1" s="1"/>
  <c r="Z800" i="1"/>
  <c r="AC800" i="1" s="1"/>
  <c r="AM800" i="1" s="1"/>
  <c r="AW800" i="1" s="1"/>
  <c r="AX800" i="1" s="1"/>
  <c r="AZ800" i="1" s="1"/>
  <c r="BA800" i="1" s="1"/>
  <c r="AN669" i="1"/>
  <c r="Z661" i="1"/>
  <c r="AC661" i="1" s="1"/>
  <c r="AM661" i="1" s="1"/>
  <c r="Z315" i="1"/>
  <c r="AC315" i="1" s="1"/>
  <c r="AM315" i="1" s="1"/>
  <c r="AW315" i="1" s="1"/>
  <c r="AX315" i="1" s="1"/>
  <c r="AZ315" i="1" s="1"/>
  <c r="BA315" i="1" s="1"/>
  <c r="W315" i="1"/>
  <c r="AN315" i="1" s="1"/>
  <c r="AO315" i="1" s="1"/>
  <c r="AM693" i="1"/>
  <c r="AN935" i="1"/>
  <c r="Z898" i="1"/>
  <c r="AC898" i="1" s="1"/>
  <c r="AM898" i="1" s="1"/>
  <c r="AW898" i="1" s="1"/>
  <c r="AX898" i="1" s="1"/>
  <c r="AZ898" i="1" s="1"/>
  <c r="BA898" i="1" s="1"/>
  <c r="W928" i="1"/>
  <c r="AN928" i="1" s="1"/>
  <c r="AO928" i="1" s="1"/>
  <c r="AP928" i="1" s="1"/>
  <c r="AS928" i="1" s="1"/>
  <c r="AN890" i="1"/>
  <c r="AO890" i="1" s="1"/>
  <c r="W804" i="1"/>
  <c r="AN804" i="1" s="1"/>
  <c r="W677" i="1"/>
  <c r="AN677" i="1" s="1"/>
  <c r="W504" i="1"/>
  <c r="AN504" i="1" s="1"/>
  <c r="W777" i="1"/>
  <c r="AN777" i="1" s="1"/>
  <c r="AJ361" i="1"/>
  <c r="AN798" i="1"/>
  <c r="AO798" i="1" s="1"/>
  <c r="AM588" i="1"/>
  <c r="Z743" i="1"/>
  <c r="AC743" i="1" s="1"/>
  <c r="AM743" i="1" s="1"/>
  <c r="W639" i="1"/>
  <c r="AN639" i="1" s="1"/>
  <c r="AM457" i="1"/>
  <c r="AW457" i="1" s="1"/>
  <c r="AX457" i="1" s="1"/>
  <c r="AZ457" i="1" s="1"/>
  <c r="BA457" i="1" s="1"/>
  <c r="AN231" i="1"/>
  <c r="AN159" i="1"/>
  <c r="AO159" i="1" s="1"/>
  <c r="W59" i="1"/>
  <c r="AN59" i="1" s="1"/>
  <c r="W144" i="1"/>
  <c r="AN144" i="1" s="1"/>
  <c r="AO144" i="1" s="1"/>
  <c r="AN52" i="1"/>
  <c r="W23" i="1"/>
  <c r="AN23" i="1" s="1"/>
  <c r="AO23" i="1" s="1"/>
  <c r="AP23" i="1" s="1"/>
  <c r="AS23" i="1" s="1"/>
  <c r="W581" i="1"/>
  <c r="Z464" i="1"/>
  <c r="AC464" i="1" s="1"/>
  <c r="AM464" i="1" s="1"/>
  <c r="AW464" i="1" s="1"/>
  <c r="AX464" i="1" s="1"/>
  <c r="AZ464" i="1" s="1"/>
  <c r="BA464" i="1" s="1"/>
  <c r="W363" i="1"/>
  <c r="AN363" i="1" s="1"/>
  <c r="AO363" i="1" s="1"/>
  <c r="Z568" i="1"/>
  <c r="AC568" i="1" s="1"/>
  <c r="AM568" i="1" s="1"/>
  <c r="AW568" i="1" s="1"/>
  <c r="AX568" i="1" s="1"/>
  <c r="AZ568" i="1" s="1"/>
  <c r="BA568" i="1" s="1"/>
  <c r="W78" i="1"/>
  <c r="AN78" i="1" s="1"/>
  <c r="AJ550" i="1"/>
  <c r="Z544" i="1"/>
  <c r="AC544" i="1" s="1"/>
  <c r="AM544" i="1" s="1"/>
  <c r="W544" i="1"/>
  <c r="Z551" i="1"/>
  <c r="AC551" i="1" s="1"/>
  <c r="AM551" i="1" s="1"/>
  <c r="W551" i="1"/>
  <c r="AN551" i="1" s="1"/>
  <c r="AO551" i="1" s="1"/>
  <c r="AJ227" i="1"/>
  <c r="AN947" i="1"/>
  <c r="W431" i="1"/>
  <c r="AN431" i="1" s="1"/>
  <c r="AO431" i="1" s="1"/>
  <c r="AP431" i="1" s="1"/>
  <c r="AS431" i="1" s="1"/>
  <c r="AN495" i="1"/>
  <c r="AO495" i="1" s="1"/>
  <c r="W187" i="1"/>
  <c r="AN124" i="1"/>
  <c r="Z934" i="1"/>
  <c r="AC934" i="1" s="1"/>
  <c r="AM934" i="1" s="1"/>
  <c r="W934" i="1"/>
  <c r="AN934" i="1" s="1"/>
  <c r="AO934" i="1" s="1"/>
  <c r="Z525" i="1"/>
  <c r="AC525" i="1" s="1"/>
  <c r="AM525" i="1" s="1"/>
  <c r="AW525" i="1" s="1"/>
  <c r="AX525" i="1" s="1"/>
  <c r="AZ525" i="1" s="1"/>
  <c r="BA525" i="1" s="1"/>
  <c r="W525" i="1"/>
  <c r="AN525" i="1" s="1"/>
  <c r="AO525" i="1" s="1"/>
  <c r="Z195" i="1"/>
  <c r="AC195" i="1" s="1"/>
  <c r="AM195" i="1" s="1"/>
  <c r="W195" i="1"/>
  <c r="AJ871" i="1"/>
  <c r="AN871" i="1" s="1"/>
  <c r="AO871" i="1" s="1"/>
  <c r="Z742" i="1"/>
  <c r="AC742" i="1" s="1"/>
  <c r="AM742" i="1" s="1"/>
  <c r="AW742" i="1" s="1"/>
  <c r="AX742" i="1" s="1"/>
  <c r="AZ742" i="1" s="1"/>
  <c r="BA742" i="1" s="1"/>
  <c r="AN898" i="1"/>
  <c r="AO898" i="1" s="1"/>
  <c r="AJ196" i="1"/>
  <c r="AN41" i="1"/>
  <c r="AO41" i="1" s="1"/>
  <c r="AN20" i="1"/>
  <c r="AO20" i="1" s="1"/>
  <c r="Z768" i="1"/>
  <c r="AC768" i="1" s="1"/>
  <c r="AM768" i="1" s="1"/>
  <c r="AW768" i="1" s="1"/>
  <c r="AX768" i="1" s="1"/>
  <c r="AZ768" i="1" s="1"/>
  <c r="BA768" i="1" s="1"/>
  <c r="W768" i="1"/>
  <c r="AN768" i="1" s="1"/>
  <c r="AO768" i="1" s="1"/>
  <c r="W884" i="1"/>
  <c r="Z884" i="1"/>
  <c r="AC884" i="1" s="1"/>
  <c r="AM884" i="1" s="1"/>
  <c r="AJ661" i="1"/>
  <c r="AN661" i="1" s="1"/>
  <c r="AO661" i="1" s="1"/>
  <c r="Z878" i="1"/>
  <c r="AC878" i="1" s="1"/>
  <c r="AM878" i="1" s="1"/>
  <c r="W878" i="1"/>
  <c r="Z933" i="1"/>
  <c r="AC933" i="1" s="1"/>
  <c r="AM933" i="1" s="1"/>
  <c r="AW933" i="1" s="1"/>
  <c r="AX933" i="1" s="1"/>
  <c r="AZ933" i="1" s="1"/>
  <c r="BA933" i="1" s="1"/>
  <c r="W933" i="1"/>
  <c r="AN933" i="1" s="1"/>
  <c r="AO933" i="1" s="1"/>
  <c r="AJ936" i="1"/>
  <c r="Z523" i="1"/>
  <c r="AC523" i="1" s="1"/>
  <c r="AM523" i="1" s="1"/>
  <c r="W523" i="1"/>
  <c r="W338" i="1"/>
  <c r="AN338" i="1" s="1"/>
  <c r="AO338" i="1" s="1"/>
  <c r="Z338" i="1"/>
  <c r="AC338" i="1" s="1"/>
  <c r="AM338" i="1" s="1"/>
  <c r="AW338" i="1" s="1"/>
  <c r="AX338" i="1" s="1"/>
  <c r="AZ338" i="1" s="1"/>
  <c r="BA338" i="1" s="1"/>
  <c r="W513" i="1"/>
  <c r="AN513" i="1" s="1"/>
  <c r="AO513" i="1" s="1"/>
  <c r="Z513" i="1"/>
  <c r="AC513" i="1" s="1"/>
  <c r="AM513" i="1" s="1"/>
  <c r="AW513" i="1" s="1"/>
  <c r="AX513" i="1" s="1"/>
  <c r="AZ513" i="1" s="1"/>
  <c r="BA513" i="1" s="1"/>
  <c r="W71" i="1"/>
  <c r="Z71" i="1"/>
  <c r="AC71" i="1" s="1"/>
  <c r="AM71" i="1" s="1"/>
  <c r="Z341" i="1"/>
  <c r="AC341" i="1" s="1"/>
  <c r="AM341" i="1" s="1"/>
  <c r="W341" i="1"/>
  <c r="AN496" i="1"/>
  <c r="AO496" i="1" s="1"/>
  <c r="AN118" i="1"/>
  <c r="AN29" i="1"/>
  <c r="AO29" i="1" s="1"/>
  <c r="AP29" i="1" s="1"/>
  <c r="AS29" i="1" s="1"/>
  <c r="Z720" i="1"/>
  <c r="AC720" i="1" s="1"/>
  <c r="AM720" i="1" s="1"/>
  <c r="AW720" i="1" s="1"/>
  <c r="AX720" i="1" s="1"/>
  <c r="AZ720" i="1" s="1"/>
  <c r="BA720" i="1" s="1"/>
  <c r="W720" i="1"/>
  <c r="AN720" i="1" s="1"/>
  <c r="AO720" i="1" s="1"/>
  <c r="W555" i="1"/>
  <c r="Z555" i="1"/>
  <c r="AC555" i="1" s="1"/>
  <c r="AM555" i="1" s="1"/>
  <c r="Z786" i="1"/>
  <c r="AC786" i="1" s="1"/>
  <c r="AM786" i="1" s="1"/>
  <c r="W786" i="1"/>
  <c r="W794" i="1"/>
  <c r="AN794" i="1" s="1"/>
  <c r="AO794" i="1" s="1"/>
  <c r="Z794" i="1"/>
  <c r="AC794" i="1" s="1"/>
  <c r="AM794" i="1" s="1"/>
  <c r="AW794" i="1" s="1"/>
  <c r="AX794" i="1" s="1"/>
  <c r="AZ794" i="1" s="1"/>
  <c r="BA794" i="1" s="1"/>
  <c r="W609" i="1"/>
  <c r="AN609" i="1" s="1"/>
  <c r="AO609" i="1" s="1"/>
  <c r="Z609" i="1"/>
  <c r="AC609" i="1" s="1"/>
  <c r="AM609" i="1" s="1"/>
  <c r="AW609" i="1" s="1"/>
  <c r="AX609" i="1" s="1"/>
  <c r="AZ609" i="1" s="1"/>
  <c r="BA609" i="1" s="1"/>
  <c r="W839" i="1"/>
  <c r="Z839" i="1"/>
  <c r="AC839" i="1" s="1"/>
  <c r="AM839" i="1" s="1"/>
  <c r="Z748" i="1"/>
  <c r="AC748" i="1" s="1"/>
  <c r="AM748" i="1" s="1"/>
  <c r="AW748" i="1" s="1"/>
  <c r="AX748" i="1" s="1"/>
  <c r="AZ748" i="1" s="1"/>
  <c r="BA748" i="1" s="1"/>
  <c r="W748" i="1"/>
  <c r="AN748" i="1" s="1"/>
  <c r="AO748" i="1" s="1"/>
  <c r="Z268" i="1"/>
  <c r="AC268" i="1" s="1"/>
  <c r="AM268" i="1" s="1"/>
  <c r="AW268" i="1" s="1"/>
  <c r="AX268" i="1" s="1"/>
  <c r="AZ268" i="1" s="1"/>
  <c r="BA268" i="1" s="1"/>
  <c r="W268" i="1"/>
  <c r="AN268" i="1" s="1"/>
  <c r="AO268" i="1" s="1"/>
  <c r="AN290" i="1"/>
  <c r="AO290" i="1" s="1"/>
  <c r="Z733" i="1"/>
  <c r="AC733" i="1" s="1"/>
  <c r="AM733" i="1" s="1"/>
  <c r="AW733" i="1" s="1"/>
  <c r="AX733" i="1" s="1"/>
  <c r="AZ733" i="1" s="1"/>
  <c r="BA733" i="1" s="1"/>
  <c r="W733" i="1"/>
  <c r="AN733" i="1" s="1"/>
  <c r="AO733" i="1" s="1"/>
  <c r="Z739" i="1"/>
  <c r="AC739" i="1" s="1"/>
  <c r="AM739" i="1" s="1"/>
  <c r="W739" i="1"/>
  <c r="W515" i="1"/>
  <c r="AN515" i="1" s="1"/>
  <c r="AO515" i="1" s="1"/>
  <c r="Z515" i="1"/>
  <c r="AC515" i="1" s="1"/>
  <c r="AM515" i="1" s="1"/>
  <c r="W436" i="1"/>
  <c r="AN436" i="1" s="1"/>
  <c r="AO436" i="1" s="1"/>
  <c r="Z436" i="1"/>
  <c r="AC436" i="1" s="1"/>
  <c r="AM436" i="1" s="1"/>
  <c r="AW436" i="1" s="1"/>
  <c r="AX436" i="1" s="1"/>
  <c r="AZ436" i="1" s="1"/>
  <c r="BA436" i="1" s="1"/>
  <c r="W852" i="1"/>
  <c r="AN852" i="1" s="1"/>
  <c r="AO852" i="1" s="1"/>
  <c r="Z852" i="1"/>
  <c r="AC852" i="1" s="1"/>
  <c r="AM852" i="1" s="1"/>
  <c r="AW852" i="1" s="1"/>
  <c r="AX852" i="1" s="1"/>
  <c r="AZ852" i="1" s="1"/>
  <c r="BA852" i="1" s="1"/>
  <c r="AN743" i="1"/>
  <c r="AO743" i="1" s="1"/>
  <c r="Z590" i="1"/>
  <c r="AC590" i="1" s="1"/>
  <c r="AM590" i="1" s="1"/>
  <c r="W590" i="1"/>
  <c r="AN590" i="1" s="1"/>
  <c r="AO590" i="1" s="1"/>
  <c r="Z455" i="1"/>
  <c r="AC455" i="1" s="1"/>
  <c r="AM455" i="1" s="1"/>
  <c r="AW455" i="1" s="1"/>
  <c r="AX455" i="1" s="1"/>
  <c r="AZ455" i="1" s="1"/>
  <c r="BA455" i="1" s="1"/>
  <c r="W455" i="1"/>
  <c r="AN455" i="1" s="1"/>
  <c r="AO455" i="1" s="1"/>
  <c r="W157" i="1"/>
  <c r="Z157" i="1"/>
  <c r="AC157" i="1" s="1"/>
  <c r="AM157" i="1" s="1"/>
  <c r="Z780" i="1"/>
  <c r="AC780" i="1" s="1"/>
  <c r="AM780" i="1" s="1"/>
  <c r="W553" i="1"/>
  <c r="AN553" i="1" s="1"/>
  <c r="Z949" i="1"/>
  <c r="AC949" i="1" s="1"/>
  <c r="AM949" i="1" s="1"/>
  <c r="AM702" i="1"/>
  <c r="AW702" i="1" s="1"/>
  <c r="AX702" i="1" s="1"/>
  <c r="AZ702" i="1" s="1"/>
  <c r="BA702" i="1" s="1"/>
  <c r="AJ800" i="1"/>
  <c r="AN800" i="1" s="1"/>
  <c r="AO800" i="1" s="1"/>
  <c r="AN596" i="1"/>
  <c r="Z159" i="1"/>
  <c r="AC159" i="1" s="1"/>
  <c r="AM159" i="1" s="1"/>
  <c r="AW159" i="1" s="1"/>
  <c r="AX159" i="1" s="1"/>
  <c r="AZ159" i="1" s="1"/>
  <c r="BA159" i="1" s="1"/>
  <c r="AN239" i="1"/>
  <c r="Z950" i="1"/>
  <c r="AC950" i="1" s="1"/>
  <c r="AM950" i="1" s="1"/>
  <c r="W950" i="1"/>
  <c r="AN950" i="1" s="1"/>
  <c r="AO950" i="1" s="1"/>
  <c r="W680" i="1"/>
  <c r="Z680" i="1"/>
  <c r="AC680" i="1" s="1"/>
  <c r="AM680" i="1" s="1"/>
  <c r="W735" i="1"/>
  <c r="AN735" i="1" s="1"/>
  <c r="AO735" i="1" s="1"/>
  <c r="Z735" i="1"/>
  <c r="AC735" i="1" s="1"/>
  <c r="AM735" i="1" s="1"/>
  <c r="W559" i="1"/>
  <c r="AN559" i="1" s="1"/>
  <c r="AO559" i="1" s="1"/>
  <c r="Z559" i="1"/>
  <c r="AC559" i="1" s="1"/>
  <c r="AM559" i="1" s="1"/>
  <c r="Z491" i="1"/>
  <c r="AC491" i="1" s="1"/>
  <c r="AM491" i="1" s="1"/>
  <c r="W491" i="1"/>
  <c r="AN491" i="1" s="1"/>
  <c r="AO491" i="1" s="1"/>
  <c r="AN623" i="1"/>
  <c r="AO623" i="1" s="1"/>
  <c r="W583" i="1"/>
  <c r="AN583" i="1" s="1"/>
  <c r="AO583" i="1" s="1"/>
  <c r="Z583" i="1"/>
  <c r="AC583" i="1" s="1"/>
  <c r="AM583" i="1" s="1"/>
  <c r="AW583" i="1" s="1"/>
  <c r="AX583" i="1" s="1"/>
  <c r="AZ583" i="1" s="1"/>
  <c r="BA583" i="1" s="1"/>
  <c r="Z566" i="1"/>
  <c r="AC566" i="1" s="1"/>
  <c r="AM566" i="1" s="1"/>
  <c r="W566" i="1"/>
  <c r="AN566" i="1" s="1"/>
  <c r="AO566" i="1" s="1"/>
  <c r="Z421" i="1"/>
  <c r="AC421" i="1" s="1"/>
  <c r="AM421" i="1" s="1"/>
  <c r="W421" i="1"/>
  <c r="W256" i="1"/>
  <c r="AN256" i="1" s="1"/>
  <c r="AO256" i="1" s="1"/>
  <c r="W419" i="1"/>
  <c r="AN419" i="1" s="1"/>
  <c r="AO419" i="1" s="1"/>
  <c r="Z419" i="1"/>
  <c r="AC419" i="1" s="1"/>
  <c r="AM419" i="1" s="1"/>
  <c r="AW419" i="1" s="1"/>
  <c r="AX419" i="1" s="1"/>
  <c r="AZ419" i="1" s="1"/>
  <c r="BA419" i="1" s="1"/>
  <c r="AM339" i="1"/>
  <c r="W760" i="1"/>
  <c r="AN607" i="1"/>
  <c r="AO607" i="1" s="1"/>
  <c r="AW678" i="1"/>
  <c r="AX678" i="1" s="1"/>
  <c r="AZ678" i="1" s="1"/>
  <c r="BA678" i="1" s="1"/>
  <c r="AJ548" i="1"/>
  <c r="AM180" i="1"/>
  <c r="AW180" i="1" s="1"/>
  <c r="AX180" i="1" s="1"/>
  <c r="AZ180" i="1" s="1"/>
  <c r="BA180" i="1" s="1"/>
  <c r="AN134" i="1"/>
  <c r="Z728" i="1"/>
  <c r="AC728" i="1" s="1"/>
  <c r="AM728" i="1" s="1"/>
  <c r="AW728" i="1" s="1"/>
  <c r="AX728" i="1" s="1"/>
  <c r="AZ728" i="1" s="1"/>
  <c r="BA728" i="1" s="1"/>
  <c r="W728" i="1"/>
  <c r="AN728" i="1" s="1"/>
  <c r="AO728" i="1" s="1"/>
  <c r="Z737" i="1"/>
  <c r="AC737" i="1" s="1"/>
  <c r="AM737" i="1" s="1"/>
  <c r="AW737" i="1" s="1"/>
  <c r="AX737" i="1" s="1"/>
  <c r="AZ737" i="1" s="1"/>
  <c r="BA737" i="1" s="1"/>
  <c r="W737" i="1"/>
  <c r="AN737" i="1" s="1"/>
  <c r="AO737" i="1" s="1"/>
  <c r="W451" i="1"/>
  <c r="AN451" i="1" s="1"/>
  <c r="AO451" i="1" s="1"/>
  <c r="Z451" i="1"/>
  <c r="AC451" i="1" s="1"/>
  <c r="AM451" i="1" s="1"/>
  <c r="AW451" i="1" s="1"/>
  <c r="AX451" i="1" s="1"/>
  <c r="AZ451" i="1" s="1"/>
  <c r="BA451" i="1" s="1"/>
  <c r="AM256" i="1"/>
  <c r="AM254" i="1"/>
  <c r="AW254" i="1" s="1"/>
  <c r="AX254" i="1" s="1"/>
  <c r="AZ254" i="1" s="1"/>
  <c r="BA254" i="1" s="1"/>
  <c r="Z485" i="1"/>
  <c r="AC485" i="1" s="1"/>
  <c r="AM485" i="1" s="1"/>
  <c r="AN346" i="1"/>
  <c r="AO346" i="1" s="1"/>
  <c r="AP325" i="1"/>
  <c r="AS325" i="1" s="1"/>
  <c r="Z916" i="1"/>
  <c r="AC916" i="1" s="1"/>
  <c r="AM916" i="1" s="1"/>
  <c r="W916" i="1"/>
  <c r="Z646" i="1"/>
  <c r="AC646" i="1" s="1"/>
  <c r="AM646" i="1" s="1"/>
  <c r="W646" i="1"/>
  <c r="W910" i="1"/>
  <c r="AN910" i="1" s="1"/>
  <c r="Z948" i="1"/>
  <c r="AC948" i="1" s="1"/>
  <c r="AM948" i="1" s="1"/>
  <c r="W948" i="1"/>
  <c r="W385" i="1"/>
  <c r="AN385" i="1" s="1"/>
  <c r="AO385" i="1" s="1"/>
  <c r="Z385" i="1"/>
  <c r="W685" i="1"/>
  <c r="AN685" i="1" s="1"/>
  <c r="AO685" i="1" s="1"/>
  <c r="Z685" i="1"/>
  <c r="AC685" i="1" s="1"/>
  <c r="AM685" i="1" s="1"/>
  <c r="AW685" i="1" s="1"/>
  <c r="AX685" i="1" s="1"/>
  <c r="AZ685" i="1" s="1"/>
  <c r="BA685" i="1" s="1"/>
  <c r="W550" i="1"/>
  <c r="Z550" i="1"/>
  <c r="AC550" i="1" s="1"/>
  <c r="AM550" i="1" s="1"/>
  <c r="W567" i="1"/>
  <c r="AN567" i="1" s="1"/>
  <c r="AO567" i="1" s="1"/>
  <c r="Z567" i="1"/>
  <c r="AC567" i="1" s="1"/>
  <c r="AM567" i="1" s="1"/>
  <c r="W2" i="1"/>
  <c r="AN2" i="1" s="1"/>
  <c r="Z206" i="1"/>
  <c r="AC206" i="1" s="1"/>
  <c r="AM206" i="1" s="1"/>
  <c r="W206" i="1"/>
  <c r="AN206" i="1" s="1"/>
  <c r="AO206" i="1" s="1"/>
  <c r="AM643" i="1"/>
  <c r="AJ643" i="1"/>
  <c r="Z764" i="1"/>
  <c r="AC764" i="1" s="1"/>
  <c r="AM764" i="1" s="1"/>
  <c r="AW764" i="1" s="1"/>
  <c r="AX764" i="1" s="1"/>
  <c r="AZ764" i="1" s="1"/>
  <c r="BA764" i="1" s="1"/>
  <c r="W764" i="1"/>
  <c r="AN764" i="1" s="1"/>
  <c r="AO764" i="1" s="1"/>
  <c r="Z712" i="1"/>
  <c r="AC712" i="1" s="1"/>
  <c r="AM712" i="1" s="1"/>
  <c r="AW712" i="1" s="1"/>
  <c r="AX712" i="1" s="1"/>
  <c r="AZ712" i="1" s="1"/>
  <c r="BA712" i="1" s="1"/>
  <c r="W712" i="1"/>
  <c r="AN712" i="1" s="1"/>
  <c r="AO712" i="1" s="1"/>
  <c r="W664" i="1"/>
  <c r="AN664" i="1" s="1"/>
  <c r="AO664" i="1" s="1"/>
  <c r="Z664" i="1"/>
  <c r="AC664" i="1" s="1"/>
  <c r="AM664" i="1" s="1"/>
  <c r="AW664" i="1" s="1"/>
  <c r="AX664" i="1" s="1"/>
  <c r="AZ664" i="1" s="1"/>
  <c r="BA664" i="1" s="1"/>
  <c r="Z453" i="1"/>
  <c r="AC453" i="1" s="1"/>
  <c r="AM453" i="1" s="1"/>
  <c r="W453" i="1"/>
  <c r="AN453" i="1" s="1"/>
  <c r="AO453" i="1" s="1"/>
  <c r="Z138" i="1"/>
  <c r="AC138" i="1" s="1"/>
  <c r="AM138" i="1" s="1"/>
  <c r="AW138" i="1" s="1"/>
  <c r="AX138" i="1" s="1"/>
  <c r="AZ138" i="1" s="1"/>
  <c r="BA138" i="1" s="1"/>
  <c r="W138" i="1"/>
  <c r="AN138" i="1" s="1"/>
  <c r="AO138" i="1" s="1"/>
  <c r="Z337" i="1"/>
  <c r="AC337" i="1" s="1"/>
  <c r="AM337" i="1" s="1"/>
  <c r="AW337" i="1" s="1"/>
  <c r="AX337" i="1" s="1"/>
  <c r="AZ337" i="1" s="1"/>
  <c r="BA337" i="1" s="1"/>
  <c r="W337" i="1"/>
  <c r="AN337" i="1" s="1"/>
  <c r="AO337" i="1" s="1"/>
  <c r="Z417" i="1"/>
  <c r="AC417" i="1" s="1"/>
  <c r="AM417" i="1" s="1"/>
  <c r="AW417" i="1" s="1"/>
  <c r="AX417" i="1" s="1"/>
  <c r="AZ417" i="1" s="1"/>
  <c r="BA417" i="1" s="1"/>
  <c r="W417" i="1"/>
  <c r="AN417" i="1" s="1"/>
  <c r="AO417" i="1" s="1"/>
  <c r="Z358" i="1"/>
  <c r="AC358" i="1" s="1"/>
  <c r="AM358" i="1" s="1"/>
  <c r="W358" i="1"/>
  <c r="AN358" i="1" s="1"/>
  <c r="AO358" i="1" s="1"/>
  <c r="W810" i="1"/>
  <c r="AN810" i="1" s="1"/>
  <c r="AO810" i="1" s="1"/>
  <c r="Z810" i="1"/>
  <c r="AC810" i="1" s="1"/>
  <c r="AM810" i="1" s="1"/>
  <c r="AW810" i="1" s="1"/>
  <c r="AX810" i="1" s="1"/>
  <c r="AZ810" i="1" s="1"/>
  <c r="BA810" i="1" s="1"/>
  <c r="W863" i="1"/>
  <c r="AN863" i="1" s="1"/>
  <c r="AO863" i="1" s="1"/>
  <c r="Z863" i="1"/>
  <c r="AC863" i="1" s="1"/>
  <c r="AM863" i="1" s="1"/>
  <c r="AW863" i="1" s="1"/>
  <c r="AX863" i="1" s="1"/>
  <c r="AZ863" i="1" s="1"/>
  <c r="BA863" i="1" s="1"/>
  <c r="AJ523" i="1"/>
  <c r="W102" i="1"/>
  <c r="Z102" i="1"/>
  <c r="AC102" i="1" s="1"/>
  <c r="AM102" i="1" s="1"/>
  <c r="Z53" i="1"/>
  <c r="AC53" i="1" s="1"/>
  <c r="AM53" i="1" s="1"/>
  <c r="W53" i="1"/>
  <c r="AN53" i="1" s="1"/>
  <c r="AO53" i="1" s="1"/>
  <c r="W149" i="1"/>
  <c r="Z149" i="1"/>
  <c r="AC149" i="1" s="1"/>
  <c r="AM149" i="1" s="1"/>
  <c r="AM858" i="1"/>
  <c r="W126" i="1"/>
  <c r="AN126" i="1" s="1"/>
  <c r="Z631" i="1"/>
  <c r="AC631" i="1" s="1"/>
  <c r="AM631" i="1" s="1"/>
  <c r="W631" i="1"/>
  <c r="AN631" i="1" s="1"/>
  <c r="AO631" i="1" s="1"/>
  <c r="Z706" i="1"/>
  <c r="AC706" i="1" s="1"/>
  <c r="AM706" i="1" s="1"/>
  <c r="AW706" i="1" s="1"/>
  <c r="AX706" i="1" s="1"/>
  <c r="AZ706" i="1" s="1"/>
  <c r="BA706" i="1" s="1"/>
  <c r="W706" i="1"/>
  <c r="AN706" i="1" s="1"/>
  <c r="AO706" i="1" s="1"/>
  <c r="AN812" i="1"/>
  <c r="AN932" i="1"/>
  <c r="AO932" i="1" s="1"/>
  <c r="AP932" i="1" s="1"/>
  <c r="AS932" i="1" s="1"/>
  <c r="AN921" i="1"/>
  <c r="Z952" i="1"/>
  <c r="AC952" i="1" s="1"/>
  <c r="AM952" i="1" s="1"/>
  <c r="AW952" i="1" s="1"/>
  <c r="AX952" i="1" s="1"/>
  <c r="AZ952" i="1" s="1"/>
  <c r="BA952" i="1" s="1"/>
  <c r="W952" i="1"/>
  <c r="AN952" i="1" s="1"/>
  <c r="AO952" i="1" s="1"/>
  <c r="Z900" i="1"/>
  <c r="AC900" i="1" s="1"/>
  <c r="AM900" i="1" s="1"/>
  <c r="W900" i="1"/>
  <c r="AN900" i="1" s="1"/>
  <c r="AO900" i="1" s="1"/>
  <c r="Z704" i="1"/>
  <c r="AC704" i="1" s="1"/>
  <c r="AM704" i="1" s="1"/>
  <c r="W704" i="1"/>
  <c r="Z630" i="1"/>
  <c r="AC630" i="1" s="1"/>
  <c r="AM630" i="1" s="1"/>
  <c r="W630" i="1"/>
  <c r="AN630" i="1" s="1"/>
  <c r="AO630" i="1" s="1"/>
  <c r="Z467" i="1"/>
  <c r="AC467" i="1" s="1"/>
  <c r="AM467" i="1" s="1"/>
  <c r="AW467" i="1" s="1"/>
  <c r="AX467" i="1" s="1"/>
  <c r="AZ467" i="1" s="1"/>
  <c r="BA467" i="1" s="1"/>
  <c r="W467" i="1"/>
  <c r="AN467" i="1" s="1"/>
  <c r="AO467" i="1" s="1"/>
  <c r="AJ243" i="1"/>
  <c r="AN243" i="1" s="1"/>
  <c r="AO243" i="1" s="1"/>
  <c r="AM243" i="1"/>
  <c r="W216" i="1"/>
  <c r="AN216" i="1" s="1"/>
  <c r="AO216" i="1" s="1"/>
  <c r="Z216" i="1"/>
  <c r="AC216" i="1" s="1"/>
  <c r="AM216" i="1" s="1"/>
  <c r="AW216" i="1" s="1"/>
  <c r="AX216" i="1" s="1"/>
  <c r="AZ216" i="1" s="1"/>
  <c r="BA216" i="1" s="1"/>
  <c r="AW670" i="1"/>
  <c r="AX670" i="1" s="1"/>
  <c r="AZ670" i="1" s="1"/>
  <c r="BA670" i="1" s="1"/>
  <c r="AP670" i="1"/>
  <c r="AS670" i="1" s="1"/>
  <c r="AW652" i="1"/>
  <c r="AX652" i="1" s="1"/>
  <c r="AZ652" i="1" s="1"/>
  <c r="BA652" i="1" s="1"/>
  <c r="AP652" i="1"/>
  <c r="AS652" i="1" s="1"/>
  <c r="AW470" i="1"/>
  <c r="AX470" i="1" s="1"/>
  <c r="AZ470" i="1" s="1"/>
  <c r="BA470" i="1" s="1"/>
  <c r="AW507" i="1"/>
  <c r="AX507" i="1" s="1"/>
  <c r="AZ507" i="1" s="1"/>
  <c r="BA507" i="1" s="1"/>
  <c r="AP507" i="1"/>
  <c r="AS507" i="1" s="1"/>
  <c r="AW483" i="1"/>
  <c r="AX483" i="1" s="1"/>
  <c r="AZ483" i="1" s="1"/>
  <c r="BA483" i="1" s="1"/>
  <c r="AW928" i="1"/>
  <c r="AX928" i="1" s="1"/>
  <c r="AZ928" i="1" s="1"/>
  <c r="BA928" i="1" s="1"/>
  <c r="AW456" i="1"/>
  <c r="AX456" i="1" s="1"/>
  <c r="AZ456" i="1" s="1"/>
  <c r="BA456" i="1" s="1"/>
  <c r="AW84" i="1"/>
  <c r="AX84" i="1" s="1"/>
  <c r="AZ84" i="1" s="1"/>
  <c r="BA84" i="1" s="1"/>
  <c r="AW767" i="1"/>
  <c r="AX767" i="1" s="1"/>
  <c r="AZ767" i="1" s="1"/>
  <c r="BA767" i="1" s="1"/>
  <c r="AW935" i="1"/>
  <c r="AX935" i="1" s="1"/>
  <c r="AZ935" i="1" s="1"/>
  <c r="BA935" i="1" s="1"/>
  <c r="AW48" i="1"/>
  <c r="AX48" i="1" s="1"/>
  <c r="AZ48" i="1" s="1"/>
  <c r="BA48" i="1" s="1"/>
  <c r="AW454" i="1"/>
  <c r="AX454" i="1" s="1"/>
  <c r="AZ454" i="1" s="1"/>
  <c r="BA454" i="1" s="1"/>
  <c r="AW535" i="1"/>
  <c r="AX535" i="1" s="1"/>
  <c r="AZ535" i="1" s="1"/>
  <c r="BA535" i="1" s="1"/>
  <c r="AW519" i="1"/>
  <c r="AX519" i="1" s="1"/>
  <c r="AZ519" i="1" s="1"/>
  <c r="BA519" i="1" s="1"/>
  <c r="AW947" i="1"/>
  <c r="AX947" i="1" s="1"/>
  <c r="AZ947" i="1" s="1"/>
  <c r="BA947" i="1" s="1"/>
  <c r="AW938" i="1"/>
  <c r="AX938" i="1" s="1"/>
  <c r="AZ938" i="1" s="1"/>
  <c r="BA938" i="1" s="1"/>
  <c r="AW937" i="1"/>
  <c r="AX937" i="1" s="1"/>
  <c r="AZ937" i="1" s="1"/>
  <c r="BA937" i="1" s="1"/>
  <c r="AP405" i="1"/>
  <c r="AS405" i="1" s="1"/>
  <c r="AW405" i="1"/>
  <c r="AX405" i="1" s="1"/>
  <c r="AZ405" i="1" s="1"/>
  <c r="BA405" i="1" s="1"/>
  <c r="AM784" i="1"/>
  <c r="AJ784" i="1"/>
  <c r="AN784" i="1" s="1"/>
  <c r="AO784" i="1" s="1"/>
  <c r="AW638" i="1"/>
  <c r="AX638" i="1" s="1"/>
  <c r="AZ638" i="1" s="1"/>
  <c r="BA638" i="1" s="1"/>
  <c r="Z606" i="1"/>
  <c r="AC606" i="1" s="1"/>
  <c r="AM606" i="1" s="1"/>
  <c r="W606" i="1"/>
  <c r="AN606" i="1" s="1"/>
  <c r="AO606" i="1" s="1"/>
  <c r="AJ501" i="1"/>
  <c r="AM501" i="1"/>
  <c r="AW504" i="1"/>
  <c r="AX504" i="1" s="1"/>
  <c r="AZ504" i="1" s="1"/>
  <c r="BA504" i="1" s="1"/>
  <c r="AM896" i="1"/>
  <c r="AJ896" i="1"/>
  <c r="AW558" i="1"/>
  <c r="AX558" i="1" s="1"/>
  <c r="AZ558" i="1" s="1"/>
  <c r="BA558" i="1" s="1"/>
  <c r="AP558" i="1"/>
  <c r="AS558" i="1" s="1"/>
  <c r="AM318" i="1"/>
  <c r="AJ318" i="1"/>
  <c r="AN318" i="1" s="1"/>
  <c r="AO318" i="1" s="1"/>
  <c r="AJ274" i="1"/>
  <c r="AN274" i="1" s="1"/>
  <c r="AO274" i="1" s="1"/>
  <c r="Z382" i="1"/>
  <c r="AC382" i="1" s="1"/>
  <c r="AM382" i="1" s="1"/>
  <c r="W382" i="1"/>
  <c r="AN382" i="1" s="1"/>
  <c r="AO382" i="1" s="1"/>
  <c r="AJ378" i="1"/>
  <c r="Z840" i="1"/>
  <c r="AC840" i="1" s="1"/>
  <c r="AM840" i="1" s="1"/>
  <c r="W840" i="1"/>
  <c r="AJ634" i="1"/>
  <c r="AM634" i="1"/>
  <c r="Z488" i="1"/>
  <c r="AC488" i="1" s="1"/>
  <c r="AM488" i="1" s="1"/>
  <c r="W488" i="1"/>
  <c r="AN488" i="1" s="1"/>
  <c r="AO488" i="1" s="1"/>
  <c r="W211" i="1"/>
  <c r="Z211" i="1"/>
  <c r="AC211" i="1" s="1"/>
  <c r="AM211" i="1" s="1"/>
  <c r="AN42" i="1"/>
  <c r="AJ171" i="1"/>
  <c r="AM171" i="1"/>
  <c r="AJ228" i="1"/>
  <c r="AJ16" i="1"/>
  <c r="AN16" i="1" s="1"/>
  <c r="AO16" i="1" s="1"/>
  <c r="Z93" i="1"/>
  <c r="AC93" i="1" s="1"/>
  <c r="AM93" i="1" s="1"/>
  <c r="W93" i="1"/>
  <c r="AN93" i="1" s="1"/>
  <c r="AO93" i="1" s="1"/>
  <c r="AJ926" i="1"/>
  <c r="Z824" i="1"/>
  <c r="AC824" i="1" s="1"/>
  <c r="AM824" i="1" s="1"/>
  <c r="W824" i="1"/>
  <c r="AN824" i="1" s="1"/>
  <c r="AO824" i="1" s="1"/>
  <c r="AM827" i="1"/>
  <c r="AJ827" i="1"/>
  <c r="Z783" i="1"/>
  <c r="AC783" i="1" s="1"/>
  <c r="AM783" i="1" s="1"/>
  <c r="W783" i="1"/>
  <c r="AN783" i="1" s="1"/>
  <c r="AO783" i="1" s="1"/>
  <c r="Z789" i="1"/>
  <c r="AC789" i="1" s="1"/>
  <c r="AM789" i="1" s="1"/>
  <c r="W789" i="1"/>
  <c r="AN789" i="1" s="1"/>
  <c r="AO789" i="1" s="1"/>
  <c r="Z838" i="1"/>
  <c r="AC838" i="1" s="1"/>
  <c r="AM838" i="1" s="1"/>
  <c r="W838" i="1"/>
  <c r="AN838" i="1" s="1"/>
  <c r="AO838" i="1" s="1"/>
  <c r="AJ646" i="1"/>
  <c r="AW725" i="1"/>
  <c r="AX725" i="1" s="1"/>
  <c r="AZ725" i="1" s="1"/>
  <c r="BA725" i="1" s="1"/>
  <c r="Z870" i="1"/>
  <c r="AC870" i="1" s="1"/>
  <c r="AM870" i="1" s="1"/>
  <c r="W870" i="1"/>
  <c r="AN870" i="1" s="1"/>
  <c r="AO870" i="1" s="1"/>
  <c r="W615" i="1"/>
  <c r="Z615" i="1"/>
  <c r="AC615" i="1" s="1"/>
  <c r="AM615" i="1" s="1"/>
  <c r="AM770" i="1"/>
  <c r="AJ770" i="1"/>
  <c r="Z621" i="1"/>
  <c r="AC621" i="1" s="1"/>
  <c r="AM621" i="1" s="1"/>
  <c r="W621" i="1"/>
  <c r="AN621" i="1" s="1"/>
  <c r="AO621" i="1" s="1"/>
  <c r="Z592" i="1"/>
  <c r="AC592" i="1" s="1"/>
  <c r="AM592" i="1" s="1"/>
  <c r="W592" i="1"/>
  <c r="AN592" i="1" s="1"/>
  <c r="AO592" i="1" s="1"/>
  <c r="Z880" i="1"/>
  <c r="AC880" i="1" s="1"/>
  <c r="AM880" i="1" s="1"/>
  <c r="W880" i="1"/>
  <c r="AN880" i="1" s="1"/>
  <c r="AO880" i="1" s="1"/>
  <c r="AJ608" i="1"/>
  <c r="Z647" i="1"/>
  <c r="AC647" i="1" s="1"/>
  <c r="AM647" i="1" s="1"/>
  <c r="W647" i="1"/>
  <c r="Z570" i="1"/>
  <c r="AC570" i="1" s="1"/>
  <c r="AM570" i="1" s="1"/>
  <c r="W570" i="1"/>
  <c r="AN570" i="1" s="1"/>
  <c r="AO570" i="1" s="1"/>
  <c r="AM763" i="1"/>
  <c r="AJ763" i="1"/>
  <c r="W614" i="1"/>
  <c r="AN614" i="1" s="1"/>
  <c r="AO614" i="1" s="1"/>
  <c r="Z614" i="1"/>
  <c r="AC614" i="1" s="1"/>
  <c r="AM614" i="1" s="1"/>
  <c r="Z386" i="1"/>
  <c r="AC386" i="1" s="1"/>
  <c r="AM386" i="1" s="1"/>
  <c r="W386" i="1"/>
  <c r="AN386" i="1" s="1"/>
  <c r="AO386" i="1" s="1"/>
  <c r="W809" i="1"/>
  <c r="AN809" i="1" s="1"/>
  <c r="AO809" i="1" s="1"/>
  <c r="Z809" i="1"/>
  <c r="AC809" i="1" s="1"/>
  <c r="AM809" i="1" s="1"/>
  <c r="Z691" i="1"/>
  <c r="AC691" i="1" s="1"/>
  <c r="AM691" i="1" s="1"/>
  <c r="W691" i="1"/>
  <c r="W444" i="1"/>
  <c r="AN444" i="1" s="1"/>
  <c r="AO444" i="1" s="1"/>
  <c r="Z444" i="1"/>
  <c r="AC444" i="1" s="1"/>
  <c r="AM444" i="1" s="1"/>
  <c r="W359" i="1"/>
  <c r="AN359" i="1" s="1"/>
  <c r="AO359" i="1" s="1"/>
  <c r="Z359" i="1"/>
  <c r="AC359" i="1" s="1"/>
  <c r="AM359" i="1" s="1"/>
  <c r="AW303" i="1"/>
  <c r="AX303" i="1" s="1"/>
  <c r="AZ303" i="1" s="1"/>
  <c r="BA303" i="1" s="1"/>
  <c r="W355" i="1"/>
  <c r="AN355" i="1" s="1"/>
  <c r="AO355" i="1" s="1"/>
  <c r="Z355" i="1"/>
  <c r="AC355" i="1" s="1"/>
  <c r="AM355" i="1" s="1"/>
  <c r="AJ234" i="1"/>
  <c r="AN234" i="1" s="1"/>
  <c r="AO234" i="1" s="1"/>
  <c r="AM234" i="1"/>
  <c r="Z245" i="1"/>
  <c r="AC245" i="1" s="1"/>
  <c r="AM245" i="1" s="1"/>
  <c r="W245" i="1"/>
  <c r="AN245" i="1" s="1"/>
  <c r="AO245" i="1" s="1"/>
  <c r="AN191" i="1"/>
  <c r="AO191" i="1" s="1"/>
  <c r="AJ47" i="1"/>
  <c r="AN47" i="1" s="1"/>
  <c r="AO47" i="1" s="1"/>
  <c r="AM47" i="1"/>
  <c r="AW430" i="1"/>
  <c r="AX430" i="1" s="1"/>
  <c r="AZ430" i="1" s="1"/>
  <c r="BA430" i="1" s="1"/>
  <c r="Z263" i="1"/>
  <c r="AC263" i="1" s="1"/>
  <c r="AM263" i="1" s="1"/>
  <c r="W263" i="1"/>
  <c r="AN263" i="1" s="1"/>
  <c r="AO263" i="1" s="1"/>
  <c r="AW232" i="1"/>
  <c r="AX232" i="1" s="1"/>
  <c r="AZ232" i="1" s="1"/>
  <c r="BA232" i="1" s="1"/>
  <c r="Z56" i="1"/>
  <c r="AC56" i="1" s="1"/>
  <c r="AM56" i="1" s="1"/>
  <c r="W56" i="1"/>
  <c r="AJ92" i="1"/>
  <c r="AN92" i="1" s="1"/>
  <c r="AO92" i="1" s="1"/>
  <c r="AM92" i="1"/>
  <c r="AW140" i="1"/>
  <c r="AX140" i="1" s="1"/>
  <c r="AZ140" i="1" s="1"/>
  <c r="BA140" i="1" s="1"/>
  <c r="Z174" i="1"/>
  <c r="AC174" i="1" s="1"/>
  <c r="AM174" i="1" s="1"/>
  <c r="W174" i="1"/>
  <c r="AN174" i="1" s="1"/>
  <c r="AO174" i="1" s="1"/>
  <c r="AP108" i="1"/>
  <c r="AS108" i="1" s="1"/>
  <c r="AW108" i="1"/>
  <c r="AX108" i="1" s="1"/>
  <c r="AZ108" i="1" s="1"/>
  <c r="BA108" i="1" s="1"/>
  <c r="Z11" i="1"/>
  <c r="AC11" i="1" s="1"/>
  <c r="AM11" i="1" s="1"/>
  <c r="W11" i="1"/>
  <c r="AN11" i="1" s="1"/>
  <c r="AO11" i="1" s="1"/>
  <c r="AM57" i="1"/>
  <c r="AJ57" i="1"/>
  <c r="W128" i="1"/>
  <c r="Z128" i="1"/>
  <c r="AC128" i="1" s="1"/>
  <c r="AM128" i="1" s="1"/>
  <c r="AP17" i="1"/>
  <c r="AS17" i="1" s="1"/>
  <c r="AW17" i="1"/>
  <c r="AX17" i="1" s="1"/>
  <c r="AZ17" i="1" s="1"/>
  <c r="BA17" i="1" s="1"/>
  <c r="AP24" i="1"/>
  <c r="AS24" i="1" s="1"/>
  <c r="AW24" i="1"/>
  <c r="AX24" i="1" s="1"/>
  <c r="AZ24" i="1" s="1"/>
  <c r="BA24" i="1" s="1"/>
  <c r="W99" i="1"/>
  <c r="AN99" i="1" s="1"/>
  <c r="AO99" i="1" s="1"/>
  <c r="Z99" i="1"/>
  <c r="AC99" i="1" s="1"/>
  <c r="AM99" i="1" s="1"/>
  <c r="AW29" i="1"/>
  <c r="AX29" i="1" s="1"/>
  <c r="AZ29" i="1" s="1"/>
  <c r="BA29" i="1" s="1"/>
  <c r="Z410" i="1"/>
  <c r="AC410" i="1" s="1"/>
  <c r="AM410" i="1" s="1"/>
  <c r="W410" i="1"/>
  <c r="AN410" i="1" s="1"/>
  <c r="AO410" i="1" s="1"/>
  <c r="Z531" i="1"/>
  <c r="AC531" i="1" s="1"/>
  <c r="AM531" i="1" s="1"/>
  <c r="W531" i="1"/>
  <c r="AN531" i="1" s="1"/>
  <c r="AO531" i="1" s="1"/>
  <c r="Z941" i="1"/>
  <c r="AC941" i="1" s="1"/>
  <c r="AM941" i="1" s="1"/>
  <c r="W941" i="1"/>
  <c r="AN941" i="1" s="1"/>
  <c r="AO941" i="1" s="1"/>
  <c r="W682" i="1"/>
  <c r="Z682" i="1"/>
  <c r="AC682" i="1" s="1"/>
  <c r="AM682" i="1" s="1"/>
  <c r="AW596" i="1"/>
  <c r="AX596" i="1" s="1"/>
  <c r="AZ596" i="1" s="1"/>
  <c r="BA596" i="1" s="1"/>
  <c r="AJ394" i="1"/>
  <c r="AN394" i="1" s="1"/>
  <c r="AO394" i="1" s="1"/>
  <c r="AM394" i="1"/>
  <c r="AJ510" i="1"/>
  <c r="AN510" i="1" s="1"/>
  <c r="AO510" i="1" s="1"/>
  <c r="AM282" i="1"/>
  <c r="AJ282" i="1"/>
  <c r="AJ411" i="1"/>
  <c r="AN411" i="1" s="1"/>
  <c r="AO411" i="1" s="1"/>
  <c r="Z275" i="1"/>
  <c r="AC275" i="1" s="1"/>
  <c r="AM275" i="1" s="1"/>
  <c r="W275" i="1"/>
  <c r="AN275" i="1" s="1"/>
  <c r="AO275" i="1" s="1"/>
  <c r="AP381" i="1"/>
  <c r="AS381" i="1" s="1"/>
  <c r="AW381" i="1"/>
  <c r="AX381" i="1" s="1"/>
  <c r="AZ381" i="1" s="1"/>
  <c r="BA381" i="1" s="1"/>
  <c r="W110" i="1"/>
  <c r="AN110" i="1" s="1"/>
  <c r="AO110" i="1" s="1"/>
  <c r="Z110" i="1"/>
  <c r="AC110" i="1" s="1"/>
  <c r="AM110" i="1" s="1"/>
  <c r="AW913" i="1"/>
  <c r="AX913" i="1" s="1"/>
  <c r="AZ913" i="1" s="1"/>
  <c r="BA913" i="1" s="1"/>
  <c r="AW923" i="1"/>
  <c r="AX923" i="1" s="1"/>
  <c r="AZ923" i="1" s="1"/>
  <c r="BA923" i="1" s="1"/>
  <c r="Z857" i="1"/>
  <c r="AC857" i="1" s="1"/>
  <c r="AM857" i="1" s="1"/>
  <c r="W857" i="1"/>
  <c r="AW895" i="1"/>
  <c r="AX895" i="1" s="1"/>
  <c r="AZ895" i="1" s="1"/>
  <c r="BA895" i="1" s="1"/>
  <c r="AJ839" i="1"/>
  <c r="AJ857" i="1"/>
  <c r="AJ915" i="1"/>
  <c r="AN915" i="1" s="1"/>
  <c r="AO915" i="1" s="1"/>
  <c r="AW761" i="1"/>
  <c r="AX761" i="1" s="1"/>
  <c r="AZ761" i="1" s="1"/>
  <c r="BA761" i="1" s="1"/>
  <c r="W911" i="1"/>
  <c r="AN911" i="1" s="1"/>
  <c r="AO911" i="1" s="1"/>
  <c r="Z911" i="1"/>
  <c r="AC911" i="1" s="1"/>
  <c r="AM911" i="1" s="1"/>
  <c r="AJ949" i="1"/>
  <c r="AN949" i="1" s="1"/>
  <c r="AO949" i="1" s="1"/>
  <c r="W875" i="1"/>
  <c r="AN875" i="1" s="1"/>
  <c r="AO875" i="1" s="1"/>
  <c r="Z875" i="1"/>
  <c r="AC875" i="1" s="1"/>
  <c r="AM875" i="1" s="1"/>
  <c r="Z917" i="1"/>
  <c r="AC917" i="1" s="1"/>
  <c r="AM917" i="1" s="1"/>
  <c r="W917" i="1"/>
  <c r="AM882" i="1"/>
  <c r="AJ882" i="1"/>
  <c r="AW846" i="1"/>
  <c r="AX846" i="1" s="1"/>
  <c r="AZ846" i="1" s="1"/>
  <c r="BA846" i="1" s="1"/>
  <c r="AP846" i="1"/>
  <c r="AS846" i="1" s="1"/>
  <c r="AW861" i="1"/>
  <c r="AX861" i="1" s="1"/>
  <c r="AZ861" i="1" s="1"/>
  <c r="BA861" i="1" s="1"/>
  <c r="AJ825" i="1"/>
  <c r="AM825" i="1"/>
  <c r="Z715" i="1"/>
  <c r="AC715" i="1" s="1"/>
  <c r="AM715" i="1" s="1"/>
  <c r="W715" i="1"/>
  <c r="AJ854" i="1"/>
  <c r="AM854" i="1"/>
  <c r="Z785" i="1"/>
  <c r="AC785" i="1" s="1"/>
  <c r="AM785" i="1" s="1"/>
  <c r="W785" i="1"/>
  <c r="Z741" i="1"/>
  <c r="AC741" i="1" s="1"/>
  <c r="AM741" i="1" s="1"/>
  <c r="W741" i="1"/>
  <c r="AN741" i="1" s="1"/>
  <c r="AO741" i="1" s="1"/>
  <c r="AJ873" i="1"/>
  <c r="AM873" i="1"/>
  <c r="AJ734" i="1"/>
  <c r="AW833" i="1"/>
  <c r="AX833" i="1" s="1"/>
  <c r="AZ833" i="1" s="1"/>
  <c r="BA833" i="1" s="1"/>
  <c r="W705" i="1"/>
  <c r="Z705" i="1"/>
  <c r="AC705" i="1" s="1"/>
  <c r="AM705" i="1" s="1"/>
  <c r="Z754" i="1"/>
  <c r="AC754" i="1" s="1"/>
  <c r="AM754" i="1" s="1"/>
  <c r="W754" i="1"/>
  <c r="Z713" i="1"/>
  <c r="AC713" i="1" s="1"/>
  <c r="AM713" i="1" s="1"/>
  <c r="W713" i="1"/>
  <c r="AN713" i="1" s="1"/>
  <c r="AO713" i="1" s="1"/>
  <c r="Z755" i="1"/>
  <c r="AC755" i="1" s="1"/>
  <c r="AM755" i="1" s="1"/>
  <c r="W755" i="1"/>
  <c r="AN755" i="1" s="1"/>
  <c r="AO755" i="1" s="1"/>
  <c r="AJ715" i="1"/>
  <c r="AN711" i="1"/>
  <c r="AO711" i="1" s="1"/>
  <c r="W407" i="1"/>
  <c r="AN407" i="1" s="1"/>
  <c r="AO407" i="1" s="1"/>
  <c r="Z407" i="1"/>
  <c r="AC407" i="1" s="1"/>
  <c r="AM407" i="1" s="1"/>
  <c r="Z486" i="1"/>
  <c r="AC486" i="1" s="1"/>
  <c r="AM486" i="1" s="1"/>
  <c r="W486" i="1"/>
  <c r="AN486" i="1" s="1"/>
  <c r="AO486" i="1" s="1"/>
  <c r="AW506" i="1"/>
  <c r="AX506" i="1" s="1"/>
  <c r="AZ506" i="1" s="1"/>
  <c r="BA506" i="1" s="1"/>
  <c r="Z635" i="1"/>
  <c r="AC635" i="1" s="1"/>
  <c r="AM635" i="1" s="1"/>
  <c r="W635" i="1"/>
  <c r="W475" i="1"/>
  <c r="AN475" i="1" s="1"/>
  <c r="AO475" i="1" s="1"/>
  <c r="Z475" i="1"/>
  <c r="AC475" i="1" s="1"/>
  <c r="AM475" i="1" s="1"/>
  <c r="AJ175" i="1"/>
  <c r="AJ524" i="1"/>
  <c r="AJ369" i="1"/>
  <c r="Z732" i="1"/>
  <c r="AC732" i="1" s="1"/>
  <c r="AM732" i="1" s="1"/>
  <c r="W732" i="1"/>
  <c r="AN732" i="1" s="1"/>
  <c r="AO732" i="1" s="1"/>
  <c r="Z233" i="1"/>
  <c r="AC233" i="1" s="1"/>
  <c r="AM233" i="1" s="1"/>
  <c r="W233" i="1"/>
  <c r="AN233" i="1" s="1"/>
  <c r="AO233" i="1" s="1"/>
  <c r="AW522" i="1"/>
  <c r="AX522" i="1" s="1"/>
  <c r="AZ522" i="1" s="1"/>
  <c r="BA522" i="1" s="1"/>
  <c r="AW368" i="1"/>
  <c r="AX368" i="1" s="1"/>
  <c r="AZ368" i="1" s="1"/>
  <c r="BA368" i="1" s="1"/>
  <c r="Z391" i="1"/>
  <c r="AC391" i="1" s="1"/>
  <c r="AM391" i="1" s="1"/>
  <c r="W391" i="1"/>
  <c r="AN391" i="1" s="1"/>
  <c r="AO391" i="1" s="1"/>
  <c r="W300" i="1"/>
  <c r="AN300" i="1" s="1"/>
  <c r="AO300" i="1" s="1"/>
  <c r="Z300" i="1"/>
  <c r="AC300" i="1" s="1"/>
  <c r="AM300" i="1" s="1"/>
  <c r="W222" i="1"/>
  <c r="Z222" i="1"/>
  <c r="AC222" i="1" s="1"/>
  <c r="AM222" i="1" s="1"/>
  <c r="AM169" i="1"/>
  <c r="AJ169" i="1"/>
  <c r="AJ104" i="1"/>
  <c r="AW238" i="1"/>
  <c r="AX238" i="1" s="1"/>
  <c r="AZ238" i="1" s="1"/>
  <c r="BA238" i="1" s="1"/>
  <c r="AP193" i="1"/>
  <c r="AS193" i="1" s="1"/>
  <c r="AW193" i="1"/>
  <c r="AX193" i="1" s="1"/>
  <c r="AZ193" i="1" s="1"/>
  <c r="BA193" i="1" s="1"/>
  <c r="AM39" i="1"/>
  <c r="AJ39" i="1"/>
  <c r="AJ135" i="1"/>
  <c r="Z104" i="1"/>
  <c r="AC104" i="1" s="1"/>
  <c r="AM104" i="1" s="1"/>
  <c r="W104" i="1"/>
  <c r="AM218" i="1"/>
  <c r="AJ218" i="1"/>
  <c r="Z40" i="1"/>
  <c r="AC40" i="1" s="1"/>
  <c r="AM40" i="1" s="1"/>
  <c r="W40" i="1"/>
  <c r="AN40" i="1" s="1"/>
  <c r="AO40" i="1" s="1"/>
  <c r="AW118" i="1"/>
  <c r="AX118" i="1" s="1"/>
  <c r="AZ118" i="1" s="1"/>
  <c r="BA118" i="1" s="1"/>
  <c r="AW100" i="1"/>
  <c r="AX100" i="1" s="1"/>
  <c r="AZ100" i="1" s="1"/>
  <c r="BA100" i="1" s="1"/>
  <c r="AW10" i="1"/>
  <c r="AX10" i="1" s="1"/>
  <c r="AZ10" i="1" s="1"/>
  <c r="BA10" i="1" s="1"/>
  <c r="AM536" i="1"/>
  <c r="AJ536" i="1"/>
  <c r="AJ691" i="1"/>
  <c r="AW380" i="1"/>
  <c r="AX380" i="1" s="1"/>
  <c r="AZ380" i="1" s="1"/>
  <c r="BA380" i="1" s="1"/>
  <c r="W679" i="1"/>
  <c r="AN679" i="1" s="1"/>
  <c r="AO679" i="1" s="1"/>
  <c r="Z679" i="1"/>
  <c r="AC679" i="1" s="1"/>
  <c r="AM679" i="1" s="1"/>
  <c r="AJ765" i="1"/>
  <c r="Z524" i="1"/>
  <c r="AC524" i="1" s="1"/>
  <c r="AM524" i="1" s="1"/>
  <c r="W524" i="1"/>
  <c r="AM441" i="1"/>
  <c r="AJ441" i="1"/>
  <c r="AN441" i="1" s="1"/>
  <c r="AO441" i="1" s="1"/>
  <c r="AJ489" i="1"/>
  <c r="AN489" i="1" s="1"/>
  <c r="AO489" i="1" s="1"/>
  <c r="AW42" i="1"/>
  <c r="AX42" i="1" s="1"/>
  <c r="AZ42" i="1" s="1"/>
  <c r="BA42" i="1" s="1"/>
  <c r="W843" i="1"/>
  <c r="AN843" i="1" s="1"/>
  <c r="AO843" i="1" s="1"/>
  <c r="Z843" i="1"/>
  <c r="AC843" i="1" s="1"/>
  <c r="AM843" i="1" s="1"/>
  <c r="AJ785" i="1"/>
  <c r="Z459" i="1"/>
  <c r="AC459" i="1" s="1"/>
  <c r="AM459" i="1" s="1"/>
  <c r="W459" i="1"/>
  <c r="Z828" i="1"/>
  <c r="AC828" i="1" s="1"/>
  <c r="AM828" i="1" s="1"/>
  <c r="W828" i="1"/>
  <c r="AN828" i="1" s="1"/>
  <c r="AO828" i="1" s="1"/>
  <c r="AJ682" i="1"/>
  <c r="AJ371" i="1"/>
  <c r="AW249" i="1"/>
  <c r="AX249" i="1" s="1"/>
  <c r="AZ249" i="1" s="1"/>
  <c r="BA249" i="1" s="1"/>
  <c r="AW244" i="1"/>
  <c r="AX244" i="1" s="1"/>
  <c r="AZ244" i="1" s="1"/>
  <c r="BA244" i="1" s="1"/>
  <c r="W276" i="1"/>
  <c r="AN276" i="1" s="1"/>
  <c r="AO276" i="1" s="1"/>
  <c r="Z276" i="1"/>
  <c r="AC276" i="1" s="1"/>
  <c r="AM276" i="1" s="1"/>
  <c r="AW79" i="1"/>
  <c r="AX79" i="1" s="1"/>
  <c r="AZ79" i="1" s="1"/>
  <c r="BA79" i="1" s="1"/>
  <c r="AJ205" i="1"/>
  <c r="AN205" i="1" s="1"/>
  <c r="AO205" i="1" s="1"/>
  <c r="AM205" i="1"/>
  <c r="AJ235" i="1"/>
  <c r="Z133" i="1"/>
  <c r="AC133" i="1" s="1"/>
  <c r="AM133" i="1" s="1"/>
  <c r="W133" i="1"/>
  <c r="AN133" i="1" s="1"/>
  <c r="AO133" i="1" s="1"/>
  <c r="AJ170" i="1"/>
  <c r="AM120" i="1"/>
  <c r="AJ120" i="1"/>
  <c r="AN120" i="1" s="1"/>
  <c r="AO120" i="1" s="1"/>
  <c r="W953" i="1"/>
  <c r="AN953" i="1" s="1"/>
  <c r="AO953" i="1" s="1"/>
  <c r="Z953" i="1"/>
  <c r="AC953" i="1" s="1"/>
  <c r="AM953" i="1" s="1"/>
  <c r="Z797" i="1"/>
  <c r="AC797" i="1" s="1"/>
  <c r="AM797" i="1" s="1"/>
  <c r="W797" i="1"/>
  <c r="AN797" i="1" s="1"/>
  <c r="AO797" i="1" s="1"/>
  <c r="AJ832" i="1"/>
  <c r="AW899" i="1"/>
  <c r="AX899" i="1" s="1"/>
  <c r="AZ899" i="1" s="1"/>
  <c r="BA899" i="1" s="1"/>
  <c r="AJ806" i="1"/>
  <c r="AM806" i="1"/>
  <c r="W772" i="1"/>
  <c r="Z772" i="1"/>
  <c r="AC772" i="1" s="1"/>
  <c r="AM772" i="1" s="1"/>
  <c r="AJ716" i="1"/>
  <c r="AW815" i="1"/>
  <c r="AX815" i="1" s="1"/>
  <c r="AZ815" i="1" s="1"/>
  <c r="BA815" i="1" s="1"/>
  <c r="W710" i="1"/>
  <c r="AN710" i="1" s="1"/>
  <c r="AO710" i="1" s="1"/>
  <c r="Z710" i="1"/>
  <c r="AC710" i="1" s="1"/>
  <c r="AM710" i="1" s="1"/>
  <c r="Z577" i="1"/>
  <c r="AC577" i="1" s="1"/>
  <c r="AM577" i="1" s="1"/>
  <c r="W577" i="1"/>
  <c r="AN577" i="1" s="1"/>
  <c r="AO577" i="1" s="1"/>
  <c r="Z820" i="1"/>
  <c r="AC820" i="1" s="1"/>
  <c r="AM820" i="1" s="1"/>
  <c r="W820" i="1"/>
  <c r="AN820" i="1" s="1"/>
  <c r="AO820" i="1" s="1"/>
  <c r="AN766" i="1"/>
  <c r="AO766" i="1" s="1"/>
  <c r="W402" i="1"/>
  <c r="AN402" i="1" s="1"/>
  <c r="AO402" i="1" s="1"/>
  <c r="Z402" i="1"/>
  <c r="AC402" i="1" s="1"/>
  <c r="AM402" i="1" s="1"/>
  <c r="AW769" i="1"/>
  <c r="AX769" i="1" s="1"/>
  <c r="AZ769" i="1" s="1"/>
  <c r="BA769" i="1" s="1"/>
  <c r="AM270" i="1"/>
  <c r="AJ270" i="1"/>
  <c r="AW660" i="1"/>
  <c r="AX660" i="1" s="1"/>
  <c r="AZ660" i="1" s="1"/>
  <c r="BA660" i="1" s="1"/>
  <c r="AJ396" i="1"/>
  <c r="AM396" i="1"/>
  <c r="AJ601" i="1"/>
  <c r="W537" i="1"/>
  <c r="Z537" i="1"/>
  <c r="AC537" i="1" s="1"/>
  <c r="AM537" i="1" s="1"/>
  <c r="Z593" i="1"/>
  <c r="AC593" i="1" s="1"/>
  <c r="AM593" i="1" s="1"/>
  <c r="W593" i="1"/>
  <c r="Z499" i="1"/>
  <c r="AC499" i="1" s="1"/>
  <c r="AM499" i="1" s="1"/>
  <c r="W499" i="1"/>
  <c r="AN499" i="1" s="1"/>
  <c r="AO499" i="1" s="1"/>
  <c r="AN345" i="1"/>
  <c r="AO345" i="1" s="1"/>
  <c r="Z473" i="1"/>
  <c r="AC473" i="1" s="1"/>
  <c r="AM473" i="1" s="1"/>
  <c r="W473" i="1"/>
  <c r="AN473" i="1" s="1"/>
  <c r="AO473" i="1" s="1"/>
  <c r="AW301" i="1"/>
  <c r="AX301" i="1" s="1"/>
  <c r="AZ301" i="1" s="1"/>
  <c r="BA301" i="1" s="1"/>
  <c r="Z340" i="1"/>
  <c r="AC340" i="1" s="1"/>
  <c r="AM340" i="1" s="1"/>
  <c r="W340" i="1"/>
  <c r="AN340" i="1" s="1"/>
  <c r="AO340" i="1" s="1"/>
  <c r="AW777" i="1"/>
  <c r="AX777" i="1" s="1"/>
  <c r="AZ777" i="1" s="1"/>
  <c r="BA777" i="1" s="1"/>
  <c r="Z494" i="1"/>
  <c r="AC494" i="1" s="1"/>
  <c r="AM494" i="1" s="1"/>
  <c r="W494" i="1"/>
  <c r="AN494" i="1" s="1"/>
  <c r="AO494" i="1" s="1"/>
  <c r="Z295" i="1"/>
  <c r="AC295" i="1" s="1"/>
  <c r="AM295" i="1" s="1"/>
  <c r="W295" i="1"/>
  <c r="AN295" i="1" s="1"/>
  <c r="AO295" i="1" s="1"/>
  <c r="Z357" i="1"/>
  <c r="AC357" i="1" s="1"/>
  <c r="AM357" i="1" s="1"/>
  <c r="W357" i="1"/>
  <c r="AN357" i="1" s="1"/>
  <c r="AO357" i="1" s="1"/>
  <c r="AJ141" i="1"/>
  <c r="AN141" i="1" s="1"/>
  <c r="AO141" i="1" s="1"/>
  <c r="AM141" i="1"/>
  <c r="W347" i="1"/>
  <c r="AN347" i="1" s="1"/>
  <c r="AO347" i="1" s="1"/>
  <c r="Z347" i="1"/>
  <c r="AC347" i="1" s="1"/>
  <c r="AM347" i="1" s="1"/>
  <c r="AW239" i="1"/>
  <c r="AX239" i="1" s="1"/>
  <c r="AZ239" i="1" s="1"/>
  <c r="BA239" i="1" s="1"/>
  <c r="Z267" i="1"/>
  <c r="AC267" i="1" s="1"/>
  <c r="AM267" i="1" s="1"/>
  <c r="W267" i="1"/>
  <c r="AN267" i="1" s="1"/>
  <c r="AO267" i="1" s="1"/>
  <c r="AJ261" i="1"/>
  <c r="Z186" i="1"/>
  <c r="AC186" i="1" s="1"/>
  <c r="AM186" i="1" s="1"/>
  <c r="W186" i="1"/>
  <c r="AN186" i="1" s="1"/>
  <c r="AO186" i="1" s="1"/>
  <c r="Z167" i="1"/>
  <c r="AC167" i="1" s="1"/>
  <c r="AM167" i="1" s="1"/>
  <c r="W167" i="1"/>
  <c r="AJ81" i="1"/>
  <c r="Z125" i="1"/>
  <c r="AC125" i="1" s="1"/>
  <c r="AM125" i="1" s="1"/>
  <c r="W125" i="1"/>
  <c r="AN125" i="1" s="1"/>
  <c r="AO125" i="1" s="1"/>
  <c r="AJ45" i="1"/>
  <c r="AN45" i="1" s="1"/>
  <c r="AO45" i="1" s="1"/>
  <c r="AW30" i="1"/>
  <c r="AX30" i="1" s="1"/>
  <c r="AZ30" i="1" s="1"/>
  <c r="BA30" i="1" s="1"/>
  <c r="AW2" i="1"/>
  <c r="AX2" i="1" s="1"/>
  <c r="AZ2" i="1" s="1"/>
  <c r="BA2" i="1" s="1"/>
  <c r="W845" i="1"/>
  <c r="AN845" i="1" s="1"/>
  <c r="AO845" i="1" s="1"/>
  <c r="Z845" i="1"/>
  <c r="AC845" i="1" s="1"/>
  <c r="AM845" i="1" s="1"/>
  <c r="AM581" i="1"/>
  <c r="AJ581" i="1"/>
  <c r="Z281" i="1"/>
  <c r="AC281" i="1" s="1"/>
  <c r="AM281" i="1" s="1"/>
  <c r="W281" i="1"/>
  <c r="AN281" i="1" s="1"/>
  <c r="AO281" i="1" s="1"/>
  <c r="W155" i="1"/>
  <c r="AN155" i="1" s="1"/>
  <c r="AO155" i="1" s="1"/>
  <c r="Z155" i="1"/>
  <c r="AC155" i="1" s="1"/>
  <c r="AM155" i="1" s="1"/>
  <c r="Z901" i="1"/>
  <c r="AC901" i="1" s="1"/>
  <c r="AM901" i="1" s="1"/>
  <c r="W901" i="1"/>
  <c r="AN901" i="1" s="1"/>
  <c r="AO901" i="1" s="1"/>
  <c r="AW669" i="1"/>
  <c r="AX669" i="1" s="1"/>
  <c r="AZ669" i="1" s="1"/>
  <c r="BA669" i="1" s="1"/>
  <c r="AJ479" i="1"/>
  <c r="AM479" i="1"/>
  <c r="Z549" i="1"/>
  <c r="AC549" i="1" s="1"/>
  <c r="AM549" i="1" s="1"/>
  <c r="W549" i="1"/>
  <c r="AN549" i="1" s="1"/>
  <c r="AO549" i="1" s="1"/>
  <c r="AJ917" i="1"/>
  <c r="Z723" i="1"/>
  <c r="AC723" i="1" s="1"/>
  <c r="AM723" i="1" s="1"/>
  <c r="W723" i="1"/>
  <c r="AN723" i="1" s="1"/>
  <c r="AO723" i="1" s="1"/>
  <c r="AJ680" i="1"/>
  <c r="AM564" i="1"/>
  <c r="AJ564" i="1"/>
  <c r="AN564" i="1" s="1"/>
  <c r="AO564" i="1" s="1"/>
  <c r="W397" i="1"/>
  <c r="Z397" i="1"/>
  <c r="AC397" i="1" s="1"/>
  <c r="AM397" i="1" s="1"/>
  <c r="AJ423" i="1"/>
  <c r="Z352" i="1"/>
  <c r="AC352" i="1" s="1"/>
  <c r="AM352" i="1" s="1"/>
  <c r="W352" i="1"/>
  <c r="AN352" i="1" s="1"/>
  <c r="AO352" i="1" s="1"/>
  <c r="Z658" i="1"/>
  <c r="AC658" i="1" s="1"/>
  <c r="AM658" i="1" s="1"/>
  <c r="W658" i="1"/>
  <c r="AN658" i="1" s="1"/>
  <c r="AO658" i="1" s="1"/>
  <c r="W336" i="1"/>
  <c r="AN336" i="1" s="1"/>
  <c r="AO336" i="1" s="1"/>
  <c r="Z336" i="1"/>
  <c r="AC336" i="1" s="1"/>
  <c r="AM336" i="1" s="1"/>
  <c r="Z285" i="1"/>
  <c r="AC285" i="1" s="1"/>
  <c r="AM285" i="1" s="1"/>
  <c r="W285" i="1"/>
  <c r="AN285" i="1" s="1"/>
  <c r="AO285" i="1" s="1"/>
  <c r="W926" i="1"/>
  <c r="Z926" i="1"/>
  <c r="AC926" i="1" s="1"/>
  <c r="AM926" i="1" s="1"/>
  <c r="AW912" i="1"/>
  <c r="AX912" i="1" s="1"/>
  <c r="AZ912" i="1" s="1"/>
  <c r="BA912" i="1" s="1"/>
  <c r="Z869" i="1"/>
  <c r="AC869" i="1" s="1"/>
  <c r="AM869" i="1" s="1"/>
  <c r="W869" i="1"/>
  <c r="AN869" i="1" s="1"/>
  <c r="AO869" i="1" s="1"/>
  <c r="AW816" i="1"/>
  <c r="AX816" i="1" s="1"/>
  <c r="AZ816" i="1" s="1"/>
  <c r="BA816" i="1" s="1"/>
  <c r="AM868" i="1"/>
  <c r="AJ868" i="1"/>
  <c r="AN868" i="1" s="1"/>
  <c r="AO868" i="1" s="1"/>
  <c r="AJ892" i="1"/>
  <c r="AM892" i="1"/>
  <c r="AJ848" i="1"/>
  <c r="AM848" i="1"/>
  <c r="Z881" i="1"/>
  <c r="AC881" i="1" s="1"/>
  <c r="AM881" i="1" s="1"/>
  <c r="W881" i="1"/>
  <c r="AN881" i="1" s="1"/>
  <c r="AO881" i="1" s="1"/>
  <c r="W831" i="1"/>
  <c r="AN831" i="1" s="1"/>
  <c r="AO831" i="1" s="1"/>
  <c r="Z831" i="1"/>
  <c r="AC831" i="1" s="1"/>
  <c r="AM831" i="1" s="1"/>
  <c r="AP885" i="1"/>
  <c r="AS885" i="1" s="1"/>
  <c r="AW885" i="1"/>
  <c r="AX885" i="1" s="1"/>
  <c r="AZ885" i="1" s="1"/>
  <c r="BA885" i="1" s="1"/>
  <c r="AJ780" i="1"/>
  <c r="AN780" i="1" s="1"/>
  <c r="AO780" i="1" s="1"/>
  <c r="AW849" i="1"/>
  <c r="AX849" i="1" s="1"/>
  <c r="AZ849" i="1" s="1"/>
  <c r="BA849" i="1" s="1"/>
  <c r="Z855" i="1"/>
  <c r="AC855" i="1" s="1"/>
  <c r="AM855" i="1" s="1"/>
  <c r="W855" i="1"/>
  <c r="AN855" i="1" s="1"/>
  <c r="AO855" i="1" s="1"/>
  <c r="AJ721" i="1"/>
  <c r="AN721" i="1" s="1"/>
  <c r="AO721" i="1" s="1"/>
  <c r="AM721" i="1"/>
  <c r="AM622" i="1"/>
  <c r="AJ622" i="1"/>
  <c r="W521" i="1"/>
  <c r="Z521" i="1"/>
  <c r="AC521" i="1" s="1"/>
  <c r="AM521" i="1" s="1"/>
  <c r="AJ916" i="1"/>
  <c r="AM756" i="1"/>
  <c r="AJ756" i="1"/>
  <c r="AN756" i="1" s="1"/>
  <c r="AO756" i="1" s="1"/>
  <c r="AJ537" i="1"/>
  <c r="AJ647" i="1"/>
  <c r="AW575" i="1"/>
  <c r="AX575" i="1" s="1"/>
  <c r="AZ575" i="1" s="1"/>
  <c r="BA575" i="1" s="1"/>
  <c r="AP575" i="1"/>
  <c r="AS575" i="1" s="1"/>
  <c r="W383" i="1"/>
  <c r="AN383" i="1" s="1"/>
  <c r="AO383" i="1" s="1"/>
  <c r="Z383" i="1"/>
  <c r="AC383" i="1" s="1"/>
  <c r="AM383" i="1" s="1"/>
  <c r="AN472" i="1"/>
  <c r="AO472" i="1" s="1"/>
  <c r="AW747" i="1"/>
  <c r="AX747" i="1" s="1"/>
  <c r="AZ747" i="1" s="1"/>
  <c r="BA747" i="1" s="1"/>
  <c r="AJ433" i="1"/>
  <c r="AN433" i="1" s="1"/>
  <c r="AO433" i="1" s="1"/>
  <c r="AW490" i="1"/>
  <c r="AX490" i="1" s="1"/>
  <c r="AZ490" i="1" s="1"/>
  <c r="BA490" i="1" s="1"/>
  <c r="AW552" i="1"/>
  <c r="AX552" i="1" s="1"/>
  <c r="AZ552" i="1" s="1"/>
  <c r="BA552" i="1" s="1"/>
  <c r="AJ487" i="1"/>
  <c r="AN487" i="1" s="1"/>
  <c r="AO487" i="1" s="1"/>
  <c r="AM487" i="1"/>
  <c r="W324" i="1"/>
  <c r="AN324" i="1" s="1"/>
  <c r="AO324" i="1" s="1"/>
  <c r="Z324" i="1"/>
  <c r="AC324" i="1" s="1"/>
  <c r="AM324" i="1" s="1"/>
  <c r="Z602" i="1"/>
  <c r="AC602" i="1" s="1"/>
  <c r="AM602" i="1" s="1"/>
  <c r="W602" i="1"/>
  <c r="AN602" i="1" s="1"/>
  <c r="AO602" i="1" s="1"/>
  <c r="W461" i="1"/>
  <c r="AN461" i="1" s="1"/>
  <c r="AO461" i="1" s="1"/>
  <c r="Z461" i="1"/>
  <c r="AC461" i="1" s="1"/>
  <c r="AM461" i="1" s="1"/>
  <c r="AJ341" i="1"/>
  <c r="AJ342" i="1"/>
  <c r="AM212" i="1"/>
  <c r="AJ212" i="1"/>
  <c r="AW351" i="1"/>
  <c r="AX351" i="1" s="1"/>
  <c r="AZ351" i="1" s="1"/>
  <c r="BA351" i="1" s="1"/>
  <c r="Z674" i="1"/>
  <c r="AC674" i="1" s="1"/>
  <c r="AM674" i="1" s="1"/>
  <c r="W674" i="1"/>
  <c r="Z460" i="1"/>
  <c r="AC460" i="1" s="1"/>
  <c r="AM460" i="1" s="1"/>
  <c r="W460" i="1"/>
  <c r="Z221" i="1"/>
  <c r="AC221" i="1" s="1"/>
  <c r="AM221" i="1" s="1"/>
  <c r="W221" i="1"/>
  <c r="AN221" i="1" s="1"/>
  <c r="AO221" i="1" s="1"/>
  <c r="AJ426" i="1"/>
  <c r="AM426" i="1"/>
  <c r="Z272" i="1"/>
  <c r="AC272" i="1" s="1"/>
  <c r="AM272" i="1" s="1"/>
  <c r="W272" i="1"/>
  <c r="Z443" i="1"/>
  <c r="AC443" i="1" s="1"/>
  <c r="AM443" i="1" s="1"/>
  <c r="W443" i="1"/>
  <c r="AJ532" i="1"/>
  <c r="AN532" i="1" s="1"/>
  <c r="AO532" i="1" s="1"/>
  <c r="AW280" i="1"/>
  <c r="AX280" i="1" s="1"/>
  <c r="AZ280" i="1" s="1"/>
  <c r="BA280" i="1" s="1"/>
  <c r="W132" i="1"/>
  <c r="AN132" i="1" s="1"/>
  <c r="AO132" i="1" s="1"/>
  <c r="Z132" i="1"/>
  <c r="AC132" i="1" s="1"/>
  <c r="AM132" i="1" s="1"/>
  <c r="Z255" i="1"/>
  <c r="AC255" i="1" s="1"/>
  <c r="AM255" i="1" s="1"/>
  <c r="W255" i="1"/>
  <c r="AN255" i="1" s="1"/>
  <c r="AO255" i="1" s="1"/>
  <c r="Z80" i="1"/>
  <c r="AC80" i="1" s="1"/>
  <c r="AM80" i="1" s="1"/>
  <c r="W80" i="1"/>
  <c r="AN80" i="1" s="1"/>
  <c r="AO80" i="1" s="1"/>
  <c r="AJ102" i="1"/>
  <c r="AJ222" i="1"/>
  <c r="AP123" i="1"/>
  <c r="AS123" i="1" s="1"/>
  <c r="AW123" i="1"/>
  <c r="AX123" i="1" s="1"/>
  <c r="AZ123" i="1" s="1"/>
  <c r="BA123" i="1" s="1"/>
  <c r="Z32" i="1"/>
  <c r="AC32" i="1" s="1"/>
  <c r="AM32" i="1" s="1"/>
  <c r="W32" i="1"/>
  <c r="AN32" i="1" s="1"/>
  <c r="AO32" i="1" s="1"/>
  <c r="AN215" i="1"/>
  <c r="AO215" i="1" s="1"/>
  <c r="Z184" i="1"/>
  <c r="AC184" i="1" s="1"/>
  <c r="AM184" i="1" s="1"/>
  <c r="W184" i="1"/>
  <c r="AN184" i="1" s="1"/>
  <c r="AO184" i="1" s="1"/>
  <c r="W61" i="1"/>
  <c r="AN61" i="1" s="1"/>
  <c r="AO61" i="1" s="1"/>
  <c r="Z61" i="1"/>
  <c r="AC61" i="1" s="1"/>
  <c r="AM61" i="1" s="1"/>
  <c r="Z36" i="1"/>
  <c r="AC36" i="1" s="1"/>
  <c r="AM36" i="1" s="1"/>
  <c r="W36" i="1"/>
  <c r="AN36" i="1" s="1"/>
  <c r="AO36" i="1" s="1"/>
  <c r="AW4" i="1"/>
  <c r="AX4" i="1" s="1"/>
  <c r="AZ4" i="1" s="1"/>
  <c r="BA4" i="1" s="1"/>
  <c r="Z152" i="1"/>
  <c r="AC152" i="1" s="1"/>
  <c r="AM152" i="1" s="1"/>
  <c r="W152" i="1"/>
  <c r="AN152" i="1" s="1"/>
  <c r="AO152" i="1" s="1"/>
  <c r="Z83" i="1"/>
  <c r="AC83" i="1" s="1"/>
  <c r="AM83" i="1" s="1"/>
  <c r="W83" i="1"/>
  <c r="AW932" i="1"/>
  <c r="AX932" i="1" s="1"/>
  <c r="AZ932" i="1" s="1"/>
  <c r="BA932" i="1" s="1"/>
  <c r="Z821" i="1"/>
  <c r="AC821" i="1" s="1"/>
  <c r="AM821" i="1" s="1"/>
  <c r="W821" i="1"/>
  <c r="AM692" i="1"/>
  <c r="AJ692" i="1"/>
  <c r="AW639" i="1"/>
  <c r="AX639" i="1" s="1"/>
  <c r="AZ639" i="1" s="1"/>
  <c r="BA639" i="1" s="1"/>
  <c r="AW757" i="1"/>
  <c r="AX757" i="1" s="1"/>
  <c r="AZ757" i="1" s="1"/>
  <c r="BA757" i="1" s="1"/>
  <c r="Z619" i="1"/>
  <c r="AC619" i="1" s="1"/>
  <c r="AM619" i="1" s="1"/>
  <c r="W619" i="1"/>
  <c r="AN619" i="1" s="1"/>
  <c r="AO619" i="1" s="1"/>
  <c r="AW554" i="1"/>
  <c r="AX554" i="1" s="1"/>
  <c r="AZ554" i="1" s="1"/>
  <c r="BA554" i="1" s="1"/>
  <c r="AJ544" i="1"/>
  <c r="AW406" i="1"/>
  <c r="AX406" i="1" s="1"/>
  <c r="AZ406" i="1" s="1"/>
  <c r="BA406" i="1" s="1"/>
  <c r="AP406" i="1"/>
  <c r="AS406" i="1" s="1"/>
  <c r="AW442" i="1"/>
  <c r="AX442" i="1" s="1"/>
  <c r="AZ442" i="1" s="1"/>
  <c r="BA442" i="1" s="1"/>
  <c r="W342" i="1"/>
  <c r="Z342" i="1"/>
  <c r="AC342" i="1" s="1"/>
  <c r="AM342" i="1" s="1"/>
  <c r="AJ335" i="1"/>
  <c r="Z334" i="1"/>
  <c r="AC334" i="1" s="1"/>
  <c r="AM334" i="1" s="1"/>
  <c r="W334" i="1"/>
  <c r="AW284" i="1"/>
  <c r="AX284" i="1" s="1"/>
  <c r="AZ284" i="1" s="1"/>
  <c r="BA284" i="1" s="1"/>
  <c r="AJ192" i="1"/>
  <c r="AJ306" i="1"/>
  <c r="Z198" i="1"/>
  <c r="AC198" i="1" s="1"/>
  <c r="AM198" i="1" s="1"/>
  <c r="W198" i="1"/>
  <c r="Z162" i="1"/>
  <c r="AC162" i="1" s="1"/>
  <c r="AM162" i="1" s="1"/>
  <c r="W162" i="1"/>
  <c r="AJ198" i="1"/>
  <c r="W121" i="1"/>
  <c r="AN121" i="1" s="1"/>
  <c r="AO121" i="1" s="1"/>
  <c r="Z121" i="1"/>
  <c r="AC121" i="1" s="1"/>
  <c r="AM121" i="1" s="1"/>
  <c r="AJ65" i="1"/>
  <c r="AN65" i="1" s="1"/>
  <c r="AO65" i="1" s="1"/>
  <c r="AM65" i="1"/>
  <c r="AM143" i="1"/>
  <c r="AJ143" i="1"/>
  <c r="Z37" i="1"/>
  <c r="AC37" i="1" s="1"/>
  <c r="AM37" i="1" s="1"/>
  <c r="W37" i="1"/>
  <c r="AN37" i="1" s="1"/>
  <c r="AO37" i="1" s="1"/>
  <c r="AN7" i="1"/>
  <c r="AO7" i="1" s="1"/>
  <c r="Z7" i="1"/>
  <c r="AC7" i="1" s="1"/>
  <c r="AM7" i="1" s="1"/>
  <c r="W160" i="1"/>
  <c r="AN160" i="1" s="1"/>
  <c r="AO160" i="1" s="1"/>
  <c r="Z160" i="1"/>
  <c r="AC160" i="1" s="1"/>
  <c r="AM160" i="1" s="1"/>
  <c r="AJ173" i="1"/>
  <c r="W60" i="1"/>
  <c r="AN60" i="1" s="1"/>
  <c r="AO60" i="1" s="1"/>
  <c r="Z60" i="1"/>
  <c r="AC60" i="1" s="1"/>
  <c r="AM60" i="1" s="1"/>
  <c r="AP63" i="1"/>
  <c r="AS63" i="1" s="1"/>
  <c r="AW63" i="1"/>
  <c r="AX63" i="1" s="1"/>
  <c r="AZ63" i="1" s="1"/>
  <c r="BA63" i="1" s="1"/>
  <c r="W148" i="1"/>
  <c r="AN148" i="1" s="1"/>
  <c r="AO148" i="1" s="1"/>
  <c r="Z148" i="1"/>
  <c r="AC148" i="1" s="1"/>
  <c r="AM148" i="1" s="1"/>
  <c r="AM19" i="1"/>
  <c r="AJ19" i="1"/>
  <c r="AW13" i="1"/>
  <c r="AX13" i="1" s="1"/>
  <c r="AZ13" i="1" s="1"/>
  <c r="BA13" i="1" s="1"/>
  <c r="AM131" i="1"/>
  <c r="AJ131" i="1"/>
  <c r="AN131" i="1" s="1"/>
  <c r="AO131" i="1" s="1"/>
  <c r="AW918" i="1"/>
  <c r="AX918" i="1" s="1"/>
  <c r="AZ918" i="1" s="1"/>
  <c r="BA918" i="1" s="1"/>
  <c r="Z929" i="1"/>
  <c r="AC929" i="1" s="1"/>
  <c r="AM929" i="1" s="1"/>
  <c r="W929" i="1"/>
  <c r="AN929" i="1" s="1"/>
  <c r="AO929" i="1" s="1"/>
  <c r="AJ760" i="1"/>
  <c r="AM760" i="1"/>
  <c r="AW804" i="1"/>
  <c r="AX804" i="1" s="1"/>
  <c r="AZ804" i="1" s="1"/>
  <c r="BA804" i="1" s="1"/>
  <c r="AJ589" i="1"/>
  <c r="AN589" i="1" s="1"/>
  <c r="AO589" i="1" s="1"/>
  <c r="AM589" i="1"/>
  <c r="Z395" i="1"/>
  <c r="AC395" i="1" s="1"/>
  <c r="AM395" i="1" s="1"/>
  <c r="W395" i="1"/>
  <c r="W390" i="1"/>
  <c r="AN390" i="1" s="1"/>
  <c r="AO390" i="1" s="1"/>
  <c r="Z390" i="1"/>
  <c r="AC390" i="1" s="1"/>
  <c r="AM390" i="1" s="1"/>
  <c r="W474" i="1"/>
  <c r="Z474" i="1"/>
  <c r="AC474" i="1" s="1"/>
  <c r="AM474" i="1" s="1"/>
  <c r="AJ258" i="1"/>
  <c r="Z374" i="1"/>
  <c r="AC374" i="1" s="1"/>
  <c r="AM374" i="1" s="1"/>
  <c r="W374" i="1"/>
  <c r="AN374" i="1" s="1"/>
  <c r="AO374" i="1" s="1"/>
  <c r="Z66" i="1"/>
  <c r="AC66" i="1" s="1"/>
  <c r="AM66" i="1" s="1"/>
  <c r="W66" i="1"/>
  <c r="AN66" i="1" s="1"/>
  <c r="AO66" i="1" s="1"/>
  <c r="Z201" i="1"/>
  <c r="AC201" i="1" s="1"/>
  <c r="AM201" i="1" s="1"/>
  <c r="W201" i="1"/>
  <c r="Z68" i="1"/>
  <c r="AC68" i="1" s="1"/>
  <c r="AM68" i="1" s="1"/>
  <c r="W68" i="1"/>
  <c r="AN68" i="1" s="1"/>
  <c r="AO68" i="1" s="1"/>
  <c r="Z5" i="1"/>
  <c r="AC5" i="1" s="1"/>
  <c r="AM5" i="1" s="1"/>
  <c r="W5" i="1"/>
  <c r="AN5" i="1" s="1"/>
  <c r="AO5" i="1" s="1"/>
  <c r="Z200" i="1"/>
  <c r="AC200" i="1" s="1"/>
  <c r="AM200" i="1" s="1"/>
  <c r="W200" i="1"/>
  <c r="AN200" i="1" s="1"/>
  <c r="AO200" i="1" s="1"/>
  <c r="AW106" i="1"/>
  <c r="AX106" i="1" s="1"/>
  <c r="AZ106" i="1" s="1"/>
  <c r="BA106" i="1" s="1"/>
  <c r="AW189" i="1"/>
  <c r="AX189" i="1" s="1"/>
  <c r="AZ189" i="1" s="1"/>
  <c r="BA189" i="1" s="1"/>
  <c r="AP189" i="1"/>
  <c r="AS189" i="1" s="1"/>
  <c r="W924" i="1"/>
  <c r="AN924" i="1" s="1"/>
  <c r="AO924" i="1" s="1"/>
  <c r="Z924" i="1"/>
  <c r="AC924" i="1" s="1"/>
  <c r="AM924" i="1" s="1"/>
  <c r="Z727" i="1"/>
  <c r="AC727" i="1" s="1"/>
  <c r="AM727" i="1" s="1"/>
  <c r="W727" i="1"/>
  <c r="AN727" i="1" s="1"/>
  <c r="AO727" i="1" s="1"/>
  <c r="AM605" i="1"/>
  <c r="AJ605" i="1"/>
  <c r="AN605" i="1" s="1"/>
  <c r="AO605" i="1" s="1"/>
  <c r="AW632" i="1"/>
  <c r="AX632" i="1" s="1"/>
  <c r="AZ632" i="1" s="1"/>
  <c r="BA632" i="1" s="1"/>
  <c r="Z420" i="1"/>
  <c r="AC420" i="1" s="1"/>
  <c r="AM420" i="1" s="1"/>
  <c r="W420" i="1"/>
  <c r="AN420" i="1" s="1"/>
  <c r="AO420" i="1" s="1"/>
  <c r="AJ518" i="1"/>
  <c r="AN518" i="1" s="1"/>
  <c r="AO518" i="1" s="1"/>
  <c r="AJ459" i="1"/>
  <c r="Z434" i="1"/>
  <c r="AC434" i="1" s="1"/>
  <c r="AM434" i="1" s="1"/>
  <c r="W434" i="1"/>
  <c r="AM437" i="1"/>
  <c r="AJ437" i="1"/>
  <c r="Z257" i="1"/>
  <c r="AC257" i="1" s="1"/>
  <c r="AM257" i="1" s="1"/>
  <c r="W257" i="1"/>
  <c r="AN257" i="1" s="1"/>
  <c r="AO257" i="1" s="1"/>
  <c r="Z438" i="1"/>
  <c r="AC438" i="1" s="1"/>
  <c r="AM438" i="1" s="1"/>
  <c r="W438" i="1"/>
  <c r="AN438" i="1" s="1"/>
  <c r="AO438" i="1" s="1"/>
  <c r="Z176" i="1"/>
  <c r="AC176" i="1" s="1"/>
  <c r="AM176" i="1" s="1"/>
  <c r="W176" i="1"/>
  <c r="AN176" i="1" s="1"/>
  <c r="AO176" i="1" s="1"/>
  <c r="Z305" i="1"/>
  <c r="AC305" i="1" s="1"/>
  <c r="AM305" i="1" s="1"/>
  <c r="W305" i="1"/>
  <c r="AN305" i="1" s="1"/>
  <c r="AO305" i="1" s="1"/>
  <c r="AM264" i="1"/>
  <c r="AJ264" i="1"/>
  <c r="Z366" i="1"/>
  <c r="AC366" i="1" s="1"/>
  <c r="AM366" i="1" s="1"/>
  <c r="W366" i="1"/>
  <c r="AN366" i="1" s="1"/>
  <c r="AO366" i="1" s="1"/>
  <c r="Z299" i="1"/>
  <c r="AC299" i="1" s="1"/>
  <c r="AM299" i="1" s="1"/>
  <c r="W299" i="1"/>
  <c r="AN299" i="1" s="1"/>
  <c r="AO299" i="1" s="1"/>
  <c r="AJ197" i="1"/>
  <c r="AN197" i="1" s="1"/>
  <c r="AO197" i="1" s="1"/>
  <c r="Z58" i="1"/>
  <c r="AC58" i="1" s="1"/>
  <c r="AM58" i="1" s="1"/>
  <c r="W58" i="1"/>
  <c r="AN58" i="1" s="1"/>
  <c r="AO58" i="1" s="1"/>
  <c r="AJ465" i="1"/>
  <c r="AM465" i="1"/>
  <c r="W154" i="1"/>
  <c r="Z154" i="1"/>
  <c r="AC154" i="1" s="1"/>
  <c r="AM154" i="1" s="1"/>
  <c r="AJ112" i="1"/>
  <c r="AN112" i="1" s="1"/>
  <c r="AO112" i="1" s="1"/>
  <c r="AM112" i="1"/>
  <c r="AJ56" i="1"/>
  <c r="AJ128" i="1"/>
  <c r="AP74" i="1"/>
  <c r="AS74" i="1" s="1"/>
  <c r="AW74" i="1"/>
  <c r="AX74" i="1" s="1"/>
  <c r="AZ74" i="1" s="1"/>
  <c r="BA74" i="1" s="1"/>
  <c r="W3" i="1"/>
  <c r="AN3" i="1" s="1"/>
  <c r="AO3" i="1" s="1"/>
  <c r="Z3" i="1"/>
  <c r="AC3" i="1" s="1"/>
  <c r="AM3" i="1" s="1"/>
  <c r="AM119" i="1"/>
  <c r="AJ119" i="1"/>
  <c r="AM67" i="1"/>
  <c r="AJ67" i="1"/>
  <c r="AN67" i="1" s="1"/>
  <c r="AO67" i="1" s="1"/>
  <c r="AJ167" i="1"/>
  <c r="AW8" i="1"/>
  <c r="AX8" i="1" s="1"/>
  <c r="AZ8" i="1" s="1"/>
  <c r="BA8" i="1" s="1"/>
  <c r="AM26" i="1"/>
  <c r="AJ26" i="1"/>
  <c r="AN26" i="1" s="1"/>
  <c r="AO26" i="1" s="1"/>
  <c r="AW22" i="1"/>
  <c r="AX22" i="1" s="1"/>
  <c r="AZ22" i="1" s="1"/>
  <c r="BA22" i="1" s="1"/>
  <c r="AM150" i="1"/>
  <c r="AJ150" i="1"/>
  <c r="AJ902" i="1"/>
  <c r="AM902" i="1"/>
  <c r="AW921" i="1"/>
  <c r="AX921" i="1" s="1"/>
  <c r="AZ921" i="1" s="1"/>
  <c r="BA921" i="1" s="1"/>
  <c r="AJ884" i="1"/>
  <c r="Z905" i="1"/>
  <c r="AC905" i="1" s="1"/>
  <c r="AM905" i="1" s="1"/>
  <c r="W905" i="1"/>
  <c r="AN905" i="1" s="1"/>
  <c r="AO905" i="1" s="1"/>
  <c r="Z745" i="1"/>
  <c r="AC745" i="1" s="1"/>
  <c r="AM745" i="1" s="1"/>
  <c r="W745" i="1"/>
  <c r="AN745" i="1" s="1"/>
  <c r="AO745" i="1" s="1"/>
  <c r="AW666" i="1"/>
  <c r="AX666" i="1" s="1"/>
  <c r="AZ666" i="1" s="1"/>
  <c r="BA666" i="1" s="1"/>
  <c r="Z594" i="1"/>
  <c r="AC594" i="1" s="1"/>
  <c r="AM594" i="1" s="1"/>
  <c r="W594" i="1"/>
  <c r="AN594" i="1" s="1"/>
  <c r="AO594" i="1" s="1"/>
  <c r="AJ526" i="1"/>
  <c r="AN526" i="1" s="1"/>
  <c r="AO526" i="1" s="1"/>
  <c r="AW920" i="1"/>
  <c r="AX920" i="1" s="1"/>
  <c r="AZ920" i="1" s="1"/>
  <c r="BA920" i="1" s="1"/>
  <c r="AP920" i="1"/>
  <c r="AS920" i="1" s="1"/>
  <c r="AM931" i="1"/>
  <c r="AJ931" i="1"/>
  <c r="Z893" i="1"/>
  <c r="AC893" i="1" s="1"/>
  <c r="AM893" i="1" s="1"/>
  <c r="W893" i="1"/>
  <c r="AN893" i="1" s="1"/>
  <c r="AO893" i="1" s="1"/>
  <c r="AJ897" i="1"/>
  <c r="AM897" i="1"/>
  <c r="AW812" i="1"/>
  <c r="AX812" i="1" s="1"/>
  <c r="AZ812" i="1" s="1"/>
  <c r="BA812" i="1" s="1"/>
  <c r="Z765" i="1"/>
  <c r="AC765" i="1" s="1"/>
  <c r="AM765" i="1" s="1"/>
  <c r="W765" i="1"/>
  <c r="AW866" i="1"/>
  <c r="AX866" i="1" s="1"/>
  <c r="AZ866" i="1" s="1"/>
  <c r="BA866" i="1" s="1"/>
  <c r="Z740" i="1"/>
  <c r="AC740" i="1" s="1"/>
  <c r="AM740" i="1" s="1"/>
  <c r="W740" i="1"/>
  <c r="W717" i="1"/>
  <c r="AN717" i="1" s="1"/>
  <c r="AO717" i="1" s="1"/>
  <c r="Z717" i="1"/>
  <c r="AC717" i="1" s="1"/>
  <c r="AM717" i="1" s="1"/>
  <c r="Z694" i="1"/>
  <c r="AC694" i="1" s="1"/>
  <c r="AM694" i="1" s="1"/>
  <c r="W694" i="1"/>
  <c r="AN694" i="1" s="1"/>
  <c r="AO694" i="1" s="1"/>
  <c r="AM751" i="1"/>
  <c r="AJ751" i="1"/>
  <c r="W633" i="1"/>
  <c r="Z633" i="1"/>
  <c r="AC633" i="1" s="1"/>
  <c r="AM633" i="1" s="1"/>
  <c r="Z645" i="1"/>
  <c r="AC645" i="1" s="1"/>
  <c r="AM645" i="1" s="1"/>
  <c r="W645" i="1"/>
  <c r="AN645" i="1" s="1"/>
  <c r="AO645" i="1" s="1"/>
  <c r="AW469" i="1"/>
  <c r="AX469" i="1" s="1"/>
  <c r="AZ469" i="1" s="1"/>
  <c r="BA469" i="1" s="1"/>
  <c r="AJ841" i="1"/>
  <c r="AM627" i="1"/>
  <c r="AJ627" i="1"/>
  <c r="Z512" i="1"/>
  <c r="AC512" i="1" s="1"/>
  <c r="AM512" i="1" s="1"/>
  <c r="W512" i="1"/>
  <c r="AN512" i="1" s="1"/>
  <c r="AO512" i="1" s="1"/>
  <c r="Z541" i="1"/>
  <c r="AC541" i="1" s="1"/>
  <c r="AM541" i="1" s="1"/>
  <c r="W541" i="1"/>
  <c r="AN541" i="1" s="1"/>
  <c r="AO541" i="1" s="1"/>
  <c r="Z534" i="1"/>
  <c r="AC534" i="1" s="1"/>
  <c r="AM534" i="1" s="1"/>
  <c r="W534" i="1"/>
  <c r="AN534" i="1" s="1"/>
  <c r="AO534" i="1" s="1"/>
  <c r="Z364" i="1"/>
  <c r="AC364" i="1" s="1"/>
  <c r="AM364" i="1" s="1"/>
  <c r="W364" i="1"/>
  <c r="AN364" i="1" s="1"/>
  <c r="AO364" i="1" s="1"/>
  <c r="Z354" i="1"/>
  <c r="AC354" i="1" s="1"/>
  <c r="AM354" i="1" s="1"/>
  <c r="W354" i="1"/>
  <c r="AJ651" i="1"/>
  <c r="W610" i="1"/>
  <c r="AN610" i="1" s="1"/>
  <c r="AO610" i="1" s="1"/>
  <c r="Z610" i="1"/>
  <c r="AC610" i="1" s="1"/>
  <c r="AM610" i="1" s="1"/>
  <c r="Z709" i="1"/>
  <c r="AC709" i="1" s="1"/>
  <c r="AM709" i="1" s="1"/>
  <c r="W709" i="1"/>
  <c r="AN709" i="1" s="1"/>
  <c r="AO709" i="1" s="1"/>
  <c r="AJ331" i="1"/>
  <c r="AW659" i="1"/>
  <c r="AX659" i="1" s="1"/>
  <c r="AZ659" i="1" s="1"/>
  <c r="BA659" i="1" s="1"/>
  <c r="AJ311" i="1"/>
  <c r="AM311" i="1"/>
  <c r="AM220" i="1"/>
  <c r="AJ220" i="1"/>
  <c r="AW497" i="1"/>
  <c r="AX497" i="1" s="1"/>
  <c r="AZ497" i="1" s="1"/>
  <c r="BA497" i="1" s="1"/>
  <c r="Z259" i="1"/>
  <c r="AC259" i="1" s="1"/>
  <c r="AM259" i="1" s="1"/>
  <c r="W259" i="1"/>
  <c r="AN259" i="1" s="1"/>
  <c r="AO259" i="1" s="1"/>
  <c r="Z258" i="1"/>
  <c r="AC258" i="1" s="1"/>
  <c r="AM258" i="1" s="1"/>
  <c r="W258" i="1"/>
  <c r="AP265" i="1"/>
  <c r="AS265" i="1" s="1"/>
  <c r="AW265" i="1"/>
  <c r="AX265" i="1" s="1"/>
  <c r="AZ265" i="1" s="1"/>
  <c r="BA265" i="1" s="1"/>
  <c r="AW279" i="1"/>
  <c r="AX279" i="1" s="1"/>
  <c r="AZ279" i="1" s="1"/>
  <c r="BA279" i="1" s="1"/>
  <c r="W308" i="1"/>
  <c r="AN308" i="1" s="1"/>
  <c r="AO308" i="1" s="1"/>
  <c r="Z308" i="1"/>
  <c r="AC308" i="1" s="1"/>
  <c r="AM308" i="1" s="1"/>
  <c r="W166" i="1"/>
  <c r="AN166" i="1" s="1"/>
  <c r="AO166" i="1" s="1"/>
  <c r="Z166" i="1"/>
  <c r="AC166" i="1" s="1"/>
  <c r="AM166" i="1" s="1"/>
  <c r="Z135" i="1"/>
  <c r="AC135" i="1" s="1"/>
  <c r="AM135" i="1" s="1"/>
  <c r="W135" i="1"/>
  <c r="Z107" i="1"/>
  <c r="AC107" i="1" s="1"/>
  <c r="AM107" i="1" s="1"/>
  <c r="W107" i="1"/>
  <c r="AN107" i="1" s="1"/>
  <c r="AO107" i="1" s="1"/>
  <c r="Z44" i="1"/>
  <c r="AC44" i="1" s="1"/>
  <c r="AM44" i="1" s="1"/>
  <c r="W44" i="1"/>
  <c r="AN44" i="1" s="1"/>
  <c r="AO44" i="1" s="1"/>
  <c r="W122" i="1"/>
  <c r="AN122" i="1" s="1"/>
  <c r="AO122" i="1" s="1"/>
  <c r="Z122" i="1"/>
  <c r="AC122" i="1" s="1"/>
  <c r="AM122" i="1" s="1"/>
  <c r="AW78" i="1"/>
  <c r="AX78" i="1" s="1"/>
  <c r="AZ78" i="1" s="1"/>
  <c r="BA78" i="1" s="1"/>
  <c r="AW85" i="1"/>
  <c r="AX85" i="1" s="1"/>
  <c r="AZ85" i="1" s="1"/>
  <c r="BA85" i="1" s="1"/>
  <c r="AW55" i="1"/>
  <c r="AX55" i="1" s="1"/>
  <c r="AZ55" i="1" s="1"/>
  <c r="BA55" i="1" s="1"/>
  <c r="AW77" i="1"/>
  <c r="AX77" i="1" s="1"/>
  <c r="AZ77" i="1" s="1"/>
  <c r="BA77" i="1" s="1"/>
  <c r="AJ314" i="1"/>
  <c r="AN314" i="1" s="1"/>
  <c r="AO314" i="1" s="1"/>
  <c r="W951" i="1"/>
  <c r="AN951" i="1" s="1"/>
  <c r="AO951" i="1" s="1"/>
  <c r="Z951" i="1"/>
  <c r="AC951" i="1" s="1"/>
  <c r="AM951" i="1" s="1"/>
  <c r="AJ904" i="1"/>
  <c r="AN904" i="1" s="1"/>
  <c r="AO904" i="1" s="1"/>
  <c r="AW818" i="1"/>
  <c r="AX818" i="1" s="1"/>
  <c r="AZ818" i="1" s="1"/>
  <c r="BA818" i="1" s="1"/>
  <c r="Z903" i="1"/>
  <c r="AC903" i="1" s="1"/>
  <c r="AM903" i="1" s="1"/>
  <c r="W903" i="1"/>
  <c r="AN903" i="1" s="1"/>
  <c r="AO903" i="1" s="1"/>
  <c r="AJ837" i="1"/>
  <c r="AN837" i="1" s="1"/>
  <c r="AO837" i="1" s="1"/>
  <c r="AM837" i="1"/>
  <c r="AJ772" i="1"/>
  <c r="AJ796" i="1"/>
  <c r="AN796" i="1" s="1"/>
  <c r="AO796" i="1" s="1"/>
  <c r="Z795" i="1"/>
  <c r="AC795" i="1" s="1"/>
  <c r="AM795" i="1" s="1"/>
  <c r="W795" i="1"/>
  <c r="AN795" i="1" s="1"/>
  <c r="AO795" i="1" s="1"/>
  <c r="W834" i="1"/>
  <c r="AN834" i="1" s="1"/>
  <c r="AO834" i="1" s="1"/>
  <c r="Z834" i="1"/>
  <c r="AC834" i="1" s="1"/>
  <c r="AM834" i="1" s="1"/>
  <c r="Z836" i="1"/>
  <c r="AC836" i="1" s="1"/>
  <c r="AM836" i="1" s="1"/>
  <c r="W836" i="1"/>
  <c r="AN836" i="1" s="1"/>
  <c r="AO836" i="1" s="1"/>
  <c r="AJ754" i="1"/>
  <c r="AJ788" i="1"/>
  <c r="AN788" i="1" s="1"/>
  <c r="AO788" i="1" s="1"/>
  <c r="AP790" i="1"/>
  <c r="AS790" i="1" s="1"/>
  <c r="AW790" i="1"/>
  <c r="AX790" i="1" s="1"/>
  <c r="AZ790" i="1" s="1"/>
  <c r="BA790" i="1" s="1"/>
  <c r="W841" i="1"/>
  <c r="Z841" i="1"/>
  <c r="AC841" i="1" s="1"/>
  <c r="AM841" i="1" s="1"/>
  <c r="W778" i="1"/>
  <c r="AN778" i="1" s="1"/>
  <c r="AO778" i="1" s="1"/>
  <c r="Z778" i="1"/>
  <c r="AC778" i="1" s="1"/>
  <c r="AM778" i="1" s="1"/>
  <c r="AW847" i="1"/>
  <c r="AX847" i="1" s="1"/>
  <c r="AZ847" i="1" s="1"/>
  <c r="BA847" i="1" s="1"/>
  <c r="Z703" i="1"/>
  <c r="AC703" i="1" s="1"/>
  <c r="AM703" i="1" s="1"/>
  <c r="W703" i="1"/>
  <c r="AN703" i="1" s="1"/>
  <c r="AO703" i="1" s="1"/>
  <c r="W850" i="1"/>
  <c r="AN850" i="1" s="1"/>
  <c r="AO850" i="1" s="1"/>
  <c r="Z850" i="1"/>
  <c r="AC850" i="1" s="1"/>
  <c r="AM850" i="1" s="1"/>
  <c r="AJ786" i="1"/>
  <c r="W579" i="1"/>
  <c r="AN579" i="1" s="1"/>
  <c r="AO579" i="1" s="1"/>
  <c r="Z579" i="1"/>
  <c r="AC579" i="1" s="1"/>
  <c r="AM579" i="1" s="1"/>
  <c r="Z608" i="1"/>
  <c r="AC608" i="1" s="1"/>
  <c r="AM608" i="1" s="1"/>
  <c r="W608" i="1"/>
  <c r="AJ571" i="1"/>
  <c r="AM571" i="1"/>
  <c r="AJ655" i="1"/>
  <c r="AM655" i="1"/>
  <c r="AW776" i="1"/>
  <c r="AX776" i="1" s="1"/>
  <c r="AZ776" i="1" s="1"/>
  <c r="BA776" i="1" s="1"/>
  <c r="AW569" i="1"/>
  <c r="AX569" i="1" s="1"/>
  <c r="AZ569" i="1" s="1"/>
  <c r="BA569" i="1" s="1"/>
  <c r="AW484" i="1"/>
  <c r="AX484" i="1" s="1"/>
  <c r="AZ484" i="1" s="1"/>
  <c r="BA484" i="1" s="1"/>
  <c r="Z628" i="1"/>
  <c r="AC628" i="1" s="1"/>
  <c r="AM628" i="1" s="1"/>
  <c r="W628" i="1"/>
  <c r="AN628" i="1" s="1"/>
  <c r="AO628" i="1" s="1"/>
  <c r="AN477" i="1"/>
  <c r="AO477" i="1" s="1"/>
  <c r="AP477" i="1" s="1"/>
  <c r="AS477" i="1" s="1"/>
  <c r="W188" i="1"/>
  <c r="AN188" i="1" s="1"/>
  <c r="AO188" i="1" s="1"/>
  <c r="Z188" i="1"/>
  <c r="AC188" i="1" s="1"/>
  <c r="AM188" i="1" s="1"/>
  <c r="Z269" i="1"/>
  <c r="AC269" i="1" s="1"/>
  <c r="AM269" i="1" s="1"/>
  <c r="W269" i="1"/>
  <c r="AN269" i="1" s="1"/>
  <c r="AO269" i="1" s="1"/>
  <c r="AM482" i="1"/>
  <c r="AJ482" i="1"/>
  <c r="AN482" i="1" s="1"/>
  <c r="AO482" i="1" s="1"/>
  <c r="AJ322" i="1"/>
  <c r="AM322" i="1"/>
  <c r="Z449" i="1"/>
  <c r="AC449" i="1" s="1"/>
  <c r="AM449" i="1" s="1"/>
  <c r="W449" i="1"/>
  <c r="W447" i="1"/>
  <c r="Z447" i="1"/>
  <c r="AC447" i="1" s="1"/>
  <c r="AM447" i="1" s="1"/>
  <c r="AW213" i="1"/>
  <c r="AX213" i="1" s="1"/>
  <c r="AZ213" i="1" s="1"/>
  <c r="BA213" i="1" s="1"/>
  <c r="AJ334" i="1"/>
  <c r="Z369" i="1"/>
  <c r="AC369" i="1" s="1"/>
  <c r="AM369" i="1" s="1"/>
  <c r="W369" i="1"/>
  <c r="AJ328" i="1"/>
  <c r="AM328" i="1"/>
  <c r="AW202" i="1"/>
  <c r="AX202" i="1" s="1"/>
  <c r="AZ202" i="1" s="1"/>
  <c r="BA202" i="1" s="1"/>
  <c r="AJ329" i="1"/>
  <c r="AJ94" i="1"/>
  <c r="AJ162" i="1"/>
  <c r="AW151" i="1"/>
  <c r="AX151" i="1" s="1"/>
  <c r="AZ151" i="1" s="1"/>
  <c r="BA151" i="1" s="1"/>
  <c r="AP87" i="1"/>
  <c r="AS87" i="1" s="1"/>
  <c r="AW87" i="1"/>
  <c r="AX87" i="1" s="1"/>
  <c r="AZ87" i="1" s="1"/>
  <c r="BA87" i="1" s="1"/>
  <c r="AJ319" i="1"/>
  <c r="AW12" i="1"/>
  <c r="AX12" i="1" s="1"/>
  <c r="AZ12" i="1" s="1"/>
  <c r="BA12" i="1" s="1"/>
  <c r="AM298" i="1"/>
  <c r="AJ298" i="1"/>
  <c r="W173" i="1"/>
  <c r="Z173" i="1"/>
  <c r="AC173" i="1" s="1"/>
  <c r="AM173" i="1" s="1"/>
  <c r="AJ185" i="1"/>
  <c r="AM185" i="1"/>
  <c r="AW49" i="1"/>
  <c r="AX49" i="1" s="1"/>
  <c r="AZ49" i="1" s="1"/>
  <c r="BA49" i="1" s="1"/>
  <c r="AM136" i="1"/>
  <c r="AJ136" i="1"/>
  <c r="AN136" i="1" s="1"/>
  <c r="AO136" i="1" s="1"/>
  <c r="AW25" i="1"/>
  <c r="AX25" i="1" s="1"/>
  <c r="AZ25" i="1" s="1"/>
  <c r="BA25" i="1" s="1"/>
  <c r="AP25" i="1"/>
  <c r="AS25" i="1" s="1"/>
  <c r="AW46" i="1"/>
  <c r="AX46" i="1" s="1"/>
  <c r="AZ46" i="1" s="1"/>
  <c r="BA46" i="1" s="1"/>
  <c r="W194" i="1"/>
  <c r="AN194" i="1" s="1"/>
  <c r="AO194" i="1" s="1"/>
  <c r="Z194" i="1"/>
  <c r="AC194" i="1" s="1"/>
  <c r="AM194" i="1" s="1"/>
  <c r="Z954" i="1"/>
  <c r="AC954" i="1" s="1"/>
  <c r="AM954" i="1" s="1"/>
  <c r="W954" i="1"/>
  <c r="AN954" i="1" s="1"/>
  <c r="AO954" i="1" s="1"/>
  <c r="Z851" i="1"/>
  <c r="AC851" i="1" s="1"/>
  <c r="AM851" i="1" s="1"/>
  <c r="W851" i="1"/>
  <c r="AN851" i="1" s="1"/>
  <c r="AO851" i="1" s="1"/>
  <c r="AJ801" i="1"/>
  <c r="AM801" i="1"/>
  <c r="AJ730" i="1"/>
  <c r="AM730" i="1"/>
  <c r="AM493" i="1"/>
  <c r="AJ493" i="1"/>
  <c r="AW403" i="1"/>
  <c r="AX403" i="1" s="1"/>
  <c r="AZ403" i="1" s="1"/>
  <c r="BA403" i="1" s="1"/>
  <c r="AM585" i="1"/>
  <c r="AJ585" i="1"/>
  <c r="AJ736" i="1"/>
  <c r="AW927" i="1"/>
  <c r="AX927" i="1" s="1"/>
  <c r="AZ927" i="1" s="1"/>
  <c r="BA927" i="1" s="1"/>
  <c r="AJ485" i="1"/>
  <c r="AN485" i="1" s="1"/>
  <c r="AO485" i="1" s="1"/>
  <c r="Z842" i="1"/>
  <c r="AC842" i="1" s="1"/>
  <c r="AM842" i="1" s="1"/>
  <c r="W842" i="1"/>
  <c r="AN842" i="1" s="1"/>
  <c r="AO842" i="1" s="1"/>
  <c r="AP930" i="1"/>
  <c r="AS930" i="1" s="1"/>
  <c r="AW930" i="1"/>
  <c r="AX930" i="1" s="1"/>
  <c r="AZ930" i="1" s="1"/>
  <c r="BA930" i="1" s="1"/>
  <c r="AJ942" i="1"/>
  <c r="AN942" i="1" s="1"/>
  <c r="AO942" i="1" s="1"/>
  <c r="AM942" i="1"/>
  <c r="Z877" i="1"/>
  <c r="AC877" i="1" s="1"/>
  <c r="AM877" i="1" s="1"/>
  <c r="W877" i="1"/>
  <c r="AN877" i="1" s="1"/>
  <c r="AO877" i="1" s="1"/>
  <c r="AJ948" i="1"/>
  <c r="AW910" i="1"/>
  <c r="AX910" i="1" s="1"/>
  <c r="AZ910" i="1" s="1"/>
  <c r="BA910" i="1" s="1"/>
  <c r="Z822" i="1"/>
  <c r="AC822" i="1" s="1"/>
  <c r="AM822" i="1" s="1"/>
  <c r="W822" i="1"/>
  <c r="AN822" i="1" s="1"/>
  <c r="AO822" i="1" s="1"/>
  <c r="Z753" i="1"/>
  <c r="AC753" i="1" s="1"/>
  <c r="AM753" i="1" s="1"/>
  <c r="W753" i="1"/>
  <c r="AN753" i="1" s="1"/>
  <c r="AO753" i="1" s="1"/>
  <c r="AW919" i="1"/>
  <c r="AX919" i="1" s="1"/>
  <c r="AZ919" i="1" s="1"/>
  <c r="BA919" i="1" s="1"/>
  <c r="Z914" i="1"/>
  <c r="AC914" i="1" s="1"/>
  <c r="AM914" i="1" s="1"/>
  <c r="W914" i="1"/>
  <c r="AN914" i="1" s="1"/>
  <c r="AO914" i="1" s="1"/>
  <c r="AW864" i="1"/>
  <c r="AX864" i="1" s="1"/>
  <c r="AZ864" i="1" s="1"/>
  <c r="BA864" i="1" s="1"/>
  <c r="W681" i="1"/>
  <c r="Z681" i="1"/>
  <c r="AC681" i="1" s="1"/>
  <c r="AM681" i="1" s="1"/>
  <c r="AJ840" i="1"/>
  <c r="AW698" i="1"/>
  <c r="AX698" i="1" s="1"/>
  <c r="AZ698" i="1" s="1"/>
  <c r="BA698" i="1" s="1"/>
  <c r="AJ740" i="1"/>
  <c r="W624" i="1"/>
  <c r="AN624" i="1" s="1"/>
  <c r="AO624" i="1" s="1"/>
  <c r="Z624" i="1"/>
  <c r="AC624" i="1" s="1"/>
  <c r="AM624" i="1" s="1"/>
  <c r="Z509" i="1"/>
  <c r="AC509" i="1" s="1"/>
  <c r="AM509" i="1" s="1"/>
  <c r="W509" i="1"/>
  <c r="AN509" i="1" s="1"/>
  <c r="AO509" i="1" s="1"/>
  <c r="AJ674" i="1"/>
  <c r="AJ635" i="1"/>
  <c r="W562" i="1"/>
  <c r="AN562" i="1" s="1"/>
  <c r="AO562" i="1" s="1"/>
  <c r="Z562" i="1"/>
  <c r="AC562" i="1" s="1"/>
  <c r="AM562" i="1" s="1"/>
  <c r="Z586" i="1"/>
  <c r="AC586" i="1" s="1"/>
  <c r="AM586" i="1" s="1"/>
  <c r="W586" i="1"/>
  <c r="AN586" i="1" s="1"/>
  <c r="AO586" i="1" s="1"/>
  <c r="Z644" i="1"/>
  <c r="AC644" i="1" s="1"/>
  <c r="AM644" i="1" s="1"/>
  <c r="W644" i="1"/>
  <c r="AN644" i="1" s="1"/>
  <c r="AO644" i="1" s="1"/>
  <c r="AW458" i="1"/>
  <c r="AX458" i="1" s="1"/>
  <c r="AZ458" i="1" s="1"/>
  <c r="BA458" i="1" s="1"/>
  <c r="AJ533" i="1"/>
  <c r="AJ557" i="1"/>
  <c r="AN557" i="1" s="1"/>
  <c r="AO557" i="1" s="1"/>
  <c r="AJ547" i="1"/>
  <c r="W533" i="1"/>
  <c r="Z533" i="1"/>
  <c r="AC533" i="1" s="1"/>
  <c r="AM533" i="1" s="1"/>
  <c r="W514" i="1"/>
  <c r="AN514" i="1" s="1"/>
  <c r="AO514" i="1" s="1"/>
  <c r="Z514" i="1"/>
  <c r="AC514" i="1" s="1"/>
  <c r="AM514" i="1" s="1"/>
  <c r="AW477" i="1"/>
  <c r="AX477" i="1" s="1"/>
  <c r="AZ477" i="1" s="1"/>
  <c r="BA477" i="1" s="1"/>
  <c r="AW431" i="1"/>
  <c r="AX431" i="1" s="1"/>
  <c r="AZ431" i="1" s="1"/>
  <c r="BA431" i="1" s="1"/>
  <c r="AP427" i="1"/>
  <c r="AS427" i="1" s="1"/>
  <c r="AW427" i="1"/>
  <c r="AX427" i="1" s="1"/>
  <c r="AZ427" i="1" s="1"/>
  <c r="BA427" i="1" s="1"/>
  <c r="AJ395" i="1"/>
  <c r="AW327" i="1"/>
  <c r="AX327" i="1" s="1"/>
  <c r="AZ327" i="1" s="1"/>
  <c r="BA327" i="1" s="1"/>
  <c r="Z329" i="1"/>
  <c r="AC329" i="1" s="1"/>
  <c r="AM329" i="1" s="1"/>
  <c r="W329" i="1"/>
  <c r="W262" i="1"/>
  <c r="AN262" i="1" s="1"/>
  <c r="AO262" i="1" s="1"/>
  <c r="Z262" i="1"/>
  <c r="AC262" i="1" s="1"/>
  <c r="AM262" i="1" s="1"/>
  <c r="Z209" i="1"/>
  <c r="AC209" i="1" s="1"/>
  <c r="AM209" i="1" s="1"/>
  <c r="W209" i="1"/>
  <c r="AN209" i="1" s="1"/>
  <c r="AO209" i="1" s="1"/>
  <c r="Z440" i="1"/>
  <c r="AC440" i="1" s="1"/>
  <c r="AM440" i="1" s="1"/>
  <c r="W440" i="1"/>
  <c r="AN440" i="1" s="1"/>
  <c r="AO440" i="1" s="1"/>
  <c r="AW219" i="1"/>
  <c r="AX219" i="1" s="1"/>
  <c r="AZ219" i="1" s="1"/>
  <c r="BA219" i="1" s="1"/>
  <c r="AP219" i="1"/>
  <c r="AS219" i="1" s="1"/>
  <c r="W165" i="1"/>
  <c r="Z165" i="1"/>
  <c r="AC165" i="1" s="1"/>
  <c r="AM165" i="1" s="1"/>
  <c r="Z293" i="1"/>
  <c r="AC293" i="1" s="1"/>
  <c r="AM293" i="1" s="1"/>
  <c r="W293" i="1"/>
  <c r="AW147" i="1"/>
  <c r="AX147" i="1" s="1"/>
  <c r="AZ147" i="1" s="1"/>
  <c r="BA147" i="1" s="1"/>
  <c r="Z105" i="1"/>
  <c r="AC105" i="1" s="1"/>
  <c r="AM105" i="1" s="1"/>
  <c r="W105" i="1"/>
  <c r="AN105" i="1" s="1"/>
  <c r="AO105" i="1" s="1"/>
  <c r="AW230" i="1"/>
  <c r="AX230" i="1" s="1"/>
  <c r="AZ230" i="1" s="1"/>
  <c r="BA230" i="1" s="1"/>
  <c r="Z146" i="1"/>
  <c r="AC146" i="1" s="1"/>
  <c r="AM146" i="1" s="1"/>
  <c r="W146" i="1"/>
  <c r="AN146" i="1" s="1"/>
  <c r="AO146" i="1" s="1"/>
  <c r="Z43" i="1"/>
  <c r="AC43" i="1" s="1"/>
  <c r="AM43" i="1" s="1"/>
  <c r="W43" i="1"/>
  <c r="AN43" i="1" s="1"/>
  <c r="AO43" i="1" s="1"/>
  <c r="W18" i="1"/>
  <c r="AN18" i="1" s="1"/>
  <c r="AO18" i="1" s="1"/>
  <c r="Z18" i="1"/>
  <c r="AC18" i="1" s="1"/>
  <c r="AM18" i="1" s="1"/>
  <c r="W28" i="1"/>
  <c r="AN28" i="1" s="1"/>
  <c r="AO28" i="1" s="1"/>
  <c r="Z28" i="1"/>
  <c r="AC28" i="1" s="1"/>
  <c r="AM28" i="1" s="1"/>
  <c r="Z115" i="1"/>
  <c r="AC115" i="1" s="1"/>
  <c r="AM115" i="1" s="1"/>
  <c r="W115" i="1"/>
  <c r="AN115" i="1" s="1"/>
  <c r="AO115" i="1" s="1"/>
  <c r="Z21" i="1"/>
  <c r="AC21" i="1" s="1"/>
  <c r="AM21" i="1" s="1"/>
  <c r="W21" i="1"/>
  <c r="AN21" i="1" s="1"/>
  <c r="AO21" i="1" s="1"/>
  <c r="AJ195" i="1"/>
  <c r="AJ51" i="1"/>
  <c r="AN51" i="1" s="1"/>
  <c r="AO51" i="1" s="1"/>
  <c r="AM51" i="1"/>
  <c r="AW27" i="1"/>
  <c r="AX27" i="1" s="1"/>
  <c r="AZ27" i="1" s="1"/>
  <c r="BA27" i="1" s="1"/>
  <c r="Z168" i="1"/>
  <c r="AC168" i="1" s="1"/>
  <c r="AM168" i="1" s="1"/>
  <c r="W168" i="1"/>
  <c r="AN168" i="1" s="1"/>
  <c r="AO168" i="1" s="1"/>
  <c r="AN48" i="1"/>
  <c r="AW297" i="1"/>
  <c r="AX297" i="1" s="1"/>
  <c r="AZ297" i="1" s="1"/>
  <c r="BA297" i="1" s="1"/>
  <c r="AJ71" i="1"/>
  <c r="AW15" i="1"/>
  <c r="AX15" i="1" s="1"/>
  <c r="AZ15" i="1" s="1"/>
  <c r="BA15" i="1" s="1"/>
  <c r="AJ172" i="1"/>
  <c r="AJ830" i="1"/>
  <c r="AM830" i="1"/>
  <c r="AJ738" i="1"/>
  <c r="AN738" i="1" s="1"/>
  <c r="AO738" i="1" s="1"/>
  <c r="Z545" i="1"/>
  <c r="AC545" i="1" s="1"/>
  <c r="AM545" i="1" s="1"/>
  <c r="W545" i="1"/>
  <c r="AJ460" i="1"/>
  <c r="AW946" i="1"/>
  <c r="AX946" i="1" s="1"/>
  <c r="AZ946" i="1" s="1"/>
  <c r="BA946" i="1" s="1"/>
  <c r="AP946" i="1"/>
  <c r="AS946" i="1" s="1"/>
  <c r="W814" i="1"/>
  <c r="AN814" i="1" s="1"/>
  <c r="AO814" i="1" s="1"/>
  <c r="Z814" i="1"/>
  <c r="AC814" i="1" s="1"/>
  <c r="AM814" i="1" s="1"/>
  <c r="W683" i="1"/>
  <c r="AN683" i="1" s="1"/>
  <c r="AO683" i="1" s="1"/>
  <c r="Z683" i="1"/>
  <c r="AC683" i="1" s="1"/>
  <c r="AM683" i="1" s="1"/>
  <c r="AW922" i="1"/>
  <c r="AX922" i="1" s="1"/>
  <c r="AZ922" i="1" s="1"/>
  <c r="BA922" i="1" s="1"/>
  <c r="W603" i="1"/>
  <c r="Z603" i="1"/>
  <c r="AC603" i="1" s="1"/>
  <c r="AM603" i="1" s="1"/>
  <c r="AW653" i="1"/>
  <c r="AX653" i="1" s="1"/>
  <c r="AZ653" i="1" s="1"/>
  <c r="BA653" i="1" s="1"/>
  <c r="AM353" i="1"/>
  <c r="AJ353" i="1"/>
  <c r="Z736" i="1"/>
  <c r="AC736" i="1" s="1"/>
  <c r="AM736" i="1" s="1"/>
  <c r="W736" i="1"/>
  <c r="AJ821" i="1"/>
  <c r="AJ907" i="1"/>
  <c r="AN907" i="1" s="1"/>
  <c r="AO907" i="1" s="1"/>
  <c r="Z867" i="1"/>
  <c r="AC867" i="1" s="1"/>
  <c r="AM867" i="1" s="1"/>
  <c r="W867" i="1"/>
  <c r="AN867" i="1" s="1"/>
  <c r="AO867" i="1" s="1"/>
  <c r="AW888" i="1"/>
  <c r="AX888" i="1" s="1"/>
  <c r="AZ888" i="1" s="1"/>
  <c r="BA888" i="1" s="1"/>
  <c r="AJ450" i="1"/>
  <c r="Z943" i="1"/>
  <c r="AC943" i="1" s="1"/>
  <c r="AM943" i="1" s="1"/>
  <c r="W943" i="1"/>
  <c r="AN943" i="1" s="1"/>
  <c r="AO943" i="1" s="1"/>
  <c r="AJ823" i="1"/>
  <c r="AN823" i="1" s="1"/>
  <c r="AO823" i="1" s="1"/>
  <c r="AM823" i="1"/>
  <c r="AW925" i="1"/>
  <c r="AX925" i="1" s="1"/>
  <c r="AZ925" i="1" s="1"/>
  <c r="BA925" i="1" s="1"/>
  <c r="AJ878" i="1"/>
  <c r="Z826" i="1"/>
  <c r="AC826" i="1" s="1"/>
  <c r="AM826" i="1" s="1"/>
  <c r="W826" i="1"/>
  <c r="AN826" i="1" s="1"/>
  <c r="AO826" i="1" s="1"/>
  <c r="W667" i="1"/>
  <c r="AN667" i="1" s="1"/>
  <c r="AO667" i="1" s="1"/>
  <c r="Z667" i="1"/>
  <c r="AC667" i="1" s="1"/>
  <c r="AM667" i="1" s="1"/>
  <c r="AM612" i="1"/>
  <c r="AJ612" i="1"/>
  <c r="AN612" i="1" s="1"/>
  <c r="AO612" i="1" s="1"/>
  <c r="W716" i="1"/>
  <c r="Z716" i="1"/>
  <c r="AC716" i="1" s="1"/>
  <c r="AM716" i="1" s="1"/>
  <c r="AM462" i="1"/>
  <c r="AJ462" i="1"/>
  <c r="AM199" i="1"/>
  <c r="AJ199" i="1"/>
  <c r="AN199" i="1" s="1"/>
  <c r="AO199" i="1" s="1"/>
  <c r="AJ447" i="1"/>
  <c r="AW505" i="1"/>
  <c r="AX505" i="1" s="1"/>
  <c r="AZ505" i="1" s="1"/>
  <c r="BA505" i="1" s="1"/>
  <c r="Z476" i="1"/>
  <c r="AC476" i="1" s="1"/>
  <c r="AM476" i="1" s="1"/>
  <c r="W476" i="1"/>
  <c r="Z423" i="1"/>
  <c r="AC423" i="1" s="1"/>
  <c r="AM423" i="1" s="1"/>
  <c r="W423" i="1"/>
  <c r="AJ323" i="1"/>
  <c r="AN323" i="1" s="1"/>
  <c r="AO323" i="1" s="1"/>
  <c r="AW326" i="1"/>
  <c r="AX326" i="1" s="1"/>
  <c r="AZ326" i="1" s="1"/>
  <c r="BA326" i="1" s="1"/>
  <c r="AN400" i="1"/>
  <c r="AO400" i="1" s="1"/>
  <c r="AM260" i="1"/>
  <c r="AJ260" i="1"/>
  <c r="AN260" i="1" s="1"/>
  <c r="AO260" i="1" s="1"/>
  <c r="AP207" i="1"/>
  <c r="AS207" i="1" s="1"/>
  <c r="AW207" i="1"/>
  <c r="AX207" i="1" s="1"/>
  <c r="AZ207" i="1" s="1"/>
  <c r="BA207" i="1" s="1"/>
  <c r="AW231" i="1"/>
  <c r="AX231" i="1" s="1"/>
  <c r="AZ231" i="1" s="1"/>
  <c r="BA231" i="1" s="1"/>
  <c r="AJ91" i="1"/>
  <c r="AJ204" i="1"/>
  <c r="AM204" i="1"/>
  <c r="Z81" i="1"/>
  <c r="AC81" i="1" s="1"/>
  <c r="AM81" i="1" s="1"/>
  <c r="W81" i="1"/>
  <c r="Z296" i="1"/>
  <c r="AC296" i="1" s="1"/>
  <c r="AM296" i="1" s="1"/>
  <c r="W296" i="1"/>
  <c r="AN296" i="1" s="1"/>
  <c r="AO296" i="1" s="1"/>
  <c r="W70" i="1"/>
  <c r="AN70" i="1" s="1"/>
  <c r="AO70" i="1" s="1"/>
  <c r="Z70" i="1"/>
  <c r="AC70" i="1" s="1"/>
  <c r="AM70" i="1" s="1"/>
  <c r="W192" i="1"/>
  <c r="Z192" i="1"/>
  <c r="AC192" i="1" s="1"/>
  <c r="AM192" i="1" s="1"/>
  <c r="Z38" i="1"/>
  <c r="AC38" i="1" s="1"/>
  <c r="AM38" i="1" s="1"/>
  <c r="W38" i="1"/>
  <c r="AN38" i="1" s="1"/>
  <c r="AO38" i="1" s="1"/>
  <c r="Z9" i="1"/>
  <c r="AC9" i="1" s="1"/>
  <c r="AM9" i="1" s="1"/>
  <c r="W9" i="1"/>
  <c r="AN9" i="1" s="1"/>
  <c r="AO9" i="1" s="1"/>
  <c r="AJ164" i="1"/>
  <c r="AM164" i="1"/>
  <c r="AW97" i="1"/>
  <c r="AX97" i="1" s="1"/>
  <c r="AZ97" i="1" s="1"/>
  <c r="BA97" i="1" s="1"/>
  <c r="W247" i="1"/>
  <c r="AN247" i="1" s="1"/>
  <c r="AO247" i="1" s="1"/>
  <c r="Z247" i="1"/>
  <c r="AC247" i="1" s="1"/>
  <c r="AM247" i="1" s="1"/>
  <c r="W862" i="1"/>
  <c r="AN862" i="1" s="1"/>
  <c r="AO862" i="1" s="1"/>
  <c r="Z862" i="1"/>
  <c r="AC862" i="1" s="1"/>
  <c r="AM862" i="1" s="1"/>
  <c r="Z860" i="1"/>
  <c r="AC860" i="1" s="1"/>
  <c r="AM860" i="1" s="1"/>
  <c r="W860" i="1"/>
  <c r="AN860" i="1" s="1"/>
  <c r="AO860" i="1" s="1"/>
  <c r="W856" i="1"/>
  <c r="Z856" i="1"/>
  <c r="AC856" i="1" s="1"/>
  <c r="AM856" i="1" s="1"/>
  <c r="Z771" i="1"/>
  <c r="AC771" i="1" s="1"/>
  <c r="AM771" i="1" s="1"/>
  <c r="W771" i="1"/>
  <c r="AN771" i="1" s="1"/>
  <c r="AO771" i="1" s="1"/>
  <c r="AM876" i="1"/>
  <c r="AJ876" i="1"/>
  <c r="AN876" i="1" s="1"/>
  <c r="AO876" i="1" s="1"/>
  <c r="Z724" i="1"/>
  <c r="AC724" i="1" s="1"/>
  <c r="AM724" i="1" s="1"/>
  <c r="W724" i="1"/>
  <c r="AN724" i="1" s="1"/>
  <c r="AO724" i="1" s="1"/>
  <c r="AW811" i="1"/>
  <c r="AX811" i="1" s="1"/>
  <c r="AZ811" i="1" s="1"/>
  <c r="BA811" i="1" s="1"/>
  <c r="AW792" i="1"/>
  <c r="AX792" i="1" s="1"/>
  <c r="AZ792" i="1" s="1"/>
  <c r="BA792" i="1" s="1"/>
  <c r="W889" i="1"/>
  <c r="AN889" i="1" s="1"/>
  <c r="AO889" i="1" s="1"/>
  <c r="Z889" i="1"/>
  <c r="AC889" i="1" s="1"/>
  <c r="AM889" i="1" s="1"/>
  <c r="AN883" i="1"/>
  <c r="AO883" i="1" s="1"/>
  <c r="AJ782" i="1"/>
  <c r="AN782" i="1" s="1"/>
  <c r="AO782" i="1" s="1"/>
  <c r="AW759" i="1"/>
  <c r="AX759" i="1" s="1"/>
  <c r="AZ759" i="1" s="1"/>
  <c r="BA759" i="1" s="1"/>
  <c r="Z744" i="1"/>
  <c r="AC744" i="1" s="1"/>
  <c r="AM744" i="1" s="1"/>
  <c r="W744" i="1"/>
  <c r="AN744" i="1" s="1"/>
  <c r="AO744" i="1" s="1"/>
  <c r="AJ704" i="1"/>
  <c r="Z908" i="1"/>
  <c r="AC908" i="1" s="1"/>
  <c r="AM908" i="1" s="1"/>
  <c r="W908" i="1"/>
  <c r="AN908" i="1" s="1"/>
  <c r="AO908" i="1" s="1"/>
  <c r="AW799" i="1"/>
  <c r="AX799" i="1" s="1"/>
  <c r="AZ799" i="1" s="1"/>
  <c r="BA799" i="1" s="1"/>
  <c r="Z781" i="1"/>
  <c r="AC781" i="1" s="1"/>
  <c r="AM781" i="1" s="1"/>
  <c r="W781" i="1"/>
  <c r="AN781" i="1" s="1"/>
  <c r="AO781" i="1" s="1"/>
  <c r="Z560" i="1"/>
  <c r="AC560" i="1" s="1"/>
  <c r="AM560" i="1" s="1"/>
  <c r="W560" i="1"/>
  <c r="AM597" i="1"/>
  <c r="AJ597" i="1"/>
  <c r="AN597" i="1" s="1"/>
  <c r="AO597" i="1" s="1"/>
  <c r="AJ729" i="1"/>
  <c r="AN729" i="1" s="1"/>
  <c r="AO729" i="1" s="1"/>
  <c r="AJ556" i="1"/>
  <c r="AM556" i="1"/>
  <c r="AN757" i="1"/>
  <c r="W617" i="1"/>
  <c r="AN617" i="1" s="1"/>
  <c r="AO617" i="1" s="1"/>
  <c r="Z617" i="1"/>
  <c r="AC617" i="1" s="1"/>
  <c r="AM617" i="1" s="1"/>
  <c r="AN573" i="1"/>
  <c r="AO573" i="1" s="1"/>
  <c r="AJ521" i="1"/>
  <c r="W731" i="1"/>
  <c r="AN731" i="1" s="1"/>
  <c r="AO731" i="1" s="1"/>
  <c r="Z731" i="1"/>
  <c r="AC731" i="1" s="1"/>
  <c r="AM731" i="1" s="1"/>
  <c r="W598" i="1"/>
  <c r="AN598" i="1" s="1"/>
  <c r="AO598" i="1" s="1"/>
  <c r="Z598" i="1"/>
  <c r="AC598" i="1" s="1"/>
  <c r="AM598" i="1" s="1"/>
  <c r="Z675" i="1"/>
  <c r="AC675" i="1" s="1"/>
  <c r="AM675" i="1" s="1"/>
  <c r="W675" i="1"/>
  <c r="AN675" i="1" s="1"/>
  <c r="AO675" i="1" s="1"/>
  <c r="W539" i="1"/>
  <c r="Z539" i="1"/>
  <c r="AC539" i="1" s="1"/>
  <c r="AM539" i="1" s="1"/>
  <c r="AJ476" i="1"/>
  <c r="AJ546" i="1"/>
  <c r="AN546" i="1" s="1"/>
  <c r="AO546" i="1" s="1"/>
  <c r="AM546" i="1"/>
  <c r="Z408" i="1"/>
  <c r="AC408" i="1" s="1"/>
  <c r="AM408" i="1" s="1"/>
  <c r="W408" i="1"/>
  <c r="AN408" i="1" s="1"/>
  <c r="AO408" i="1" s="1"/>
  <c r="W312" i="1"/>
  <c r="AN312" i="1" s="1"/>
  <c r="AO312" i="1" s="1"/>
  <c r="Z312" i="1"/>
  <c r="AC312" i="1" s="1"/>
  <c r="AM312" i="1" s="1"/>
  <c r="Z580" i="1"/>
  <c r="AC580" i="1" s="1"/>
  <c r="AM580" i="1" s="1"/>
  <c r="W580" i="1"/>
  <c r="AN580" i="1" s="1"/>
  <c r="AO580" i="1" s="1"/>
  <c r="AM775" i="1"/>
  <c r="AJ775" i="1"/>
  <c r="W565" i="1"/>
  <c r="AN565" i="1" s="1"/>
  <c r="AO565" i="1" s="1"/>
  <c r="Z565" i="1"/>
  <c r="AC565" i="1" s="1"/>
  <c r="AM565" i="1" s="1"/>
  <c r="W699" i="1"/>
  <c r="AN699" i="1" s="1"/>
  <c r="AO699" i="1" s="1"/>
  <c r="Z699" i="1"/>
  <c r="AC699" i="1" s="1"/>
  <c r="AM699" i="1" s="1"/>
  <c r="Z388" i="1"/>
  <c r="AC388" i="1" s="1"/>
  <c r="AM388" i="1" s="1"/>
  <c r="W388" i="1"/>
  <c r="AN388" i="1" s="1"/>
  <c r="AO388" i="1" s="1"/>
  <c r="AN468" i="1"/>
  <c r="AO468" i="1" s="1"/>
  <c r="AW373" i="1"/>
  <c r="AX373" i="1" s="1"/>
  <c r="AZ373" i="1" s="1"/>
  <c r="BA373" i="1" s="1"/>
  <c r="AP373" i="1"/>
  <c r="AS373" i="1" s="1"/>
  <c r="AJ615" i="1"/>
  <c r="AJ246" i="1"/>
  <c r="AW448" i="1"/>
  <c r="AX448" i="1" s="1"/>
  <c r="AZ448" i="1" s="1"/>
  <c r="BA448" i="1" s="1"/>
  <c r="AJ293" i="1"/>
  <c r="AJ545" i="1"/>
  <c r="AW349" i="1"/>
  <c r="AX349" i="1" s="1"/>
  <c r="AZ349" i="1" s="1"/>
  <c r="BA349" i="1" s="1"/>
  <c r="W398" i="1"/>
  <c r="AN398" i="1" s="1"/>
  <c r="AO398" i="1" s="1"/>
  <c r="Z398" i="1"/>
  <c r="AC398" i="1" s="1"/>
  <c r="AM398" i="1" s="1"/>
  <c r="W412" i="1"/>
  <c r="AN412" i="1" s="1"/>
  <c r="AO412" i="1" s="1"/>
  <c r="Z412" i="1"/>
  <c r="AC412" i="1" s="1"/>
  <c r="AM412" i="1" s="1"/>
  <c r="Z161" i="1"/>
  <c r="AC161" i="1" s="1"/>
  <c r="AM161" i="1" s="1"/>
  <c r="W161" i="1"/>
  <c r="AN161" i="1" s="1"/>
  <c r="AO161" i="1" s="1"/>
  <c r="AW372" i="1"/>
  <c r="AX372" i="1" s="1"/>
  <c r="AZ372" i="1" s="1"/>
  <c r="BA372" i="1" s="1"/>
  <c r="AP372" i="1"/>
  <c r="AS372" i="1" s="1"/>
  <c r="Z317" i="1"/>
  <c r="AC317" i="1" s="1"/>
  <c r="AM317" i="1" s="1"/>
  <c r="W317" i="1"/>
  <c r="AN317" i="1" s="1"/>
  <c r="AO317" i="1" s="1"/>
  <c r="W251" i="1"/>
  <c r="AN251" i="1" s="1"/>
  <c r="AO251" i="1" s="1"/>
  <c r="Z251" i="1"/>
  <c r="AC251" i="1" s="1"/>
  <c r="AM251" i="1" s="1"/>
  <c r="Z163" i="1"/>
  <c r="AC163" i="1" s="1"/>
  <c r="AM163" i="1" s="1"/>
  <c r="W163" i="1"/>
  <c r="AN163" i="1" s="1"/>
  <c r="AO163" i="1" s="1"/>
  <c r="AW217" i="1"/>
  <c r="AX217" i="1" s="1"/>
  <c r="AZ217" i="1" s="1"/>
  <c r="BA217" i="1" s="1"/>
  <c r="AP217" i="1"/>
  <c r="AS217" i="1" s="1"/>
  <c r="AW178" i="1"/>
  <c r="AX178" i="1" s="1"/>
  <c r="AZ178" i="1" s="1"/>
  <c r="BA178" i="1" s="1"/>
  <c r="W33" i="1"/>
  <c r="AN33" i="1" s="1"/>
  <c r="AO33" i="1" s="1"/>
  <c r="Z33" i="1"/>
  <c r="AC33" i="1" s="1"/>
  <c r="AM33" i="1" s="1"/>
  <c r="W172" i="1"/>
  <c r="Z172" i="1"/>
  <c r="AC172" i="1" s="1"/>
  <c r="AM172" i="1" s="1"/>
  <c r="AW190" i="1"/>
  <c r="AX190" i="1" s="1"/>
  <c r="AZ190" i="1" s="1"/>
  <c r="BA190" i="1" s="1"/>
  <c r="Z62" i="1"/>
  <c r="AC62" i="1" s="1"/>
  <c r="AM62" i="1" s="1"/>
  <c r="W62" i="1"/>
  <c r="AN62" i="1" s="1"/>
  <c r="AO62" i="1" s="1"/>
  <c r="AJ272" i="1"/>
  <c r="Z101" i="1"/>
  <c r="AC101" i="1" s="1"/>
  <c r="AM101" i="1" s="1"/>
  <c r="W101" i="1"/>
  <c r="AN101" i="1" s="1"/>
  <c r="AO101" i="1" s="1"/>
  <c r="AJ165" i="1"/>
  <c r="Z236" i="1"/>
  <c r="AC236" i="1" s="1"/>
  <c r="AM236" i="1" s="1"/>
  <c r="W236" i="1"/>
  <c r="AJ149" i="1"/>
  <c r="Z94" i="1"/>
  <c r="AC94" i="1" s="1"/>
  <c r="AM94" i="1" s="1"/>
  <c r="W94" i="1"/>
  <c r="AN224" i="1"/>
  <c r="AO224" i="1" s="1"/>
  <c r="W14" i="1"/>
  <c r="AN14" i="1" s="1"/>
  <c r="AO14" i="1" s="1"/>
  <c r="Z14" i="1"/>
  <c r="AC14" i="1" s="1"/>
  <c r="AM14" i="1" s="1"/>
  <c r="AW134" i="1"/>
  <c r="AX134" i="1" s="1"/>
  <c r="AZ134" i="1" s="1"/>
  <c r="BA134" i="1" s="1"/>
  <c r="AJ365" i="1"/>
  <c r="AW31" i="1"/>
  <c r="AX31" i="1" s="1"/>
  <c r="AZ31" i="1" s="1"/>
  <c r="BA31" i="1" s="1"/>
  <c r="Z117" i="1"/>
  <c r="AC117" i="1" s="1"/>
  <c r="AM117" i="1" s="1"/>
  <c r="W117" i="1"/>
  <c r="AN117" i="1" s="1"/>
  <c r="AO117" i="1" s="1"/>
  <c r="AJ292" i="1"/>
  <c r="AM292" i="1"/>
  <c r="AW86" i="1"/>
  <c r="AX86" i="1" s="1"/>
  <c r="AZ86" i="1" s="1"/>
  <c r="BA86" i="1" s="1"/>
  <c r="AW23" i="1"/>
  <c r="AX23" i="1" s="1"/>
  <c r="AZ23" i="1" s="1"/>
  <c r="BA23" i="1" s="1"/>
  <c r="Z175" i="1"/>
  <c r="AC175" i="1" s="1"/>
  <c r="AM175" i="1" s="1"/>
  <c r="W175" i="1"/>
  <c r="Z891" i="1"/>
  <c r="AC891" i="1" s="1"/>
  <c r="AM891" i="1" s="1"/>
  <c r="W891" i="1"/>
  <c r="AN891" i="1" s="1"/>
  <c r="AO891" i="1" s="1"/>
  <c r="AJ774" i="1"/>
  <c r="W591" i="1"/>
  <c r="AN591" i="1" s="1"/>
  <c r="AO591" i="1" s="1"/>
  <c r="Z591" i="1"/>
  <c r="AC591" i="1" s="1"/>
  <c r="AM591" i="1" s="1"/>
  <c r="AW718" i="1"/>
  <c r="AX718" i="1" s="1"/>
  <c r="AZ718" i="1" s="1"/>
  <c r="BA718" i="1" s="1"/>
  <c r="AM600" i="1"/>
  <c r="AJ600" i="1"/>
  <c r="AN600" i="1" s="1"/>
  <c r="AO600" i="1" s="1"/>
  <c r="AW677" i="1"/>
  <c r="AX677" i="1" s="1"/>
  <c r="AZ677" i="1" s="1"/>
  <c r="BA677" i="1" s="1"/>
  <c r="W673" i="1"/>
  <c r="AN673" i="1" s="1"/>
  <c r="AO673" i="1" s="1"/>
  <c r="Z673" i="1"/>
  <c r="AC673" i="1" s="1"/>
  <c r="AM673" i="1" s="1"/>
  <c r="AJ603" i="1"/>
  <c r="AM650" i="1"/>
  <c r="AJ650" i="1"/>
  <c r="AJ625" i="1"/>
  <c r="AN625" i="1" s="1"/>
  <c r="AO625" i="1" s="1"/>
  <c r="AW587" i="1"/>
  <c r="AX587" i="1" s="1"/>
  <c r="AZ587" i="1" s="1"/>
  <c r="BA587" i="1" s="1"/>
  <c r="AP587" i="1"/>
  <c r="AS587" i="1" s="1"/>
  <c r="AJ474" i="1"/>
  <c r="W547" i="1"/>
  <c r="Z547" i="1"/>
  <c r="AC547" i="1" s="1"/>
  <c r="AM547" i="1" s="1"/>
  <c r="AW722" i="1"/>
  <c r="AX722" i="1" s="1"/>
  <c r="AZ722" i="1" s="1"/>
  <c r="BA722" i="1" s="1"/>
  <c r="AM640" i="1"/>
  <c r="AJ640" i="1"/>
  <c r="AJ539" i="1"/>
  <c r="W223" i="1"/>
  <c r="AN223" i="1" s="1"/>
  <c r="AO223" i="1" s="1"/>
  <c r="Z223" i="1"/>
  <c r="AC223" i="1" s="1"/>
  <c r="AM223" i="1" s="1"/>
  <c r="W425" i="1"/>
  <c r="AN425" i="1" s="1"/>
  <c r="AO425" i="1" s="1"/>
  <c r="Z425" i="1"/>
  <c r="AC425" i="1" s="1"/>
  <c r="AM425" i="1" s="1"/>
  <c r="W684" i="1"/>
  <c r="AN684" i="1" s="1"/>
  <c r="AO684" i="1" s="1"/>
  <c r="Z684" i="1"/>
  <c r="AC684" i="1" s="1"/>
  <c r="AM684" i="1" s="1"/>
  <c r="AJ633" i="1"/>
  <c r="AJ377" i="1"/>
  <c r="AN377" i="1" s="1"/>
  <c r="AO377" i="1" s="1"/>
  <c r="AM528" i="1"/>
  <c r="AJ528" i="1"/>
  <c r="AN470" i="1"/>
  <c r="W450" i="1"/>
  <c r="Z450" i="1"/>
  <c r="AC450" i="1" s="1"/>
  <c r="AM450" i="1" s="1"/>
  <c r="AW466" i="1"/>
  <c r="AX466" i="1" s="1"/>
  <c r="AZ466" i="1" s="1"/>
  <c r="BA466" i="1" s="1"/>
  <c r="Z384" i="1"/>
  <c r="AC384" i="1" s="1"/>
  <c r="AM384" i="1" s="1"/>
  <c r="W384" i="1"/>
  <c r="AN384" i="1" s="1"/>
  <c r="AO384" i="1" s="1"/>
  <c r="AN457" i="1"/>
  <c r="AO457" i="1" s="1"/>
  <c r="Z319" i="1"/>
  <c r="AC319" i="1" s="1"/>
  <c r="AM319" i="1" s="1"/>
  <c r="W319" i="1"/>
  <c r="Z578" i="1"/>
  <c r="AC578" i="1" s="1"/>
  <c r="AM578" i="1" s="1"/>
  <c r="W578" i="1"/>
  <c r="Z424" i="1"/>
  <c r="AC424" i="1" s="1"/>
  <c r="AM424" i="1" s="1"/>
  <c r="W424" i="1"/>
  <c r="AN424" i="1" s="1"/>
  <c r="AO424" i="1" s="1"/>
  <c r="Z378" i="1"/>
  <c r="AC378" i="1" s="1"/>
  <c r="AM378" i="1" s="1"/>
  <c r="W378" i="1"/>
  <c r="Z563" i="1"/>
  <c r="AC563" i="1" s="1"/>
  <c r="AM563" i="1" s="1"/>
  <c r="W563" i="1"/>
  <c r="AN563" i="1" s="1"/>
  <c r="AO563" i="1" s="1"/>
  <c r="AM210" i="1"/>
  <c r="AJ210" i="1"/>
  <c r="AN210" i="1" s="1"/>
  <c r="AO210" i="1" s="1"/>
  <c r="AM278" i="1"/>
  <c r="AJ278" i="1"/>
  <c r="AN278" i="1" s="1"/>
  <c r="AO278" i="1" s="1"/>
  <c r="AJ236" i="1"/>
  <c r="Z331" i="1"/>
  <c r="AC331" i="1" s="1"/>
  <c r="AM331" i="1" s="1"/>
  <c r="W331" i="1"/>
  <c r="W261" i="1"/>
  <c r="Z261" i="1"/>
  <c r="AC261" i="1" s="1"/>
  <c r="AM261" i="1" s="1"/>
  <c r="Z291" i="1"/>
  <c r="AC291" i="1" s="1"/>
  <c r="AM291" i="1" s="1"/>
  <c r="W291" i="1"/>
  <c r="AN291" i="1" s="1"/>
  <c r="AO291" i="1" s="1"/>
  <c r="AJ187" i="1"/>
  <c r="AM187" i="1"/>
  <c r="AW287" i="1"/>
  <c r="AX287" i="1" s="1"/>
  <c r="AZ287" i="1" s="1"/>
  <c r="BA287" i="1" s="1"/>
  <c r="Z310" i="1"/>
  <c r="AC310" i="1" s="1"/>
  <c r="AM310" i="1" s="1"/>
  <c r="W310" i="1"/>
  <c r="AN310" i="1" s="1"/>
  <c r="AO310" i="1" s="1"/>
  <c r="AJ354" i="1"/>
  <c r="AM389" i="1"/>
  <c r="AJ389" i="1"/>
  <c r="AW179" i="1"/>
  <c r="AX179" i="1" s="1"/>
  <c r="AZ179" i="1" s="1"/>
  <c r="BA179" i="1" s="1"/>
  <c r="AN350" i="1"/>
  <c r="AO350" i="1" s="1"/>
  <c r="Z91" i="1"/>
  <c r="AC91" i="1" s="1"/>
  <c r="AM91" i="1" s="1"/>
  <c r="W91" i="1"/>
  <c r="AM72" i="1"/>
  <c r="AJ72" i="1"/>
  <c r="Z103" i="1"/>
  <c r="AC103" i="1" s="1"/>
  <c r="AM103" i="1" s="1"/>
  <c r="W103" i="1"/>
  <c r="AN103" i="1" s="1"/>
  <c r="AO103" i="1" s="1"/>
  <c r="AW52" i="1"/>
  <c r="AX52" i="1" s="1"/>
  <c r="AZ52" i="1" s="1"/>
  <c r="BA52" i="1" s="1"/>
  <c r="AN75" i="1"/>
  <c r="AO75" i="1" s="1"/>
  <c r="AW302" i="1"/>
  <c r="AX302" i="1" s="1"/>
  <c r="AZ302" i="1" s="1"/>
  <c r="BA302" i="1" s="1"/>
  <c r="AN6" i="1"/>
  <c r="AO6" i="1" s="1"/>
  <c r="AJ856" i="1"/>
  <c r="AW894" i="1"/>
  <c r="AX894" i="1" s="1"/>
  <c r="AZ894" i="1" s="1"/>
  <c r="BA894" i="1" s="1"/>
  <c r="AM859" i="1"/>
  <c r="AJ859" i="1"/>
  <c r="W774" i="1"/>
  <c r="Z774" i="1"/>
  <c r="AC774" i="1" s="1"/>
  <c r="AM774" i="1" s="1"/>
  <c r="Z773" i="1"/>
  <c r="AC773" i="1" s="1"/>
  <c r="AM773" i="1" s="1"/>
  <c r="W773" i="1"/>
  <c r="AN773" i="1" s="1"/>
  <c r="AO773" i="1" s="1"/>
  <c r="W906" i="1"/>
  <c r="AN906" i="1" s="1"/>
  <c r="AO906" i="1" s="1"/>
  <c r="Z906" i="1"/>
  <c r="AC906" i="1" s="1"/>
  <c r="AM906" i="1" s="1"/>
  <c r="Z726" i="1"/>
  <c r="AC726" i="1" s="1"/>
  <c r="AM726" i="1" s="1"/>
  <c r="W726" i="1"/>
  <c r="AN726" i="1" s="1"/>
  <c r="AO726" i="1" s="1"/>
  <c r="W687" i="1"/>
  <c r="AN687" i="1" s="1"/>
  <c r="AO687" i="1" s="1"/>
  <c r="Z687" i="1"/>
  <c r="AC687" i="1" s="1"/>
  <c r="AM687" i="1" s="1"/>
  <c r="AM750" i="1"/>
  <c r="AJ750" i="1"/>
  <c r="W696" i="1"/>
  <c r="AN696" i="1" s="1"/>
  <c r="AO696" i="1" s="1"/>
  <c r="Z696" i="1"/>
  <c r="AC696" i="1" s="1"/>
  <c r="AM696" i="1" s="1"/>
  <c r="Z865" i="1"/>
  <c r="AC865" i="1" s="1"/>
  <c r="AM865" i="1" s="1"/>
  <c r="W865" i="1"/>
  <c r="AN865" i="1" s="1"/>
  <c r="AO865" i="1" s="1"/>
  <c r="AM688" i="1"/>
  <c r="AJ688" i="1"/>
  <c r="Z690" i="1"/>
  <c r="AC690" i="1" s="1"/>
  <c r="AM690" i="1" s="1"/>
  <c r="W690" i="1"/>
  <c r="AN690" i="1" s="1"/>
  <c r="AO690" i="1" s="1"/>
  <c r="AJ578" i="1"/>
  <c r="AM648" i="1"/>
  <c r="AJ648" i="1"/>
  <c r="AM714" i="1"/>
  <c r="AJ714" i="1"/>
  <c r="AN714" i="1" s="1"/>
  <c r="AO714" i="1" s="1"/>
  <c r="Z651" i="1"/>
  <c r="AC651" i="1" s="1"/>
  <c r="AM651" i="1" s="1"/>
  <c r="W651" i="1"/>
  <c r="Z734" i="1"/>
  <c r="AC734" i="1" s="1"/>
  <c r="AM734" i="1" s="1"/>
  <c r="W734" i="1"/>
  <c r="AJ689" i="1"/>
  <c r="AJ695" i="1"/>
  <c r="AN695" i="1" s="1"/>
  <c r="AO695" i="1" s="1"/>
  <c r="AM695" i="1"/>
  <c r="Z665" i="1"/>
  <c r="AC665" i="1" s="1"/>
  <c r="AM665" i="1" s="1"/>
  <c r="W665" i="1"/>
  <c r="AN665" i="1" s="1"/>
  <c r="AO665" i="1" s="1"/>
  <c r="AJ620" i="1"/>
  <c r="AN620" i="1" s="1"/>
  <c r="AO620" i="1" s="1"/>
  <c r="W480" i="1"/>
  <c r="AN480" i="1" s="1"/>
  <c r="AO480" i="1" s="1"/>
  <c r="Z480" i="1"/>
  <c r="AC480" i="1" s="1"/>
  <c r="AM480" i="1" s="1"/>
  <c r="Z414" i="1"/>
  <c r="AC414" i="1" s="1"/>
  <c r="AM414" i="1" s="1"/>
  <c r="W414" i="1"/>
  <c r="AN414" i="1" s="1"/>
  <c r="AO414" i="1" s="1"/>
  <c r="AW582" i="1"/>
  <c r="AX582" i="1" s="1"/>
  <c r="AZ582" i="1" s="1"/>
  <c r="BA582" i="1" s="1"/>
  <c r="AW553" i="1"/>
  <c r="AX553" i="1" s="1"/>
  <c r="AZ553" i="1" s="1"/>
  <c r="BA553" i="1" s="1"/>
  <c r="AJ481" i="1"/>
  <c r="AM481" i="1"/>
  <c r="Z508" i="1"/>
  <c r="AC508" i="1" s="1"/>
  <c r="AM508" i="1" s="1"/>
  <c r="W508" i="1"/>
  <c r="AN508" i="1" s="1"/>
  <c r="AO508" i="1" s="1"/>
  <c r="Z307" i="1"/>
  <c r="AC307" i="1" s="1"/>
  <c r="AM307" i="1" s="1"/>
  <c r="W307" i="1"/>
  <c r="AN307" i="1" s="1"/>
  <c r="AO307" i="1" s="1"/>
  <c r="AJ560" i="1"/>
  <c r="Z435" i="1"/>
  <c r="AC435" i="1" s="1"/>
  <c r="AM435" i="1" s="1"/>
  <c r="W435" i="1"/>
  <c r="AN435" i="1" s="1"/>
  <c r="AO435" i="1" s="1"/>
  <c r="AN368" i="1"/>
  <c r="AJ449" i="1"/>
  <c r="AM686" i="1"/>
  <c r="AJ686" i="1"/>
  <c r="AJ503" i="1"/>
  <c r="AN503" i="1" s="1"/>
  <c r="AO503" i="1" s="1"/>
  <c r="AM503" i="1"/>
  <c r="Z376" i="1"/>
  <c r="AC376" i="1" s="1"/>
  <c r="AM376" i="1" s="1"/>
  <c r="W376" i="1"/>
  <c r="AN376" i="1" s="1"/>
  <c r="AO376" i="1" s="1"/>
  <c r="AJ370" i="1"/>
  <c r="AN370" i="1" s="1"/>
  <c r="AO370" i="1" s="1"/>
  <c r="AJ387" i="1"/>
  <c r="AM387" i="1"/>
  <c r="Z271" i="1"/>
  <c r="AC271" i="1" s="1"/>
  <c r="AM271" i="1" s="1"/>
  <c r="W271" i="1"/>
  <c r="AN271" i="1" s="1"/>
  <c r="AO271" i="1" s="1"/>
  <c r="W538" i="1"/>
  <c r="AN538" i="1" s="1"/>
  <c r="AO538" i="1" s="1"/>
  <c r="Z538" i="1"/>
  <c r="AC538" i="1" s="1"/>
  <c r="AM538" i="1" s="1"/>
  <c r="Z601" i="1"/>
  <c r="AC601" i="1" s="1"/>
  <c r="AM601" i="1" s="1"/>
  <c r="W601" i="1"/>
  <c r="AW542" i="1"/>
  <c r="AX542" i="1" s="1"/>
  <c r="AZ542" i="1" s="1"/>
  <c r="BA542" i="1" s="1"/>
  <c r="AJ397" i="1"/>
  <c r="Z393" i="1"/>
  <c r="AC393" i="1" s="1"/>
  <c r="AM393" i="1" s="1"/>
  <c r="W393" i="1"/>
  <c r="AN393" i="1" s="1"/>
  <c r="AO393" i="1" s="1"/>
  <c r="AM356" i="1"/>
  <c r="AJ356" i="1"/>
  <c r="AN356" i="1" s="1"/>
  <c r="AO356" i="1" s="1"/>
  <c r="AJ555" i="1"/>
  <c r="AJ252" i="1"/>
  <c r="AN252" i="1" s="1"/>
  <c r="AO252" i="1" s="1"/>
  <c r="W572" i="1"/>
  <c r="AN572" i="1" s="1"/>
  <c r="AO572" i="1" s="1"/>
  <c r="Z572" i="1"/>
  <c r="AC572" i="1" s="1"/>
  <c r="AM572" i="1" s="1"/>
  <c r="AM344" i="1"/>
  <c r="AJ344" i="1"/>
  <c r="AN344" i="1" s="1"/>
  <c r="AO344" i="1" s="1"/>
  <c r="Z306" i="1"/>
  <c r="AC306" i="1" s="1"/>
  <c r="AM306" i="1" s="1"/>
  <c r="W306" i="1"/>
  <c r="AP158" i="1"/>
  <c r="AS158" i="1" s="1"/>
  <c r="AW158" i="1"/>
  <c r="AX158" i="1" s="1"/>
  <c r="AZ158" i="1" s="1"/>
  <c r="BA158" i="1" s="1"/>
  <c r="AN179" i="1"/>
  <c r="AM273" i="1"/>
  <c r="AJ273" i="1"/>
  <c r="AP182" i="1"/>
  <c r="AS182" i="1" s="1"/>
  <c r="AW182" i="1"/>
  <c r="AX182" i="1" s="1"/>
  <c r="AZ182" i="1" s="1"/>
  <c r="BA182" i="1" s="1"/>
  <c r="W214" i="1"/>
  <c r="AN214" i="1" s="1"/>
  <c r="AO214" i="1" s="1"/>
  <c r="Z214" i="1"/>
  <c r="AC214" i="1" s="1"/>
  <c r="AM214" i="1" s="1"/>
  <c r="Z64" i="1"/>
  <c r="AC64" i="1" s="1"/>
  <c r="AM64" i="1" s="1"/>
  <c r="W64" i="1"/>
  <c r="AN64" i="1" s="1"/>
  <c r="AO64" i="1" s="1"/>
  <c r="AJ154" i="1"/>
  <c r="W516" i="1"/>
  <c r="AN516" i="1" s="1"/>
  <c r="AO516" i="1" s="1"/>
  <c r="Z516" i="1"/>
  <c r="AC516" i="1" s="1"/>
  <c r="AM516" i="1" s="1"/>
  <c r="W246" i="1"/>
  <c r="Z246" i="1"/>
  <c r="AC246" i="1" s="1"/>
  <c r="AM246" i="1" s="1"/>
  <c r="AM139" i="1"/>
  <c r="AJ139" i="1"/>
  <c r="AN139" i="1" s="1"/>
  <c r="AO139" i="1" s="1"/>
  <c r="AJ201" i="1"/>
  <c r="AW54" i="1"/>
  <c r="AX54" i="1" s="1"/>
  <c r="AZ54" i="1" s="1"/>
  <c r="BA54" i="1" s="1"/>
  <c r="AP54" i="1"/>
  <c r="AS54" i="1" s="1"/>
  <c r="AJ183" i="1"/>
  <c r="AM183" i="1"/>
  <c r="W111" i="1"/>
  <c r="AN111" i="1" s="1"/>
  <c r="AO111" i="1" s="1"/>
  <c r="Z111" i="1"/>
  <c r="AC111" i="1" s="1"/>
  <c r="AM111" i="1" s="1"/>
  <c r="AN12" i="1"/>
  <c r="AO12" i="1" s="1"/>
  <c r="AP12" i="1" s="1"/>
  <c r="AS12" i="1" s="1"/>
  <c r="AN30" i="1"/>
  <c r="Z142" i="1"/>
  <c r="AC142" i="1" s="1"/>
  <c r="AM142" i="1" s="1"/>
  <c r="W142" i="1"/>
  <c r="AN142" i="1" s="1"/>
  <c r="AO142" i="1" s="1"/>
  <c r="AN22" i="1"/>
  <c r="AW6" i="1"/>
  <c r="AX6" i="1" s="1"/>
  <c r="AZ6" i="1" s="1"/>
  <c r="BA6" i="1" s="1"/>
  <c r="AJ808" i="1"/>
  <c r="AM808" i="1"/>
  <c r="AW844" i="1"/>
  <c r="AX844" i="1" s="1"/>
  <c r="AZ844" i="1" s="1"/>
  <c r="BA844" i="1" s="1"/>
  <c r="AW835" i="1"/>
  <c r="AX835" i="1" s="1"/>
  <c r="AZ835" i="1" s="1"/>
  <c r="BA835" i="1" s="1"/>
  <c r="Z807" i="1"/>
  <c r="AC807" i="1" s="1"/>
  <c r="AM807" i="1" s="1"/>
  <c r="W807" i="1"/>
  <c r="AN807" i="1" s="1"/>
  <c r="AO807" i="1" s="1"/>
  <c r="AW872" i="1"/>
  <c r="AX872" i="1" s="1"/>
  <c r="AZ872" i="1" s="1"/>
  <c r="BA872" i="1" s="1"/>
  <c r="AJ829" i="1"/>
  <c r="AJ739" i="1"/>
  <c r="W829" i="1"/>
  <c r="Z829" i="1"/>
  <c r="AC829" i="1" s="1"/>
  <c r="AM829" i="1" s="1"/>
  <c r="Z787" i="1"/>
  <c r="AC787" i="1" s="1"/>
  <c r="AM787" i="1" s="1"/>
  <c r="W787" i="1"/>
  <c r="AN787" i="1" s="1"/>
  <c r="AO787" i="1" s="1"/>
  <c r="AJ705" i="1"/>
  <c r="AN886" i="1"/>
  <c r="AO886" i="1" s="1"/>
  <c r="AJ593" i="1"/>
  <c r="Z668" i="1"/>
  <c r="AC668" i="1" s="1"/>
  <c r="AM668" i="1" s="1"/>
  <c r="W668" i="1"/>
  <c r="AN668" i="1" s="1"/>
  <c r="AO668" i="1" s="1"/>
  <c r="Z779" i="1"/>
  <c r="AC779" i="1" s="1"/>
  <c r="AM779" i="1" s="1"/>
  <c r="W779" i="1"/>
  <c r="AN779" i="1" s="1"/>
  <c r="AO779" i="1" s="1"/>
  <c r="Z543" i="1"/>
  <c r="AC543" i="1" s="1"/>
  <c r="AM543" i="1" s="1"/>
  <c r="W543" i="1"/>
  <c r="AN543" i="1" s="1"/>
  <c r="AO543" i="1" s="1"/>
  <c r="AJ708" i="1"/>
  <c r="AN708" i="1" s="1"/>
  <c r="AO708" i="1" s="1"/>
  <c r="Z649" i="1"/>
  <c r="AC649" i="1" s="1"/>
  <c r="AM649" i="1" s="1"/>
  <c r="W649" i="1"/>
  <c r="AN649" i="1" s="1"/>
  <c r="AO649" i="1" s="1"/>
  <c r="AW584" i="1"/>
  <c r="AX584" i="1" s="1"/>
  <c r="AZ584" i="1" s="1"/>
  <c r="BA584" i="1" s="1"/>
  <c r="AW616" i="1"/>
  <c r="AX616" i="1" s="1"/>
  <c r="AZ616" i="1" s="1"/>
  <c r="BA616" i="1" s="1"/>
  <c r="AP616" i="1"/>
  <c r="AS616" i="1" s="1"/>
  <c r="AM561" i="1"/>
  <c r="AJ561" i="1"/>
  <c r="W492" i="1"/>
  <c r="AN492" i="1" s="1"/>
  <c r="AO492" i="1" s="1"/>
  <c r="Z492" i="1"/>
  <c r="AC492" i="1" s="1"/>
  <c r="AM492" i="1" s="1"/>
  <c r="AJ681" i="1"/>
  <c r="Z599" i="1"/>
  <c r="AC599" i="1" s="1"/>
  <c r="AM599" i="1" s="1"/>
  <c r="W599" i="1"/>
  <c r="AN599" i="1" s="1"/>
  <c r="AO599" i="1" s="1"/>
  <c r="Z432" i="1"/>
  <c r="AC432" i="1" s="1"/>
  <c r="AM432" i="1" s="1"/>
  <c r="W432" i="1"/>
  <c r="AN432" i="1" s="1"/>
  <c r="AO432" i="1" s="1"/>
  <c r="Z604" i="1"/>
  <c r="AC604" i="1" s="1"/>
  <c r="AM604" i="1" s="1"/>
  <c r="W604" i="1"/>
  <c r="AN604" i="1" s="1"/>
  <c r="AO604" i="1" s="1"/>
  <c r="Z689" i="1"/>
  <c r="AC689" i="1" s="1"/>
  <c r="AM689" i="1" s="1"/>
  <c r="W689" i="1"/>
  <c r="W502" i="1"/>
  <c r="AN502" i="1" s="1"/>
  <c r="AO502" i="1" s="1"/>
  <c r="Z502" i="1"/>
  <c r="AC502" i="1" s="1"/>
  <c r="AM502" i="1" s="1"/>
  <c r="AJ330" i="1"/>
  <c r="AN330" i="1" s="1"/>
  <c r="AO330" i="1" s="1"/>
  <c r="AM511" i="1"/>
  <c r="AJ511" i="1"/>
  <c r="AN511" i="1" s="1"/>
  <c r="AO511" i="1" s="1"/>
  <c r="W371" i="1"/>
  <c r="Z371" i="1"/>
  <c r="AC371" i="1" s="1"/>
  <c r="AM371" i="1" s="1"/>
  <c r="AM463" i="1"/>
  <c r="AJ463" i="1"/>
  <c r="W365" i="1"/>
  <c r="Z365" i="1"/>
  <c r="AC365" i="1" s="1"/>
  <c r="AM365" i="1" s="1"/>
  <c r="AW321" i="1"/>
  <c r="AX321" i="1" s="1"/>
  <c r="AZ321" i="1" s="1"/>
  <c r="BA321" i="1" s="1"/>
  <c r="AJ421" i="1"/>
  <c r="AJ434" i="1"/>
  <c r="W439" i="1"/>
  <c r="AN439" i="1" s="1"/>
  <c r="AO439" i="1" s="1"/>
  <c r="Z439" i="1"/>
  <c r="AC439" i="1" s="1"/>
  <c r="AM439" i="1" s="1"/>
  <c r="Z127" i="1"/>
  <c r="AC127" i="1" s="1"/>
  <c r="AM127" i="1" s="1"/>
  <c r="W127" i="1"/>
  <c r="AN127" i="1" s="1"/>
  <c r="AO127" i="1" s="1"/>
  <c r="AJ443" i="1"/>
  <c r="AN415" i="1"/>
  <c r="AO415" i="1" s="1"/>
  <c r="AJ294" i="1"/>
  <c r="AN294" i="1" s="1"/>
  <c r="AO294" i="1" s="1"/>
  <c r="AN288" i="1"/>
  <c r="AO288" i="1" s="1"/>
  <c r="W235" i="1"/>
  <c r="Z235" i="1"/>
  <c r="AC235" i="1" s="1"/>
  <c r="AM235" i="1" s="1"/>
  <c r="W129" i="1"/>
  <c r="AN129" i="1" s="1"/>
  <c r="AO129" i="1" s="1"/>
  <c r="Z129" i="1"/>
  <c r="AC129" i="1" s="1"/>
  <c r="AM129" i="1" s="1"/>
  <c r="Z335" i="1"/>
  <c r="AC335" i="1" s="1"/>
  <c r="AM335" i="1" s="1"/>
  <c r="W335" i="1"/>
  <c r="Z283" i="1"/>
  <c r="AC283" i="1" s="1"/>
  <c r="AM283" i="1" s="1"/>
  <c r="W283" i="1"/>
  <c r="AN283" i="1" s="1"/>
  <c r="AO283" i="1" s="1"/>
  <c r="AJ157" i="1"/>
  <c r="Z170" i="1"/>
  <c r="AC170" i="1" s="1"/>
  <c r="AM170" i="1" s="1"/>
  <c r="W170" i="1"/>
  <c r="AM137" i="1"/>
  <c r="AJ137" i="1"/>
  <c r="AN137" i="1" s="1"/>
  <c r="AO137" i="1" s="1"/>
  <c r="W82" i="1"/>
  <c r="AN82" i="1" s="1"/>
  <c r="AO82" i="1" s="1"/>
  <c r="Z82" i="1"/>
  <c r="AC82" i="1" s="1"/>
  <c r="AM82" i="1" s="1"/>
  <c r="AJ211" i="1"/>
  <c r="AJ69" i="1"/>
  <c r="AM69" i="1"/>
  <c r="AM116" i="1"/>
  <c r="AJ116" i="1"/>
  <c r="AJ83" i="1"/>
  <c r="AM237" i="1"/>
  <c r="AJ237" i="1"/>
  <c r="AM35" i="1"/>
  <c r="AJ35" i="1"/>
  <c r="AM181" i="1"/>
  <c r="AJ181" i="1"/>
  <c r="AN181" i="1" s="1"/>
  <c r="AO181" i="1" s="1"/>
  <c r="AW59" i="1"/>
  <c r="AX59" i="1" s="1"/>
  <c r="AZ59" i="1" s="1"/>
  <c r="BA59" i="1" s="1"/>
  <c r="W228" i="1"/>
  <c r="Z228" i="1"/>
  <c r="AC228" i="1" s="1"/>
  <c r="AM228" i="1" s="1"/>
  <c r="AW73" i="1"/>
  <c r="AX73" i="1" s="1"/>
  <c r="AZ73" i="1" s="1"/>
  <c r="BA73" i="1" s="1"/>
  <c r="Z422" i="1"/>
  <c r="AC422" i="1" s="1"/>
  <c r="AM422" i="1" s="1"/>
  <c r="W422" i="1"/>
  <c r="AN422" i="1" s="1"/>
  <c r="AO422" i="1" s="1"/>
  <c r="B18" i="2" l="1"/>
  <c r="AC540" i="1"/>
  <c r="AM540" i="1" s="1"/>
  <c r="B11" i="2"/>
  <c r="AO519" i="1"/>
  <c r="AP519" i="1" s="1"/>
  <c r="AS519" i="1" s="1"/>
  <c r="AO718" i="1"/>
  <c r="AP718" i="1" s="1"/>
  <c r="AS718" i="1" s="1"/>
  <c r="BB718" i="1" s="1"/>
  <c r="AO899" i="1"/>
  <c r="AP899" i="1" s="1"/>
  <c r="AS899" i="1" s="1"/>
  <c r="BB899" i="1" s="1"/>
  <c r="AO442" i="1"/>
  <c r="AP442" i="1" s="1"/>
  <c r="AS442" i="1" s="1"/>
  <c r="BB442" i="1" s="1"/>
  <c r="AO8" i="1"/>
  <c r="AP8" i="1" s="1"/>
  <c r="AS8" i="1" s="1"/>
  <c r="BB8" i="1" s="1"/>
  <c r="AO542" i="1"/>
  <c r="AP542" i="1" s="1"/>
  <c r="AS542" i="1" s="1"/>
  <c r="BB542" i="1" s="1"/>
  <c r="AO660" i="1"/>
  <c r="AP660" i="1" s="1"/>
  <c r="AS660" i="1" s="1"/>
  <c r="BB660" i="1" s="1"/>
  <c r="AO747" i="1"/>
  <c r="AP747" i="1" s="1"/>
  <c r="AS747" i="1" s="1"/>
  <c r="BB747" i="1" s="1"/>
  <c r="AO522" i="1"/>
  <c r="AP522" i="1" s="1"/>
  <c r="AS522" i="1" s="1"/>
  <c r="BB522" i="1" s="1"/>
  <c r="AO454" i="1"/>
  <c r="AP454" i="1" s="1"/>
  <c r="AS454" i="1" s="1"/>
  <c r="AO490" i="1"/>
  <c r="AP490" i="1" s="1"/>
  <c r="AS490" i="1" s="1"/>
  <c r="BB490" i="1" s="1"/>
  <c r="AO448" i="1"/>
  <c r="AP448" i="1" s="1"/>
  <c r="AS448" i="1" s="1"/>
  <c r="BB448" i="1" s="1"/>
  <c r="AO818" i="1"/>
  <c r="AP818" i="1" s="1"/>
  <c r="AS818" i="1" s="1"/>
  <c r="BB818" i="1" s="1"/>
  <c r="AO553" i="1"/>
  <c r="AP553" i="1" s="1"/>
  <c r="AS553" i="1" s="1"/>
  <c r="BB553" i="1" s="1"/>
  <c r="AO52" i="1"/>
  <c r="AP52" i="1" s="1"/>
  <c r="AS52" i="1" s="1"/>
  <c r="BB52" i="1" s="1"/>
  <c r="AO88" i="1"/>
  <c r="AP88" i="1" s="1"/>
  <c r="AS88" i="1" s="1"/>
  <c r="BB88" i="1" s="1"/>
  <c r="AO799" i="1"/>
  <c r="AP799" i="1" s="1"/>
  <c r="AS799" i="1" s="1"/>
  <c r="BB799" i="1" s="1"/>
  <c r="AO761" i="1"/>
  <c r="AP761" i="1" s="1"/>
  <c r="AS761" i="1" s="1"/>
  <c r="BB761" i="1" s="1"/>
  <c r="AO213" i="1"/>
  <c r="AP213" i="1" s="1"/>
  <c r="AS213" i="1" s="1"/>
  <c r="BB213" i="1" s="1"/>
  <c r="AO430" i="1"/>
  <c r="AP430" i="1" s="1"/>
  <c r="AS430" i="1" s="1"/>
  <c r="BB430" i="1" s="1"/>
  <c r="AO239" i="1"/>
  <c r="AP239" i="1" s="1"/>
  <c r="AS239" i="1" s="1"/>
  <c r="BB239" i="1" s="1"/>
  <c r="AO78" i="1"/>
  <c r="AP78" i="1" s="1"/>
  <c r="AS78" i="1" s="1"/>
  <c r="BB78" i="1" s="1"/>
  <c r="AO59" i="1"/>
  <c r="AP59" i="1" s="1"/>
  <c r="AS59" i="1" s="1"/>
  <c r="BB59" i="1" s="1"/>
  <c r="AO935" i="1"/>
  <c r="AP935" i="1" s="1"/>
  <c r="AS935" i="1" s="1"/>
  <c r="BB935" i="1" s="1"/>
  <c r="AO97" i="1"/>
  <c r="AP97" i="1" s="1"/>
  <c r="AS97" i="1" s="1"/>
  <c r="BB97" i="1" s="1"/>
  <c r="AO244" i="1"/>
  <c r="AP244" i="1" s="1"/>
  <c r="AS244" i="1" s="1"/>
  <c r="BB244" i="1" s="1"/>
  <c r="AO147" i="1"/>
  <c r="AP147" i="1" s="1"/>
  <c r="AS147" i="1" s="1"/>
  <c r="BB147" i="1" s="1"/>
  <c r="AO833" i="1"/>
  <c r="AP833" i="1" s="1"/>
  <c r="AS833" i="1" s="1"/>
  <c r="BB833" i="1" s="1"/>
  <c r="AO380" i="1"/>
  <c r="AP380" i="1" s="1"/>
  <c r="AS380" i="1" s="1"/>
  <c r="BB380" i="1" s="1"/>
  <c r="AO530" i="1"/>
  <c r="AP530" i="1" s="1"/>
  <c r="AS530" i="1" s="1"/>
  <c r="BB530" i="1" s="1"/>
  <c r="AO919" i="1"/>
  <c r="AP919" i="1" s="1"/>
  <c r="AS919" i="1" s="1"/>
  <c r="BB919" i="1" s="1"/>
  <c r="AO351" i="1"/>
  <c r="AP351" i="1" s="1"/>
  <c r="AS351" i="1" s="1"/>
  <c r="BB351" i="1" s="1"/>
  <c r="AO178" i="1"/>
  <c r="AP178" i="1" s="1"/>
  <c r="AS178" i="1" s="1"/>
  <c r="BB178" i="1" s="1"/>
  <c r="AO250" i="1"/>
  <c r="AP250" i="1" s="1"/>
  <c r="AS250" i="1" s="1"/>
  <c r="BB250" i="1" s="1"/>
  <c r="AO759" i="1"/>
  <c r="AP759" i="1" s="1"/>
  <c r="AS759" i="1" s="1"/>
  <c r="AO672" i="1"/>
  <c r="AP672" i="1" s="1"/>
  <c r="AS672" i="1" s="1"/>
  <c r="BB672" i="1" s="1"/>
  <c r="AO458" i="1"/>
  <c r="AP458" i="1" s="1"/>
  <c r="AS458" i="1" s="1"/>
  <c r="BB458" i="1" s="1"/>
  <c r="AO85" i="1"/>
  <c r="AP85" i="1" s="1"/>
  <c r="AS85" i="1" s="1"/>
  <c r="BB85" i="1" s="1"/>
  <c r="AO632" i="1"/>
  <c r="AP632" i="1" s="1"/>
  <c r="AS632" i="1" s="1"/>
  <c r="BB632" i="1" s="1"/>
  <c r="AO659" i="1"/>
  <c r="AP659" i="1" s="1"/>
  <c r="AS659" i="1" s="1"/>
  <c r="BB659" i="1" s="1"/>
  <c r="AO349" i="1"/>
  <c r="AP349" i="1" s="1"/>
  <c r="AS349" i="1" s="1"/>
  <c r="BB349" i="1" s="1"/>
  <c r="AO835" i="1"/>
  <c r="AP835" i="1" s="1"/>
  <c r="AS835" i="1" s="1"/>
  <c r="BB835" i="1" s="1"/>
  <c r="AO77" i="1"/>
  <c r="AP77" i="1" s="1"/>
  <c r="AS77" i="1" s="1"/>
  <c r="AO134" i="1"/>
  <c r="AP134" i="1" s="1"/>
  <c r="AS134" i="1" s="1"/>
  <c r="BB134" i="1" s="1"/>
  <c r="AO124" i="1"/>
  <c r="AP124" i="1" s="1"/>
  <c r="AS124" i="1" s="1"/>
  <c r="BB124" i="1" s="1"/>
  <c r="AO669" i="1"/>
  <c r="AP669" i="1" s="1"/>
  <c r="AS669" i="1" s="1"/>
  <c r="BB669" i="1" s="1"/>
  <c r="AO569" i="1"/>
  <c r="AP569" i="1" s="1"/>
  <c r="AS569" i="1" s="1"/>
  <c r="BB569" i="1" s="1"/>
  <c r="AO4" i="1"/>
  <c r="AP4" i="1" s="1"/>
  <c r="AS4" i="1" s="1"/>
  <c r="BB4" i="1" s="1"/>
  <c r="AO819" i="1"/>
  <c r="AP819" i="1" s="1"/>
  <c r="AS819" i="1" s="1"/>
  <c r="BB819" i="1" s="1"/>
  <c r="AO27" i="1"/>
  <c r="AP27" i="1" s="1"/>
  <c r="AS27" i="1" s="1"/>
  <c r="AO79" i="1"/>
  <c r="AP79" i="1" s="1"/>
  <c r="AS79" i="1" s="1"/>
  <c r="AO582" i="1"/>
  <c r="AP582" i="1" s="1"/>
  <c r="AS582" i="1" s="1"/>
  <c r="BB582" i="1" s="1"/>
  <c r="AO861" i="1"/>
  <c r="AP861" i="1" s="1"/>
  <c r="AS861" i="1" s="1"/>
  <c r="BB861" i="1" s="1"/>
  <c r="AO816" i="1"/>
  <c r="AP816" i="1" s="1"/>
  <c r="AS816" i="1" s="1"/>
  <c r="BB816" i="1" s="1"/>
  <c r="AO326" i="1"/>
  <c r="AP326" i="1" s="1"/>
  <c r="AS326" i="1" s="1"/>
  <c r="BB326" i="1" s="1"/>
  <c r="AO849" i="1"/>
  <c r="AP849" i="1" s="1"/>
  <c r="AS849" i="1" s="1"/>
  <c r="BB849" i="1" s="1"/>
  <c r="AO151" i="1"/>
  <c r="AP151" i="1" s="1"/>
  <c r="AS151" i="1" s="1"/>
  <c r="BB151" i="1" s="1"/>
  <c r="AO126" i="1"/>
  <c r="AP126" i="1" s="1"/>
  <c r="AS126" i="1" s="1"/>
  <c r="BB126" i="1" s="1"/>
  <c r="AO947" i="1"/>
  <c r="AP947" i="1" s="1"/>
  <c r="AS947" i="1" s="1"/>
  <c r="BB947" i="1" s="1"/>
  <c r="AO777" i="1"/>
  <c r="AP777" i="1" s="1"/>
  <c r="AS777" i="1" s="1"/>
  <c r="BB777" i="1" s="1"/>
  <c r="AO725" i="1"/>
  <c r="AP725" i="1" s="1"/>
  <c r="AS725" i="1" s="1"/>
  <c r="BB725" i="1" s="1"/>
  <c r="AO332" i="1"/>
  <c r="AP332" i="1" s="1"/>
  <c r="AS332" i="1" s="1"/>
  <c r="BB332" i="1" s="1"/>
  <c r="AO106" i="1"/>
  <c r="AP106" i="1" s="1"/>
  <c r="AS106" i="1" s="1"/>
  <c r="BB106" i="1" s="1"/>
  <c r="AO249" i="1"/>
  <c r="AP249" i="1" s="1"/>
  <c r="AS249" i="1" s="1"/>
  <c r="BB249" i="1" s="1"/>
  <c r="AO939" i="1"/>
  <c r="AP939" i="1" s="1"/>
  <c r="AS939" i="1" s="1"/>
  <c r="BB939" i="1" s="1"/>
  <c r="AO866" i="1"/>
  <c r="AP866" i="1" s="1"/>
  <c r="AS866" i="1" s="1"/>
  <c r="BB866" i="1" s="1"/>
  <c r="AO89" i="1"/>
  <c r="AP89" i="1" s="1"/>
  <c r="AS89" i="1" s="1"/>
  <c r="BB89" i="1" s="1"/>
  <c r="AO938" i="1"/>
  <c r="AP938" i="1" s="1"/>
  <c r="AS938" i="1" s="1"/>
  <c r="BB938" i="1" s="1"/>
  <c r="AO284" i="1"/>
  <c r="AP284" i="1" s="1"/>
  <c r="AS284" i="1" s="1"/>
  <c r="BB284" i="1" s="1"/>
  <c r="AO803" i="1"/>
  <c r="AP803" i="1" s="1"/>
  <c r="AS803" i="1" s="1"/>
  <c r="BB803" i="1" s="1"/>
  <c r="AO584" i="1"/>
  <c r="AP584" i="1" s="1"/>
  <c r="AS584" i="1" s="1"/>
  <c r="BB584" i="1" s="1"/>
  <c r="AO506" i="1"/>
  <c r="AP506" i="1" s="1"/>
  <c r="AS506" i="1" s="1"/>
  <c r="BB506" i="1" s="1"/>
  <c r="AO90" i="1"/>
  <c r="AP90" i="1" s="1"/>
  <c r="AS90" i="1" s="1"/>
  <c r="BB90" i="1" s="1"/>
  <c r="AO483" i="1"/>
  <c r="AP483" i="1" s="1"/>
  <c r="AS483" i="1" s="1"/>
  <c r="BB483" i="1" s="1"/>
  <c r="AO864" i="1"/>
  <c r="AP864" i="1" s="1"/>
  <c r="AS864" i="1" s="1"/>
  <c r="BB864" i="1" s="1"/>
  <c r="AO280" i="1"/>
  <c r="AP280" i="1" s="1"/>
  <c r="AS280" i="1" s="1"/>
  <c r="BB280" i="1" s="1"/>
  <c r="AO15" i="1"/>
  <c r="AP15" i="1" s="1"/>
  <c r="AS15" i="1" s="1"/>
  <c r="BB15" i="1" s="1"/>
  <c r="AO937" i="1"/>
  <c r="AP937" i="1" s="1"/>
  <c r="AS937" i="1" s="1"/>
  <c r="BB937" i="1" s="1"/>
  <c r="AO767" i="1"/>
  <c r="AP767" i="1" s="1"/>
  <c r="AS767" i="1" s="1"/>
  <c r="BB767" i="1" s="1"/>
  <c r="AO232" i="1"/>
  <c r="AP232" i="1" s="1"/>
  <c r="AS232" i="1" s="1"/>
  <c r="BB232" i="1" s="1"/>
  <c r="AO466" i="1"/>
  <c r="AP466" i="1" s="1"/>
  <c r="AS466" i="1" s="1"/>
  <c r="BB466" i="1" s="1"/>
  <c r="AO817" i="1"/>
  <c r="AP817" i="1" s="1"/>
  <c r="AS817" i="1" s="1"/>
  <c r="BB817" i="1" s="1"/>
  <c r="AO701" i="1"/>
  <c r="AP701" i="1" s="1"/>
  <c r="AS701" i="1" s="1"/>
  <c r="BB701" i="1" s="1"/>
  <c r="AO48" i="1"/>
  <c r="AP48" i="1" s="1"/>
  <c r="AS48" i="1" s="1"/>
  <c r="BB48" i="1" s="1"/>
  <c r="AO22" i="1"/>
  <c r="AP22" i="1" s="1"/>
  <c r="AS22" i="1" s="1"/>
  <c r="BB22" i="1" s="1"/>
  <c r="AO470" i="1"/>
  <c r="AP470" i="1" s="1"/>
  <c r="AS470" i="1" s="1"/>
  <c r="BB470" i="1" s="1"/>
  <c r="AO757" i="1"/>
  <c r="AP757" i="1" s="1"/>
  <c r="AS757" i="1" s="1"/>
  <c r="BB757" i="1" s="1"/>
  <c r="AO921" i="1"/>
  <c r="AP921" i="1" s="1"/>
  <c r="AS921" i="1" s="1"/>
  <c r="BB921" i="1" s="1"/>
  <c r="AO2" i="1"/>
  <c r="AP2" i="1" s="1"/>
  <c r="AS2" i="1" s="1"/>
  <c r="BB2" i="1" s="1"/>
  <c r="AO596" i="1"/>
  <c r="AP596" i="1" s="1"/>
  <c r="AS596" i="1" s="1"/>
  <c r="AO231" i="1"/>
  <c r="AP231" i="1" s="1"/>
  <c r="AS231" i="1" s="1"/>
  <c r="BB231" i="1" s="1"/>
  <c r="AO504" i="1"/>
  <c r="AP504" i="1" s="1"/>
  <c r="AS504" i="1" s="1"/>
  <c r="BB504" i="1" s="1"/>
  <c r="AO145" i="1"/>
  <c r="AP145" i="1" s="1"/>
  <c r="AS145" i="1" s="1"/>
  <c r="BB145" i="1" s="1"/>
  <c r="AO847" i="1"/>
  <c r="AP847" i="1" s="1"/>
  <c r="AS847" i="1" s="1"/>
  <c r="BB847" i="1" s="1"/>
  <c r="AO301" i="1"/>
  <c r="AP301" i="1" s="1"/>
  <c r="AS301" i="1" s="1"/>
  <c r="BB301" i="1" s="1"/>
  <c r="AO815" i="1"/>
  <c r="AP815" i="1" s="1"/>
  <c r="AS815" i="1" s="1"/>
  <c r="BB815" i="1" s="1"/>
  <c r="AO676" i="1"/>
  <c r="AP676" i="1" s="1"/>
  <c r="AS676" i="1" s="1"/>
  <c r="BB676" i="1" s="1"/>
  <c r="AO31" i="1"/>
  <c r="AP31" i="1" s="1"/>
  <c r="AS31" i="1" s="1"/>
  <c r="AO927" i="1"/>
  <c r="AP927" i="1" s="1"/>
  <c r="AS927" i="1" s="1"/>
  <c r="BB927" i="1" s="1"/>
  <c r="AO535" i="1"/>
  <c r="AP535" i="1" s="1"/>
  <c r="AS535" i="1" s="1"/>
  <c r="BB535" i="1" s="1"/>
  <c r="AO698" i="1"/>
  <c r="AP698" i="1" s="1"/>
  <c r="AS698" i="1" s="1"/>
  <c r="BB698" i="1" s="1"/>
  <c r="AO84" i="1"/>
  <c r="AP84" i="1" s="1"/>
  <c r="AS84" i="1" s="1"/>
  <c r="BB84" i="1" s="1"/>
  <c r="AO769" i="1"/>
  <c r="AP769" i="1" s="1"/>
  <c r="AS769" i="1" s="1"/>
  <c r="BB769" i="1" s="1"/>
  <c r="AO722" i="1"/>
  <c r="AP722" i="1" s="1"/>
  <c r="AS722" i="1" s="1"/>
  <c r="BB722" i="1" s="1"/>
  <c r="AO894" i="1"/>
  <c r="AP894" i="1" s="1"/>
  <c r="AS894" i="1" s="1"/>
  <c r="BB894" i="1" s="1"/>
  <c r="AO666" i="1"/>
  <c r="AP666" i="1" s="1"/>
  <c r="AS666" i="1" s="1"/>
  <c r="BB666" i="1" s="1"/>
  <c r="AO49" i="1"/>
  <c r="AP49" i="1" s="1"/>
  <c r="AS49" i="1" s="1"/>
  <c r="BB49" i="1" s="1"/>
  <c r="AO73" i="1"/>
  <c r="AP73" i="1" s="1"/>
  <c r="AS73" i="1" s="1"/>
  <c r="BB73" i="1" s="1"/>
  <c r="AO403" i="1"/>
  <c r="AP403" i="1" s="1"/>
  <c r="AS403" i="1" s="1"/>
  <c r="BB403" i="1" s="1"/>
  <c r="AO30" i="1"/>
  <c r="AP30" i="1" s="1"/>
  <c r="AS30" i="1" s="1"/>
  <c r="BB30" i="1" s="1"/>
  <c r="AO179" i="1"/>
  <c r="AP179" i="1" s="1"/>
  <c r="AS179" i="1" s="1"/>
  <c r="BB179" i="1" s="1"/>
  <c r="AO42" i="1"/>
  <c r="AP42" i="1" s="1"/>
  <c r="AS42" i="1" s="1"/>
  <c r="BB42" i="1" s="1"/>
  <c r="AO118" i="1"/>
  <c r="AP118" i="1" s="1"/>
  <c r="AS118" i="1" s="1"/>
  <c r="BB118" i="1" s="1"/>
  <c r="AO677" i="1"/>
  <c r="AP677" i="1" s="1"/>
  <c r="AS677" i="1" s="1"/>
  <c r="BB677" i="1" s="1"/>
  <c r="AO238" i="1"/>
  <c r="AP238" i="1" s="1"/>
  <c r="AS238" i="1" s="1"/>
  <c r="BB238" i="1" s="1"/>
  <c r="AO913" i="1"/>
  <c r="AP913" i="1" s="1"/>
  <c r="AS913" i="1" s="1"/>
  <c r="BB913" i="1" s="1"/>
  <c r="AO321" i="1"/>
  <c r="AP321" i="1" s="1"/>
  <c r="AS321" i="1" s="1"/>
  <c r="BB321" i="1" s="1"/>
  <c r="AO202" i="1"/>
  <c r="AP202" i="1" s="1"/>
  <c r="AS202" i="1" s="1"/>
  <c r="BB202" i="1" s="1"/>
  <c r="AO484" i="1"/>
  <c r="AP484" i="1" s="1"/>
  <c r="AS484" i="1" s="1"/>
  <c r="BB484" i="1" s="1"/>
  <c r="AO554" i="1"/>
  <c r="AP554" i="1" s="1"/>
  <c r="AS554" i="1" s="1"/>
  <c r="BB554" i="1" s="1"/>
  <c r="AO302" i="1"/>
  <c r="AP302" i="1" s="1"/>
  <c r="AS302" i="1" s="1"/>
  <c r="AO497" i="1"/>
  <c r="AP497" i="1" s="1"/>
  <c r="AS497" i="1" s="1"/>
  <c r="BB497" i="1" s="1"/>
  <c r="AO86" i="1"/>
  <c r="AP86" i="1" s="1"/>
  <c r="AS86" i="1" s="1"/>
  <c r="BB86" i="1" s="1"/>
  <c r="AO109" i="1"/>
  <c r="AP109" i="1" s="1"/>
  <c r="AS109" i="1" s="1"/>
  <c r="BB109" i="1" s="1"/>
  <c r="AO653" i="1"/>
  <c r="AP653" i="1" s="1"/>
  <c r="AS653" i="1" s="1"/>
  <c r="BB653" i="1" s="1"/>
  <c r="AO895" i="1"/>
  <c r="AP895" i="1" s="1"/>
  <c r="AS895" i="1" s="1"/>
  <c r="BB895" i="1" s="1"/>
  <c r="AO520" i="1"/>
  <c r="AP520" i="1" s="1"/>
  <c r="AS520" i="1" s="1"/>
  <c r="BB520" i="1" s="1"/>
  <c r="AO297" i="1"/>
  <c r="AP297" i="1" s="1"/>
  <c r="AS297" i="1" s="1"/>
  <c r="BB297" i="1" s="1"/>
  <c r="AO872" i="1"/>
  <c r="AP872" i="1" s="1"/>
  <c r="AS872" i="1" s="1"/>
  <c r="BB872" i="1" s="1"/>
  <c r="AO287" i="1"/>
  <c r="AP287" i="1" s="1"/>
  <c r="AS287" i="1" s="1"/>
  <c r="BB287" i="1" s="1"/>
  <c r="AO910" i="1"/>
  <c r="AP910" i="1" s="1"/>
  <c r="AS910" i="1" s="1"/>
  <c r="AO367" i="1"/>
  <c r="AP367" i="1" s="1"/>
  <c r="AS367" i="1" s="1"/>
  <c r="BB367" i="1" s="1"/>
  <c r="AO888" i="1"/>
  <c r="AP888" i="1" s="1"/>
  <c r="AS888" i="1" s="1"/>
  <c r="BB888" i="1" s="1"/>
  <c r="AO776" i="1"/>
  <c r="AP776" i="1" s="1"/>
  <c r="AS776" i="1" s="1"/>
  <c r="BB776" i="1" s="1"/>
  <c r="AO368" i="1"/>
  <c r="AP368" i="1" s="1"/>
  <c r="AS368" i="1" s="1"/>
  <c r="BB368" i="1" s="1"/>
  <c r="AO812" i="1"/>
  <c r="AP812" i="1" s="1"/>
  <c r="AS812" i="1" s="1"/>
  <c r="BB812" i="1" s="1"/>
  <c r="AO639" i="1"/>
  <c r="AP639" i="1" s="1"/>
  <c r="AS639" i="1" s="1"/>
  <c r="AO804" i="1"/>
  <c r="AP804" i="1" s="1"/>
  <c r="AS804" i="1" s="1"/>
  <c r="BB804" i="1" s="1"/>
  <c r="AO279" i="1"/>
  <c r="AP279" i="1" s="1"/>
  <c r="AS279" i="1" s="1"/>
  <c r="AO909" i="1"/>
  <c r="AP909" i="1" s="1"/>
  <c r="AS909" i="1" s="1"/>
  <c r="BB909" i="1" s="1"/>
  <c r="AO844" i="1"/>
  <c r="AP844" i="1" s="1"/>
  <c r="AS844" i="1" s="1"/>
  <c r="BB844" i="1" s="1"/>
  <c r="AO327" i="1"/>
  <c r="AP327" i="1" s="1"/>
  <c r="AS327" i="1" s="1"/>
  <c r="BB327" i="1" s="1"/>
  <c r="AO527" i="1"/>
  <c r="AP527" i="1" s="1"/>
  <c r="AS527" i="1" s="1"/>
  <c r="BB527" i="1" s="1"/>
  <c r="AO456" i="1"/>
  <c r="AP456" i="1" s="1"/>
  <c r="AS456" i="1" s="1"/>
  <c r="BB456" i="1" s="1"/>
  <c r="AO100" i="1"/>
  <c r="AP100" i="1" s="1"/>
  <c r="AS100" i="1" s="1"/>
  <c r="BB100" i="1" s="1"/>
  <c r="AO46" i="1"/>
  <c r="AP46" i="1" s="1"/>
  <c r="AS46" i="1" s="1"/>
  <c r="AO416" i="1"/>
  <c r="AP416" i="1" s="1"/>
  <c r="AS416" i="1" s="1"/>
  <c r="BB416" i="1" s="1"/>
  <c r="AO912" i="1"/>
  <c r="AP912" i="1" s="1"/>
  <c r="AS912" i="1" s="1"/>
  <c r="BB912" i="1" s="1"/>
  <c r="AO922" i="1"/>
  <c r="AP922" i="1" s="1"/>
  <c r="AS922" i="1" s="1"/>
  <c r="BB922" i="1" s="1"/>
  <c r="AO55" i="1"/>
  <c r="AP55" i="1" s="1"/>
  <c r="AS55" i="1" s="1"/>
  <c r="BB55" i="1" s="1"/>
  <c r="AO811" i="1"/>
  <c r="AP811" i="1" s="1"/>
  <c r="AS811" i="1" s="1"/>
  <c r="BB811" i="1" s="1"/>
  <c r="AO552" i="1"/>
  <c r="AP552" i="1" s="1"/>
  <c r="AS552" i="1" s="1"/>
  <c r="BB552" i="1" s="1"/>
  <c r="AO469" i="1"/>
  <c r="AP469" i="1" s="1"/>
  <c r="AS469" i="1" s="1"/>
  <c r="AO638" i="1"/>
  <c r="AP638" i="1" s="1"/>
  <c r="AS638" i="1" s="1"/>
  <c r="BB638" i="1" s="1"/>
  <c r="AO13" i="1"/>
  <c r="AP13" i="1" s="1"/>
  <c r="AS13" i="1" s="1"/>
  <c r="AN140" i="1"/>
  <c r="AP229" i="1"/>
  <c r="AS229" i="1" s="1"/>
  <c r="BB229" i="1" s="1"/>
  <c r="AC385" i="1"/>
  <c r="AM385" i="1" s="1"/>
  <c r="AW385" i="1" s="1"/>
  <c r="AX385" i="1" s="1"/>
  <c r="AZ385" i="1" s="1"/>
  <c r="BA385" i="1" s="1"/>
  <c r="AP6" i="1"/>
  <c r="AS6" i="1" s="1"/>
  <c r="BB177" i="1"/>
  <c r="BB114" i="1"/>
  <c r="BB304" i="1"/>
  <c r="BB325" i="1"/>
  <c r="BB401" i="1"/>
  <c r="BB362" i="1"/>
  <c r="BB428" i="1"/>
  <c r="BB618" i="1"/>
  <c r="BB153" i="1"/>
  <c r="AN686" i="1"/>
  <c r="AP641" i="1"/>
  <c r="AS641" i="1" s="1"/>
  <c r="AN328" i="1"/>
  <c r="AO328" i="1" s="1"/>
  <c r="AP328" i="1" s="1"/>
  <c r="AS328" i="1" s="1"/>
  <c r="AN270" i="1"/>
  <c r="AN892" i="1"/>
  <c r="AP348" i="1"/>
  <c r="AS348" i="1" s="1"/>
  <c r="AP613" i="1"/>
  <c r="AS613" i="1" s="1"/>
  <c r="AP758" i="1"/>
  <c r="AS758" i="1" s="1"/>
  <c r="AN897" i="1"/>
  <c r="AP404" i="1"/>
  <c r="AS404" i="1" s="1"/>
  <c r="BB404" i="1" s="1"/>
  <c r="AW758" i="1"/>
  <c r="AX758" i="1" s="1"/>
  <c r="AZ758" i="1" s="1"/>
  <c r="BA758" i="1" s="1"/>
  <c r="AN561" i="1"/>
  <c r="AO561" i="1" s="1"/>
  <c r="AP561" i="1" s="1"/>
  <c r="AS561" i="1" s="1"/>
  <c r="AN39" i="1"/>
  <c r="AP471" i="1"/>
  <c r="AS471" i="1" s="1"/>
  <c r="AW130" i="1"/>
  <c r="AX130" i="1" s="1"/>
  <c r="AZ130" i="1" s="1"/>
  <c r="BA130" i="1" s="1"/>
  <c r="BB130" i="1" s="1"/>
  <c r="AN634" i="1"/>
  <c r="AP719" i="1"/>
  <c r="AS719" i="1" s="1"/>
  <c r="AW113" i="1"/>
  <c r="AX113" i="1" s="1"/>
  <c r="AZ113" i="1" s="1"/>
  <c r="BA113" i="1" s="1"/>
  <c r="BB113" i="1" s="1"/>
  <c r="AN69" i="1"/>
  <c r="AN775" i="1"/>
  <c r="AN322" i="1"/>
  <c r="AP472" i="1"/>
  <c r="AS472" i="1" s="1"/>
  <c r="AW654" i="1"/>
  <c r="AX654" i="1" s="1"/>
  <c r="AZ654" i="1" s="1"/>
  <c r="BA654" i="1" s="1"/>
  <c r="BB654" i="1" s="1"/>
  <c r="AN808" i="1"/>
  <c r="AN916" i="1"/>
  <c r="AN421" i="1"/>
  <c r="AP288" i="1"/>
  <c r="AS288" i="1" s="1"/>
  <c r="AP637" i="1"/>
  <c r="AS637" i="1" s="1"/>
  <c r="AN763" i="1"/>
  <c r="AO763" i="1" s="1"/>
  <c r="AP763" i="1" s="1"/>
  <c r="AS763" i="1" s="1"/>
  <c r="AP890" i="1"/>
  <c r="AS890" i="1" s="1"/>
  <c r="AP595" i="1"/>
  <c r="AS595" i="1" s="1"/>
  <c r="AW874" i="1"/>
  <c r="AX874" i="1" s="1"/>
  <c r="AZ874" i="1" s="1"/>
  <c r="BA874" i="1" s="1"/>
  <c r="BB874" i="1" s="1"/>
  <c r="AN528" i="1"/>
  <c r="AN220" i="1"/>
  <c r="AO220" i="1" s="1"/>
  <c r="AP220" i="1" s="1"/>
  <c r="AS220" i="1" s="1"/>
  <c r="AP309" i="1"/>
  <c r="AS309" i="1" s="1"/>
  <c r="AP445" i="1"/>
  <c r="AS445" i="1" s="1"/>
  <c r="AW360" i="1"/>
  <c r="AX360" i="1" s="1"/>
  <c r="AZ360" i="1" s="1"/>
  <c r="BA360" i="1" s="1"/>
  <c r="BB360" i="1" s="1"/>
  <c r="AN643" i="1"/>
  <c r="AP343" i="1"/>
  <c r="AS343" i="1" s="1"/>
  <c r="AN164" i="1"/>
  <c r="AN571" i="1"/>
  <c r="AP802" i="1"/>
  <c r="AS802" i="1" s="1"/>
  <c r="AP400" i="1"/>
  <c r="AS400" i="1" s="1"/>
  <c r="AN462" i="1"/>
  <c r="AN878" i="1"/>
  <c r="AN730" i="1"/>
  <c r="AN465" i="1"/>
  <c r="AP711" i="1"/>
  <c r="AS711" i="1" s="1"/>
  <c r="AN183" i="1"/>
  <c r="AO183" i="1" s="1"/>
  <c r="AP183" i="1" s="1"/>
  <c r="AS183" i="1" s="1"/>
  <c r="AN83" i="1"/>
  <c r="AN19" i="1"/>
  <c r="AP517" i="1"/>
  <c r="AS517" i="1" s="1"/>
  <c r="AN882" i="1"/>
  <c r="AN57" i="1"/>
  <c r="AP241" i="1"/>
  <c r="AS241" i="1" s="1"/>
  <c r="AP629" i="1"/>
  <c r="AS629" i="1" s="1"/>
  <c r="AP495" i="1"/>
  <c r="AS495" i="1" s="1"/>
  <c r="AN555" i="1"/>
  <c r="AN264" i="1"/>
  <c r="AP415" i="1"/>
  <c r="AS415" i="1" s="1"/>
  <c r="AN119" i="1"/>
  <c r="AW626" i="1"/>
  <c r="AX626" i="1" s="1"/>
  <c r="AZ626" i="1" s="1"/>
  <c r="BA626" i="1" s="1"/>
  <c r="BB626" i="1" s="1"/>
  <c r="AP76" i="1"/>
  <c r="AS76" i="1" s="1"/>
  <c r="AP871" i="1"/>
  <c r="AS871" i="1" s="1"/>
  <c r="AP576" i="1"/>
  <c r="AS576" i="1" s="1"/>
  <c r="AN750" i="1"/>
  <c r="AN556" i="1"/>
  <c r="AW289" i="1"/>
  <c r="AX289" i="1" s="1"/>
  <c r="AZ289" i="1" s="1"/>
  <c r="BA289" i="1" s="1"/>
  <c r="AP429" i="1"/>
  <c r="AS429" i="1" s="1"/>
  <c r="AP313" i="1"/>
  <c r="AS313" i="1" s="1"/>
  <c r="AP636" i="1"/>
  <c r="AS636" i="1" s="1"/>
  <c r="AP208" i="1"/>
  <c r="AS208" i="1" s="1"/>
  <c r="AN150" i="1"/>
  <c r="AP656" i="1"/>
  <c r="AS656" i="1" s="1"/>
  <c r="AP333" i="1"/>
  <c r="AS333" i="1" s="1"/>
  <c r="AP853" i="1"/>
  <c r="AS853" i="1" s="1"/>
  <c r="BB853" i="1" s="1"/>
  <c r="AW495" i="1"/>
  <c r="AX495" i="1" s="1"/>
  <c r="AZ495" i="1" s="1"/>
  <c r="BA495" i="1" s="1"/>
  <c r="AP607" i="1"/>
  <c r="AS607" i="1" s="1"/>
  <c r="BB607" i="1" s="1"/>
  <c r="AP623" i="1"/>
  <c r="AS623" i="1" s="1"/>
  <c r="AP34" i="1"/>
  <c r="AS34" i="1" s="1"/>
  <c r="AW719" i="1"/>
  <c r="AX719" i="1" s="1"/>
  <c r="AZ719" i="1" s="1"/>
  <c r="BA719" i="1" s="1"/>
  <c r="AP350" i="1"/>
  <c r="AS350" i="1" s="1"/>
  <c r="AN873" i="1"/>
  <c r="AP496" i="1"/>
  <c r="AS496" i="1" s="1"/>
  <c r="AP468" i="1"/>
  <c r="AS468" i="1" s="1"/>
  <c r="AN204" i="1"/>
  <c r="AN185" i="1"/>
  <c r="AN196" i="1"/>
  <c r="AO196" i="1" s="1"/>
  <c r="AP196" i="1" s="1"/>
  <c r="AS196" i="1" s="1"/>
  <c r="AP225" i="1"/>
  <c r="AS225" i="1" s="1"/>
  <c r="AN931" i="1"/>
  <c r="AN902" i="1"/>
  <c r="AN463" i="1"/>
  <c r="AP733" i="1"/>
  <c r="AS733" i="1" s="1"/>
  <c r="BB733" i="1" s="1"/>
  <c r="AP399" i="1"/>
  <c r="AS399" i="1" s="1"/>
  <c r="AP887" i="1"/>
  <c r="AS887" i="1" s="1"/>
  <c r="AN72" i="1"/>
  <c r="AW156" i="1"/>
  <c r="AX156" i="1" s="1"/>
  <c r="AZ156" i="1" s="1"/>
  <c r="BA156" i="1" s="1"/>
  <c r="BB156" i="1" s="1"/>
  <c r="AN102" i="1"/>
  <c r="AP498" i="1"/>
  <c r="AS498" i="1" s="1"/>
  <c r="BB498" i="1" s="1"/>
  <c r="AN692" i="1"/>
  <c r="AN859" i="1"/>
  <c r="AN298" i="1"/>
  <c r="AP379" i="1"/>
  <c r="AS379" i="1" s="1"/>
  <c r="AN825" i="1"/>
  <c r="AP346" i="1"/>
  <c r="AS346" i="1" s="1"/>
  <c r="AP320" i="1"/>
  <c r="AS320" i="1" s="1"/>
  <c r="AP793" i="1"/>
  <c r="AS793" i="1" s="1"/>
  <c r="AN387" i="1"/>
  <c r="AN688" i="1"/>
  <c r="AN627" i="1"/>
  <c r="AO627" i="1" s="1"/>
  <c r="AP627" i="1" s="1"/>
  <c r="AS627" i="1" s="1"/>
  <c r="AN426" i="1"/>
  <c r="AN622" i="1"/>
  <c r="AP525" i="1"/>
  <c r="AS525" i="1" s="1"/>
  <c r="AP762" i="1"/>
  <c r="AS762" i="1" s="1"/>
  <c r="AP700" i="1"/>
  <c r="AS700" i="1" s="1"/>
  <c r="AW700" i="1"/>
  <c r="AX700" i="1" s="1"/>
  <c r="AZ700" i="1" s="1"/>
  <c r="BA700" i="1" s="1"/>
  <c r="AN650" i="1"/>
  <c r="AW629" i="1"/>
  <c r="AX629" i="1" s="1"/>
  <c r="AZ629" i="1" s="1"/>
  <c r="BA629" i="1" s="1"/>
  <c r="AP752" i="1"/>
  <c r="AS752" i="1" s="1"/>
  <c r="BB752" i="1" s="1"/>
  <c r="AN169" i="1"/>
  <c r="AO169" i="1" s="1"/>
  <c r="AP169" i="1" s="1"/>
  <c r="AS169" i="1" s="1"/>
  <c r="AN361" i="1"/>
  <c r="AP707" i="1"/>
  <c r="AS707" i="1" s="1"/>
  <c r="AP933" i="1"/>
  <c r="AS933" i="1" s="1"/>
  <c r="AP457" i="1"/>
  <c r="AS457" i="1" s="1"/>
  <c r="AW240" i="1"/>
  <c r="AX240" i="1" s="1"/>
  <c r="AZ240" i="1" s="1"/>
  <c r="BA240" i="1" s="1"/>
  <c r="BB240" i="1" s="1"/>
  <c r="AN437" i="1"/>
  <c r="AP144" i="1"/>
  <c r="AS144" i="1" s="1"/>
  <c r="AP98" i="1"/>
  <c r="AS98" i="1" s="1"/>
  <c r="AP743" i="1"/>
  <c r="AS743" i="1" s="1"/>
  <c r="AP950" i="1"/>
  <c r="AS950" i="1" s="1"/>
  <c r="AN704" i="1"/>
  <c r="AO704" i="1" s="1"/>
  <c r="AP704" i="1" s="1"/>
  <c r="AS704" i="1" s="1"/>
  <c r="AN948" i="1"/>
  <c r="AO948" i="1" s="1"/>
  <c r="AP948" i="1" s="1"/>
  <c r="AS948" i="1" s="1"/>
  <c r="AP215" i="1"/>
  <c r="AS215" i="1" s="1"/>
  <c r="AW793" i="1"/>
  <c r="AX793" i="1" s="1"/>
  <c r="AZ793" i="1" s="1"/>
  <c r="BA793" i="1" s="1"/>
  <c r="AP791" i="1"/>
  <c r="AS791" i="1" s="1"/>
  <c r="AP879" i="1"/>
  <c r="AS879" i="1" s="1"/>
  <c r="AP574" i="1"/>
  <c r="AS574" i="1" s="1"/>
  <c r="AN341" i="1"/>
  <c r="AO341" i="1" s="1"/>
  <c r="AP341" i="1" s="1"/>
  <c r="AS341" i="1" s="1"/>
  <c r="AN848" i="1"/>
  <c r="AW320" i="1"/>
  <c r="AX320" i="1" s="1"/>
  <c r="AZ320" i="1" s="1"/>
  <c r="BA320" i="1" s="1"/>
  <c r="AN396" i="1"/>
  <c r="AP315" i="1"/>
  <c r="AS315" i="1" s="1"/>
  <c r="AP95" i="1"/>
  <c r="AS95" i="1" s="1"/>
  <c r="AP203" i="1"/>
  <c r="AS203" i="1" s="1"/>
  <c r="AN237" i="1"/>
  <c r="AP886" i="1"/>
  <c r="AS886" i="1" s="1"/>
  <c r="AN501" i="1"/>
  <c r="AP478" i="1"/>
  <c r="AS478" i="1" s="1"/>
  <c r="AP749" i="1"/>
  <c r="AS749" i="1" s="1"/>
  <c r="AN311" i="1"/>
  <c r="AP41" i="1"/>
  <c r="AS41" i="1" s="1"/>
  <c r="AN655" i="1"/>
  <c r="AN585" i="1"/>
  <c r="AN353" i="1"/>
  <c r="AN680" i="1"/>
  <c r="AW96" i="1"/>
  <c r="AX96" i="1" s="1"/>
  <c r="AZ96" i="1" s="1"/>
  <c r="BA96" i="1" s="1"/>
  <c r="BB96" i="1" s="1"/>
  <c r="AW791" i="1"/>
  <c r="AX791" i="1" s="1"/>
  <c r="AZ791" i="1" s="1"/>
  <c r="BA791" i="1" s="1"/>
  <c r="AN282" i="1"/>
  <c r="AP728" i="1"/>
  <c r="AS728" i="1" s="1"/>
  <c r="AP735" i="1"/>
  <c r="AS735" i="1" s="1"/>
  <c r="AP50" i="1"/>
  <c r="AS50" i="1" s="1"/>
  <c r="AP798" i="1"/>
  <c r="AS798" i="1" s="1"/>
  <c r="BB798" i="1" s="1"/>
  <c r="AP945" i="1"/>
  <c r="AS945" i="1" s="1"/>
  <c r="AW945" i="1"/>
  <c r="AX945" i="1" s="1"/>
  <c r="AZ945" i="1" s="1"/>
  <c r="BA945" i="1" s="1"/>
  <c r="AN640" i="1"/>
  <c r="AW286" i="1"/>
  <c r="AX286" i="1" s="1"/>
  <c r="AZ286" i="1" s="1"/>
  <c r="BA286" i="1" s="1"/>
  <c r="BB286" i="1" s="1"/>
  <c r="AP413" i="1"/>
  <c r="AS413" i="1" s="1"/>
  <c r="AW399" i="1"/>
  <c r="AX399" i="1" s="1"/>
  <c r="AZ399" i="1" s="1"/>
  <c r="BA399" i="1" s="1"/>
  <c r="AP766" i="1"/>
  <c r="AS766" i="1" s="1"/>
  <c r="AN646" i="1"/>
  <c r="AN171" i="1"/>
  <c r="AP180" i="1"/>
  <c r="AS180" i="1" s="1"/>
  <c r="AP800" i="1"/>
  <c r="AS800" i="1" s="1"/>
  <c r="AP662" i="1"/>
  <c r="AS662" i="1" s="1"/>
  <c r="AP253" i="1"/>
  <c r="AS253" i="1" s="1"/>
  <c r="AN830" i="1"/>
  <c r="AW392" i="1"/>
  <c r="AX392" i="1" s="1"/>
  <c r="AZ392" i="1" s="1"/>
  <c r="BA392" i="1" s="1"/>
  <c r="BB392" i="1" s="1"/>
  <c r="AP242" i="1"/>
  <c r="AS242" i="1" s="1"/>
  <c r="AN801" i="1"/>
  <c r="AN212" i="1"/>
  <c r="AO212" i="1" s="1"/>
  <c r="AP212" i="1" s="1"/>
  <c r="AS212" i="1" s="1"/>
  <c r="AW950" i="1"/>
  <c r="AX950" i="1" s="1"/>
  <c r="AZ950" i="1" s="1"/>
  <c r="BA950" i="1" s="1"/>
  <c r="AN545" i="1"/>
  <c r="AP191" i="1"/>
  <c r="AS191" i="1" s="1"/>
  <c r="BB191" i="1" s="1"/>
  <c r="AN751" i="1"/>
  <c r="AP20" i="1"/>
  <c r="AS20" i="1" s="1"/>
  <c r="AN292" i="1"/>
  <c r="AN195" i="1"/>
  <c r="AN635" i="1"/>
  <c r="BB663" i="1"/>
  <c r="AN143" i="1"/>
  <c r="AN544" i="1"/>
  <c r="AW95" i="1"/>
  <c r="AX95" i="1" s="1"/>
  <c r="AZ95" i="1" s="1"/>
  <c r="BA95" i="1" s="1"/>
  <c r="AN227" i="1"/>
  <c r="AP863" i="1"/>
  <c r="AS863" i="1" s="1"/>
  <c r="BB863" i="1" s="1"/>
  <c r="AP573" i="1"/>
  <c r="AS573" i="1" s="1"/>
  <c r="AN760" i="1"/>
  <c r="AP338" i="1"/>
  <c r="AS338" i="1" s="1"/>
  <c r="AN648" i="1"/>
  <c r="AW707" i="1"/>
  <c r="AX707" i="1" s="1"/>
  <c r="AZ707" i="1" s="1"/>
  <c r="BA707" i="1" s="1"/>
  <c r="AN481" i="1"/>
  <c r="AW226" i="1"/>
  <c r="AX226" i="1" s="1"/>
  <c r="AZ226" i="1" s="1"/>
  <c r="BA226" i="1" s="1"/>
  <c r="BB226" i="1" s="1"/>
  <c r="AP671" i="1"/>
  <c r="AS671" i="1" s="1"/>
  <c r="AN493" i="1"/>
  <c r="AN884" i="1"/>
  <c r="AN806" i="1"/>
  <c r="AP529" i="1"/>
  <c r="AS529" i="1" s="1"/>
  <c r="AP363" i="1"/>
  <c r="AS363" i="1" s="1"/>
  <c r="AP746" i="1"/>
  <c r="AS746" i="1" s="1"/>
  <c r="AN218" i="1"/>
  <c r="AN715" i="1"/>
  <c r="AP290" i="1"/>
  <c r="AS290" i="1" s="1"/>
  <c r="BB290" i="1" s="1"/>
  <c r="AP337" i="1"/>
  <c r="AS337" i="1" s="1"/>
  <c r="AP952" i="1"/>
  <c r="AS952" i="1" s="1"/>
  <c r="BB952" i="1" s="1"/>
  <c r="AP706" i="1"/>
  <c r="AS706" i="1" s="1"/>
  <c r="AN521" i="1"/>
  <c r="AN533" i="1"/>
  <c r="AP138" i="1"/>
  <c r="AS138" i="1" s="1"/>
  <c r="AP268" i="1"/>
  <c r="AS268" i="1" s="1"/>
  <c r="AP568" i="1"/>
  <c r="AS568" i="1" s="1"/>
  <c r="AP588" i="1"/>
  <c r="AS588" i="1" s="1"/>
  <c r="AP944" i="1"/>
  <c r="AS944" i="1" s="1"/>
  <c r="AP266" i="1"/>
  <c r="AS266" i="1" s="1"/>
  <c r="AN474" i="1"/>
  <c r="AP768" i="1"/>
  <c r="AS768" i="1" s="1"/>
  <c r="AP693" i="1"/>
  <c r="AS693" i="1" s="1"/>
  <c r="AP500" i="1"/>
  <c r="AS500" i="1" s="1"/>
  <c r="AP316" i="1"/>
  <c r="AS316" i="1" s="1"/>
  <c r="AP559" i="1"/>
  <c r="AS559" i="1" s="1"/>
  <c r="AP455" i="1"/>
  <c r="AS455" i="1" s="1"/>
  <c r="AW671" i="1"/>
  <c r="AX671" i="1" s="1"/>
  <c r="AZ671" i="1" s="1"/>
  <c r="BA671" i="1" s="1"/>
  <c r="AN354" i="1"/>
  <c r="AN739" i="1"/>
  <c r="AN581" i="1"/>
  <c r="AW588" i="1"/>
  <c r="AX588" i="1" s="1"/>
  <c r="AZ588" i="1" s="1"/>
  <c r="BA588" i="1" s="1"/>
  <c r="AN896" i="1"/>
  <c r="AN389" i="1"/>
  <c r="AP418" i="1"/>
  <c r="AS418" i="1" s="1"/>
  <c r="AN116" i="1"/>
  <c r="AN272" i="1"/>
  <c r="AW266" i="1"/>
  <c r="AX266" i="1" s="1"/>
  <c r="AZ266" i="1" s="1"/>
  <c r="BA266" i="1" s="1"/>
  <c r="AW743" i="1"/>
  <c r="AX743" i="1" s="1"/>
  <c r="AZ743" i="1" s="1"/>
  <c r="BA743" i="1" s="1"/>
  <c r="AP794" i="1"/>
  <c r="AS794" i="1" s="1"/>
  <c r="BB794" i="1" s="1"/>
  <c r="AN329" i="1"/>
  <c r="AN786" i="1"/>
  <c r="AO786" i="1" s="1"/>
  <c r="AP786" i="1" s="1"/>
  <c r="AS786" i="1" s="1"/>
  <c r="AW944" i="1"/>
  <c r="AX944" i="1" s="1"/>
  <c r="AZ944" i="1" s="1"/>
  <c r="BA944" i="1" s="1"/>
  <c r="AP712" i="1"/>
  <c r="AS712" i="1" s="1"/>
  <c r="AN201" i="1"/>
  <c r="AN829" i="1"/>
  <c r="AN770" i="1"/>
  <c r="AP159" i="1"/>
  <c r="AS159" i="1" s="1"/>
  <c r="BB159" i="1" s="1"/>
  <c r="AP657" i="1"/>
  <c r="AS657" i="1" s="1"/>
  <c r="AP345" i="1"/>
  <c r="AS345" i="1" s="1"/>
  <c r="AN539" i="1"/>
  <c r="AN258" i="1"/>
  <c r="AP720" i="1"/>
  <c r="AS720" i="1" s="1"/>
  <c r="BB720" i="1" s="1"/>
  <c r="AP436" i="1"/>
  <c r="AS436" i="1" s="1"/>
  <c r="AN395" i="1"/>
  <c r="AW452" i="1"/>
  <c r="AX452" i="1" s="1"/>
  <c r="AZ452" i="1" s="1"/>
  <c r="BA452" i="1" s="1"/>
  <c r="BB452" i="1" s="1"/>
  <c r="AP446" i="1"/>
  <c r="AS446" i="1" s="1"/>
  <c r="AP642" i="1"/>
  <c r="AS642" i="1" s="1"/>
  <c r="AP611" i="1"/>
  <c r="AS611" i="1" s="1"/>
  <c r="AN35" i="1"/>
  <c r="AP375" i="1"/>
  <c r="AS375" i="1" s="1"/>
  <c r="AW559" i="1"/>
  <c r="AX559" i="1" s="1"/>
  <c r="AZ559" i="1" s="1"/>
  <c r="BA559" i="1" s="1"/>
  <c r="AP813" i="1"/>
  <c r="AS813" i="1" s="1"/>
  <c r="AW446" i="1"/>
  <c r="AX446" i="1" s="1"/>
  <c r="AZ446" i="1" s="1"/>
  <c r="BA446" i="1" s="1"/>
  <c r="AN754" i="1"/>
  <c r="AN839" i="1"/>
  <c r="AO839" i="1" s="1"/>
  <c r="AP839" i="1" s="1"/>
  <c r="AS839" i="1" s="1"/>
  <c r="AW540" i="1"/>
  <c r="AX540" i="1" s="1"/>
  <c r="AZ540" i="1" s="1"/>
  <c r="BA540" i="1" s="1"/>
  <c r="AN523" i="1"/>
  <c r="AO523" i="1" s="1"/>
  <c r="AP523" i="1" s="1"/>
  <c r="AS523" i="1" s="1"/>
  <c r="AP75" i="1"/>
  <c r="AS75" i="1" s="1"/>
  <c r="AN273" i="1"/>
  <c r="AW316" i="1"/>
  <c r="AX316" i="1" s="1"/>
  <c r="AZ316" i="1" s="1"/>
  <c r="BA316" i="1" s="1"/>
  <c r="AP697" i="1"/>
  <c r="AS697" i="1" s="1"/>
  <c r="AN647" i="1"/>
  <c r="AW429" i="1"/>
  <c r="AX429" i="1" s="1"/>
  <c r="AZ429" i="1" s="1"/>
  <c r="BA429" i="1" s="1"/>
  <c r="AN936" i="1"/>
  <c r="AP513" i="1"/>
  <c r="AS513" i="1" s="1"/>
  <c r="AP567" i="1"/>
  <c r="AS567" i="1" s="1"/>
  <c r="AN548" i="1"/>
  <c r="AO548" i="1" s="1"/>
  <c r="AP548" i="1" s="1"/>
  <c r="AS548" i="1" s="1"/>
  <c r="BB548" i="1" s="1"/>
  <c r="AP419" i="1"/>
  <c r="AS419" i="1" s="1"/>
  <c r="AP53" i="1"/>
  <c r="AS53" i="1" s="1"/>
  <c r="AN479" i="1"/>
  <c r="AP417" i="1"/>
  <c r="AS417" i="1" s="1"/>
  <c r="AP702" i="1"/>
  <c r="AS702" i="1" s="1"/>
  <c r="AW693" i="1"/>
  <c r="AX693" i="1" s="1"/>
  <c r="AZ693" i="1" s="1"/>
  <c r="BA693" i="1" s="1"/>
  <c r="AW657" i="1"/>
  <c r="AX657" i="1" s="1"/>
  <c r="AZ657" i="1" s="1"/>
  <c r="BA657" i="1" s="1"/>
  <c r="AN827" i="1"/>
  <c r="AN434" i="1"/>
  <c r="AW662" i="1"/>
  <c r="AX662" i="1" s="1"/>
  <c r="AZ662" i="1" s="1"/>
  <c r="BA662" i="1" s="1"/>
  <c r="AP248" i="1"/>
  <c r="AS248" i="1" s="1"/>
  <c r="AW345" i="1"/>
  <c r="AX345" i="1" s="1"/>
  <c r="AZ345" i="1" s="1"/>
  <c r="BA345" i="1" s="1"/>
  <c r="AN832" i="1"/>
  <c r="AN854" i="1"/>
  <c r="AW611" i="1"/>
  <c r="AX611" i="1" s="1"/>
  <c r="AZ611" i="1" s="1"/>
  <c r="BA611" i="1" s="1"/>
  <c r="AP898" i="1"/>
  <c r="AS898" i="1" s="1"/>
  <c r="AN157" i="1"/>
  <c r="AP409" i="1"/>
  <c r="AS409" i="1" s="1"/>
  <c r="AN236" i="1"/>
  <c r="AN459" i="1"/>
  <c r="AN342" i="1"/>
  <c r="AW735" i="1"/>
  <c r="AX735" i="1" s="1"/>
  <c r="AZ735" i="1" s="1"/>
  <c r="BA735" i="1" s="1"/>
  <c r="AP858" i="1"/>
  <c r="AS858" i="1" s="1"/>
  <c r="AP451" i="1"/>
  <c r="AS451" i="1" s="1"/>
  <c r="AP852" i="1"/>
  <c r="AS852" i="1" s="1"/>
  <c r="AP464" i="1"/>
  <c r="AS464" i="1" s="1"/>
  <c r="AP685" i="1"/>
  <c r="AS685" i="1" s="1"/>
  <c r="AN443" i="1"/>
  <c r="AN211" i="1"/>
  <c r="AN615" i="1"/>
  <c r="AN560" i="1"/>
  <c r="AP805" i="1"/>
  <c r="AS805" i="1" s="1"/>
  <c r="AN128" i="1"/>
  <c r="AN154" i="1"/>
  <c r="AN449" i="1"/>
  <c r="AO449" i="1" s="1"/>
  <c r="AP449" i="1" s="1"/>
  <c r="AS449" i="1" s="1"/>
  <c r="AP224" i="1"/>
  <c r="AS224" i="1" s="1"/>
  <c r="BB224" i="1" s="1"/>
  <c r="AP883" i="1"/>
  <c r="AS883" i="1" s="1"/>
  <c r="AN167" i="1"/>
  <c r="AO167" i="1" s="1"/>
  <c r="AP167" i="1" s="1"/>
  <c r="AS167" i="1" s="1"/>
  <c r="AN222" i="1"/>
  <c r="AN682" i="1"/>
  <c r="AN536" i="1"/>
  <c r="AP566" i="1"/>
  <c r="AS566" i="1" s="1"/>
  <c r="AW566" i="1"/>
  <c r="AX566" i="1" s="1"/>
  <c r="AZ566" i="1" s="1"/>
  <c r="BA566" i="1" s="1"/>
  <c r="AW550" i="1"/>
  <c r="AX550" i="1" s="1"/>
  <c r="AZ550" i="1" s="1"/>
  <c r="BA550" i="1" s="1"/>
  <c r="AW523" i="1"/>
  <c r="AX523" i="1" s="1"/>
  <c r="AZ523" i="1" s="1"/>
  <c r="BA523" i="1" s="1"/>
  <c r="AP254" i="1"/>
  <c r="AS254" i="1" s="1"/>
  <c r="AP742" i="1"/>
  <c r="AS742" i="1" s="1"/>
  <c r="BB742" i="1" s="1"/>
  <c r="AW567" i="1"/>
  <c r="AX567" i="1" s="1"/>
  <c r="AZ567" i="1" s="1"/>
  <c r="BA567" i="1" s="1"/>
  <c r="AP664" i="1"/>
  <c r="AS664" i="1" s="1"/>
  <c r="AP630" i="1"/>
  <c r="AS630" i="1" s="1"/>
  <c r="AW630" i="1"/>
  <c r="AX630" i="1" s="1"/>
  <c r="AZ630" i="1" s="1"/>
  <c r="BA630" i="1" s="1"/>
  <c r="AN821" i="1"/>
  <c r="AW358" i="1"/>
  <c r="AX358" i="1" s="1"/>
  <c r="AZ358" i="1" s="1"/>
  <c r="BA358" i="1" s="1"/>
  <c r="AP358" i="1"/>
  <c r="AS358" i="1" s="1"/>
  <c r="AP551" i="1"/>
  <c r="AS551" i="1" s="1"/>
  <c r="AW551" i="1"/>
  <c r="AX551" i="1" s="1"/>
  <c r="AZ551" i="1" s="1"/>
  <c r="BA551" i="1" s="1"/>
  <c r="AN172" i="1"/>
  <c r="AP256" i="1"/>
  <c r="AS256" i="1" s="1"/>
  <c r="AW256" i="1"/>
  <c r="AX256" i="1" s="1"/>
  <c r="AZ256" i="1" s="1"/>
  <c r="BA256" i="1" s="1"/>
  <c r="AN293" i="1"/>
  <c r="AN71" i="1"/>
  <c r="AP583" i="1"/>
  <c r="AS583" i="1" s="1"/>
  <c r="AP764" i="1"/>
  <c r="AS764" i="1" s="1"/>
  <c r="AP737" i="1"/>
  <c r="AS737" i="1" s="1"/>
  <c r="AW339" i="1"/>
  <c r="AX339" i="1" s="1"/>
  <c r="AZ339" i="1" s="1"/>
  <c r="BA339" i="1" s="1"/>
  <c r="AP339" i="1"/>
  <c r="AS339" i="1" s="1"/>
  <c r="AW491" i="1"/>
  <c r="AX491" i="1" s="1"/>
  <c r="AZ491" i="1" s="1"/>
  <c r="BA491" i="1" s="1"/>
  <c r="AP491" i="1"/>
  <c r="AS491" i="1" s="1"/>
  <c r="AW515" i="1"/>
  <c r="AX515" i="1" s="1"/>
  <c r="AZ515" i="1" s="1"/>
  <c r="BA515" i="1" s="1"/>
  <c r="AP515" i="1"/>
  <c r="AS515" i="1" s="1"/>
  <c r="AW661" i="1"/>
  <c r="AX661" i="1" s="1"/>
  <c r="AZ661" i="1" s="1"/>
  <c r="BA661" i="1" s="1"/>
  <c r="AP661" i="1"/>
  <c r="AS661" i="1" s="1"/>
  <c r="AN335" i="1"/>
  <c r="AW858" i="1"/>
  <c r="AX858" i="1" s="1"/>
  <c r="AZ858" i="1" s="1"/>
  <c r="BA858" i="1" s="1"/>
  <c r="AN261" i="1"/>
  <c r="AW900" i="1"/>
  <c r="AX900" i="1" s="1"/>
  <c r="AZ900" i="1" s="1"/>
  <c r="BA900" i="1" s="1"/>
  <c r="AP900" i="1"/>
  <c r="AS900" i="1" s="1"/>
  <c r="AN187" i="1"/>
  <c r="AN149" i="1"/>
  <c r="AP609" i="1"/>
  <c r="AS609" i="1" s="1"/>
  <c r="AN772" i="1"/>
  <c r="AP631" i="1"/>
  <c r="AS631" i="1" s="1"/>
  <c r="AW631" i="1"/>
  <c r="AX631" i="1" s="1"/>
  <c r="AZ631" i="1" s="1"/>
  <c r="BA631" i="1" s="1"/>
  <c r="AW643" i="1"/>
  <c r="AX643" i="1" s="1"/>
  <c r="AZ643" i="1" s="1"/>
  <c r="BA643" i="1" s="1"/>
  <c r="AW936" i="1"/>
  <c r="AX936" i="1" s="1"/>
  <c r="AZ936" i="1" s="1"/>
  <c r="BA936" i="1" s="1"/>
  <c r="AN319" i="1"/>
  <c r="AO319" i="1" s="1"/>
  <c r="AP319" i="1" s="1"/>
  <c r="AS319" i="1" s="1"/>
  <c r="AN331" i="1"/>
  <c r="AN917" i="1"/>
  <c r="AW53" i="1"/>
  <c r="AX53" i="1" s="1"/>
  <c r="AZ53" i="1" s="1"/>
  <c r="BA53" i="1" s="1"/>
  <c r="AP216" i="1"/>
  <c r="AS216" i="1" s="1"/>
  <c r="AN550" i="1"/>
  <c r="AW453" i="1"/>
  <c r="AX453" i="1" s="1"/>
  <c r="AZ453" i="1" s="1"/>
  <c r="BA453" i="1" s="1"/>
  <c r="AP453" i="1"/>
  <c r="AS453" i="1" s="1"/>
  <c r="AP467" i="1"/>
  <c r="AS467" i="1" s="1"/>
  <c r="AN856" i="1"/>
  <c r="AN165" i="1"/>
  <c r="AO165" i="1" s="1"/>
  <c r="AP165" i="1" s="1"/>
  <c r="AS165" i="1" s="1"/>
  <c r="AN736" i="1"/>
  <c r="AN334" i="1"/>
  <c r="AN857" i="1"/>
  <c r="AP243" i="1"/>
  <c r="AS243" i="1" s="1"/>
  <c r="AW243" i="1"/>
  <c r="AX243" i="1" s="1"/>
  <c r="AZ243" i="1" s="1"/>
  <c r="BA243" i="1" s="1"/>
  <c r="AW206" i="1"/>
  <c r="AX206" i="1" s="1"/>
  <c r="AZ206" i="1" s="1"/>
  <c r="BA206" i="1" s="1"/>
  <c r="AP206" i="1"/>
  <c r="AS206" i="1" s="1"/>
  <c r="AP748" i="1"/>
  <c r="AS748" i="1" s="1"/>
  <c r="AW934" i="1"/>
  <c r="AX934" i="1" s="1"/>
  <c r="AZ934" i="1" s="1"/>
  <c r="BA934" i="1" s="1"/>
  <c r="AP934" i="1"/>
  <c r="AS934" i="1" s="1"/>
  <c r="AW590" i="1"/>
  <c r="AX590" i="1" s="1"/>
  <c r="AZ590" i="1" s="1"/>
  <c r="BA590" i="1" s="1"/>
  <c r="AP590" i="1"/>
  <c r="AS590" i="1" s="1"/>
  <c r="AP810" i="1"/>
  <c r="AS810" i="1" s="1"/>
  <c r="AN633" i="1"/>
  <c r="BB678" i="1"/>
  <c r="AN378" i="1"/>
  <c r="AW329" i="1"/>
  <c r="AX329" i="1" s="1"/>
  <c r="AZ329" i="1" s="1"/>
  <c r="BA329" i="1" s="1"/>
  <c r="AW154" i="1"/>
  <c r="AX154" i="1" s="1"/>
  <c r="AZ154" i="1" s="1"/>
  <c r="BA154" i="1" s="1"/>
  <c r="AW135" i="1"/>
  <c r="AX135" i="1" s="1"/>
  <c r="AZ135" i="1" s="1"/>
  <c r="BA135" i="1" s="1"/>
  <c r="AW840" i="1"/>
  <c r="AX840" i="1" s="1"/>
  <c r="AZ840" i="1" s="1"/>
  <c r="BA840" i="1" s="1"/>
  <c r="AW162" i="1"/>
  <c r="AX162" i="1" s="1"/>
  <c r="AZ162" i="1" s="1"/>
  <c r="BA162" i="1" s="1"/>
  <c r="AW705" i="1"/>
  <c r="AX705" i="1" s="1"/>
  <c r="AZ705" i="1" s="1"/>
  <c r="BA705" i="1" s="1"/>
  <c r="AW716" i="1"/>
  <c r="AX716" i="1" s="1"/>
  <c r="AZ716" i="1" s="1"/>
  <c r="BA716" i="1" s="1"/>
  <c r="AW342" i="1"/>
  <c r="AX342" i="1" s="1"/>
  <c r="AZ342" i="1" s="1"/>
  <c r="BA342" i="1" s="1"/>
  <c r="AW170" i="1"/>
  <c r="AX170" i="1" s="1"/>
  <c r="AZ170" i="1" s="1"/>
  <c r="BA170" i="1" s="1"/>
  <c r="AW335" i="1"/>
  <c r="AX335" i="1" s="1"/>
  <c r="AZ335" i="1" s="1"/>
  <c r="BA335" i="1" s="1"/>
  <c r="AW365" i="1"/>
  <c r="AX365" i="1" s="1"/>
  <c r="AZ365" i="1" s="1"/>
  <c r="BA365" i="1" s="1"/>
  <c r="AW435" i="1"/>
  <c r="AX435" i="1" s="1"/>
  <c r="AZ435" i="1" s="1"/>
  <c r="BA435" i="1" s="1"/>
  <c r="AP435" i="1"/>
  <c r="AS435" i="1" s="1"/>
  <c r="AW739" i="1"/>
  <c r="AX739" i="1" s="1"/>
  <c r="AZ739" i="1" s="1"/>
  <c r="BA739" i="1" s="1"/>
  <c r="AP310" i="1"/>
  <c r="AS310" i="1" s="1"/>
  <c r="AW310" i="1"/>
  <c r="AX310" i="1" s="1"/>
  <c r="AZ310" i="1" s="1"/>
  <c r="BA310" i="1" s="1"/>
  <c r="AW236" i="1"/>
  <c r="AX236" i="1" s="1"/>
  <c r="AZ236" i="1" s="1"/>
  <c r="BA236" i="1" s="1"/>
  <c r="AW70" i="1"/>
  <c r="AX70" i="1" s="1"/>
  <c r="AZ70" i="1" s="1"/>
  <c r="BA70" i="1" s="1"/>
  <c r="AP70" i="1"/>
  <c r="AS70" i="1" s="1"/>
  <c r="BB505" i="1"/>
  <c r="BB477" i="1"/>
  <c r="AW635" i="1"/>
  <c r="AX635" i="1" s="1"/>
  <c r="AZ635" i="1" s="1"/>
  <c r="BA635" i="1" s="1"/>
  <c r="AP778" i="1"/>
  <c r="AS778" i="1" s="1"/>
  <c r="AW778" i="1"/>
  <c r="AX778" i="1" s="1"/>
  <c r="AZ778" i="1" s="1"/>
  <c r="BA778" i="1" s="1"/>
  <c r="AP951" i="1"/>
  <c r="AS951" i="1" s="1"/>
  <c r="AW951" i="1"/>
  <c r="AX951" i="1" s="1"/>
  <c r="AZ951" i="1" s="1"/>
  <c r="BA951" i="1" s="1"/>
  <c r="AP166" i="1"/>
  <c r="AS166" i="1" s="1"/>
  <c r="AW166" i="1"/>
  <c r="AX166" i="1" s="1"/>
  <c r="AZ166" i="1" s="1"/>
  <c r="BA166" i="1" s="1"/>
  <c r="AP37" i="1"/>
  <c r="AS37" i="1" s="1"/>
  <c r="AW37" i="1"/>
  <c r="AX37" i="1" s="1"/>
  <c r="AZ37" i="1" s="1"/>
  <c r="BA37" i="1" s="1"/>
  <c r="AW869" i="1"/>
  <c r="AX869" i="1" s="1"/>
  <c r="AZ869" i="1" s="1"/>
  <c r="BA869" i="1" s="1"/>
  <c r="AP869" i="1"/>
  <c r="AS869" i="1" s="1"/>
  <c r="AW167" i="1"/>
  <c r="AX167" i="1" s="1"/>
  <c r="AZ167" i="1" s="1"/>
  <c r="BA167" i="1" s="1"/>
  <c r="AP347" i="1"/>
  <c r="AS347" i="1" s="1"/>
  <c r="AW347" i="1"/>
  <c r="AX347" i="1" s="1"/>
  <c r="AZ347" i="1" s="1"/>
  <c r="BA347" i="1" s="1"/>
  <c r="AP494" i="1"/>
  <c r="AS494" i="1" s="1"/>
  <c r="AW494" i="1"/>
  <c r="AX494" i="1" s="1"/>
  <c r="AZ494" i="1" s="1"/>
  <c r="BA494" i="1" s="1"/>
  <c r="AW473" i="1"/>
  <c r="AX473" i="1" s="1"/>
  <c r="AZ473" i="1" s="1"/>
  <c r="BA473" i="1" s="1"/>
  <c r="AP473" i="1"/>
  <c r="AS473" i="1" s="1"/>
  <c r="AW488" i="1"/>
  <c r="AX488" i="1" s="1"/>
  <c r="AZ488" i="1" s="1"/>
  <c r="BA488" i="1" s="1"/>
  <c r="AP488" i="1"/>
  <c r="AS488" i="1" s="1"/>
  <c r="AW533" i="1"/>
  <c r="AX533" i="1" s="1"/>
  <c r="AZ533" i="1" s="1"/>
  <c r="BA533" i="1" s="1"/>
  <c r="AP142" i="1"/>
  <c r="AS142" i="1" s="1"/>
  <c r="AW142" i="1"/>
  <c r="AX142" i="1" s="1"/>
  <c r="AZ142" i="1" s="1"/>
  <c r="BA142" i="1" s="1"/>
  <c r="AW201" i="1"/>
  <c r="AX201" i="1" s="1"/>
  <c r="AZ201" i="1" s="1"/>
  <c r="BA201" i="1" s="1"/>
  <c r="AW64" i="1"/>
  <c r="AX64" i="1" s="1"/>
  <c r="AZ64" i="1" s="1"/>
  <c r="BA64" i="1" s="1"/>
  <c r="AP64" i="1"/>
  <c r="AS64" i="1" s="1"/>
  <c r="AW378" i="1"/>
  <c r="AX378" i="1" s="1"/>
  <c r="AZ378" i="1" s="1"/>
  <c r="BA378" i="1" s="1"/>
  <c r="AW539" i="1"/>
  <c r="AX539" i="1" s="1"/>
  <c r="AZ539" i="1" s="1"/>
  <c r="BA539" i="1" s="1"/>
  <c r="BB587" i="1"/>
  <c r="AW738" i="1"/>
  <c r="AX738" i="1" s="1"/>
  <c r="AZ738" i="1" s="1"/>
  <c r="BA738" i="1" s="1"/>
  <c r="AP738" i="1"/>
  <c r="AS738" i="1" s="1"/>
  <c r="AW674" i="1"/>
  <c r="AX674" i="1" s="1"/>
  <c r="AZ674" i="1" s="1"/>
  <c r="BA674" i="1" s="1"/>
  <c r="AP188" i="1"/>
  <c r="AS188" i="1" s="1"/>
  <c r="AW188" i="1"/>
  <c r="AX188" i="1" s="1"/>
  <c r="AZ188" i="1" s="1"/>
  <c r="BA188" i="1" s="1"/>
  <c r="AW571" i="1"/>
  <c r="AX571" i="1" s="1"/>
  <c r="AZ571" i="1" s="1"/>
  <c r="BA571" i="1" s="1"/>
  <c r="AP836" i="1"/>
  <c r="AS836" i="1" s="1"/>
  <c r="AW836" i="1"/>
  <c r="AX836" i="1" s="1"/>
  <c r="AZ836" i="1" s="1"/>
  <c r="BA836" i="1" s="1"/>
  <c r="AP903" i="1"/>
  <c r="AS903" i="1" s="1"/>
  <c r="AW903" i="1"/>
  <c r="AX903" i="1" s="1"/>
  <c r="AZ903" i="1" s="1"/>
  <c r="BA903" i="1" s="1"/>
  <c r="AW745" i="1"/>
  <c r="AX745" i="1" s="1"/>
  <c r="AZ745" i="1" s="1"/>
  <c r="BA745" i="1" s="1"/>
  <c r="AP745" i="1"/>
  <c r="AS745" i="1" s="1"/>
  <c r="AP26" i="1"/>
  <c r="AS26" i="1" s="1"/>
  <c r="AW26" i="1"/>
  <c r="AX26" i="1" s="1"/>
  <c r="AZ26" i="1" s="1"/>
  <c r="BA26" i="1" s="1"/>
  <c r="AP855" i="1"/>
  <c r="AS855" i="1" s="1"/>
  <c r="AW855" i="1"/>
  <c r="AX855" i="1" s="1"/>
  <c r="AZ855" i="1" s="1"/>
  <c r="BA855" i="1" s="1"/>
  <c r="AW868" i="1"/>
  <c r="AX868" i="1" s="1"/>
  <c r="AZ868" i="1" s="1"/>
  <c r="BA868" i="1" s="1"/>
  <c r="AP868" i="1"/>
  <c r="AS868" i="1" s="1"/>
  <c r="AW783" i="1"/>
  <c r="AX783" i="1" s="1"/>
  <c r="AZ783" i="1" s="1"/>
  <c r="BA783" i="1" s="1"/>
  <c r="AP783" i="1"/>
  <c r="AS783" i="1" s="1"/>
  <c r="AP93" i="1"/>
  <c r="AS93" i="1" s="1"/>
  <c r="AW93" i="1"/>
  <c r="AX93" i="1" s="1"/>
  <c r="AZ93" i="1" s="1"/>
  <c r="BA93" i="1" s="1"/>
  <c r="AP591" i="1"/>
  <c r="AS591" i="1" s="1"/>
  <c r="AW591" i="1"/>
  <c r="AX591" i="1" s="1"/>
  <c r="AZ591" i="1" s="1"/>
  <c r="BA591" i="1" s="1"/>
  <c r="AW107" i="1"/>
  <c r="AX107" i="1" s="1"/>
  <c r="AZ107" i="1" s="1"/>
  <c r="BA107" i="1" s="1"/>
  <c r="AP107" i="1"/>
  <c r="AS107" i="1" s="1"/>
  <c r="AW896" i="1"/>
  <c r="AX896" i="1" s="1"/>
  <c r="AZ896" i="1" s="1"/>
  <c r="BA896" i="1" s="1"/>
  <c r="AW173" i="1"/>
  <c r="AX173" i="1" s="1"/>
  <c r="AZ173" i="1" s="1"/>
  <c r="BA173" i="1" s="1"/>
  <c r="AW604" i="1"/>
  <c r="AX604" i="1" s="1"/>
  <c r="AZ604" i="1" s="1"/>
  <c r="BA604" i="1" s="1"/>
  <c r="AP604" i="1"/>
  <c r="AS604" i="1" s="1"/>
  <c r="AP645" i="1"/>
  <c r="AS645" i="1" s="1"/>
  <c r="AW645" i="1"/>
  <c r="AX645" i="1" s="1"/>
  <c r="AZ645" i="1" s="1"/>
  <c r="BA645" i="1" s="1"/>
  <c r="AW168" i="1"/>
  <c r="AX168" i="1" s="1"/>
  <c r="AZ168" i="1" s="1"/>
  <c r="BA168" i="1" s="1"/>
  <c r="AP168" i="1"/>
  <c r="AS168" i="1" s="1"/>
  <c r="AW440" i="1"/>
  <c r="AX440" i="1" s="1"/>
  <c r="AZ440" i="1" s="1"/>
  <c r="BA440" i="1" s="1"/>
  <c r="AP440" i="1"/>
  <c r="AS440" i="1" s="1"/>
  <c r="AP314" i="1"/>
  <c r="AS314" i="1" s="1"/>
  <c r="AW314" i="1"/>
  <c r="AX314" i="1" s="1"/>
  <c r="AZ314" i="1" s="1"/>
  <c r="BA314" i="1" s="1"/>
  <c r="AP68" i="1"/>
  <c r="AS68" i="1" s="1"/>
  <c r="AW68" i="1"/>
  <c r="AX68" i="1" s="1"/>
  <c r="AZ68" i="1" s="1"/>
  <c r="BA68" i="1" s="1"/>
  <c r="AW212" i="1"/>
  <c r="AX212" i="1" s="1"/>
  <c r="AZ212" i="1" s="1"/>
  <c r="BA212" i="1" s="1"/>
  <c r="AW602" i="1"/>
  <c r="AX602" i="1" s="1"/>
  <c r="AZ602" i="1" s="1"/>
  <c r="BA602" i="1" s="1"/>
  <c r="AP602" i="1"/>
  <c r="AS602" i="1" s="1"/>
  <c r="AW433" i="1"/>
  <c r="AX433" i="1" s="1"/>
  <c r="AZ433" i="1" s="1"/>
  <c r="BA433" i="1" s="1"/>
  <c r="AP433" i="1"/>
  <c r="AS433" i="1" s="1"/>
  <c r="BB575" i="1"/>
  <c r="AW592" i="1"/>
  <c r="AX592" i="1" s="1"/>
  <c r="AZ592" i="1" s="1"/>
  <c r="BA592" i="1" s="1"/>
  <c r="AP592" i="1"/>
  <c r="AS592" i="1" s="1"/>
  <c r="AW827" i="1"/>
  <c r="AX827" i="1" s="1"/>
  <c r="AZ827" i="1" s="1"/>
  <c r="BA827" i="1" s="1"/>
  <c r="AP16" i="1"/>
  <c r="AS16" i="1" s="1"/>
  <c r="AW16" i="1"/>
  <c r="AX16" i="1" s="1"/>
  <c r="AZ16" i="1" s="1"/>
  <c r="BA16" i="1" s="1"/>
  <c r="AW198" i="1"/>
  <c r="AX198" i="1" s="1"/>
  <c r="AZ198" i="1" s="1"/>
  <c r="BA198" i="1" s="1"/>
  <c r="AW175" i="1"/>
  <c r="AX175" i="1" s="1"/>
  <c r="AZ175" i="1" s="1"/>
  <c r="BA175" i="1" s="1"/>
  <c r="AW105" i="1"/>
  <c r="AX105" i="1" s="1"/>
  <c r="AZ105" i="1" s="1"/>
  <c r="BA105" i="1" s="1"/>
  <c r="AP105" i="1"/>
  <c r="AS105" i="1" s="1"/>
  <c r="AW580" i="1"/>
  <c r="AX580" i="1" s="1"/>
  <c r="AZ580" i="1" s="1"/>
  <c r="BA580" i="1" s="1"/>
  <c r="AP580" i="1"/>
  <c r="AS580" i="1" s="1"/>
  <c r="AW222" i="1"/>
  <c r="AX222" i="1" s="1"/>
  <c r="AZ222" i="1" s="1"/>
  <c r="BA222" i="1" s="1"/>
  <c r="AP324" i="1"/>
  <c r="AS324" i="1" s="1"/>
  <c r="AW324" i="1"/>
  <c r="AX324" i="1" s="1"/>
  <c r="AZ324" i="1" s="1"/>
  <c r="BA324" i="1" s="1"/>
  <c r="AW397" i="1"/>
  <c r="AX397" i="1" s="1"/>
  <c r="AZ397" i="1" s="1"/>
  <c r="BA397" i="1" s="1"/>
  <c r="AW273" i="1"/>
  <c r="AX273" i="1" s="1"/>
  <c r="AZ273" i="1" s="1"/>
  <c r="BA273" i="1" s="1"/>
  <c r="AW331" i="1"/>
  <c r="AX331" i="1" s="1"/>
  <c r="AZ331" i="1" s="1"/>
  <c r="BA331" i="1" s="1"/>
  <c r="AW842" i="1"/>
  <c r="AX842" i="1" s="1"/>
  <c r="AZ842" i="1" s="1"/>
  <c r="BA842" i="1" s="1"/>
  <c r="AP842" i="1"/>
  <c r="AS842" i="1" s="1"/>
  <c r="AW119" i="1"/>
  <c r="AX119" i="1" s="1"/>
  <c r="AZ119" i="1" s="1"/>
  <c r="BA119" i="1" s="1"/>
  <c r="AW593" i="1"/>
  <c r="AX593" i="1" s="1"/>
  <c r="AZ593" i="1" s="1"/>
  <c r="BA593" i="1" s="1"/>
  <c r="AW524" i="1"/>
  <c r="AX524" i="1" s="1"/>
  <c r="AZ524" i="1" s="1"/>
  <c r="BA524" i="1" s="1"/>
  <c r="AW741" i="1"/>
  <c r="AX741" i="1" s="1"/>
  <c r="AZ741" i="1" s="1"/>
  <c r="BA741" i="1" s="1"/>
  <c r="AP741" i="1"/>
  <c r="AS741" i="1" s="1"/>
  <c r="AW411" i="1"/>
  <c r="AX411" i="1" s="1"/>
  <c r="AZ411" i="1" s="1"/>
  <c r="BA411" i="1" s="1"/>
  <c r="AP411" i="1"/>
  <c r="AS411" i="1" s="1"/>
  <c r="AW941" i="1"/>
  <c r="AX941" i="1" s="1"/>
  <c r="AZ941" i="1" s="1"/>
  <c r="BA941" i="1" s="1"/>
  <c r="AP941" i="1"/>
  <c r="AS941" i="1" s="1"/>
  <c r="AW56" i="1"/>
  <c r="AX56" i="1" s="1"/>
  <c r="AZ56" i="1" s="1"/>
  <c r="BA56" i="1" s="1"/>
  <c r="AW689" i="1"/>
  <c r="AX689" i="1" s="1"/>
  <c r="AZ689" i="1" s="1"/>
  <c r="BA689" i="1" s="1"/>
  <c r="AW601" i="1"/>
  <c r="AX601" i="1" s="1"/>
  <c r="AZ601" i="1" s="1"/>
  <c r="BA601" i="1" s="1"/>
  <c r="AP665" i="1"/>
  <c r="AS665" i="1" s="1"/>
  <c r="AW665" i="1"/>
  <c r="AX665" i="1" s="1"/>
  <c r="AZ665" i="1" s="1"/>
  <c r="BA665" i="1" s="1"/>
  <c r="AP3" i="1"/>
  <c r="AS3" i="1" s="1"/>
  <c r="AW3" i="1"/>
  <c r="AX3" i="1" s="1"/>
  <c r="AZ3" i="1" s="1"/>
  <c r="BA3" i="1" s="1"/>
  <c r="BB885" i="1"/>
  <c r="AP843" i="1"/>
  <c r="AS843" i="1" s="1"/>
  <c r="AW843" i="1"/>
  <c r="AX843" i="1" s="1"/>
  <c r="AZ843" i="1" s="1"/>
  <c r="BA843" i="1" s="1"/>
  <c r="AP949" i="1"/>
  <c r="AS949" i="1" s="1"/>
  <c r="AW949" i="1"/>
  <c r="AX949" i="1" s="1"/>
  <c r="AZ949" i="1" s="1"/>
  <c r="BA949" i="1" s="1"/>
  <c r="AW857" i="1"/>
  <c r="AX857" i="1" s="1"/>
  <c r="AZ857" i="1" s="1"/>
  <c r="BA857" i="1" s="1"/>
  <c r="BB108" i="1"/>
  <c r="AW829" i="1"/>
  <c r="AX829" i="1" s="1"/>
  <c r="AZ829" i="1" s="1"/>
  <c r="BA829" i="1" s="1"/>
  <c r="AW633" i="1"/>
  <c r="AX633" i="1" s="1"/>
  <c r="AZ633" i="1" s="1"/>
  <c r="BA633" i="1" s="1"/>
  <c r="AW94" i="1"/>
  <c r="AX94" i="1" s="1"/>
  <c r="AZ94" i="1" s="1"/>
  <c r="BA94" i="1" s="1"/>
  <c r="AW841" i="1"/>
  <c r="AX841" i="1" s="1"/>
  <c r="AZ841" i="1" s="1"/>
  <c r="BA841" i="1" s="1"/>
  <c r="AP589" i="1"/>
  <c r="AS589" i="1" s="1"/>
  <c r="AW589" i="1"/>
  <c r="AX589" i="1" s="1"/>
  <c r="AZ589" i="1" s="1"/>
  <c r="BA589" i="1" s="1"/>
  <c r="AW916" i="1"/>
  <c r="AX916" i="1" s="1"/>
  <c r="AZ916" i="1" s="1"/>
  <c r="BA916" i="1" s="1"/>
  <c r="AW646" i="1"/>
  <c r="AX646" i="1" s="1"/>
  <c r="AZ646" i="1" s="1"/>
  <c r="BA646" i="1" s="1"/>
  <c r="AW116" i="1"/>
  <c r="AX116" i="1" s="1"/>
  <c r="AZ116" i="1" s="1"/>
  <c r="BA116" i="1" s="1"/>
  <c r="AP129" i="1"/>
  <c r="AS129" i="1" s="1"/>
  <c r="AW129" i="1"/>
  <c r="AX129" i="1" s="1"/>
  <c r="AZ129" i="1" s="1"/>
  <c r="BA129" i="1" s="1"/>
  <c r="BB616" i="1"/>
  <c r="BB302" i="1"/>
  <c r="AW615" i="1"/>
  <c r="AX615" i="1" s="1"/>
  <c r="AZ615" i="1" s="1"/>
  <c r="BA615" i="1" s="1"/>
  <c r="AW782" i="1"/>
  <c r="AX782" i="1" s="1"/>
  <c r="AZ782" i="1" s="1"/>
  <c r="BA782" i="1" s="1"/>
  <c r="AP782" i="1"/>
  <c r="AS782" i="1" s="1"/>
  <c r="AW447" i="1"/>
  <c r="AX447" i="1" s="1"/>
  <c r="AZ447" i="1" s="1"/>
  <c r="BA447" i="1" s="1"/>
  <c r="AW69" i="1"/>
  <c r="AX69" i="1" s="1"/>
  <c r="AZ69" i="1" s="1"/>
  <c r="BA69" i="1" s="1"/>
  <c r="AW356" i="1"/>
  <c r="AX356" i="1" s="1"/>
  <c r="AZ356" i="1" s="1"/>
  <c r="BA356" i="1" s="1"/>
  <c r="AP356" i="1"/>
  <c r="AS356" i="1" s="1"/>
  <c r="AW450" i="1"/>
  <c r="AX450" i="1" s="1"/>
  <c r="AZ450" i="1" s="1"/>
  <c r="BA450" i="1" s="1"/>
  <c r="AP28" i="1"/>
  <c r="AS28" i="1" s="1"/>
  <c r="AW28" i="1"/>
  <c r="AX28" i="1" s="1"/>
  <c r="AZ28" i="1" s="1"/>
  <c r="BA28" i="1" s="1"/>
  <c r="BB12" i="1"/>
  <c r="AW692" i="1"/>
  <c r="AX692" i="1" s="1"/>
  <c r="AZ692" i="1" s="1"/>
  <c r="BA692" i="1" s="1"/>
  <c r="AW235" i="1"/>
  <c r="AX235" i="1" s="1"/>
  <c r="AZ235" i="1" s="1"/>
  <c r="BA235" i="1" s="1"/>
  <c r="AW246" i="1"/>
  <c r="AX246" i="1" s="1"/>
  <c r="AZ246" i="1" s="1"/>
  <c r="BA246" i="1" s="1"/>
  <c r="AW306" i="1"/>
  <c r="AX306" i="1" s="1"/>
  <c r="AZ306" i="1" s="1"/>
  <c r="BA306" i="1" s="1"/>
  <c r="AW734" i="1"/>
  <c r="AX734" i="1" s="1"/>
  <c r="AZ734" i="1" s="1"/>
  <c r="BA734" i="1" s="1"/>
  <c r="AP726" i="1"/>
  <c r="AS726" i="1" s="1"/>
  <c r="AW726" i="1"/>
  <c r="AX726" i="1" s="1"/>
  <c r="AZ726" i="1" s="1"/>
  <c r="BA726" i="1" s="1"/>
  <c r="AW578" i="1"/>
  <c r="AX578" i="1" s="1"/>
  <c r="AZ578" i="1" s="1"/>
  <c r="BA578" i="1" s="1"/>
  <c r="AW101" i="1"/>
  <c r="AX101" i="1" s="1"/>
  <c r="AZ101" i="1" s="1"/>
  <c r="BA101" i="1" s="1"/>
  <c r="AP101" i="1"/>
  <c r="AS101" i="1" s="1"/>
  <c r="BB373" i="1"/>
  <c r="AP312" i="1"/>
  <c r="AS312" i="1" s="1"/>
  <c r="AW312" i="1"/>
  <c r="AX312" i="1" s="1"/>
  <c r="AZ312" i="1" s="1"/>
  <c r="BA312" i="1" s="1"/>
  <c r="AP729" i="1"/>
  <c r="AS729" i="1" s="1"/>
  <c r="AW729" i="1"/>
  <c r="AX729" i="1" s="1"/>
  <c r="AZ729" i="1" s="1"/>
  <c r="BA729" i="1" s="1"/>
  <c r="AP867" i="1"/>
  <c r="AS867" i="1" s="1"/>
  <c r="AW867" i="1"/>
  <c r="AX867" i="1" s="1"/>
  <c r="AZ867" i="1" s="1"/>
  <c r="BA867" i="1" s="1"/>
  <c r="AP814" i="1"/>
  <c r="AS814" i="1" s="1"/>
  <c r="AW814" i="1"/>
  <c r="AX814" i="1" s="1"/>
  <c r="AZ814" i="1" s="1"/>
  <c r="BA814" i="1" s="1"/>
  <c r="AW801" i="1"/>
  <c r="AX801" i="1" s="1"/>
  <c r="AZ801" i="1" s="1"/>
  <c r="BA801" i="1" s="1"/>
  <c r="AW541" i="1"/>
  <c r="AX541" i="1" s="1"/>
  <c r="AZ541" i="1" s="1"/>
  <c r="BA541" i="1" s="1"/>
  <c r="AP541" i="1"/>
  <c r="AS541" i="1" s="1"/>
  <c r="AP518" i="1"/>
  <c r="AS518" i="1" s="1"/>
  <c r="AW518" i="1"/>
  <c r="AX518" i="1" s="1"/>
  <c r="AZ518" i="1" s="1"/>
  <c r="BA518" i="1" s="1"/>
  <c r="AW474" i="1"/>
  <c r="AX474" i="1" s="1"/>
  <c r="AZ474" i="1" s="1"/>
  <c r="BA474" i="1" s="1"/>
  <c r="AW45" i="1"/>
  <c r="AX45" i="1" s="1"/>
  <c r="AZ45" i="1" s="1"/>
  <c r="BA45" i="1" s="1"/>
  <c r="AP45" i="1"/>
  <c r="AS45" i="1" s="1"/>
  <c r="AW133" i="1"/>
  <c r="AX133" i="1" s="1"/>
  <c r="AZ133" i="1" s="1"/>
  <c r="BA133" i="1" s="1"/>
  <c r="AP133" i="1"/>
  <c r="AS133" i="1" s="1"/>
  <c r="AW682" i="1"/>
  <c r="AX682" i="1" s="1"/>
  <c r="AZ682" i="1" s="1"/>
  <c r="BA682" i="1" s="1"/>
  <c r="AW763" i="1"/>
  <c r="AX763" i="1" s="1"/>
  <c r="AZ763" i="1" s="1"/>
  <c r="BA763" i="1" s="1"/>
  <c r="AW621" i="1"/>
  <c r="AX621" i="1" s="1"/>
  <c r="AZ621" i="1" s="1"/>
  <c r="BA621" i="1" s="1"/>
  <c r="AP621" i="1"/>
  <c r="AS621" i="1" s="1"/>
  <c r="AP714" i="1"/>
  <c r="AS714" i="1" s="1"/>
  <c r="AW714" i="1"/>
  <c r="AX714" i="1" s="1"/>
  <c r="AZ714" i="1" s="1"/>
  <c r="BA714" i="1" s="1"/>
  <c r="AW369" i="1"/>
  <c r="AX369" i="1" s="1"/>
  <c r="AZ369" i="1" s="1"/>
  <c r="BA369" i="1" s="1"/>
  <c r="AW366" i="1"/>
  <c r="AX366" i="1" s="1"/>
  <c r="AZ366" i="1" s="1"/>
  <c r="BA366" i="1" s="1"/>
  <c r="AP366" i="1"/>
  <c r="AS366" i="1" s="1"/>
  <c r="AW437" i="1"/>
  <c r="AX437" i="1" s="1"/>
  <c r="AZ437" i="1" s="1"/>
  <c r="BA437" i="1" s="1"/>
  <c r="AP7" i="1"/>
  <c r="AS7" i="1" s="1"/>
  <c r="AW7" i="1"/>
  <c r="AX7" i="1" s="1"/>
  <c r="AZ7" i="1" s="1"/>
  <c r="BA7" i="1" s="1"/>
  <c r="AW39" i="1"/>
  <c r="AX39" i="1" s="1"/>
  <c r="AZ39" i="1" s="1"/>
  <c r="BA39" i="1" s="1"/>
  <c r="AP300" i="1"/>
  <c r="AS300" i="1" s="1"/>
  <c r="AW300" i="1"/>
  <c r="AX300" i="1" s="1"/>
  <c r="AZ300" i="1" s="1"/>
  <c r="BA300" i="1" s="1"/>
  <c r="AP252" i="1"/>
  <c r="AS252" i="1" s="1"/>
  <c r="AW252" i="1"/>
  <c r="AX252" i="1" s="1"/>
  <c r="AZ252" i="1" s="1"/>
  <c r="BA252" i="1" s="1"/>
  <c r="AW476" i="1"/>
  <c r="AX476" i="1" s="1"/>
  <c r="AZ476" i="1" s="1"/>
  <c r="BA476" i="1" s="1"/>
  <c r="AP877" i="1"/>
  <c r="AS877" i="1" s="1"/>
  <c r="AW877" i="1"/>
  <c r="AX877" i="1" s="1"/>
  <c r="AZ877" i="1" s="1"/>
  <c r="BA877" i="1" s="1"/>
  <c r="AP721" i="1"/>
  <c r="AS721" i="1" s="1"/>
  <c r="AW721" i="1"/>
  <c r="AX721" i="1" s="1"/>
  <c r="AZ721" i="1" s="1"/>
  <c r="BA721" i="1" s="1"/>
  <c r="AW892" i="1"/>
  <c r="AX892" i="1" s="1"/>
  <c r="AZ892" i="1" s="1"/>
  <c r="BA892" i="1" s="1"/>
  <c r="AW785" i="1"/>
  <c r="AX785" i="1" s="1"/>
  <c r="AZ785" i="1" s="1"/>
  <c r="BA785" i="1" s="1"/>
  <c r="BB193" i="1"/>
  <c r="AW11" i="1"/>
  <c r="AX11" i="1" s="1"/>
  <c r="AZ11" i="1" s="1"/>
  <c r="BA11" i="1" s="1"/>
  <c r="AP11" i="1"/>
  <c r="AS11" i="1" s="1"/>
  <c r="AW774" i="1"/>
  <c r="AX774" i="1" s="1"/>
  <c r="AZ774" i="1" s="1"/>
  <c r="BA774" i="1" s="1"/>
  <c r="AN840" i="1"/>
  <c r="AO840" i="1" s="1"/>
  <c r="AP840" i="1" s="1"/>
  <c r="AS840" i="1" s="1"/>
  <c r="AW354" i="1"/>
  <c r="AX354" i="1" s="1"/>
  <c r="AZ354" i="1" s="1"/>
  <c r="BA354" i="1" s="1"/>
  <c r="AW148" i="1"/>
  <c r="AX148" i="1" s="1"/>
  <c r="AZ148" i="1" s="1"/>
  <c r="BA148" i="1" s="1"/>
  <c r="AP148" i="1"/>
  <c r="AS148" i="1" s="1"/>
  <c r="AP756" i="1"/>
  <c r="AS756" i="1" s="1"/>
  <c r="AW756" i="1"/>
  <c r="AX756" i="1" s="1"/>
  <c r="AZ756" i="1" s="1"/>
  <c r="BA756" i="1" s="1"/>
  <c r="AW537" i="1"/>
  <c r="AX537" i="1" s="1"/>
  <c r="AZ537" i="1" s="1"/>
  <c r="BA537" i="1" s="1"/>
  <c r="BB846" i="1"/>
  <c r="AP110" i="1"/>
  <c r="AS110" i="1" s="1"/>
  <c r="AW110" i="1"/>
  <c r="AX110" i="1" s="1"/>
  <c r="AZ110" i="1" s="1"/>
  <c r="BA110" i="1" s="1"/>
  <c r="AP99" i="1"/>
  <c r="AS99" i="1" s="1"/>
  <c r="AW99" i="1"/>
  <c r="AX99" i="1" s="1"/>
  <c r="AZ99" i="1" s="1"/>
  <c r="BA99" i="1" s="1"/>
  <c r="AW164" i="1"/>
  <c r="AX164" i="1" s="1"/>
  <c r="AZ164" i="1" s="1"/>
  <c r="BA164" i="1" s="1"/>
  <c r="BB207" i="1"/>
  <c r="AW830" i="1"/>
  <c r="AX830" i="1" s="1"/>
  <c r="AZ830" i="1" s="1"/>
  <c r="BA830" i="1" s="1"/>
  <c r="AP514" i="1"/>
  <c r="AS514" i="1" s="1"/>
  <c r="AW514" i="1"/>
  <c r="AX514" i="1" s="1"/>
  <c r="AZ514" i="1" s="1"/>
  <c r="BA514" i="1" s="1"/>
  <c r="AW258" i="1"/>
  <c r="AX258" i="1" s="1"/>
  <c r="AZ258" i="1" s="1"/>
  <c r="BA258" i="1" s="1"/>
  <c r="BB918" i="1"/>
  <c r="AP186" i="1"/>
  <c r="AS186" i="1" s="1"/>
  <c r="AW186" i="1"/>
  <c r="AX186" i="1" s="1"/>
  <c r="AZ186" i="1" s="1"/>
  <c r="BA186" i="1" s="1"/>
  <c r="AW715" i="1"/>
  <c r="AX715" i="1" s="1"/>
  <c r="AZ715" i="1" s="1"/>
  <c r="BA715" i="1" s="1"/>
  <c r="AW91" i="1"/>
  <c r="AX91" i="1" s="1"/>
  <c r="AZ91" i="1" s="1"/>
  <c r="BA91" i="1" s="1"/>
  <c r="AP675" i="1"/>
  <c r="AS675" i="1" s="1"/>
  <c r="AW675" i="1"/>
  <c r="AX675" i="1" s="1"/>
  <c r="AZ675" i="1" s="1"/>
  <c r="BA675" i="1" s="1"/>
  <c r="AW724" i="1"/>
  <c r="AX724" i="1" s="1"/>
  <c r="AZ724" i="1" s="1"/>
  <c r="BA724" i="1" s="1"/>
  <c r="AP724" i="1"/>
  <c r="AS724" i="1" s="1"/>
  <c r="AW115" i="1"/>
  <c r="AX115" i="1" s="1"/>
  <c r="AZ115" i="1" s="1"/>
  <c r="BA115" i="1" s="1"/>
  <c r="AP115" i="1"/>
  <c r="AS115" i="1" s="1"/>
  <c r="AW598" i="1"/>
  <c r="AX598" i="1" s="1"/>
  <c r="AZ598" i="1" s="1"/>
  <c r="BA598" i="1" s="1"/>
  <c r="AP598" i="1"/>
  <c r="AS598" i="1" s="1"/>
  <c r="AN162" i="1"/>
  <c r="AO162" i="1" s="1"/>
  <c r="AP162" i="1" s="1"/>
  <c r="AS162" i="1" s="1"/>
  <c r="AW740" i="1"/>
  <c r="AX740" i="1" s="1"/>
  <c r="AZ740" i="1" s="1"/>
  <c r="BA740" i="1" s="1"/>
  <c r="AW157" i="1"/>
  <c r="AX157" i="1" s="1"/>
  <c r="AZ157" i="1" s="1"/>
  <c r="BA157" i="1" s="1"/>
  <c r="AP807" i="1"/>
  <c r="AS807" i="1" s="1"/>
  <c r="AW807" i="1"/>
  <c r="AX807" i="1" s="1"/>
  <c r="AZ807" i="1" s="1"/>
  <c r="BA807" i="1" s="1"/>
  <c r="AW688" i="1"/>
  <c r="AX688" i="1" s="1"/>
  <c r="AZ688" i="1" s="1"/>
  <c r="BA688" i="1" s="1"/>
  <c r="AW906" i="1"/>
  <c r="AX906" i="1" s="1"/>
  <c r="AZ906" i="1" s="1"/>
  <c r="BA906" i="1" s="1"/>
  <c r="AP906" i="1"/>
  <c r="AS906" i="1" s="1"/>
  <c r="AN365" i="1"/>
  <c r="AP317" i="1"/>
  <c r="AS317" i="1" s="1"/>
  <c r="AW317" i="1"/>
  <c r="AX317" i="1" s="1"/>
  <c r="AZ317" i="1" s="1"/>
  <c r="BA317" i="1" s="1"/>
  <c r="AW81" i="1"/>
  <c r="AX81" i="1" s="1"/>
  <c r="AZ81" i="1" s="1"/>
  <c r="BA81" i="1" s="1"/>
  <c r="AP136" i="1"/>
  <c r="AS136" i="1" s="1"/>
  <c r="AW136" i="1"/>
  <c r="AX136" i="1" s="1"/>
  <c r="AZ136" i="1" s="1"/>
  <c r="BA136" i="1" s="1"/>
  <c r="AW608" i="1"/>
  <c r="AX608" i="1" s="1"/>
  <c r="AZ608" i="1" s="1"/>
  <c r="BA608" i="1" s="1"/>
  <c r="AW821" i="1"/>
  <c r="AX821" i="1" s="1"/>
  <c r="AZ821" i="1" s="1"/>
  <c r="BA821" i="1" s="1"/>
  <c r="AW36" i="1"/>
  <c r="AX36" i="1" s="1"/>
  <c r="AZ36" i="1" s="1"/>
  <c r="BA36" i="1" s="1"/>
  <c r="AP36" i="1"/>
  <c r="AS36" i="1" s="1"/>
  <c r="AW460" i="1"/>
  <c r="AX460" i="1" s="1"/>
  <c r="AZ460" i="1" s="1"/>
  <c r="BA460" i="1" s="1"/>
  <c r="AP155" i="1"/>
  <c r="AS155" i="1" s="1"/>
  <c r="AW155" i="1"/>
  <c r="AX155" i="1" s="1"/>
  <c r="AZ155" i="1" s="1"/>
  <c r="BA155" i="1" s="1"/>
  <c r="AN716" i="1"/>
  <c r="AW832" i="1"/>
  <c r="AX832" i="1" s="1"/>
  <c r="AZ832" i="1" s="1"/>
  <c r="BA832" i="1" s="1"/>
  <c r="AP233" i="1"/>
  <c r="AS233" i="1" s="1"/>
  <c r="AW233" i="1"/>
  <c r="AX233" i="1" s="1"/>
  <c r="AZ233" i="1" s="1"/>
  <c r="BA233" i="1" s="1"/>
  <c r="AW234" i="1"/>
  <c r="AX234" i="1" s="1"/>
  <c r="AZ234" i="1" s="1"/>
  <c r="BA234" i="1" s="1"/>
  <c r="AP234" i="1"/>
  <c r="AS234" i="1" s="1"/>
  <c r="AW691" i="1"/>
  <c r="AX691" i="1" s="1"/>
  <c r="AZ691" i="1" s="1"/>
  <c r="BA691" i="1" s="1"/>
  <c r="AW556" i="1"/>
  <c r="AX556" i="1" s="1"/>
  <c r="AZ556" i="1" s="1"/>
  <c r="BA556" i="1" s="1"/>
  <c r="AP834" i="1"/>
  <c r="AS834" i="1" s="1"/>
  <c r="AW834" i="1"/>
  <c r="AX834" i="1" s="1"/>
  <c r="AZ834" i="1" s="1"/>
  <c r="BA834" i="1" s="1"/>
  <c r="AW603" i="1"/>
  <c r="AX603" i="1" s="1"/>
  <c r="AZ603" i="1" s="1"/>
  <c r="BA603" i="1" s="1"/>
  <c r="AW228" i="1"/>
  <c r="AX228" i="1" s="1"/>
  <c r="AZ228" i="1" s="1"/>
  <c r="BA228" i="1" s="1"/>
  <c r="AP439" i="1"/>
  <c r="AS439" i="1" s="1"/>
  <c r="AW439" i="1"/>
  <c r="AX439" i="1" s="1"/>
  <c r="AZ439" i="1" s="1"/>
  <c r="BA439" i="1" s="1"/>
  <c r="AW463" i="1"/>
  <c r="AX463" i="1" s="1"/>
  <c r="AZ463" i="1" s="1"/>
  <c r="BA463" i="1" s="1"/>
  <c r="AW599" i="1"/>
  <c r="AX599" i="1" s="1"/>
  <c r="AZ599" i="1" s="1"/>
  <c r="BA599" i="1" s="1"/>
  <c r="AP599" i="1"/>
  <c r="AS599" i="1" s="1"/>
  <c r="AW668" i="1"/>
  <c r="AX668" i="1" s="1"/>
  <c r="AZ668" i="1" s="1"/>
  <c r="BA668" i="1" s="1"/>
  <c r="AP668" i="1"/>
  <c r="AS668" i="1" s="1"/>
  <c r="AW859" i="1"/>
  <c r="AX859" i="1" s="1"/>
  <c r="AZ859" i="1" s="1"/>
  <c r="BA859" i="1" s="1"/>
  <c r="AW261" i="1"/>
  <c r="AX261" i="1" s="1"/>
  <c r="AZ261" i="1" s="1"/>
  <c r="BA261" i="1" s="1"/>
  <c r="AW547" i="1"/>
  <c r="AX547" i="1" s="1"/>
  <c r="AZ547" i="1" s="1"/>
  <c r="BA547" i="1" s="1"/>
  <c r="AW292" i="1"/>
  <c r="AX292" i="1" s="1"/>
  <c r="AZ292" i="1" s="1"/>
  <c r="BA292" i="1" s="1"/>
  <c r="AW272" i="1"/>
  <c r="AX272" i="1" s="1"/>
  <c r="AZ272" i="1" s="1"/>
  <c r="BA272" i="1" s="1"/>
  <c r="AW545" i="1"/>
  <c r="AX545" i="1" s="1"/>
  <c r="AZ545" i="1" s="1"/>
  <c r="BA545" i="1" s="1"/>
  <c r="AW826" i="1"/>
  <c r="AX826" i="1" s="1"/>
  <c r="AZ826" i="1" s="1"/>
  <c r="BA826" i="1" s="1"/>
  <c r="AP826" i="1"/>
  <c r="AS826" i="1" s="1"/>
  <c r="AW907" i="1"/>
  <c r="AX907" i="1" s="1"/>
  <c r="AZ907" i="1" s="1"/>
  <c r="BA907" i="1" s="1"/>
  <c r="AP907" i="1"/>
  <c r="AS907" i="1" s="1"/>
  <c r="AW293" i="1"/>
  <c r="AX293" i="1" s="1"/>
  <c r="AZ293" i="1" s="1"/>
  <c r="BA293" i="1" s="1"/>
  <c r="BB930" i="1"/>
  <c r="AW736" i="1"/>
  <c r="AX736" i="1" s="1"/>
  <c r="AZ736" i="1" s="1"/>
  <c r="BA736" i="1" s="1"/>
  <c r="AW319" i="1"/>
  <c r="AX319" i="1" s="1"/>
  <c r="AZ319" i="1" s="1"/>
  <c r="BA319" i="1" s="1"/>
  <c r="AW512" i="1"/>
  <c r="AX512" i="1" s="1"/>
  <c r="AZ512" i="1" s="1"/>
  <c r="BA512" i="1" s="1"/>
  <c r="AP512" i="1"/>
  <c r="AS512" i="1" s="1"/>
  <c r="AW299" i="1"/>
  <c r="AX299" i="1" s="1"/>
  <c r="AZ299" i="1" s="1"/>
  <c r="BA299" i="1" s="1"/>
  <c r="AP299" i="1"/>
  <c r="AS299" i="1" s="1"/>
  <c r="AP257" i="1"/>
  <c r="AS257" i="1" s="1"/>
  <c r="AW257" i="1"/>
  <c r="AX257" i="1" s="1"/>
  <c r="AZ257" i="1" s="1"/>
  <c r="BA257" i="1" s="1"/>
  <c r="BB932" i="1"/>
  <c r="AP61" i="1"/>
  <c r="AS61" i="1" s="1"/>
  <c r="AW61" i="1"/>
  <c r="AX61" i="1" s="1"/>
  <c r="AZ61" i="1" s="1"/>
  <c r="BA61" i="1" s="1"/>
  <c r="AW102" i="1"/>
  <c r="AX102" i="1" s="1"/>
  <c r="AZ102" i="1" s="1"/>
  <c r="BA102" i="1" s="1"/>
  <c r="AP532" i="1"/>
  <c r="AS532" i="1" s="1"/>
  <c r="AW532" i="1"/>
  <c r="AX532" i="1" s="1"/>
  <c r="AZ532" i="1" s="1"/>
  <c r="BA532" i="1" s="1"/>
  <c r="AP336" i="1"/>
  <c r="AS336" i="1" s="1"/>
  <c r="AW336" i="1"/>
  <c r="AX336" i="1" s="1"/>
  <c r="AZ336" i="1" s="1"/>
  <c r="BA336" i="1" s="1"/>
  <c r="AW564" i="1"/>
  <c r="AX564" i="1" s="1"/>
  <c r="AZ564" i="1" s="1"/>
  <c r="BA564" i="1" s="1"/>
  <c r="AP564" i="1"/>
  <c r="AS564" i="1" s="1"/>
  <c r="AP820" i="1"/>
  <c r="AS820" i="1" s="1"/>
  <c r="AW820" i="1"/>
  <c r="AX820" i="1" s="1"/>
  <c r="AZ820" i="1" s="1"/>
  <c r="BA820" i="1" s="1"/>
  <c r="AW92" i="1"/>
  <c r="AX92" i="1" s="1"/>
  <c r="AZ92" i="1" s="1"/>
  <c r="BA92" i="1" s="1"/>
  <c r="AP92" i="1"/>
  <c r="AS92" i="1" s="1"/>
  <c r="AW809" i="1"/>
  <c r="AX809" i="1" s="1"/>
  <c r="AZ809" i="1" s="1"/>
  <c r="BA809" i="1" s="1"/>
  <c r="AP809" i="1"/>
  <c r="AS809" i="1" s="1"/>
  <c r="AP570" i="1"/>
  <c r="AS570" i="1" s="1"/>
  <c r="AW570" i="1"/>
  <c r="AX570" i="1" s="1"/>
  <c r="AZ570" i="1" s="1"/>
  <c r="BA570" i="1" s="1"/>
  <c r="BB558" i="1"/>
  <c r="AP376" i="1"/>
  <c r="AS376" i="1" s="1"/>
  <c r="AW376" i="1"/>
  <c r="AX376" i="1" s="1"/>
  <c r="AZ376" i="1" s="1"/>
  <c r="BA376" i="1" s="1"/>
  <c r="AW377" i="1"/>
  <c r="AX377" i="1" s="1"/>
  <c r="AZ377" i="1" s="1"/>
  <c r="BA377" i="1" s="1"/>
  <c r="AP377" i="1"/>
  <c r="AS377" i="1" s="1"/>
  <c r="AW561" i="1"/>
  <c r="AX561" i="1" s="1"/>
  <c r="AZ561" i="1" s="1"/>
  <c r="BA561" i="1" s="1"/>
  <c r="AW443" i="1"/>
  <c r="AX443" i="1" s="1"/>
  <c r="AZ443" i="1" s="1"/>
  <c r="BA443" i="1" s="1"/>
  <c r="AW294" i="1"/>
  <c r="AX294" i="1" s="1"/>
  <c r="AZ294" i="1" s="1"/>
  <c r="BA294" i="1" s="1"/>
  <c r="AP294" i="1"/>
  <c r="AS294" i="1" s="1"/>
  <c r="AW371" i="1"/>
  <c r="AX371" i="1" s="1"/>
  <c r="AZ371" i="1" s="1"/>
  <c r="BA371" i="1" s="1"/>
  <c r="AW481" i="1"/>
  <c r="AX481" i="1" s="1"/>
  <c r="AZ481" i="1" s="1"/>
  <c r="BA481" i="1" s="1"/>
  <c r="AW149" i="1"/>
  <c r="AX149" i="1" s="1"/>
  <c r="AZ149" i="1" s="1"/>
  <c r="BA149" i="1" s="1"/>
  <c r="BB372" i="1"/>
  <c r="AW423" i="1"/>
  <c r="AX423" i="1" s="1"/>
  <c r="AZ423" i="1" s="1"/>
  <c r="BA423" i="1" s="1"/>
  <c r="AP943" i="1"/>
  <c r="AS943" i="1" s="1"/>
  <c r="AW943" i="1"/>
  <c r="AX943" i="1" s="1"/>
  <c r="AZ943" i="1" s="1"/>
  <c r="BA943" i="1" s="1"/>
  <c r="AW851" i="1"/>
  <c r="AX851" i="1" s="1"/>
  <c r="AZ851" i="1" s="1"/>
  <c r="BA851" i="1" s="1"/>
  <c r="AP851" i="1"/>
  <c r="AS851" i="1" s="1"/>
  <c r="AW651" i="1"/>
  <c r="AX651" i="1" s="1"/>
  <c r="AZ651" i="1" s="1"/>
  <c r="BA651" i="1" s="1"/>
  <c r="AW765" i="1"/>
  <c r="AX765" i="1" s="1"/>
  <c r="AZ765" i="1" s="1"/>
  <c r="BA765" i="1" s="1"/>
  <c r="AP112" i="1"/>
  <c r="AS112" i="1" s="1"/>
  <c r="AW112" i="1"/>
  <c r="AX112" i="1" s="1"/>
  <c r="AZ112" i="1" s="1"/>
  <c r="BA112" i="1" s="1"/>
  <c r="AW420" i="1"/>
  <c r="AX420" i="1" s="1"/>
  <c r="AZ420" i="1" s="1"/>
  <c r="BA420" i="1" s="1"/>
  <c r="AP420" i="1"/>
  <c r="AS420" i="1" s="1"/>
  <c r="AW926" i="1"/>
  <c r="AX926" i="1" s="1"/>
  <c r="AZ926" i="1" s="1"/>
  <c r="BA926" i="1" s="1"/>
  <c r="AW732" i="1"/>
  <c r="AX732" i="1" s="1"/>
  <c r="AZ732" i="1" s="1"/>
  <c r="BA732" i="1" s="1"/>
  <c r="AP732" i="1"/>
  <c r="AS732" i="1" s="1"/>
  <c r="AW57" i="1"/>
  <c r="AX57" i="1" s="1"/>
  <c r="AZ57" i="1" s="1"/>
  <c r="BA57" i="1" s="1"/>
  <c r="AW355" i="1"/>
  <c r="AX355" i="1" s="1"/>
  <c r="AZ355" i="1" s="1"/>
  <c r="BA355" i="1" s="1"/>
  <c r="AP355" i="1"/>
  <c r="AS355" i="1" s="1"/>
  <c r="AW699" i="1"/>
  <c r="AX699" i="1" s="1"/>
  <c r="AZ699" i="1" s="1"/>
  <c r="BA699" i="1" s="1"/>
  <c r="AP699" i="1"/>
  <c r="AS699" i="1" s="1"/>
  <c r="AW38" i="1"/>
  <c r="AX38" i="1" s="1"/>
  <c r="AZ38" i="1" s="1"/>
  <c r="BA38" i="1" s="1"/>
  <c r="AP38" i="1"/>
  <c r="AS38" i="1" s="1"/>
  <c r="AW667" i="1"/>
  <c r="AX667" i="1" s="1"/>
  <c r="AZ667" i="1" s="1"/>
  <c r="BA667" i="1" s="1"/>
  <c r="AP667" i="1"/>
  <c r="AS667" i="1" s="1"/>
  <c r="BB925" i="1"/>
  <c r="AP194" i="1"/>
  <c r="AS194" i="1" s="1"/>
  <c r="AW194" i="1"/>
  <c r="AX194" i="1" s="1"/>
  <c r="AZ194" i="1" s="1"/>
  <c r="BA194" i="1" s="1"/>
  <c r="BB790" i="1"/>
  <c r="AW904" i="1"/>
  <c r="AX904" i="1" s="1"/>
  <c r="AZ904" i="1" s="1"/>
  <c r="BA904" i="1" s="1"/>
  <c r="AP904" i="1"/>
  <c r="AS904" i="1" s="1"/>
  <c r="AW751" i="1"/>
  <c r="AX751" i="1" s="1"/>
  <c r="AZ751" i="1" s="1"/>
  <c r="BA751" i="1" s="1"/>
  <c r="BB189" i="1"/>
  <c r="AW60" i="1"/>
  <c r="AX60" i="1" s="1"/>
  <c r="AZ60" i="1" s="1"/>
  <c r="BA60" i="1" s="1"/>
  <c r="AP60" i="1"/>
  <c r="AS60" i="1" s="1"/>
  <c r="AW192" i="1"/>
  <c r="AX192" i="1" s="1"/>
  <c r="AZ192" i="1" s="1"/>
  <c r="BA192" i="1" s="1"/>
  <c r="AP422" i="1"/>
  <c r="AS422" i="1" s="1"/>
  <c r="AW422" i="1"/>
  <c r="AX422" i="1" s="1"/>
  <c r="AZ422" i="1" s="1"/>
  <c r="BA422" i="1" s="1"/>
  <c r="AW137" i="1"/>
  <c r="AX137" i="1" s="1"/>
  <c r="AZ137" i="1" s="1"/>
  <c r="BA137" i="1" s="1"/>
  <c r="AP137" i="1"/>
  <c r="AS137" i="1" s="1"/>
  <c r="AW330" i="1"/>
  <c r="AX330" i="1" s="1"/>
  <c r="AZ330" i="1" s="1"/>
  <c r="BA330" i="1" s="1"/>
  <c r="AP330" i="1"/>
  <c r="AS330" i="1" s="1"/>
  <c r="AP543" i="1"/>
  <c r="AS543" i="1" s="1"/>
  <c r="AW543" i="1"/>
  <c r="AX543" i="1" s="1"/>
  <c r="AZ543" i="1" s="1"/>
  <c r="BA543" i="1" s="1"/>
  <c r="BB54" i="1"/>
  <c r="AP370" i="1"/>
  <c r="AS370" i="1" s="1"/>
  <c r="AW370" i="1"/>
  <c r="AX370" i="1" s="1"/>
  <c r="AZ370" i="1" s="1"/>
  <c r="BA370" i="1" s="1"/>
  <c r="AW508" i="1"/>
  <c r="AX508" i="1" s="1"/>
  <c r="AZ508" i="1" s="1"/>
  <c r="BA508" i="1" s="1"/>
  <c r="AP508" i="1"/>
  <c r="AS508" i="1" s="1"/>
  <c r="AW620" i="1"/>
  <c r="AX620" i="1" s="1"/>
  <c r="AZ620" i="1" s="1"/>
  <c r="BA620" i="1" s="1"/>
  <c r="AP620" i="1"/>
  <c r="AS620" i="1" s="1"/>
  <c r="AW384" i="1"/>
  <c r="AX384" i="1" s="1"/>
  <c r="AZ384" i="1" s="1"/>
  <c r="BA384" i="1" s="1"/>
  <c r="AP384" i="1"/>
  <c r="AS384" i="1" s="1"/>
  <c r="BB23" i="1"/>
  <c r="AW33" i="1"/>
  <c r="AX33" i="1" s="1"/>
  <c r="AZ33" i="1" s="1"/>
  <c r="BA33" i="1" s="1"/>
  <c r="AP33" i="1"/>
  <c r="AS33" i="1" s="1"/>
  <c r="AW775" i="1"/>
  <c r="AX775" i="1" s="1"/>
  <c r="AZ775" i="1" s="1"/>
  <c r="BA775" i="1" s="1"/>
  <c r="AP862" i="1"/>
  <c r="AS862" i="1" s="1"/>
  <c r="AW862" i="1"/>
  <c r="AX862" i="1" s="1"/>
  <c r="AZ862" i="1" s="1"/>
  <c r="BA862" i="1" s="1"/>
  <c r="BB230" i="1"/>
  <c r="AP562" i="1"/>
  <c r="AS562" i="1" s="1"/>
  <c r="AW562" i="1"/>
  <c r="AX562" i="1" s="1"/>
  <c r="AZ562" i="1" s="1"/>
  <c r="BA562" i="1" s="1"/>
  <c r="BB25" i="1"/>
  <c r="AW269" i="1"/>
  <c r="AX269" i="1" s="1"/>
  <c r="AZ269" i="1" s="1"/>
  <c r="BA269" i="1" s="1"/>
  <c r="AP269" i="1"/>
  <c r="AS269" i="1" s="1"/>
  <c r="AP610" i="1"/>
  <c r="AS610" i="1" s="1"/>
  <c r="AW610" i="1"/>
  <c r="AX610" i="1" s="1"/>
  <c r="AZ610" i="1" s="1"/>
  <c r="BA610" i="1" s="1"/>
  <c r="AW534" i="1"/>
  <c r="AX534" i="1" s="1"/>
  <c r="AZ534" i="1" s="1"/>
  <c r="BA534" i="1" s="1"/>
  <c r="AP534" i="1"/>
  <c r="AS534" i="1" s="1"/>
  <c r="BB469" i="1"/>
  <c r="AW717" i="1"/>
  <c r="AX717" i="1" s="1"/>
  <c r="AZ717" i="1" s="1"/>
  <c r="BA717" i="1" s="1"/>
  <c r="AP717" i="1"/>
  <c r="AS717" i="1" s="1"/>
  <c r="BB920" i="1"/>
  <c r="AW902" i="1"/>
  <c r="AX902" i="1" s="1"/>
  <c r="AZ902" i="1" s="1"/>
  <c r="BA902" i="1" s="1"/>
  <c r="AP67" i="1"/>
  <c r="AS67" i="1" s="1"/>
  <c r="AW67" i="1"/>
  <c r="AX67" i="1" s="1"/>
  <c r="AZ67" i="1" s="1"/>
  <c r="BA67" i="1" s="1"/>
  <c r="AW438" i="1"/>
  <c r="AX438" i="1" s="1"/>
  <c r="AZ438" i="1" s="1"/>
  <c r="BA438" i="1" s="1"/>
  <c r="AP438" i="1"/>
  <c r="AS438" i="1" s="1"/>
  <c r="AW459" i="1"/>
  <c r="AX459" i="1" s="1"/>
  <c r="AZ459" i="1" s="1"/>
  <c r="BA459" i="1" s="1"/>
  <c r="AP727" i="1"/>
  <c r="AS727" i="1" s="1"/>
  <c r="AW727" i="1"/>
  <c r="AX727" i="1" s="1"/>
  <c r="AZ727" i="1" s="1"/>
  <c r="BA727" i="1" s="1"/>
  <c r="AN198" i="1"/>
  <c r="AW221" i="1"/>
  <c r="AX221" i="1" s="1"/>
  <c r="AZ221" i="1" s="1"/>
  <c r="BA221" i="1" s="1"/>
  <c r="AP221" i="1"/>
  <c r="AS221" i="1" s="1"/>
  <c r="AP383" i="1"/>
  <c r="AS383" i="1" s="1"/>
  <c r="AW383" i="1"/>
  <c r="AX383" i="1" s="1"/>
  <c r="AZ383" i="1" s="1"/>
  <c r="BA383" i="1" s="1"/>
  <c r="AW622" i="1"/>
  <c r="AX622" i="1" s="1"/>
  <c r="AZ622" i="1" s="1"/>
  <c r="BA622" i="1" s="1"/>
  <c r="AN423" i="1"/>
  <c r="AP901" i="1"/>
  <c r="AS901" i="1" s="1"/>
  <c r="AW901" i="1"/>
  <c r="AX901" i="1" s="1"/>
  <c r="AZ901" i="1" s="1"/>
  <c r="BA901" i="1" s="1"/>
  <c r="AW270" i="1"/>
  <c r="AX270" i="1" s="1"/>
  <c r="AZ270" i="1" s="1"/>
  <c r="BA270" i="1" s="1"/>
  <c r="AN170" i="1"/>
  <c r="AP276" i="1"/>
  <c r="AS276" i="1" s="1"/>
  <c r="AW276" i="1"/>
  <c r="AX276" i="1" s="1"/>
  <c r="AZ276" i="1" s="1"/>
  <c r="BA276" i="1" s="1"/>
  <c r="AN785" i="1"/>
  <c r="AN135" i="1"/>
  <c r="AW169" i="1"/>
  <c r="AX169" i="1" s="1"/>
  <c r="AZ169" i="1" s="1"/>
  <c r="BA169" i="1" s="1"/>
  <c r="AP875" i="1"/>
  <c r="AS875" i="1" s="1"/>
  <c r="AW875" i="1"/>
  <c r="AX875" i="1" s="1"/>
  <c r="AZ875" i="1" s="1"/>
  <c r="BA875" i="1" s="1"/>
  <c r="AW915" i="1"/>
  <c r="AX915" i="1" s="1"/>
  <c r="AZ915" i="1" s="1"/>
  <c r="BA915" i="1" s="1"/>
  <c r="AP915" i="1"/>
  <c r="AS915" i="1" s="1"/>
  <c r="AW275" i="1"/>
  <c r="AX275" i="1" s="1"/>
  <c r="AZ275" i="1" s="1"/>
  <c r="BA275" i="1" s="1"/>
  <c r="AP275" i="1"/>
  <c r="AS275" i="1" s="1"/>
  <c r="AW444" i="1"/>
  <c r="AX444" i="1" s="1"/>
  <c r="AZ444" i="1" s="1"/>
  <c r="BA444" i="1" s="1"/>
  <c r="AP444" i="1"/>
  <c r="AS444" i="1" s="1"/>
  <c r="AW35" i="1"/>
  <c r="AX35" i="1" s="1"/>
  <c r="AZ35" i="1" s="1"/>
  <c r="BA35" i="1" s="1"/>
  <c r="AW211" i="1"/>
  <c r="AX211" i="1" s="1"/>
  <c r="AZ211" i="1" s="1"/>
  <c r="BA211" i="1" s="1"/>
  <c r="AP502" i="1"/>
  <c r="AS502" i="1" s="1"/>
  <c r="AW502" i="1"/>
  <c r="AX502" i="1" s="1"/>
  <c r="AZ502" i="1" s="1"/>
  <c r="BA502" i="1" s="1"/>
  <c r="AP432" i="1"/>
  <c r="AS432" i="1" s="1"/>
  <c r="AW432" i="1"/>
  <c r="AX432" i="1" s="1"/>
  <c r="AZ432" i="1" s="1"/>
  <c r="BA432" i="1" s="1"/>
  <c r="AP779" i="1"/>
  <c r="AS779" i="1" s="1"/>
  <c r="AW779" i="1"/>
  <c r="AX779" i="1" s="1"/>
  <c r="AZ779" i="1" s="1"/>
  <c r="BA779" i="1" s="1"/>
  <c r="AW139" i="1"/>
  <c r="AX139" i="1" s="1"/>
  <c r="AZ139" i="1" s="1"/>
  <c r="BA139" i="1" s="1"/>
  <c r="AP139" i="1"/>
  <c r="AS139" i="1" s="1"/>
  <c r="AP214" i="1"/>
  <c r="AS214" i="1" s="1"/>
  <c r="AW214" i="1"/>
  <c r="AX214" i="1" s="1"/>
  <c r="AZ214" i="1" s="1"/>
  <c r="BA214" i="1" s="1"/>
  <c r="BB158" i="1"/>
  <c r="AW555" i="1"/>
  <c r="AX555" i="1" s="1"/>
  <c r="AZ555" i="1" s="1"/>
  <c r="BA555" i="1" s="1"/>
  <c r="AP538" i="1"/>
  <c r="AS538" i="1" s="1"/>
  <c r="AW538" i="1"/>
  <c r="AX538" i="1" s="1"/>
  <c r="AZ538" i="1" s="1"/>
  <c r="BA538" i="1" s="1"/>
  <c r="AP503" i="1"/>
  <c r="AS503" i="1" s="1"/>
  <c r="AW503" i="1"/>
  <c r="AX503" i="1" s="1"/>
  <c r="AZ503" i="1" s="1"/>
  <c r="BA503" i="1" s="1"/>
  <c r="AW695" i="1"/>
  <c r="AX695" i="1" s="1"/>
  <c r="AZ695" i="1" s="1"/>
  <c r="BA695" i="1" s="1"/>
  <c r="AP695" i="1"/>
  <c r="AS695" i="1" s="1"/>
  <c r="AW648" i="1"/>
  <c r="AX648" i="1" s="1"/>
  <c r="AZ648" i="1" s="1"/>
  <c r="BA648" i="1" s="1"/>
  <c r="AW865" i="1"/>
  <c r="AX865" i="1" s="1"/>
  <c r="AZ865" i="1" s="1"/>
  <c r="BA865" i="1" s="1"/>
  <c r="AP865" i="1"/>
  <c r="AS865" i="1" s="1"/>
  <c r="AW773" i="1"/>
  <c r="AX773" i="1" s="1"/>
  <c r="AZ773" i="1" s="1"/>
  <c r="BA773" i="1" s="1"/>
  <c r="AP773" i="1"/>
  <c r="AS773" i="1" s="1"/>
  <c r="AW187" i="1"/>
  <c r="AX187" i="1" s="1"/>
  <c r="AZ187" i="1" s="1"/>
  <c r="BA187" i="1" s="1"/>
  <c r="AW424" i="1"/>
  <c r="AX424" i="1" s="1"/>
  <c r="AZ424" i="1" s="1"/>
  <c r="BA424" i="1" s="1"/>
  <c r="AP424" i="1"/>
  <c r="AS424" i="1" s="1"/>
  <c r="AP684" i="1"/>
  <c r="AS684" i="1" s="1"/>
  <c r="AW684" i="1"/>
  <c r="AX684" i="1" s="1"/>
  <c r="AZ684" i="1" s="1"/>
  <c r="BA684" i="1" s="1"/>
  <c r="AP625" i="1"/>
  <c r="AS625" i="1" s="1"/>
  <c r="AW625" i="1"/>
  <c r="AX625" i="1" s="1"/>
  <c r="AZ625" i="1" s="1"/>
  <c r="BA625" i="1" s="1"/>
  <c r="AP62" i="1"/>
  <c r="AS62" i="1" s="1"/>
  <c r="AW62" i="1"/>
  <c r="AX62" i="1" s="1"/>
  <c r="AZ62" i="1" s="1"/>
  <c r="BA62" i="1" s="1"/>
  <c r="BB217" i="1"/>
  <c r="AP731" i="1"/>
  <c r="AS731" i="1" s="1"/>
  <c r="AW731" i="1"/>
  <c r="AX731" i="1" s="1"/>
  <c r="AZ731" i="1" s="1"/>
  <c r="BA731" i="1" s="1"/>
  <c r="AP908" i="1"/>
  <c r="AS908" i="1" s="1"/>
  <c r="AW908" i="1"/>
  <c r="AX908" i="1" s="1"/>
  <c r="AZ908" i="1" s="1"/>
  <c r="BA908" i="1" s="1"/>
  <c r="AP876" i="1"/>
  <c r="AS876" i="1" s="1"/>
  <c r="AW876" i="1"/>
  <c r="AX876" i="1" s="1"/>
  <c r="AZ876" i="1" s="1"/>
  <c r="BA876" i="1" s="1"/>
  <c r="AP9" i="1"/>
  <c r="AS9" i="1" s="1"/>
  <c r="AW9" i="1"/>
  <c r="AX9" i="1" s="1"/>
  <c r="AZ9" i="1" s="1"/>
  <c r="BA9" i="1" s="1"/>
  <c r="AW296" i="1"/>
  <c r="AX296" i="1" s="1"/>
  <c r="AZ296" i="1" s="1"/>
  <c r="BA296" i="1" s="1"/>
  <c r="AP296" i="1"/>
  <c r="AS296" i="1" s="1"/>
  <c r="AN447" i="1"/>
  <c r="AW612" i="1"/>
  <c r="AX612" i="1" s="1"/>
  <c r="AZ612" i="1" s="1"/>
  <c r="BA612" i="1" s="1"/>
  <c r="AP612" i="1"/>
  <c r="AS612" i="1" s="1"/>
  <c r="AW878" i="1"/>
  <c r="AX878" i="1" s="1"/>
  <c r="AZ878" i="1" s="1"/>
  <c r="BA878" i="1" s="1"/>
  <c r="AW172" i="1"/>
  <c r="AX172" i="1" s="1"/>
  <c r="AZ172" i="1" s="1"/>
  <c r="BA172" i="1" s="1"/>
  <c r="BB27" i="1"/>
  <c r="AN674" i="1"/>
  <c r="AP753" i="1"/>
  <c r="AS753" i="1" s="1"/>
  <c r="AW753" i="1"/>
  <c r="AX753" i="1" s="1"/>
  <c r="AZ753" i="1" s="1"/>
  <c r="BA753" i="1" s="1"/>
  <c r="AW585" i="1"/>
  <c r="AX585" i="1" s="1"/>
  <c r="AZ585" i="1" s="1"/>
  <c r="BA585" i="1" s="1"/>
  <c r="AW185" i="1"/>
  <c r="AX185" i="1" s="1"/>
  <c r="AZ185" i="1" s="1"/>
  <c r="BA185" i="1" s="1"/>
  <c r="AW328" i="1"/>
  <c r="AX328" i="1" s="1"/>
  <c r="AZ328" i="1" s="1"/>
  <c r="BA328" i="1" s="1"/>
  <c r="AW628" i="1"/>
  <c r="AX628" i="1" s="1"/>
  <c r="AZ628" i="1" s="1"/>
  <c r="BA628" i="1" s="1"/>
  <c r="AP628" i="1"/>
  <c r="AS628" i="1" s="1"/>
  <c r="AW786" i="1"/>
  <c r="AX786" i="1" s="1"/>
  <c r="AZ786" i="1" s="1"/>
  <c r="BA786" i="1" s="1"/>
  <c r="AP259" i="1"/>
  <c r="AS259" i="1" s="1"/>
  <c r="AW259" i="1"/>
  <c r="AX259" i="1" s="1"/>
  <c r="AZ259" i="1" s="1"/>
  <c r="BA259" i="1" s="1"/>
  <c r="AN651" i="1"/>
  <c r="AW893" i="1"/>
  <c r="AX893" i="1" s="1"/>
  <c r="AZ893" i="1" s="1"/>
  <c r="BA893" i="1" s="1"/>
  <c r="AP893" i="1"/>
  <c r="AS893" i="1" s="1"/>
  <c r="AW264" i="1"/>
  <c r="AX264" i="1" s="1"/>
  <c r="AZ264" i="1" s="1"/>
  <c r="BA264" i="1" s="1"/>
  <c r="BB63" i="1"/>
  <c r="AP619" i="1"/>
  <c r="AS619" i="1" s="1"/>
  <c r="AW619" i="1"/>
  <c r="AX619" i="1" s="1"/>
  <c r="AZ619" i="1" s="1"/>
  <c r="BA619" i="1" s="1"/>
  <c r="AW341" i="1"/>
  <c r="AX341" i="1" s="1"/>
  <c r="AZ341" i="1" s="1"/>
  <c r="BA341" i="1" s="1"/>
  <c r="AW549" i="1"/>
  <c r="AX549" i="1" s="1"/>
  <c r="AZ549" i="1" s="1"/>
  <c r="BA549" i="1" s="1"/>
  <c r="AP549" i="1"/>
  <c r="AS549" i="1" s="1"/>
  <c r="AP141" i="1"/>
  <c r="AS141" i="1" s="1"/>
  <c r="AW141" i="1"/>
  <c r="AX141" i="1" s="1"/>
  <c r="AZ141" i="1" s="1"/>
  <c r="BA141" i="1" s="1"/>
  <c r="AW577" i="1"/>
  <c r="AX577" i="1" s="1"/>
  <c r="AZ577" i="1" s="1"/>
  <c r="BA577" i="1" s="1"/>
  <c r="AP577" i="1"/>
  <c r="AS577" i="1" s="1"/>
  <c r="AW828" i="1"/>
  <c r="AX828" i="1" s="1"/>
  <c r="AZ828" i="1" s="1"/>
  <c r="BA828" i="1" s="1"/>
  <c r="AP828" i="1"/>
  <c r="AS828" i="1" s="1"/>
  <c r="AN691" i="1"/>
  <c r="AO691" i="1" s="1"/>
  <c r="AP691" i="1" s="1"/>
  <c r="AS691" i="1" s="1"/>
  <c r="AP475" i="1"/>
  <c r="AS475" i="1" s="1"/>
  <c r="AW475" i="1"/>
  <c r="AX475" i="1" s="1"/>
  <c r="AZ475" i="1" s="1"/>
  <c r="BA475" i="1" s="1"/>
  <c r="AP486" i="1"/>
  <c r="AS486" i="1" s="1"/>
  <c r="AW486" i="1"/>
  <c r="AX486" i="1" s="1"/>
  <c r="AZ486" i="1" s="1"/>
  <c r="BA486" i="1" s="1"/>
  <c r="AW882" i="1"/>
  <c r="AX882" i="1" s="1"/>
  <c r="AZ882" i="1" s="1"/>
  <c r="BA882" i="1" s="1"/>
  <c r="AW839" i="1"/>
  <c r="AX839" i="1" s="1"/>
  <c r="AZ839" i="1" s="1"/>
  <c r="BA839" i="1" s="1"/>
  <c r="AW770" i="1"/>
  <c r="AX770" i="1" s="1"/>
  <c r="AZ770" i="1" s="1"/>
  <c r="BA770" i="1" s="1"/>
  <c r="AP824" i="1"/>
  <c r="AS824" i="1" s="1"/>
  <c r="AW824" i="1"/>
  <c r="AX824" i="1" s="1"/>
  <c r="AZ824" i="1" s="1"/>
  <c r="BA824" i="1" s="1"/>
  <c r="AW784" i="1"/>
  <c r="AX784" i="1" s="1"/>
  <c r="AZ784" i="1" s="1"/>
  <c r="BA784" i="1" s="1"/>
  <c r="AP784" i="1"/>
  <c r="AS784" i="1" s="1"/>
  <c r="BB507" i="1"/>
  <c r="AW127" i="1"/>
  <c r="AX127" i="1" s="1"/>
  <c r="AZ127" i="1" s="1"/>
  <c r="BA127" i="1" s="1"/>
  <c r="AP127" i="1"/>
  <c r="AS127" i="1" s="1"/>
  <c r="AN705" i="1"/>
  <c r="AW808" i="1"/>
  <c r="AX808" i="1" s="1"/>
  <c r="AZ808" i="1" s="1"/>
  <c r="BA808" i="1" s="1"/>
  <c r="AP111" i="1"/>
  <c r="AS111" i="1" s="1"/>
  <c r="AW111" i="1"/>
  <c r="AX111" i="1" s="1"/>
  <c r="AZ111" i="1" s="1"/>
  <c r="BA111" i="1" s="1"/>
  <c r="AP696" i="1"/>
  <c r="AS696" i="1" s="1"/>
  <c r="AW696" i="1"/>
  <c r="AX696" i="1" s="1"/>
  <c r="AZ696" i="1" s="1"/>
  <c r="BA696" i="1" s="1"/>
  <c r="AW278" i="1"/>
  <c r="AX278" i="1" s="1"/>
  <c r="AZ278" i="1" s="1"/>
  <c r="BA278" i="1" s="1"/>
  <c r="AP278" i="1"/>
  <c r="AS278" i="1" s="1"/>
  <c r="AW640" i="1"/>
  <c r="AX640" i="1" s="1"/>
  <c r="AZ640" i="1" s="1"/>
  <c r="BA640" i="1" s="1"/>
  <c r="AW117" i="1"/>
  <c r="AX117" i="1" s="1"/>
  <c r="AZ117" i="1" s="1"/>
  <c r="BA117" i="1" s="1"/>
  <c r="AP117" i="1"/>
  <c r="AS117" i="1" s="1"/>
  <c r="AP14" i="1"/>
  <c r="AS14" i="1" s="1"/>
  <c r="AW14" i="1"/>
  <c r="AX14" i="1" s="1"/>
  <c r="AZ14" i="1" s="1"/>
  <c r="BA14" i="1" s="1"/>
  <c r="BB190" i="1"/>
  <c r="AW161" i="1"/>
  <c r="AX161" i="1" s="1"/>
  <c r="AZ161" i="1" s="1"/>
  <c r="BA161" i="1" s="1"/>
  <c r="AP161" i="1"/>
  <c r="AS161" i="1" s="1"/>
  <c r="AP388" i="1"/>
  <c r="AS388" i="1" s="1"/>
  <c r="AW388" i="1"/>
  <c r="AX388" i="1" s="1"/>
  <c r="AZ388" i="1" s="1"/>
  <c r="BA388" i="1" s="1"/>
  <c r="AW408" i="1"/>
  <c r="AX408" i="1" s="1"/>
  <c r="AZ408" i="1" s="1"/>
  <c r="BA408" i="1" s="1"/>
  <c r="AP408" i="1"/>
  <c r="AS408" i="1" s="1"/>
  <c r="AW597" i="1"/>
  <c r="AX597" i="1" s="1"/>
  <c r="AZ597" i="1" s="1"/>
  <c r="BA597" i="1" s="1"/>
  <c r="AP597" i="1"/>
  <c r="AS597" i="1" s="1"/>
  <c r="AP51" i="1"/>
  <c r="AS51" i="1" s="1"/>
  <c r="AW51" i="1"/>
  <c r="AX51" i="1" s="1"/>
  <c r="AZ51" i="1" s="1"/>
  <c r="BA51" i="1" s="1"/>
  <c r="AP18" i="1"/>
  <c r="AS18" i="1" s="1"/>
  <c r="AW18" i="1"/>
  <c r="AX18" i="1" s="1"/>
  <c r="AZ18" i="1" s="1"/>
  <c r="BA18" i="1" s="1"/>
  <c r="AW644" i="1"/>
  <c r="AX644" i="1" s="1"/>
  <c r="AZ644" i="1" s="1"/>
  <c r="BA644" i="1" s="1"/>
  <c r="AP644" i="1"/>
  <c r="AS644" i="1" s="1"/>
  <c r="AP485" i="1"/>
  <c r="AS485" i="1" s="1"/>
  <c r="AW485" i="1"/>
  <c r="AX485" i="1" s="1"/>
  <c r="AZ485" i="1" s="1"/>
  <c r="BA485" i="1" s="1"/>
  <c r="AP954" i="1"/>
  <c r="AS954" i="1" s="1"/>
  <c r="AW954" i="1"/>
  <c r="AX954" i="1" s="1"/>
  <c r="AZ954" i="1" s="1"/>
  <c r="BA954" i="1" s="1"/>
  <c r="AP850" i="1"/>
  <c r="AS850" i="1" s="1"/>
  <c r="AW850" i="1"/>
  <c r="AX850" i="1" s="1"/>
  <c r="AZ850" i="1" s="1"/>
  <c r="BA850" i="1" s="1"/>
  <c r="AW795" i="1"/>
  <c r="AX795" i="1" s="1"/>
  <c r="AZ795" i="1" s="1"/>
  <c r="BA795" i="1" s="1"/>
  <c r="AP795" i="1"/>
  <c r="AS795" i="1" s="1"/>
  <c r="BB77" i="1"/>
  <c r="AW308" i="1"/>
  <c r="AX308" i="1" s="1"/>
  <c r="AZ308" i="1" s="1"/>
  <c r="BA308" i="1" s="1"/>
  <c r="AP308" i="1"/>
  <c r="AS308" i="1" s="1"/>
  <c r="BB74" i="1"/>
  <c r="AW465" i="1"/>
  <c r="AX465" i="1" s="1"/>
  <c r="AZ465" i="1" s="1"/>
  <c r="BA465" i="1" s="1"/>
  <c r="AW390" i="1"/>
  <c r="AX390" i="1" s="1"/>
  <c r="AZ390" i="1" s="1"/>
  <c r="BA390" i="1" s="1"/>
  <c r="AP390" i="1"/>
  <c r="AS390" i="1" s="1"/>
  <c r="AW131" i="1"/>
  <c r="AX131" i="1" s="1"/>
  <c r="AZ131" i="1" s="1"/>
  <c r="BA131" i="1" s="1"/>
  <c r="AP131" i="1"/>
  <c r="AS131" i="1" s="1"/>
  <c r="AW143" i="1"/>
  <c r="AX143" i="1" s="1"/>
  <c r="AZ143" i="1" s="1"/>
  <c r="BA143" i="1" s="1"/>
  <c r="AN306" i="1"/>
  <c r="AP80" i="1"/>
  <c r="AS80" i="1" s="1"/>
  <c r="AW80" i="1"/>
  <c r="AX80" i="1" s="1"/>
  <c r="AZ80" i="1" s="1"/>
  <c r="BA80" i="1" s="1"/>
  <c r="AW487" i="1"/>
  <c r="AX487" i="1" s="1"/>
  <c r="AZ487" i="1" s="1"/>
  <c r="BA487" i="1" s="1"/>
  <c r="AP487" i="1"/>
  <c r="AS487" i="1" s="1"/>
  <c r="AW647" i="1"/>
  <c r="AX647" i="1" s="1"/>
  <c r="AZ647" i="1" s="1"/>
  <c r="BA647" i="1" s="1"/>
  <c r="AW658" i="1"/>
  <c r="AX658" i="1" s="1"/>
  <c r="AZ658" i="1" s="1"/>
  <c r="BA658" i="1" s="1"/>
  <c r="AP658" i="1"/>
  <c r="AS658" i="1" s="1"/>
  <c r="AW680" i="1"/>
  <c r="AX680" i="1" s="1"/>
  <c r="AZ680" i="1" s="1"/>
  <c r="BA680" i="1" s="1"/>
  <c r="AN601" i="1"/>
  <c r="AN235" i="1"/>
  <c r="AO235" i="1" s="1"/>
  <c r="AP235" i="1" s="1"/>
  <c r="AS235" i="1" s="1"/>
  <c r="AN765" i="1"/>
  <c r="AW40" i="1"/>
  <c r="AX40" i="1" s="1"/>
  <c r="AZ40" i="1" s="1"/>
  <c r="BA40" i="1" s="1"/>
  <c r="AP40" i="1"/>
  <c r="AS40" i="1" s="1"/>
  <c r="AN369" i="1"/>
  <c r="AW854" i="1"/>
  <c r="AX854" i="1" s="1"/>
  <c r="AZ854" i="1" s="1"/>
  <c r="BA854" i="1" s="1"/>
  <c r="AP911" i="1"/>
  <c r="AS911" i="1" s="1"/>
  <c r="AW911" i="1"/>
  <c r="AX911" i="1" s="1"/>
  <c r="AZ911" i="1" s="1"/>
  <c r="BA911" i="1" s="1"/>
  <c r="AW394" i="1"/>
  <c r="AX394" i="1" s="1"/>
  <c r="AZ394" i="1" s="1"/>
  <c r="BA394" i="1" s="1"/>
  <c r="AP394" i="1"/>
  <c r="AS394" i="1" s="1"/>
  <c r="BB24" i="1"/>
  <c r="AN228" i="1"/>
  <c r="BB405" i="1"/>
  <c r="AW479" i="1"/>
  <c r="AX479" i="1" s="1"/>
  <c r="AZ479" i="1" s="1"/>
  <c r="BA479" i="1" s="1"/>
  <c r="AW281" i="1"/>
  <c r="AX281" i="1" s="1"/>
  <c r="AZ281" i="1" s="1"/>
  <c r="BA281" i="1" s="1"/>
  <c r="AP281" i="1"/>
  <c r="AS281" i="1" s="1"/>
  <c r="AW125" i="1"/>
  <c r="AX125" i="1" s="1"/>
  <c r="AZ125" i="1" s="1"/>
  <c r="BA125" i="1" s="1"/>
  <c r="AP125" i="1"/>
  <c r="AS125" i="1" s="1"/>
  <c r="AP499" i="1"/>
  <c r="AS499" i="1" s="1"/>
  <c r="AW499" i="1"/>
  <c r="AX499" i="1" s="1"/>
  <c r="AZ499" i="1" s="1"/>
  <c r="BA499" i="1" s="1"/>
  <c r="AW396" i="1"/>
  <c r="AX396" i="1" s="1"/>
  <c r="AZ396" i="1" s="1"/>
  <c r="BA396" i="1" s="1"/>
  <c r="AP797" i="1"/>
  <c r="AS797" i="1" s="1"/>
  <c r="AW797" i="1"/>
  <c r="AX797" i="1" s="1"/>
  <c r="AZ797" i="1" s="1"/>
  <c r="BA797" i="1" s="1"/>
  <c r="AN371" i="1"/>
  <c r="AW679" i="1"/>
  <c r="AX679" i="1" s="1"/>
  <c r="AZ679" i="1" s="1"/>
  <c r="BA679" i="1" s="1"/>
  <c r="AP679" i="1"/>
  <c r="AS679" i="1" s="1"/>
  <c r="AP407" i="1"/>
  <c r="AS407" i="1" s="1"/>
  <c r="AW407" i="1"/>
  <c r="AX407" i="1" s="1"/>
  <c r="AZ407" i="1" s="1"/>
  <c r="BA407" i="1" s="1"/>
  <c r="AW282" i="1"/>
  <c r="AX282" i="1" s="1"/>
  <c r="AZ282" i="1" s="1"/>
  <c r="BA282" i="1" s="1"/>
  <c r="AP531" i="1"/>
  <c r="AS531" i="1" s="1"/>
  <c r="AW531" i="1"/>
  <c r="AX531" i="1" s="1"/>
  <c r="AZ531" i="1" s="1"/>
  <c r="BA531" i="1" s="1"/>
  <c r="AW386" i="1"/>
  <c r="AX386" i="1" s="1"/>
  <c r="AZ386" i="1" s="1"/>
  <c r="BA386" i="1" s="1"/>
  <c r="AP386" i="1"/>
  <c r="AS386" i="1" s="1"/>
  <c r="AW171" i="1"/>
  <c r="AX171" i="1" s="1"/>
  <c r="AZ171" i="1" s="1"/>
  <c r="BA171" i="1" s="1"/>
  <c r="AW634" i="1"/>
  <c r="AX634" i="1" s="1"/>
  <c r="AZ634" i="1" s="1"/>
  <c r="BA634" i="1" s="1"/>
  <c r="AP382" i="1"/>
  <c r="AS382" i="1" s="1"/>
  <c r="AW382" i="1"/>
  <c r="AX382" i="1" s="1"/>
  <c r="AZ382" i="1" s="1"/>
  <c r="BA382" i="1" s="1"/>
  <c r="AP425" i="1"/>
  <c r="AS425" i="1" s="1"/>
  <c r="AW425" i="1"/>
  <c r="AX425" i="1" s="1"/>
  <c r="AZ425" i="1" s="1"/>
  <c r="BA425" i="1" s="1"/>
  <c r="AW546" i="1"/>
  <c r="AX546" i="1" s="1"/>
  <c r="AZ546" i="1" s="1"/>
  <c r="BA546" i="1" s="1"/>
  <c r="AP546" i="1"/>
  <c r="AS546" i="1" s="1"/>
  <c r="AW771" i="1"/>
  <c r="AX771" i="1" s="1"/>
  <c r="AZ771" i="1" s="1"/>
  <c r="BA771" i="1" s="1"/>
  <c r="AP771" i="1"/>
  <c r="AS771" i="1" s="1"/>
  <c r="AN450" i="1"/>
  <c r="AP209" i="1"/>
  <c r="AS209" i="1" s="1"/>
  <c r="AW209" i="1"/>
  <c r="AX209" i="1" s="1"/>
  <c r="AZ209" i="1" s="1"/>
  <c r="BA209" i="1" s="1"/>
  <c r="AP509" i="1"/>
  <c r="AS509" i="1" s="1"/>
  <c r="AW509" i="1"/>
  <c r="AX509" i="1" s="1"/>
  <c r="AZ509" i="1" s="1"/>
  <c r="BA509" i="1" s="1"/>
  <c r="AW322" i="1"/>
  <c r="AX322" i="1" s="1"/>
  <c r="AZ322" i="1" s="1"/>
  <c r="BA322" i="1" s="1"/>
  <c r="AP526" i="1"/>
  <c r="AS526" i="1" s="1"/>
  <c r="AW526" i="1"/>
  <c r="AX526" i="1" s="1"/>
  <c r="AZ526" i="1" s="1"/>
  <c r="BA526" i="1" s="1"/>
  <c r="AW237" i="1"/>
  <c r="AX237" i="1" s="1"/>
  <c r="AZ237" i="1" s="1"/>
  <c r="BA237" i="1" s="1"/>
  <c r="AN681" i="1"/>
  <c r="AW649" i="1"/>
  <c r="AX649" i="1" s="1"/>
  <c r="AZ649" i="1" s="1"/>
  <c r="BA649" i="1" s="1"/>
  <c r="AP649" i="1"/>
  <c r="AS649" i="1" s="1"/>
  <c r="AW183" i="1"/>
  <c r="AX183" i="1" s="1"/>
  <c r="AZ183" i="1" s="1"/>
  <c r="BA183" i="1" s="1"/>
  <c r="AW271" i="1"/>
  <c r="AX271" i="1" s="1"/>
  <c r="AZ271" i="1" s="1"/>
  <c r="BA271" i="1" s="1"/>
  <c r="AP271" i="1"/>
  <c r="AS271" i="1" s="1"/>
  <c r="AW686" i="1"/>
  <c r="AX686" i="1" s="1"/>
  <c r="AZ686" i="1" s="1"/>
  <c r="BA686" i="1" s="1"/>
  <c r="AW560" i="1"/>
  <c r="AX560" i="1" s="1"/>
  <c r="AZ560" i="1" s="1"/>
  <c r="BA560" i="1" s="1"/>
  <c r="AP414" i="1"/>
  <c r="AS414" i="1" s="1"/>
  <c r="AW414" i="1"/>
  <c r="AX414" i="1" s="1"/>
  <c r="AZ414" i="1" s="1"/>
  <c r="BA414" i="1" s="1"/>
  <c r="AW856" i="1"/>
  <c r="AX856" i="1" s="1"/>
  <c r="AZ856" i="1" s="1"/>
  <c r="BA856" i="1" s="1"/>
  <c r="AW291" i="1"/>
  <c r="AX291" i="1" s="1"/>
  <c r="AZ291" i="1" s="1"/>
  <c r="BA291" i="1" s="1"/>
  <c r="AP291" i="1"/>
  <c r="AS291" i="1" s="1"/>
  <c r="AW210" i="1"/>
  <c r="AX210" i="1" s="1"/>
  <c r="AZ210" i="1" s="1"/>
  <c r="BA210" i="1" s="1"/>
  <c r="AP210" i="1"/>
  <c r="AS210" i="1" s="1"/>
  <c r="AW650" i="1"/>
  <c r="AX650" i="1" s="1"/>
  <c r="AZ650" i="1" s="1"/>
  <c r="BA650" i="1" s="1"/>
  <c r="AP891" i="1"/>
  <c r="AS891" i="1" s="1"/>
  <c r="AW891" i="1"/>
  <c r="AX891" i="1" s="1"/>
  <c r="AZ891" i="1" s="1"/>
  <c r="BA891" i="1" s="1"/>
  <c r="AW165" i="1"/>
  <c r="AX165" i="1" s="1"/>
  <c r="AZ165" i="1" s="1"/>
  <c r="BA165" i="1" s="1"/>
  <c r="AW412" i="1"/>
  <c r="AX412" i="1" s="1"/>
  <c r="AZ412" i="1" s="1"/>
  <c r="BA412" i="1" s="1"/>
  <c r="AP412" i="1"/>
  <c r="AS412" i="1" s="1"/>
  <c r="AW521" i="1"/>
  <c r="AX521" i="1" s="1"/>
  <c r="AZ521" i="1" s="1"/>
  <c r="BA521" i="1" s="1"/>
  <c r="AP889" i="1"/>
  <c r="AS889" i="1" s="1"/>
  <c r="AW889" i="1"/>
  <c r="AX889" i="1" s="1"/>
  <c r="AZ889" i="1" s="1"/>
  <c r="BA889" i="1" s="1"/>
  <c r="AW204" i="1"/>
  <c r="AX204" i="1" s="1"/>
  <c r="AZ204" i="1" s="1"/>
  <c r="BA204" i="1" s="1"/>
  <c r="AW823" i="1"/>
  <c r="AX823" i="1" s="1"/>
  <c r="AZ823" i="1" s="1"/>
  <c r="BA823" i="1" s="1"/>
  <c r="AP823" i="1"/>
  <c r="AS823" i="1" s="1"/>
  <c r="AW71" i="1"/>
  <c r="AX71" i="1" s="1"/>
  <c r="AZ71" i="1" s="1"/>
  <c r="BA71" i="1" s="1"/>
  <c r="AP262" i="1"/>
  <c r="AS262" i="1" s="1"/>
  <c r="AW262" i="1"/>
  <c r="AX262" i="1" s="1"/>
  <c r="AZ262" i="1" s="1"/>
  <c r="BA262" i="1" s="1"/>
  <c r="BB427" i="1"/>
  <c r="AW624" i="1"/>
  <c r="AX624" i="1" s="1"/>
  <c r="AZ624" i="1" s="1"/>
  <c r="BA624" i="1" s="1"/>
  <c r="AP624" i="1"/>
  <c r="AS624" i="1" s="1"/>
  <c r="BB910" i="1"/>
  <c r="AW796" i="1"/>
  <c r="AX796" i="1" s="1"/>
  <c r="AZ796" i="1" s="1"/>
  <c r="BA796" i="1" s="1"/>
  <c r="AP796" i="1"/>
  <c r="AS796" i="1" s="1"/>
  <c r="AP122" i="1"/>
  <c r="AS122" i="1" s="1"/>
  <c r="AW122" i="1"/>
  <c r="AX122" i="1" s="1"/>
  <c r="AZ122" i="1" s="1"/>
  <c r="BA122" i="1" s="1"/>
  <c r="AW627" i="1"/>
  <c r="AX627" i="1" s="1"/>
  <c r="AZ627" i="1" s="1"/>
  <c r="BA627" i="1" s="1"/>
  <c r="AP305" i="1"/>
  <c r="AS305" i="1" s="1"/>
  <c r="AW305" i="1"/>
  <c r="AX305" i="1" s="1"/>
  <c r="AZ305" i="1" s="1"/>
  <c r="BA305" i="1" s="1"/>
  <c r="AW605" i="1"/>
  <c r="AX605" i="1" s="1"/>
  <c r="AZ605" i="1" s="1"/>
  <c r="BA605" i="1" s="1"/>
  <c r="AP605" i="1"/>
  <c r="AS605" i="1" s="1"/>
  <c r="AW200" i="1"/>
  <c r="AX200" i="1" s="1"/>
  <c r="AZ200" i="1" s="1"/>
  <c r="BA200" i="1" s="1"/>
  <c r="AP200" i="1"/>
  <c r="AS200" i="1" s="1"/>
  <c r="AP66" i="1"/>
  <c r="AS66" i="1" s="1"/>
  <c r="AW66" i="1"/>
  <c r="AX66" i="1" s="1"/>
  <c r="AZ66" i="1" s="1"/>
  <c r="BA66" i="1" s="1"/>
  <c r="AN192" i="1"/>
  <c r="BB639" i="1"/>
  <c r="AW255" i="1"/>
  <c r="AX255" i="1" s="1"/>
  <c r="AZ255" i="1" s="1"/>
  <c r="BA255" i="1" s="1"/>
  <c r="AP255" i="1"/>
  <c r="AS255" i="1" s="1"/>
  <c r="AN537" i="1"/>
  <c r="AW780" i="1"/>
  <c r="AX780" i="1" s="1"/>
  <c r="AZ780" i="1" s="1"/>
  <c r="BA780" i="1" s="1"/>
  <c r="AP780" i="1"/>
  <c r="AS780" i="1" s="1"/>
  <c r="AP723" i="1"/>
  <c r="AS723" i="1" s="1"/>
  <c r="AW723" i="1"/>
  <c r="AX723" i="1" s="1"/>
  <c r="AZ723" i="1" s="1"/>
  <c r="BA723" i="1" s="1"/>
  <c r="AP357" i="1"/>
  <c r="AS357" i="1" s="1"/>
  <c r="AW357" i="1"/>
  <c r="AX357" i="1" s="1"/>
  <c r="AZ357" i="1" s="1"/>
  <c r="BA357" i="1" s="1"/>
  <c r="AP340" i="1"/>
  <c r="AS340" i="1" s="1"/>
  <c r="AW340" i="1"/>
  <c r="AX340" i="1" s="1"/>
  <c r="AZ340" i="1" s="1"/>
  <c r="BA340" i="1" s="1"/>
  <c r="AP402" i="1"/>
  <c r="AS402" i="1" s="1"/>
  <c r="AW402" i="1"/>
  <c r="AX402" i="1" s="1"/>
  <c r="AZ402" i="1" s="1"/>
  <c r="BA402" i="1" s="1"/>
  <c r="AP953" i="1"/>
  <c r="AS953" i="1" s="1"/>
  <c r="AW953" i="1"/>
  <c r="AX953" i="1" s="1"/>
  <c r="AZ953" i="1" s="1"/>
  <c r="BA953" i="1" s="1"/>
  <c r="AP205" i="1"/>
  <c r="AS205" i="1" s="1"/>
  <c r="AW205" i="1"/>
  <c r="AX205" i="1" s="1"/>
  <c r="AZ205" i="1" s="1"/>
  <c r="BA205" i="1" s="1"/>
  <c r="AW536" i="1"/>
  <c r="AX536" i="1" s="1"/>
  <c r="AZ536" i="1" s="1"/>
  <c r="BA536" i="1" s="1"/>
  <c r="AW218" i="1"/>
  <c r="AX218" i="1" s="1"/>
  <c r="AZ218" i="1" s="1"/>
  <c r="BA218" i="1" s="1"/>
  <c r="AW391" i="1"/>
  <c r="AX391" i="1" s="1"/>
  <c r="AZ391" i="1" s="1"/>
  <c r="BA391" i="1" s="1"/>
  <c r="AP391" i="1"/>
  <c r="AS391" i="1" s="1"/>
  <c r="AN524" i="1"/>
  <c r="AW755" i="1"/>
  <c r="AX755" i="1" s="1"/>
  <c r="AZ755" i="1" s="1"/>
  <c r="BA755" i="1" s="1"/>
  <c r="AP755" i="1"/>
  <c r="AS755" i="1" s="1"/>
  <c r="BB596" i="1"/>
  <c r="BB17" i="1"/>
  <c r="AP263" i="1"/>
  <c r="AS263" i="1" s="1"/>
  <c r="AW263" i="1"/>
  <c r="AX263" i="1" s="1"/>
  <c r="AZ263" i="1" s="1"/>
  <c r="BA263" i="1" s="1"/>
  <c r="BB303" i="1"/>
  <c r="AN608" i="1"/>
  <c r="AW838" i="1"/>
  <c r="AX838" i="1" s="1"/>
  <c r="AZ838" i="1" s="1"/>
  <c r="BA838" i="1" s="1"/>
  <c r="AP838" i="1"/>
  <c r="AS838" i="1" s="1"/>
  <c r="AW501" i="1"/>
  <c r="AX501" i="1" s="1"/>
  <c r="AZ501" i="1" s="1"/>
  <c r="BA501" i="1" s="1"/>
  <c r="BB946" i="1"/>
  <c r="AW395" i="1"/>
  <c r="AX395" i="1" s="1"/>
  <c r="AZ395" i="1" s="1"/>
  <c r="BA395" i="1" s="1"/>
  <c r="AP709" i="1"/>
  <c r="AS709" i="1" s="1"/>
  <c r="AW709" i="1"/>
  <c r="AX709" i="1" s="1"/>
  <c r="AZ709" i="1" s="1"/>
  <c r="BA709" i="1" s="1"/>
  <c r="AW905" i="1"/>
  <c r="AX905" i="1" s="1"/>
  <c r="AZ905" i="1" s="1"/>
  <c r="BA905" i="1" s="1"/>
  <c r="AP905" i="1"/>
  <c r="AS905" i="1" s="1"/>
  <c r="AP65" i="1"/>
  <c r="AS65" i="1" s="1"/>
  <c r="AW65" i="1"/>
  <c r="AX65" i="1" s="1"/>
  <c r="AZ65" i="1" s="1"/>
  <c r="BA65" i="1" s="1"/>
  <c r="AW184" i="1"/>
  <c r="AX184" i="1" s="1"/>
  <c r="AZ184" i="1" s="1"/>
  <c r="BA184" i="1" s="1"/>
  <c r="AP184" i="1"/>
  <c r="AS184" i="1" s="1"/>
  <c r="AW83" i="1"/>
  <c r="AX83" i="1" s="1"/>
  <c r="AZ83" i="1" s="1"/>
  <c r="BA83" i="1" s="1"/>
  <c r="AW82" i="1"/>
  <c r="AX82" i="1" s="1"/>
  <c r="AZ82" i="1" s="1"/>
  <c r="BA82" i="1" s="1"/>
  <c r="AP82" i="1"/>
  <c r="AS82" i="1" s="1"/>
  <c r="AW681" i="1"/>
  <c r="AX681" i="1" s="1"/>
  <c r="AZ681" i="1" s="1"/>
  <c r="BA681" i="1" s="1"/>
  <c r="AW787" i="1"/>
  <c r="AX787" i="1" s="1"/>
  <c r="AZ787" i="1" s="1"/>
  <c r="BA787" i="1" s="1"/>
  <c r="AP787" i="1"/>
  <c r="AS787" i="1" s="1"/>
  <c r="BB182" i="1"/>
  <c r="AW387" i="1"/>
  <c r="AX387" i="1" s="1"/>
  <c r="AZ387" i="1" s="1"/>
  <c r="BA387" i="1" s="1"/>
  <c r="AP480" i="1"/>
  <c r="AS480" i="1" s="1"/>
  <c r="AW480" i="1"/>
  <c r="AX480" i="1" s="1"/>
  <c r="AZ480" i="1" s="1"/>
  <c r="BA480" i="1" s="1"/>
  <c r="AN689" i="1"/>
  <c r="AN578" i="1"/>
  <c r="AW750" i="1"/>
  <c r="AX750" i="1" s="1"/>
  <c r="AZ750" i="1" s="1"/>
  <c r="BA750" i="1" s="1"/>
  <c r="AW103" i="1"/>
  <c r="AX103" i="1" s="1"/>
  <c r="AZ103" i="1" s="1"/>
  <c r="BA103" i="1" s="1"/>
  <c r="AP103" i="1"/>
  <c r="AS103" i="1" s="1"/>
  <c r="AP223" i="1"/>
  <c r="AS223" i="1" s="1"/>
  <c r="AW223" i="1"/>
  <c r="AX223" i="1" s="1"/>
  <c r="AZ223" i="1" s="1"/>
  <c r="BA223" i="1" s="1"/>
  <c r="AP565" i="1"/>
  <c r="AS565" i="1" s="1"/>
  <c r="AW565" i="1"/>
  <c r="AX565" i="1" s="1"/>
  <c r="AZ565" i="1" s="1"/>
  <c r="BA565" i="1" s="1"/>
  <c r="AN476" i="1"/>
  <c r="AW744" i="1"/>
  <c r="AX744" i="1" s="1"/>
  <c r="AZ744" i="1" s="1"/>
  <c r="BA744" i="1" s="1"/>
  <c r="AP744" i="1"/>
  <c r="AS744" i="1" s="1"/>
  <c r="AW260" i="1"/>
  <c r="AX260" i="1" s="1"/>
  <c r="AZ260" i="1" s="1"/>
  <c r="BA260" i="1" s="1"/>
  <c r="AP260" i="1"/>
  <c r="AS260" i="1" s="1"/>
  <c r="AW323" i="1"/>
  <c r="AX323" i="1" s="1"/>
  <c r="AZ323" i="1" s="1"/>
  <c r="BA323" i="1" s="1"/>
  <c r="AP323" i="1"/>
  <c r="AS323" i="1" s="1"/>
  <c r="AW199" i="1"/>
  <c r="AX199" i="1" s="1"/>
  <c r="AZ199" i="1" s="1"/>
  <c r="BA199" i="1" s="1"/>
  <c r="AP199" i="1"/>
  <c r="AS199" i="1" s="1"/>
  <c r="AN460" i="1"/>
  <c r="AW195" i="1"/>
  <c r="AX195" i="1" s="1"/>
  <c r="AZ195" i="1" s="1"/>
  <c r="BA195" i="1" s="1"/>
  <c r="AW43" i="1"/>
  <c r="AX43" i="1" s="1"/>
  <c r="AZ43" i="1" s="1"/>
  <c r="BA43" i="1" s="1"/>
  <c r="AP43" i="1"/>
  <c r="AS43" i="1" s="1"/>
  <c r="AN547" i="1"/>
  <c r="AW586" i="1"/>
  <c r="AX586" i="1" s="1"/>
  <c r="AZ586" i="1" s="1"/>
  <c r="BA586" i="1" s="1"/>
  <c r="AP586" i="1"/>
  <c r="AS586" i="1" s="1"/>
  <c r="BB87" i="1"/>
  <c r="AP788" i="1"/>
  <c r="AS788" i="1" s="1"/>
  <c r="AW788" i="1"/>
  <c r="AX788" i="1" s="1"/>
  <c r="AZ788" i="1" s="1"/>
  <c r="BA788" i="1" s="1"/>
  <c r="AW772" i="1"/>
  <c r="AX772" i="1" s="1"/>
  <c r="AZ772" i="1" s="1"/>
  <c r="BA772" i="1" s="1"/>
  <c r="BB279" i="1"/>
  <c r="AW220" i="1"/>
  <c r="AX220" i="1" s="1"/>
  <c r="AZ220" i="1" s="1"/>
  <c r="BA220" i="1" s="1"/>
  <c r="AP364" i="1"/>
  <c r="AS364" i="1" s="1"/>
  <c r="AW364" i="1"/>
  <c r="AX364" i="1" s="1"/>
  <c r="AZ364" i="1" s="1"/>
  <c r="BA364" i="1" s="1"/>
  <c r="AN841" i="1"/>
  <c r="AW594" i="1"/>
  <c r="AX594" i="1" s="1"/>
  <c r="AZ594" i="1" s="1"/>
  <c r="BA594" i="1" s="1"/>
  <c r="AP594" i="1"/>
  <c r="AS594" i="1" s="1"/>
  <c r="AW884" i="1"/>
  <c r="AX884" i="1" s="1"/>
  <c r="AZ884" i="1" s="1"/>
  <c r="BA884" i="1" s="1"/>
  <c r="AW150" i="1"/>
  <c r="AX150" i="1" s="1"/>
  <c r="AZ150" i="1" s="1"/>
  <c r="BA150" i="1" s="1"/>
  <c r="AW128" i="1"/>
  <c r="AX128" i="1" s="1"/>
  <c r="AZ128" i="1" s="1"/>
  <c r="BA128" i="1" s="1"/>
  <c r="AP58" i="1"/>
  <c r="AS58" i="1" s="1"/>
  <c r="AW58" i="1"/>
  <c r="AX58" i="1" s="1"/>
  <c r="AZ58" i="1" s="1"/>
  <c r="BA58" i="1" s="1"/>
  <c r="BB13" i="1"/>
  <c r="AP121" i="1"/>
  <c r="AS121" i="1" s="1"/>
  <c r="AW121" i="1"/>
  <c r="AX121" i="1" s="1"/>
  <c r="AZ121" i="1" s="1"/>
  <c r="BA121" i="1" s="1"/>
  <c r="BB406" i="1"/>
  <c r="AW132" i="1"/>
  <c r="AX132" i="1" s="1"/>
  <c r="AZ132" i="1" s="1"/>
  <c r="BA132" i="1" s="1"/>
  <c r="AP132" i="1"/>
  <c r="AS132" i="1" s="1"/>
  <c r="AW426" i="1"/>
  <c r="AX426" i="1" s="1"/>
  <c r="AZ426" i="1" s="1"/>
  <c r="BA426" i="1" s="1"/>
  <c r="AW581" i="1"/>
  <c r="AX581" i="1" s="1"/>
  <c r="AZ581" i="1" s="1"/>
  <c r="BA581" i="1" s="1"/>
  <c r="AP710" i="1"/>
  <c r="AS710" i="1" s="1"/>
  <c r="AW710" i="1"/>
  <c r="AX710" i="1" s="1"/>
  <c r="AZ710" i="1" s="1"/>
  <c r="BA710" i="1" s="1"/>
  <c r="AW806" i="1"/>
  <c r="AX806" i="1" s="1"/>
  <c r="AZ806" i="1" s="1"/>
  <c r="BA806" i="1" s="1"/>
  <c r="AW489" i="1"/>
  <c r="AX489" i="1" s="1"/>
  <c r="AZ489" i="1" s="1"/>
  <c r="BA489" i="1" s="1"/>
  <c r="AP489" i="1"/>
  <c r="AS489" i="1" s="1"/>
  <c r="AN104" i="1"/>
  <c r="AN175" i="1"/>
  <c r="AN734" i="1"/>
  <c r="BB381" i="1"/>
  <c r="AW510" i="1"/>
  <c r="AX510" i="1" s="1"/>
  <c r="AZ510" i="1" s="1"/>
  <c r="BA510" i="1" s="1"/>
  <c r="AP510" i="1"/>
  <c r="AS510" i="1" s="1"/>
  <c r="AP410" i="1"/>
  <c r="AS410" i="1" s="1"/>
  <c r="AW410" i="1"/>
  <c r="AX410" i="1" s="1"/>
  <c r="AZ410" i="1" s="1"/>
  <c r="BA410" i="1" s="1"/>
  <c r="AP174" i="1"/>
  <c r="AS174" i="1" s="1"/>
  <c r="AW174" i="1"/>
  <c r="AX174" i="1" s="1"/>
  <c r="AZ174" i="1" s="1"/>
  <c r="BA174" i="1" s="1"/>
  <c r="AP614" i="1"/>
  <c r="AS614" i="1" s="1"/>
  <c r="AW614" i="1"/>
  <c r="AX614" i="1" s="1"/>
  <c r="AZ614" i="1" s="1"/>
  <c r="BA614" i="1" s="1"/>
  <c r="AW870" i="1"/>
  <c r="AX870" i="1" s="1"/>
  <c r="AZ870" i="1" s="1"/>
  <c r="BA870" i="1" s="1"/>
  <c r="AP870" i="1"/>
  <c r="AS870" i="1" s="1"/>
  <c r="AN926" i="1"/>
  <c r="AO926" i="1" s="1"/>
  <c r="AP926" i="1" s="1"/>
  <c r="AS926" i="1" s="1"/>
  <c r="AP274" i="1"/>
  <c r="AS274" i="1" s="1"/>
  <c r="AW274" i="1"/>
  <c r="AX274" i="1" s="1"/>
  <c r="AZ274" i="1" s="1"/>
  <c r="BA274" i="1" s="1"/>
  <c r="BB454" i="1"/>
  <c r="BB652" i="1"/>
  <c r="AP247" i="1"/>
  <c r="AS247" i="1" s="1"/>
  <c r="AW247" i="1"/>
  <c r="AX247" i="1" s="1"/>
  <c r="AZ247" i="1" s="1"/>
  <c r="BA247" i="1" s="1"/>
  <c r="AP822" i="1"/>
  <c r="AS822" i="1" s="1"/>
  <c r="AW822" i="1"/>
  <c r="AX822" i="1" s="1"/>
  <c r="AZ822" i="1" s="1"/>
  <c r="BA822" i="1" s="1"/>
  <c r="AW931" i="1"/>
  <c r="AX931" i="1" s="1"/>
  <c r="AZ931" i="1" s="1"/>
  <c r="BA931" i="1" s="1"/>
  <c r="AW760" i="1"/>
  <c r="AX760" i="1" s="1"/>
  <c r="AZ760" i="1" s="1"/>
  <c r="BA760" i="1" s="1"/>
  <c r="AP181" i="1"/>
  <c r="AS181" i="1" s="1"/>
  <c r="AW181" i="1"/>
  <c r="AX181" i="1" s="1"/>
  <c r="AZ181" i="1" s="1"/>
  <c r="BA181" i="1" s="1"/>
  <c r="AW434" i="1"/>
  <c r="AX434" i="1" s="1"/>
  <c r="AZ434" i="1" s="1"/>
  <c r="BA434" i="1" s="1"/>
  <c r="AW492" i="1"/>
  <c r="AX492" i="1" s="1"/>
  <c r="AZ492" i="1" s="1"/>
  <c r="BA492" i="1" s="1"/>
  <c r="AP492" i="1"/>
  <c r="AS492" i="1" s="1"/>
  <c r="AP708" i="1"/>
  <c r="AS708" i="1" s="1"/>
  <c r="AW708" i="1"/>
  <c r="AX708" i="1" s="1"/>
  <c r="AZ708" i="1" s="1"/>
  <c r="BA708" i="1" s="1"/>
  <c r="AW516" i="1"/>
  <c r="AX516" i="1" s="1"/>
  <c r="AZ516" i="1" s="1"/>
  <c r="BA516" i="1" s="1"/>
  <c r="AP516" i="1"/>
  <c r="AS516" i="1" s="1"/>
  <c r="AW344" i="1"/>
  <c r="AX344" i="1" s="1"/>
  <c r="AZ344" i="1" s="1"/>
  <c r="BA344" i="1" s="1"/>
  <c r="AP344" i="1"/>
  <c r="AS344" i="1" s="1"/>
  <c r="AW393" i="1"/>
  <c r="AX393" i="1" s="1"/>
  <c r="AZ393" i="1" s="1"/>
  <c r="BA393" i="1" s="1"/>
  <c r="AP393" i="1"/>
  <c r="AS393" i="1" s="1"/>
  <c r="AW449" i="1"/>
  <c r="AX449" i="1" s="1"/>
  <c r="AZ449" i="1" s="1"/>
  <c r="BA449" i="1" s="1"/>
  <c r="AW307" i="1"/>
  <c r="AX307" i="1" s="1"/>
  <c r="AZ307" i="1" s="1"/>
  <c r="BA307" i="1" s="1"/>
  <c r="AP307" i="1"/>
  <c r="AS307" i="1" s="1"/>
  <c r="AP687" i="1"/>
  <c r="AS687" i="1" s="1"/>
  <c r="AW687" i="1"/>
  <c r="AX687" i="1" s="1"/>
  <c r="AZ687" i="1" s="1"/>
  <c r="BA687" i="1" s="1"/>
  <c r="AW389" i="1"/>
  <c r="AX389" i="1" s="1"/>
  <c r="AZ389" i="1" s="1"/>
  <c r="BA389" i="1" s="1"/>
  <c r="AW563" i="1"/>
  <c r="AX563" i="1" s="1"/>
  <c r="AZ563" i="1" s="1"/>
  <c r="BA563" i="1" s="1"/>
  <c r="AP563" i="1"/>
  <c r="AS563" i="1" s="1"/>
  <c r="AW528" i="1"/>
  <c r="AX528" i="1" s="1"/>
  <c r="AZ528" i="1" s="1"/>
  <c r="BA528" i="1" s="1"/>
  <c r="AN603" i="1"/>
  <c r="AW600" i="1"/>
  <c r="AX600" i="1" s="1"/>
  <c r="AZ600" i="1" s="1"/>
  <c r="BA600" i="1" s="1"/>
  <c r="AP600" i="1"/>
  <c r="AS600" i="1" s="1"/>
  <c r="BB31" i="1"/>
  <c r="AP251" i="1"/>
  <c r="AS251" i="1" s="1"/>
  <c r="AW251" i="1"/>
  <c r="AX251" i="1" s="1"/>
  <c r="AZ251" i="1" s="1"/>
  <c r="BA251" i="1" s="1"/>
  <c r="AW398" i="1"/>
  <c r="AX398" i="1" s="1"/>
  <c r="AZ398" i="1" s="1"/>
  <c r="BA398" i="1" s="1"/>
  <c r="AP398" i="1"/>
  <c r="AS398" i="1" s="1"/>
  <c r="AN246" i="1"/>
  <c r="AW617" i="1"/>
  <c r="AX617" i="1" s="1"/>
  <c r="AZ617" i="1" s="1"/>
  <c r="BA617" i="1" s="1"/>
  <c r="AP617" i="1"/>
  <c r="AS617" i="1" s="1"/>
  <c r="BB759" i="1"/>
  <c r="AN91" i="1"/>
  <c r="AN740" i="1"/>
  <c r="AW948" i="1"/>
  <c r="AX948" i="1" s="1"/>
  <c r="AZ948" i="1" s="1"/>
  <c r="BA948" i="1" s="1"/>
  <c r="AW493" i="1"/>
  <c r="AX493" i="1" s="1"/>
  <c r="AZ493" i="1" s="1"/>
  <c r="BA493" i="1" s="1"/>
  <c r="BB46" i="1"/>
  <c r="AN94" i="1"/>
  <c r="AW334" i="1"/>
  <c r="AX334" i="1" s="1"/>
  <c r="AZ334" i="1" s="1"/>
  <c r="BA334" i="1" s="1"/>
  <c r="AW482" i="1"/>
  <c r="AX482" i="1" s="1"/>
  <c r="AZ482" i="1" s="1"/>
  <c r="BA482" i="1" s="1"/>
  <c r="AP482" i="1"/>
  <c r="AS482" i="1" s="1"/>
  <c r="AP579" i="1"/>
  <c r="AS579" i="1" s="1"/>
  <c r="AW579" i="1"/>
  <c r="AX579" i="1" s="1"/>
  <c r="AZ579" i="1" s="1"/>
  <c r="BA579" i="1" s="1"/>
  <c r="AP703" i="1"/>
  <c r="AS703" i="1" s="1"/>
  <c r="AW703" i="1"/>
  <c r="AX703" i="1" s="1"/>
  <c r="AZ703" i="1" s="1"/>
  <c r="BA703" i="1" s="1"/>
  <c r="BB265" i="1"/>
  <c r="AW311" i="1"/>
  <c r="AX311" i="1" s="1"/>
  <c r="AZ311" i="1" s="1"/>
  <c r="BA311" i="1" s="1"/>
  <c r="AN56" i="1"/>
  <c r="AW197" i="1"/>
  <c r="AX197" i="1" s="1"/>
  <c r="AZ197" i="1" s="1"/>
  <c r="BA197" i="1" s="1"/>
  <c r="AP197" i="1"/>
  <c r="AS197" i="1" s="1"/>
  <c r="AW176" i="1"/>
  <c r="AX176" i="1" s="1"/>
  <c r="AZ176" i="1" s="1"/>
  <c r="BA176" i="1" s="1"/>
  <c r="AP176" i="1"/>
  <c r="AS176" i="1" s="1"/>
  <c r="AW924" i="1"/>
  <c r="AX924" i="1" s="1"/>
  <c r="AZ924" i="1" s="1"/>
  <c r="BA924" i="1" s="1"/>
  <c r="AP924" i="1"/>
  <c r="AS924" i="1" s="1"/>
  <c r="AP5" i="1"/>
  <c r="AS5" i="1" s="1"/>
  <c r="AW5" i="1"/>
  <c r="AX5" i="1" s="1"/>
  <c r="AZ5" i="1" s="1"/>
  <c r="BA5" i="1" s="1"/>
  <c r="AP929" i="1"/>
  <c r="AS929" i="1" s="1"/>
  <c r="AW929" i="1"/>
  <c r="AX929" i="1" s="1"/>
  <c r="AZ929" i="1" s="1"/>
  <c r="BA929" i="1" s="1"/>
  <c r="AN173" i="1"/>
  <c r="AW544" i="1"/>
  <c r="AX544" i="1" s="1"/>
  <c r="AZ544" i="1" s="1"/>
  <c r="BA544" i="1" s="1"/>
  <c r="AW32" i="1"/>
  <c r="AX32" i="1" s="1"/>
  <c r="AZ32" i="1" s="1"/>
  <c r="BA32" i="1" s="1"/>
  <c r="AP32" i="1"/>
  <c r="AS32" i="1" s="1"/>
  <c r="AP461" i="1"/>
  <c r="AS461" i="1" s="1"/>
  <c r="AW461" i="1"/>
  <c r="AX461" i="1" s="1"/>
  <c r="AZ461" i="1" s="1"/>
  <c r="BA461" i="1" s="1"/>
  <c r="AW881" i="1"/>
  <c r="AX881" i="1" s="1"/>
  <c r="AZ881" i="1" s="1"/>
  <c r="BA881" i="1" s="1"/>
  <c r="AP881" i="1"/>
  <c r="AS881" i="1" s="1"/>
  <c r="AW285" i="1"/>
  <c r="AX285" i="1" s="1"/>
  <c r="AZ285" i="1" s="1"/>
  <c r="BA285" i="1" s="1"/>
  <c r="AP285" i="1"/>
  <c r="AS285" i="1" s="1"/>
  <c r="AP352" i="1"/>
  <c r="AS352" i="1" s="1"/>
  <c r="AW352" i="1"/>
  <c r="AX352" i="1" s="1"/>
  <c r="AZ352" i="1" s="1"/>
  <c r="BA352" i="1" s="1"/>
  <c r="AP845" i="1"/>
  <c r="AS845" i="1" s="1"/>
  <c r="AW845" i="1"/>
  <c r="AX845" i="1" s="1"/>
  <c r="AZ845" i="1" s="1"/>
  <c r="BA845" i="1" s="1"/>
  <c r="AW267" i="1"/>
  <c r="AX267" i="1" s="1"/>
  <c r="AZ267" i="1" s="1"/>
  <c r="BA267" i="1" s="1"/>
  <c r="AP267" i="1"/>
  <c r="AS267" i="1" s="1"/>
  <c r="AW104" i="1"/>
  <c r="AX104" i="1" s="1"/>
  <c r="AZ104" i="1" s="1"/>
  <c r="BA104" i="1" s="1"/>
  <c r="AP713" i="1"/>
  <c r="AS713" i="1" s="1"/>
  <c r="AW713" i="1"/>
  <c r="AX713" i="1" s="1"/>
  <c r="AZ713" i="1" s="1"/>
  <c r="BA713" i="1" s="1"/>
  <c r="AW825" i="1"/>
  <c r="AX825" i="1" s="1"/>
  <c r="AZ825" i="1" s="1"/>
  <c r="BA825" i="1" s="1"/>
  <c r="AP359" i="1"/>
  <c r="AS359" i="1" s="1"/>
  <c r="AW359" i="1"/>
  <c r="AX359" i="1" s="1"/>
  <c r="AZ359" i="1" s="1"/>
  <c r="BA359" i="1" s="1"/>
  <c r="BB928" i="1"/>
  <c r="AP163" i="1"/>
  <c r="AS163" i="1" s="1"/>
  <c r="AW163" i="1"/>
  <c r="AX163" i="1" s="1"/>
  <c r="AZ163" i="1" s="1"/>
  <c r="BA163" i="1" s="1"/>
  <c r="AW704" i="1"/>
  <c r="AX704" i="1" s="1"/>
  <c r="AZ704" i="1" s="1"/>
  <c r="BA704" i="1" s="1"/>
  <c r="AW655" i="1"/>
  <c r="AX655" i="1" s="1"/>
  <c r="AZ655" i="1" s="1"/>
  <c r="BA655" i="1" s="1"/>
  <c r="AP831" i="1"/>
  <c r="AS831" i="1" s="1"/>
  <c r="AW831" i="1"/>
  <c r="AX831" i="1" s="1"/>
  <c r="AZ831" i="1" s="1"/>
  <c r="BA831" i="1" s="1"/>
  <c r="AW283" i="1"/>
  <c r="AX283" i="1" s="1"/>
  <c r="AZ283" i="1" s="1"/>
  <c r="BA283" i="1" s="1"/>
  <c r="AP283" i="1"/>
  <c r="AS283" i="1" s="1"/>
  <c r="AW421" i="1"/>
  <c r="AX421" i="1" s="1"/>
  <c r="AZ421" i="1" s="1"/>
  <c r="BA421" i="1" s="1"/>
  <c r="AW511" i="1"/>
  <c r="AX511" i="1" s="1"/>
  <c r="AZ511" i="1" s="1"/>
  <c r="BA511" i="1" s="1"/>
  <c r="AP511" i="1"/>
  <c r="AS511" i="1" s="1"/>
  <c r="AN593" i="1"/>
  <c r="AP572" i="1"/>
  <c r="AS572" i="1" s="1"/>
  <c r="AW572" i="1"/>
  <c r="AX572" i="1" s="1"/>
  <c r="AZ572" i="1" s="1"/>
  <c r="BA572" i="1" s="1"/>
  <c r="AN397" i="1"/>
  <c r="AP690" i="1"/>
  <c r="AS690" i="1" s="1"/>
  <c r="AW690" i="1"/>
  <c r="AX690" i="1" s="1"/>
  <c r="AZ690" i="1" s="1"/>
  <c r="BA690" i="1" s="1"/>
  <c r="AW72" i="1"/>
  <c r="AX72" i="1" s="1"/>
  <c r="AZ72" i="1" s="1"/>
  <c r="BA72" i="1" s="1"/>
  <c r="AP673" i="1"/>
  <c r="AS673" i="1" s="1"/>
  <c r="AW673" i="1"/>
  <c r="AX673" i="1" s="1"/>
  <c r="AZ673" i="1" s="1"/>
  <c r="BA673" i="1" s="1"/>
  <c r="AN774" i="1"/>
  <c r="AW781" i="1"/>
  <c r="AX781" i="1" s="1"/>
  <c r="AZ781" i="1" s="1"/>
  <c r="BA781" i="1" s="1"/>
  <c r="AP781" i="1"/>
  <c r="AS781" i="1" s="1"/>
  <c r="BB792" i="1"/>
  <c r="AP860" i="1"/>
  <c r="AS860" i="1" s="1"/>
  <c r="AW860" i="1"/>
  <c r="AX860" i="1" s="1"/>
  <c r="AZ860" i="1" s="1"/>
  <c r="BA860" i="1" s="1"/>
  <c r="AW462" i="1"/>
  <c r="AX462" i="1" s="1"/>
  <c r="AZ462" i="1" s="1"/>
  <c r="BA462" i="1" s="1"/>
  <c r="AW353" i="1"/>
  <c r="AX353" i="1" s="1"/>
  <c r="AZ353" i="1" s="1"/>
  <c r="BA353" i="1" s="1"/>
  <c r="AW683" i="1"/>
  <c r="AX683" i="1" s="1"/>
  <c r="AZ683" i="1" s="1"/>
  <c r="BA683" i="1" s="1"/>
  <c r="AP683" i="1"/>
  <c r="AS683" i="1" s="1"/>
  <c r="AW21" i="1"/>
  <c r="AX21" i="1" s="1"/>
  <c r="AZ21" i="1" s="1"/>
  <c r="BA21" i="1" s="1"/>
  <c r="AP21" i="1"/>
  <c r="AS21" i="1" s="1"/>
  <c r="AW146" i="1"/>
  <c r="AX146" i="1" s="1"/>
  <c r="AZ146" i="1" s="1"/>
  <c r="BA146" i="1" s="1"/>
  <c r="AP146" i="1"/>
  <c r="AS146" i="1" s="1"/>
  <c r="BB219" i="1"/>
  <c r="BB431" i="1"/>
  <c r="AP557" i="1"/>
  <c r="AS557" i="1" s="1"/>
  <c r="AW557" i="1"/>
  <c r="AX557" i="1" s="1"/>
  <c r="AZ557" i="1" s="1"/>
  <c r="BA557" i="1" s="1"/>
  <c r="AW914" i="1"/>
  <c r="AX914" i="1" s="1"/>
  <c r="AZ914" i="1" s="1"/>
  <c r="BA914" i="1" s="1"/>
  <c r="AP914" i="1"/>
  <c r="AS914" i="1" s="1"/>
  <c r="AP942" i="1"/>
  <c r="AS942" i="1" s="1"/>
  <c r="AW942" i="1"/>
  <c r="AX942" i="1" s="1"/>
  <c r="AZ942" i="1" s="1"/>
  <c r="BA942" i="1" s="1"/>
  <c r="AW730" i="1"/>
  <c r="AX730" i="1" s="1"/>
  <c r="AZ730" i="1" s="1"/>
  <c r="BA730" i="1" s="1"/>
  <c r="AW298" i="1"/>
  <c r="AX298" i="1" s="1"/>
  <c r="AZ298" i="1" s="1"/>
  <c r="BA298" i="1" s="1"/>
  <c r="AW754" i="1"/>
  <c r="AX754" i="1" s="1"/>
  <c r="AZ754" i="1" s="1"/>
  <c r="BA754" i="1" s="1"/>
  <c r="AW837" i="1"/>
  <c r="AX837" i="1" s="1"/>
  <c r="AZ837" i="1" s="1"/>
  <c r="BA837" i="1" s="1"/>
  <c r="AP837" i="1"/>
  <c r="AS837" i="1" s="1"/>
  <c r="AP44" i="1"/>
  <c r="AS44" i="1" s="1"/>
  <c r="AW44" i="1"/>
  <c r="AX44" i="1" s="1"/>
  <c r="AZ44" i="1" s="1"/>
  <c r="BA44" i="1" s="1"/>
  <c r="AP694" i="1"/>
  <c r="AS694" i="1" s="1"/>
  <c r="AW694" i="1"/>
  <c r="AX694" i="1" s="1"/>
  <c r="AZ694" i="1" s="1"/>
  <c r="BA694" i="1" s="1"/>
  <c r="AW897" i="1"/>
  <c r="AX897" i="1" s="1"/>
  <c r="AZ897" i="1" s="1"/>
  <c r="BA897" i="1" s="1"/>
  <c r="AW374" i="1"/>
  <c r="AX374" i="1" s="1"/>
  <c r="AZ374" i="1" s="1"/>
  <c r="BA374" i="1" s="1"/>
  <c r="AP374" i="1"/>
  <c r="AS374" i="1" s="1"/>
  <c r="AW19" i="1"/>
  <c r="AX19" i="1" s="1"/>
  <c r="AZ19" i="1" s="1"/>
  <c r="BA19" i="1" s="1"/>
  <c r="AP160" i="1"/>
  <c r="AS160" i="1" s="1"/>
  <c r="AW160" i="1"/>
  <c r="AX160" i="1" s="1"/>
  <c r="AZ160" i="1" s="1"/>
  <c r="BA160" i="1" s="1"/>
  <c r="AW152" i="1"/>
  <c r="AX152" i="1" s="1"/>
  <c r="AZ152" i="1" s="1"/>
  <c r="BA152" i="1" s="1"/>
  <c r="AP152" i="1"/>
  <c r="AS152" i="1" s="1"/>
  <c r="BB123" i="1"/>
  <c r="AW848" i="1"/>
  <c r="AX848" i="1" s="1"/>
  <c r="AZ848" i="1" s="1"/>
  <c r="BA848" i="1" s="1"/>
  <c r="AW917" i="1"/>
  <c r="AX917" i="1" s="1"/>
  <c r="AZ917" i="1" s="1"/>
  <c r="BA917" i="1" s="1"/>
  <c r="AN81" i="1"/>
  <c r="AP295" i="1"/>
  <c r="AS295" i="1" s="1"/>
  <c r="AW295" i="1"/>
  <c r="AX295" i="1" s="1"/>
  <c r="AZ295" i="1" s="1"/>
  <c r="BA295" i="1" s="1"/>
  <c r="AP120" i="1"/>
  <c r="AS120" i="1" s="1"/>
  <c r="AW120" i="1"/>
  <c r="AX120" i="1" s="1"/>
  <c r="AZ120" i="1" s="1"/>
  <c r="BA120" i="1" s="1"/>
  <c r="BB79" i="1"/>
  <c r="AW441" i="1"/>
  <c r="AX441" i="1" s="1"/>
  <c r="AZ441" i="1" s="1"/>
  <c r="BA441" i="1" s="1"/>
  <c r="AP441" i="1"/>
  <c r="AS441" i="1" s="1"/>
  <c r="BB10" i="1"/>
  <c r="AW873" i="1"/>
  <c r="AX873" i="1" s="1"/>
  <c r="AZ873" i="1" s="1"/>
  <c r="BA873" i="1" s="1"/>
  <c r="BB923" i="1"/>
  <c r="BB29" i="1"/>
  <c r="AW47" i="1"/>
  <c r="AX47" i="1" s="1"/>
  <c r="AZ47" i="1" s="1"/>
  <c r="BA47" i="1" s="1"/>
  <c r="AP47" i="1"/>
  <c r="AS47" i="1" s="1"/>
  <c r="AP245" i="1"/>
  <c r="AS245" i="1" s="1"/>
  <c r="AW245" i="1"/>
  <c r="AX245" i="1" s="1"/>
  <c r="AZ245" i="1" s="1"/>
  <c r="BA245" i="1" s="1"/>
  <c r="AP880" i="1"/>
  <c r="AS880" i="1" s="1"/>
  <c r="AW880" i="1"/>
  <c r="AX880" i="1" s="1"/>
  <c r="AZ880" i="1" s="1"/>
  <c r="BA880" i="1" s="1"/>
  <c r="AW789" i="1"/>
  <c r="AX789" i="1" s="1"/>
  <c r="AZ789" i="1" s="1"/>
  <c r="BA789" i="1" s="1"/>
  <c r="AP789" i="1"/>
  <c r="AS789" i="1" s="1"/>
  <c r="AW318" i="1"/>
  <c r="AX318" i="1" s="1"/>
  <c r="AZ318" i="1" s="1"/>
  <c r="BA318" i="1" s="1"/>
  <c r="AP318" i="1"/>
  <c r="AS318" i="1" s="1"/>
  <c r="AP606" i="1"/>
  <c r="AS606" i="1" s="1"/>
  <c r="AW606" i="1"/>
  <c r="AX606" i="1" s="1"/>
  <c r="AZ606" i="1" s="1"/>
  <c r="BA606" i="1" s="1"/>
  <c r="BB519" i="1"/>
  <c r="BB670" i="1"/>
  <c r="AP540" i="1" l="1"/>
  <c r="B17" i="2"/>
  <c r="AO854" i="1"/>
  <c r="AP854" i="1" s="1"/>
  <c r="AS854" i="1" s="1"/>
  <c r="BB854" i="1" s="1"/>
  <c r="AO104" i="1"/>
  <c r="AP104" i="1" s="1"/>
  <c r="AS104" i="1" s="1"/>
  <c r="BB104" i="1" s="1"/>
  <c r="AO450" i="1"/>
  <c r="AP450" i="1" s="1"/>
  <c r="AS450" i="1" s="1"/>
  <c r="BB450" i="1" s="1"/>
  <c r="AO306" i="1"/>
  <c r="AP306" i="1" s="1"/>
  <c r="AS306" i="1" s="1"/>
  <c r="BB306" i="1" s="1"/>
  <c r="AO71" i="1"/>
  <c r="AP71" i="1" s="1"/>
  <c r="AS71" i="1" s="1"/>
  <c r="BB71" i="1" s="1"/>
  <c r="AO211" i="1"/>
  <c r="AP211" i="1" s="1"/>
  <c r="AS211" i="1" s="1"/>
  <c r="BB211" i="1" s="1"/>
  <c r="AO198" i="1"/>
  <c r="AP198" i="1" s="1"/>
  <c r="AS198" i="1" s="1"/>
  <c r="BB198" i="1" s="1"/>
  <c r="AO896" i="1"/>
  <c r="AP896" i="1" s="1"/>
  <c r="AS896" i="1" s="1"/>
  <c r="BB896" i="1" s="1"/>
  <c r="AO493" i="1"/>
  <c r="AP493" i="1" s="1"/>
  <c r="AS493" i="1" s="1"/>
  <c r="BB493" i="1" s="1"/>
  <c r="AO195" i="1"/>
  <c r="AP195" i="1" s="1"/>
  <c r="AS195" i="1" s="1"/>
  <c r="BB195" i="1" s="1"/>
  <c r="AO801" i="1"/>
  <c r="AP801" i="1" s="1"/>
  <c r="AS801" i="1" s="1"/>
  <c r="BB801" i="1" s="1"/>
  <c r="AO171" i="1"/>
  <c r="AP171" i="1" s="1"/>
  <c r="AS171" i="1" s="1"/>
  <c r="BB171" i="1" s="1"/>
  <c r="AO680" i="1"/>
  <c r="AP680" i="1" s="1"/>
  <c r="AS680" i="1" s="1"/>
  <c r="BB680" i="1" s="1"/>
  <c r="AO501" i="1"/>
  <c r="AP501" i="1" s="1"/>
  <c r="AS501" i="1" s="1"/>
  <c r="BB501" i="1" s="1"/>
  <c r="AO848" i="1"/>
  <c r="AP848" i="1" s="1"/>
  <c r="AS848" i="1" s="1"/>
  <c r="BB848" i="1" s="1"/>
  <c r="AO902" i="1"/>
  <c r="AP902" i="1" s="1"/>
  <c r="AS902" i="1" s="1"/>
  <c r="BB902" i="1" s="1"/>
  <c r="AO873" i="1"/>
  <c r="AP873" i="1" s="1"/>
  <c r="AS873" i="1" s="1"/>
  <c r="BB873" i="1" s="1"/>
  <c r="AO556" i="1"/>
  <c r="AP556" i="1" s="1"/>
  <c r="AS556" i="1" s="1"/>
  <c r="BB556" i="1" s="1"/>
  <c r="AO264" i="1"/>
  <c r="AP264" i="1" s="1"/>
  <c r="AS264" i="1" s="1"/>
  <c r="BB264" i="1" s="1"/>
  <c r="AO19" i="1"/>
  <c r="AP19" i="1" s="1"/>
  <c r="AS19" i="1" s="1"/>
  <c r="BB19" i="1" s="1"/>
  <c r="AO69" i="1"/>
  <c r="AP69" i="1" s="1"/>
  <c r="AS69" i="1" s="1"/>
  <c r="BB69" i="1" s="1"/>
  <c r="AO397" i="1"/>
  <c r="AP397" i="1" s="1"/>
  <c r="AS397" i="1" s="1"/>
  <c r="BB397" i="1" s="1"/>
  <c r="AO173" i="1"/>
  <c r="AP173" i="1" s="1"/>
  <c r="AS173" i="1" s="1"/>
  <c r="BB173" i="1" s="1"/>
  <c r="AO765" i="1"/>
  <c r="AP765" i="1" s="1"/>
  <c r="AS765" i="1" s="1"/>
  <c r="BB765" i="1" s="1"/>
  <c r="AO705" i="1"/>
  <c r="AP705" i="1" s="1"/>
  <c r="AS705" i="1" s="1"/>
  <c r="BB705" i="1" s="1"/>
  <c r="AO395" i="1"/>
  <c r="AP395" i="1" s="1"/>
  <c r="AS395" i="1" s="1"/>
  <c r="BB395" i="1" s="1"/>
  <c r="AO770" i="1"/>
  <c r="AP770" i="1" s="1"/>
  <c r="AS770" i="1" s="1"/>
  <c r="BB770" i="1" s="1"/>
  <c r="AO228" i="1"/>
  <c r="AP228" i="1" s="1"/>
  <c r="AS228" i="1" s="1"/>
  <c r="BB228" i="1" s="1"/>
  <c r="AO593" i="1"/>
  <c r="AP593" i="1" s="1"/>
  <c r="AS593" i="1" s="1"/>
  <c r="BB593" i="1" s="1"/>
  <c r="AO371" i="1"/>
  <c r="AP371" i="1" s="1"/>
  <c r="AS371" i="1" s="1"/>
  <c r="BB371" i="1" s="1"/>
  <c r="AO273" i="1"/>
  <c r="AP273" i="1" s="1"/>
  <c r="AS273" i="1" s="1"/>
  <c r="BB273" i="1" s="1"/>
  <c r="AO734" i="1"/>
  <c r="AP734" i="1" s="1"/>
  <c r="AS734" i="1" s="1"/>
  <c r="BB734" i="1" s="1"/>
  <c r="AO841" i="1"/>
  <c r="AP841" i="1" s="1"/>
  <c r="AS841" i="1" s="1"/>
  <c r="BB841" i="1" s="1"/>
  <c r="AO476" i="1"/>
  <c r="AP476" i="1" s="1"/>
  <c r="AS476" i="1" s="1"/>
  <c r="BB476" i="1" s="1"/>
  <c r="AO578" i="1"/>
  <c r="AP578" i="1" s="1"/>
  <c r="AS578" i="1" s="1"/>
  <c r="BB578" i="1" s="1"/>
  <c r="AO681" i="1"/>
  <c r="AP681" i="1" s="1"/>
  <c r="AS681" i="1" s="1"/>
  <c r="BB681" i="1" s="1"/>
  <c r="AO365" i="1"/>
  <c r="AP365" i="1" s="1"/>
  <c r="AS365" i="1" s="1"/>
  <c r="BB365" i="1" s="1"/>
  <c r="AO856" i="1"/>
  <c r="AP856" i="1" s="1"/>
  <c r="AS856" i="1" s="1"/>
  <c r="BB856" i="1" s="1"/>
  <c r="AO331" i="1"/>
  <c r="AP331" i="1" s="1"/>
  <c r="AS331" i="1" s="1"/>
  <c r="BB331" i="1" s="1"/>
  <c r="AO149" i="1"/>
  <c r="AP149" i="1" s="1"/>
  <c r="AS149" i="1" s="1"/>
  <c r="BB149" i="1" s="1"/>
  <c r="AO222" i="1"/>
  <c r="AP222" i="1" s="1"/>
  <c r="AS222" i="1" s="1"/>
  <c r="BB222" i="1" s="1"/>
  <c r="AO560" i="1"/>
  <c r="AP560" i="1" s="1"/>
  <c r="AS560" i="1" s="1"/>
  <c r="BB560" i="1" s="1"/>
  <c r="AO827" i="1"/>
  <c r="AP827" i="1" s="1"/>
  <c r="AS827" i="1" s="1"/>
  <c r="BB827" i="1" s="1"/>
  <c r="AO806" i="1"/>
  <c r="AP806" i="1" s="1"/>
  <c r="AS806" i="1" s="1"/>
  <c r="BB806" i="1" s="1"/>
  <c r="AO640" i="1"/>
  <c r="AP640" i="1" s="1"/>
  <c r="AS640" i="1" s="1"/>
  <c r="BB640" i="1" s="1"/>
  <c r="AO396" i="1"/>
  <c r="AP396" i="1" s="1"/>
  <c r="AS396" i="1" s="1"/>
  <c r="BB396" i="1" s="1"/>
  <c r="AO650" i="1"/>
  <c r="AP650" i="1" s="1"/>
  <c r="AS650" i="1" s="1"/>
  <c r="BB650" i="1" s="1"/>
  <c r="AO688" i="1"/>
  <c r="AP688" i="1" s="1"/>
  <c r="AS688" i="1" s="1"/>
  <c r="BB688" i="1" s="1"/>
  <c r="AO859" i="1"/>
  <c r="AP859" i="1" s="1"/>
  <c r="AS859" i="1" s="1"/>
  <c r="BB859" i="1" s="1"/>
  <c r="AO119" i="1"/>
  <c r="AP119" i="1" s="1"/>
  <c r="AS119" i="1" s="1"/>
  <c r="BB119" i="1" s="1"/>
  <c r="AO882" i="1"/>
  <c r="AP882" i="1" s="1"/>
  <c r="AS882" i="1" s="1"/>
  <c r="BB882" i="1" s="1"/>
  <c r="AO878" i="1"/>
  <c r="AP878" i="1" s="1"/>
  <c r="AS878" i="1" s="1"/>
  <c r="BB878" i="1" s="1"/>
  <c r="AO322" i="1"/>
  <c r="AP322" i="1" s="1"/>
  <c r="AS322" i="1" s="1"/>
  <c r="BB322" i="1" s="1"/>
  <c r="AO39" i="1"/>
  <c r="AP39" i="1" s="1"/>
  <c r="AS39" i="1" s="1"/>
  <c r="BB39" i="1" s="1"/>
  <c r="AO892" i="1"/>
  <c r="AP892" i="1" s="1"/>
  <c r="AS892" i="1" s="1"/>
  <c r="BB892" i="1" s="1"/>
  <c r="AO246" i="1"/>
  <c r="AP246" i="1" s="1"/>
  <c r="AS246" i="1" s="1"/>
  <c r="BB246" i="1" s="1"/>
  <c r="AO603" i="1"/>
  <c r="AP603" i="1" s="1"/>
  <c r="AS603" i="1" s="1"/>
  <c r="BB603" i="1" s="1"/>
  <c r="AO175" i="1"/>
  <c r="AP175" i="1" s="1"/>
  <c r="AS175" i="1" s="1"/>
  <c r="BB175" i="1" s="1"/>
  <c r="AO460" i="1"/>
  <c r="AP460" i="1" s="1"/>
  <c r="AS460" i="1" s="1"/>
  <c r="BB460" i="1" s="1"/>
  <c r="AO633" i="1"/>
  <c r="AP633" i="1" s="1"/>
  <c r="AS633" i="1" s="1"/>
  <c r="BB633" i="1" s="1"/>
  <c r="AO187" i="1"/>
  <c r="AP187" i="1" s="1"/>
  <c r="AS187" i="1" s="1"/>
  <c r="BB187" i="1" s="1"/>
  <c r="AO615" i="1"/>
  <c r="AP615" i="1" s="1"/>
  <c r="AS615" i="1" s="1"/>
  <c r="BB615" i="1" s="1"/>
  <c r="AO329" i="1"/>
  <c r="AP329" i="1" s="1"/>
  <c r="AS329" i="1" s="1"/>
  <c r="BB329" i="1" s="1"/>
  <c r="AO389" i="1"/>
  <c r="AP389" i="1" s="1"/>
  <c r="AS389" i="1" s="1"/>
  <c r="BB389" i="1" s="1"/>
  <c r="AO884" i="1"/>
  <c r="AP884" i="1" s="1"/>
  <c r="AS884" i="1" s="1"/>
  <c r="BB884" i="1" s="1"/>
  <c r="AO760" i="1"/>
  <c r="AP760" i="1" s="1"/>
  <c r="AS760" i="1" s="1"/>
  <c r="BB760" i="1" s="1"/>
  <c r="AO635" i="1"/>
  <c r="AP635" i="1" s="1"/>
  <c r="AS635" i="1" s="1"/>
  <c r="BB635" i="1" s="1"/>
  <c r="AO387" i="1"/>
  <c r="AP387" i="1" s="1"/>
  <c r="AS387" i="1" s="1"/>
  <c r="BB387" i="1" s="1"/>
  <c r="AO692" i="1"/>
  <c r="AP692" i="1" s="1"/>
  <c r="AS692" i="1" s="1"/>
  <c r="BB692" i="1" s="1"/>
  <c r="AO463" i="1"/>
  <c r="AP463" i="1" s="1"/>
  <c r="AS463" i="1" s="1"/>
  <c r="BB463" i="1" s="1"/>
  <c r="AO462" i="1"/>
  <c r="AP462" i="1" s="1"/>
  <c r="AS462" i="1" s="1"/>
  <c r="BB462" i="1" s="1"/>
  <c r="AO775" i="1"/>
  <c r="AP775" i="1" s="1"/>
  <c r="AS775" i="1" s="1"/>
  <c r="BB775" i="1" s="1"/>
  <c r="AO270" i="1"/>
  <c r="AP270" i="1" s="1"/>
  <c r="AS270" i="1" s="1"/>
  <c r="BB270" i="1" s="1"/>
  <c r="AO140" i="1"/>
  <c r="AO56" i="1"/>
  <c r="AP56" i="1" s="1"/>
  <c r="AS56" i="1" s="1"/>
  <c r="BB56" i="1" s="1"/>
  <c r="AO689" i="1"/>
  <c r="AP689" i="1" s="1"/>
  <c r="AS689" i="1" s="1"/>
  <c r="BB689" i="1" s="1"/>
  <c r="AO192" i="1"/>
  <c r="AP192" i="1" s="1"/>
  <c r="AS192" i="1" s="1"/>
  <c r="BB192" i="1" s="1"/>
  <c r="AO651" i="1"/>
  <c r="AP651" i="1" s="1"/>
  <c r="AS651" i="1" s="1"/>
  <c r="BB651" i="1" s="1"/>
  <c r="AO716" i="1"/>
  <c r="AP716" i="1" s="1"/>
  <c r="AS716" i="1" s="1"/>
  <c r="BB716" i="1" s="1"/>
  <c r="AO293" i="1"/>
  <c r="AP293" i="1" s="1"/>
  <c r="AS293" i="1" s="1"/>
  <c r="BB293" i="1" s="1"/>
  <c r="AO821" i="1"/>
  <c r="AP821" i="1" s="1"/>
  <c r="AS821" i="1" s="1"/>
  <c r="BB821" i="1" s="1"/>
  <c r="AO443" i="1"/>
  <c r="AP443" i="1" s="1"/>
  <c r="AS443" i="1" s="1"/>
  <c r="BB443" i="1" s="1"/>
  <c r="AO342" i="1"/>
  <c r="AP342" i="1" s="1"/>
  <c r="AS342" i="1" s="1"/>
  <c r="BB342" i="1" s="1"/>
  <c r="AO832" i="1"/>
  <c r="AP832" i="1" s="1"/>
  <c r="AS832" i="1" s="1"/>
  <c r="BB832" i="1" s="1"/>
  <c r="AO829" i="1"/>
  <c r="AP829" i="1" s="1"/>
  <c r="AS829" i="1" s="1"/>
  <c r="BB829" i="1" s="1"/>
  <c r="AO715" i="1"/>
  <c r="AP715" i="1" s="1"/>
  <c r="AS715" i="1" s="1"/>
  <c r="BB715" i="1" s="1"/>
  <c r="AO292" i="1"/>
  <c r="AP292" i="1" s="1"/>
  <c r="AS292" i="1" s="1"/>
  <c r="BB292" i="1" s="1"/>
  <c r="AO646" i="1"/>
  <c r="AP646" i="1" s="1"/>
  <c r="AS646" i="1" s="1"/>
  <c r="BB646" i="1" s="1"/>
  <c r="AO353" i="1"/>
  <c r="AP353" i="1" s="1"/>
  <c r="AS353" i="1" s="1"/>
  <c r="BB353" i="1" s="1"/>
  <c r="AO102" i="1"/>
  <c r="AP102" i="1" s="1"/>
  <c r="AS102" i="1" s="1"/>
  <c r="BB102" i="1" s="1"/>
  <c r="AO931" i="1"/>
  <c r="AP931" i="1" s="1"/>
  <c r="AS931" i="1" s="1"/>
  <c r="BB931" i="1" s="1"/>
  <c r="AO750" i="1"/>
  <c r="AP750" i="1" s="1"/>
  <c r="AS750" i="1" s="1"/>
  <c r="BB750" i="1" s="1"/>
  <c r="AO555" i="1"/>
  <c r="AP555" i="1" s="1"/>
  <c r="AS555" i="1" s="1"/>
  <c r="BB555" i="1" s="1"/>
  <c r="AO83" i="1"/>
  <c r="AP83" i="1" s="1"/>
  <c r="AS83" i="1" s="1"/>
  <c r="BB83" i="1" s="1"/>
  <c r="AO421" i="1"/>
  <c r="AP421" i="1" s="1"/>
  <c r="AS421" i="1" s="1"/>
  <c r="BB421" i="1" s="1"/>
  <c r="AO774" i="1"/>
  <c r="AP774" i="1" s="1"/>
  <c r="AS774" i="1" s="1"/>
  <c r="BB774" i="1" s="1"/>
  <c r="AO91" i="1"/>
  <c r="AP91" i="1" s="1"/>
  <c r="AS91" i="1" s="1"/>
  <c r="BB91" i="1" s="1"/>
  <c r="AO524" i="1"/>
  <c r="AP524" i="1" s="1"/>
  <c r="AS524" i="1" s="1"/>
  <c r="BB524" i="1" s="1"/>
  <c r="AO785" i="1"/>
  <c r="AP785" i="1" s="1"/>
  <c r="AS785" i="1" s="1"/>
  <c r="BB785" i="1" s="1"/>
  <c r="AO857" i="1"/>
  <c r="AP857" i="1" s="1"/>
  <c r="AS857" i="1" s="1"/>
  <c r="BB857" i="1" s="1"/>
  <c r="AO550" i="1"/>
  <c r="AP550" i="1" s="1"/>
  <c r="AS550" i="1" s="1"/>
  <c r="BB550" i="1" s="1"/>
  <c r="AO261" i="1"/>
  <c r="AP261" i="1" s="1"/>
  <c r="AS261" i="1" s="1"/>
  <c r="BB261" i="1" s="1"/>
  <c r="AO459" i="1"/>
  <c r="AP459" i="1" s="1"/>
  <c r="AS459" i="1" s="1"/>
  <c r="BB459" i="1" s="1"/>
  <c r="AO201" i="1"/>
  <c r="AP201" i="1" s="1"/>
  <c r="AS201" i="1" s="1"/>
  <c r="BB201" i="1" s="1"/>
  <c r="AO581" i="1"/>
  <c r="AP581" i="1" s="1"/>
  <c r="AS581" i="1" s="1"/>
  <c r="BB581" i="1" s="1"/>
  <c r="AO218" i="1"/>
  <c r="AP218" i="1" s="1"/>
  <c r="AS218" i="1" s="1"/>
  <c r="BB218" i="1" s="1"/>
  <c r="AO227" i="1"/>
  <c r="AP227" i="1" s="1"/>
  <c r="AS227" i="1" s="1"/>
  <c r="BB227" i="1" s="1"/>
  <c r="AO585" i="1"/>
  <c r="AP585" i="1" s="1"/>
  <c r="AS585" i="1" s="1"/>
  <c r="BB585" i="1" s="1"/>
  <c r="AO237" i="1"/>
  <c r="AP237" i="1" s="1"/>
  <c r="AS237" i="1" s="1"/>
  <c r="BB237" i="1" s="1"/>
  <c r="AO361" i="1"/>
  <c r="AP361" i="1" s="1"/>
  <c r="AS361" i="1" s="1"/>
  <c r="BB361" i="1" s="1"/>
  <c r="AO150" i="1"/>
  <c r="AP150" i="1" s="1"/>
  <c r="AS150" i="1" s="1"/>
  <c r="BB150" i="1" s="1"/>
  <c r="AO571" i="1"/>
  <c r="AP571" i="1" s="1"/>
  <c r="AS571" i="1" s="1"/>
  <c r="BB571" i="1" s="1"/>
  <c r="AO528" i="1"/>
  <c r="AP528" i="1" s="1"/>
  <c r="AS528" i="1" s="1"/>
  <c r="BB528" i="1" s="1"/>
  <c r="AO916" i="1"/>
  <c r="AP916" i="1" s="1"/>
  <c r="AS916" i="1" s="1"/>
  <c r="BB916" i="1" s="1"/>
  <c r="AO897" i="1"/>
  <c r="AP897" i="1" s="1"/>
  <c r="AS897" i="1" s="1"/>
  <c r="BB897" i="1" s="1"/>
  <c r="AO686" i="1"/>
  <c r="AP686" i="1" s="1"/>
  <c r="AS686" i="1" s="1"/>
  <c r="BB686" i="1" s="1"/>
  <c r="AO740" i="1"/>
  <c r="AP740" i="1" s="1"/>
  <c r="AS740" i="1" s="1"/>
  <c r="BB740" i="1" s="1"/>
  <c r="AO608" i="1"/>
  <c r="AP608" i="1" s="1"/>
  <c r="AS608" i="1" s="1"/>
  <c r="BB608" i="1" s="1"/>
  <c r="AO135" i="1"/>
  <c r="AP135" i="1" s="1"/>
  <c r="AS135" i="1" s="1"/>
  <c r="BB135" i="1" s="1"/>
  <c r="AO81" i="1"/>
  <c r="AP81" i="1" s="1"/>
  <c r="AS81" i="1" s="1"/>
  <c r="BB81" i="1" s="1"/>
  <c r="AO547" i="1"/>
  <c r="AP547" i="1" s="1"/>
  <c r="AS547" i="1" s="1"/>
  <c r="BB547" i="1" s="1"/>
  <c r="AO601" i="1"/>
  <c r="AP601" i="1" s="1"/>
  <c r="AS601" i="1" s="1"/>
  <c r="BB601" i="1" s="1"/>
  <c r="AO423" i="1"/>
  <c r="AP423" i="1" s="1"/>
  <c r="AS423" i="1" s="1"/>
  <c r="BB423" i="1" s="1"/>
  <c r="AO334" i="1"/>
  <c r="AP334" i="1" s="1"/>
  <c r="AS334" i="1" s="1"/>
  <c r="BB334" i="1" s="1"/>
  <c r="AO154" i="1"/>
  <c r="AP154" i="1" s="1"/>
  <c r="AS154" i="1" s="1"/>
  <c r="BB154" i="1" s="1"/>
  <c r="AO236" i="1"/>
  <c r="AP236" i="1" s="1"/>
  <c r="AS236" i="1" s="1"/>
  <c r="BB236" i="1" s="1"/>
  <c r="AO936" i="1"/>
  <c r="AP936" i="1" s="1"/>
  <c r="AS936" i="1" s="1"/>
  <c r="BB936" i="1" s="1"/>
  <c r="AO35" i="1"/>
  <c r="AP35" i="1" s="1"/>
  <c r="AS35" i="1" s="1"/>
  <c r="BB35" i="1" s="1"/>
  <c r="AO258" i="1"/>
  <c r="AP258" i="1" s="1"/>
  <c r="AS258" i="1" s="1"/>
  <c r="BB258" i="1" s="1"/>
  <c r="AO739" i="1"/>
  <c r="AP739" i="1" s="1"/>
  <c r="AS739" i="1" s="1"/>
  <c r="BB739" i="1" s="1"/>
  <c r="AO533" i="1"/>
  <c r="AP533" i="1" s="1"/>
  <c r="AS533" i="1" s="1"/>
  <c r="BB533" i="1" s="1"/>
  <c r="AO481" i="1"/>
  <c r="AP481" i="1" s="1"/>
  <c r="AS481" i="1" s="1"/>
  <c r="BB481" i="1" s="1"/>
  <c r="AO751" i="1"/>
  <c r="AP751" i="1" s="1"/>
  <c r="AS751" i="1" s="1"/>
  <c r="BB751" i="1" s="1"/>
  <c r="AO830" i="1"/>
  <c r="AP830" i="1" s="1"/>
  <c r="AS830" i="1" s="1"/>
  <c r="BB830" i="1" s="1"/>
  <c r="AO655" i="1"/>
  <c r="AP655" i="1" s="1"/>
  <c r="AS655" i="1" s="1"/>
  <c r="BB655" i="1" s="1"/>
  <c r="AO622" i="1"/>
  <c r="AP622" i="1" s="1"/>
  <c r="AS622" i="1" s="1"/>
  <c r="BB622" i="1" s="1"/>
  <c r="AO825" i="1"/>
  <c r="AP825" i="1" s="1"/>
  <c r="AS825" i="1" s="1"/>
  <c r="BB825" i="1" s="1"/>
  <c r="AO72" i="1"/>
  <c r="AP72" i="1" s="1"/>
  <c r="AS72" i="1" s="1"/>
  <c r="BB72" i="1" s="1"/>
  <c r="AO164" i="1"/>
  <c r="AP164" i="1" s="1"/>
  <c r="AS164" i="1" s="1"/>
  <c r="BB164" i="1" s="1"/>
  <c r="AO808" i="1"/>
  <c r="AP808" i="1" s="1"/>
  <c r="AS808" i="1" s="1"/>
  <c r="BB808" i="1" s="1"/>
  <c r="AO634" i="1"/>
  <c r="AP634" i="1" s="1"/>
  <c r="AS634" i="1" s="1"/>
  <c r="BB634" i="1" s="1"/>
  <c r="AO378" i="1"/>
  <c r="AP378" i="1" s="1"/>
  <c r="AS378" i="1" s="1"/>
  <c r="BB378" i="1" s="1"/>
  <c r="AO736" i="1"/>
  <c r="AP736" i="1" s="1"/>
  <c r="AS736" i="1" s="1"/>
  <c r="BB736" i="1" s="1"/>
  <c r="AO772" i="1"/>
  <c r="AP772" i="1" s="1"/>
  <c r="AS772" i="1" s="1"/>
  <c r="BB772" i="1" s="1"/>
  <c r="AO335" i="1"/>
  <c r="AP335" i="1" s="1"/>
  <c r="AS335" i="1" s="1"/>
  <c r="BB335" i="1" s="1"/>
  <c r="AO172" i="1"/>
  <c r="AP172" i="1" s="1"/>
  <c r="AS172" i="1" s="1"/>
  <c r="BB172" i="1" s="1"/>
  <c r="AO536" i="1"/>
  <c r="AP536" i="1" s="1"/>
  <c r="AS536" i="1" s="1"/>
  <c r="BB536" i="1" s="1"/>
  <c r="AO128" i="1"/>
  <c r="AP128" i="1" s="1"/>
  <c r="AS128" i="1" s="1"/>
  <c r="BB128" i="1" s="1"/>
  <c r="AO479" i="1"/>
  <c r="AP479" i="1" s="1"/>
  <c r="AS479" i="1" s="1"/>
  <c r="BB479" i="1" s="1"/>
  <c r="AO539" i="1"/>
  <c r="AP539" i="1" s="1"/>
  <c r="AS539" i="1" s="1"/>
  <c r="BB539" i="1" s="1"/>
  <c r="AO272" i="1"/>
  <c r="AP272" i="1" s="1"/>
  <c r="AS272" i="1" s="1"/>
  <c r="BB272" i="1" s="1"/>
  <c r="AO354" i="1"/>
  <c r="AP354" i="1" s="1"/>
  <c r="AS354" i="1" s="1"/>
  <c r="BB354" i="1" s="1"/>
  <c r="AO474" i="1"/>
  <c r="AP474" i="1" s="1"/>
  <c r="AS474" i="1" s="1"/>
  <c r="BB474" i="1" s="1"/>
  <c r="AO521" i="1"/>
  <c r="AP521" i="1" s="1"/>
  <c r="AS521" i="1" s="1"/>
  <c r="BB521" i="1" s="1"/>
  <c r="AO544" i="1"/>
  <c r="AP544" i="1" s="1"/>
  <c r="AS544" i="1" s="1"/>
  <c r="BB544" i="1" s="1"/>
  <c r="AO426" i="1"/>
  <c r="AP426" i="1" s="1"/>
  <c r="AS426" i="1" s="1"/>
  <c r="BB426" i="1" s="1"/>
  <c r="AO185" i="1"/>
  <c r="AP185" i="1" s="1"/>
  <c r="AS185" i="1" s="1"/>
  <c r="BB185" i="1" s="1"/>
  <c r="AO465" i="1"/>
  <c r="AP465" i="1" s="1"/>
  <c r="AS465" i="1" s="1"/>
  <c r="BB465" i="1" s="1"/>
  <c r="AO94" i="1"/>
  <c r="AP94" i="1" s="1"/>
  <c r="AS94" i="1" s="1"/>
  <c r="BB94" i="1" s="1"/>
  <c r="AO537" i="1"/>
  <c r="AP537" i="1" s="1"/>
  <c r="AS537" i="1" s="1"/>
  <c r="BB537" i="1" s="1"/>
  <c r="AO369" i="1"/>
  <c r="AP369" i="1" s="1"/>
  <c r="AS369" i="1" s="1"/>
  <c r="BB369" i="1" s="1"/>
  <c r="AO674" i="1"/>
  <c r="AP674" i="1" s="1"/>
  <c r="AS674" i="1" s="1"/>
  <c r="BB674" i="1" s="1"/>
  <c r="AO447" i="1"/>
  <c r="AP447" i="1" s="1"/>
  <c r="AS447" i="1" s="1"/>
  <c r="BB447" i="1" s="1"/>
  <c r="AO170" i="1"/>
  <c r="AP170" i="1" s="1"/>
  <c r="AS170" i="1" s="1"/>
  <c r="BB170" i="1" s="1"/>
  <c r="AO917" i="1"/>
  <c r="AP917" i="1" s="1"/>
  <c r="AS917" i="1" s="1"/>
  <c r="BB917" i="1" s="1"/>
  <c r="AO682" i="1"/>
  <c r="AP682" i="1" s="1"/>
  <c r="AS682" i="1" s="1"/>
  <c r="BB682" i="1" s="1"/>
  <c r="AO157" i="1"/>
  <c r="AP157" i="1" s="1"/>
  <c r="AS157" i="1" s="1"/>
  <c r="BB157" i="1" s="1"/>
  <c r="AO434" i="1"/>
  <c r="AP434" i="1" s="1"/>
  <c r="AS434" i="1" s="1"/>
  <c r="BB434" i="1" s="1"/>
  <c r="AO647" i="1"/>
  <c r="AP647" i="1" s="1"/>
  <c r="AS647" i="1" s="1"/>
  <c r="BB647" i="1" s="1"/>
  <c r="AO754" i="1"/>
  <c r="AP754" i="1" s="1"/>
  <c r="AS754" i="1" s="1"/>
  <c r="BB754" i="1" s="1"/>
  <c r="AO116" i="1"/>
  <c r="AP116" i="1" s="1"/>
  <c r="AS116" i="1" s="1"/>
  <c r="BB116" i="1" s="1"/>
  <c r="AO648" i="1"/>
  <c r="AP648" i="1" s="1"/>
  <c r="AS648" i="1" s="1"/>
  <c r="BB648" i="1" s="1"/>
  <c r="AO143" i="1"/>
  <c r="AP143" i="1" s="1"/>
  <c r="AS143" i="1" s="1"/>
  <c r="BB143" i="1" s="1"/>
  <c r="AO545" i="1"/>
  <c r="AP545" i="1" s="1"/>
  <c r="AS545" i="1" s="1"/>
  <c r="BB545" i="1" s="1"/>
  <c r="AO282" i="1"/>
  <c r="AP282" i="1" s="1"/>
  <c r="AS282" i="1" s="1"/>
  <c r="BB282" i="1" s="1"/>
  <c r="AO311" i="1"/>
  <c r="AP311" i="1" s="1"/>
  <c r="AS311" i="1" s="1"/>
  <c r="BB311" i="1" s="1"/>
  <c r="AO437" i="1"/>
  <c r="AP437" i="1" s="1"/>
  <c r="AS437" i="1" s="1"/>
  <c r="BB437" i="1" s="1"/>
  <c r="AO298" i="1"/>
  <c r="AP298" i="1" s="1"/>
  <c r="AS298" i="1" s="1"/>
  <c r="BB298" i="1" s="1"/>
  <c r="AO204" i="1"/>
  <c r="AP204" i="1" s="1"/>
  <c r="AS204" i="1" s="1"/>
  <c r="BB204" i="1" s="1"/>
  <c r="AO57" i="1"/>
  <c r="AP57" i="1" s="1"/>
  <c r="AS57" i="1" s="1"/>
  <c r="BB57" i="1" s="1"/>
  <c r="AO730" i="1"/>
  <c r="AP730" i="1" s="1"/>
  <c r="AS730" i="1" s="1"/>
  <c r="BB730" i="1" s="1"/>
  <c r="AO643" i="1"/>
  <c r="AP643" i="1" s="1"/>
  <c r="AS643" i="1" s="1"/>
  <c r="BB643" i="1" s="1"/>
  <c r="AP140" i="1"/>
  <c r="AS140" i="1" s="1"/>
  <c r="BB140" i="1" s="1"/>
  <c r="AP385" i="1"/>
  <c r="AS385" i="1" s="1"/>
  <c r="BB385" i="1" s="1"/>
  <c r="BB6" i="1"/>
  <c r="BB574" i="1"/>
  <c r="BB467" i="1"/>
  <c r="BB583" i="1"/>
  <c r="BB451" i="1"/>
  <c r="BB768" i="1"/>
  <c r="BB746" i="1"/>
  <c r="BB879" i="1"/>
  <c r="BB98" i="1"/>
  <c r="BB196" i="1"/>
  <c r="BB34" i="1"/>
  <c r="BB208" i="1"/>
  <c r="BB871" i="1"/>
  <c r="BB883" i="1"/>
  <c r="BB898" i="1"/>
  <c r="BB419" i="1"/>
  <c r="BB697" i="1"/>
  <c r="BB363" i="1"/>
  <c r="BB253" i="1"/>
  <c r="BB413" i="1"/>
  <c r="BB728" i="1"/>
  <c r="BB41" i="1"/>
  <c r="BB144" i="1"/>
  <c r="BB887" i="1"/>
  <c r="BB852" i="1"/>
  <c r="BB766" i="1"/>
  <c r="BB525" i="1"/>
  <c r="BB802" i="1"/>
  <c r="BB529" i="1"/>
  <c r="BB315" i="1"/>
  <c r="BB313" i="1"/>
  <c r="BB343" i="1"/>
  <c r="BB595" i="1"/>
  <c r="BB613" i="1"/>
  <c r="BB455" i="1"/>
  <c r="BB338" i="1"/>
  <c r="BB800" i="1"/>
  <c r="BB749" i="1"/>
  <c r="BB468" i="1"/>
  <c r="BB890" i="1"/>
  <c r="BB472" i="1"/>
  <c r="BB471" i="1"/>
  <c r="BB348" i="1"/>
  <c r="BB138" i="1"/>
  <c r="BB641" i="1"/>
  <c r="BB75" i="1"/>
  <c r="BB337" i="1"/>
  <c r="BB478" i="1"/>
  <c r="BB457" i="1"/>
  <c r="BB664" i="1"/>
  <c r="BB702" i="1"/>
  <c r="BB513" i="1"/>
  <c r="BB333" i="1"/>
  <c r="BB415" i="1"/>
  <c r="BB517" i="1"/>
  <c r="BB637" i="1"/>
  <c r="BB20" i="1"/>
  <c r="BB50" i="1"/>
  <c r="BB225" i="1"/>
  <c r="BB609" i="1"/>
  <c r="BB464" i="1"/>
  <c r="BB409" i="1"/>
  <c r="BB417" i="1"/>
  <c r="BB500" i="1"/>
  <c r="BB242" i="1"/>
  <c r="BB886" i="1"/>
  <c r="BB350" i="1"/>
  <c r="BB656" i="1"/>
  <c r="BB400" i="1"/>
  <c r="BB288" i="1"/>
  <c r="BB758" i="1"/>
  <c r="BB429" i="1"/>
  <c r="BB700" i="1"/>
  <c r="BB719" i="1"/>
  <c r="BB629" i="1"/>
  <c r="BB559" i="1"/>
  <c r="BB707" i="1"/>
  <c r="BB495" i="1"/>
  <c r="BB309" i="1"/>
  <c r="BB445" i="1"/>
  <c r="BB711" i="1"/>
  <c r="BB241" i="1"/>
  <c r="BB320" i="1"/>
  <c r="BB76" i="1"/>
  <c r="BB623" i="1"/>
  <c r="BB496" i="1"/>
  <c r="BB289" i="1"/>
  <c r="BB636" i="1"/>
  <c r="BB576" i="1"/>
  <c r="BB791" i="1"/>
  <c r="BB743" i="1"/>
  <c r="BB588" i="1"/>
  <c r="BB693" i="1"/>
  <c r="BB399" i="1"/>
  <c r="BB945" i="1"/>
  <c r="BB379" i="1"/>
  <c r="BB671" i="1"/>
  <c r="BB762" i="1"/>
  <c r="BB346" i="1"/>
  <c r="BB446" i="1"/>
  <c r="BB316" i="1"/>
  <c r="BB950" i="1"/>
  <c r="BB203" i="1"/>
  <c r="BB95" i="1"/>
  <c r="BB793" i="1"/>
  <c r="BB215" i="1"/>
  <c r="BB933" i="1"/>
  <c r="BB53" i="1"/>
  <c r="BB180" i="1"/>
  <c r="BB573" i="1"/>
  <c r="BB266" i="1"/>
  <c r="BB268" i="1"/>
  <c r="BB567" i="1"/>
  <c r="BB944" i="1"/>
  <c r="BB657" i="1"/>
  <c r="BB706" i="1"/>
  <c r="BB611" i="1"/>
  <c r="BB568" i="1"/>
  <c r="BB375" i="1"/>
  <c r="BB712" i="1"/>
  <c r="BB642" i="1"/>
  <c r="BB418" i="1"/>
  <c r="BB436" i="1"/>
  <c r="BB345" i="1"/>
  <c r="BB813" i="1"/>
  <c r="BB858" i="1"/>
  <c r="BB735" i="1"/>
  <c r="BB662" i="1"/>
  <c r="BB805" i="1"/>
  <c r="BB566" i="1"/>
  <c r="BB248" i="1"/>
  <c r="BB685" i="1"/>
  <c r="BB216" i="1"/>
  <c r="BB515" i="1"/>
  <c r="BB934" i="1"/>
  <c r="BB748" i="1"/>
  <c r="BB339" i="1"/>
  <c r="BB358" i="1"/>
  <c r="BB590" i="1"/>
  <c r="BB491" i="1"/>
  <c r="BB900" i="1"/>
  <c r="BB737" i="1"/>
  <c r="BB256" i="1"/>
  <c r="BB523" i="1"/>
  <c r="BB206" i="1"/>
  <c r="BB764" i="1"/>
  <c r="BB630" i="1"/>
  <c r="BB810" i="1"/>
  <c r="BB551" i="1"/>
  <c r="BB243" i="1"/>
  <c r="BB661" i="1"/>
  <c r="BB453" i="1"/>
  <c r="BB631" i="1"/>
  <c r="BB254" i="1"/>
  <c r="BB374" i="1"/>
  <c r="BB713" i="1"/>
  <c r="BB948" i="1"/>
  <c r="BB263" i="1"/>
  <c r="BB383" i="1"/>
  <c r="BB115" i="1"/>
  <c r="BB726" i="1"/>
  <c r="BB129" i="1"/>
  <c r="BB511" i="1"/>
  <c r="BB687" i="1"/>
  <c r="BB710" i="1"/>
  <c r="BB605" i="1"/>
  <c r="BB628" i="1"/>
  <c r="BB862" i="1"/>
  <c r="BB234" i="1"/>
  <c r="BB745" i="1"/>
  <c r="BB795" i="1"/>
  <c r="BB531" i="1"/>
  <c r="BB136" i="1"/>
  <c r="BB364" i="1"/>
  <c r="BB305" i="1"/>
  <c r="BB62" i="1"/>
  <c r="BB904" i="1"/>
  <c r="BB668" i="1"/>
  <c r="BB281" i="1"/>
  <c r="BB828" i="1"/>
  <c r="BB756" i="1"/>
  <c r="BB318" i="1"/>
  <c r="BB694" i="1"/>
  <c r="BB146" i="1"/>
  <c r="BB307" i="1"/>
  <c r="BB492" i="1"/>
  <c r="BB247" i="1"/>
  <c r="BB614" i="1"/>
  <c r="BB323" i="1"/>
  <c r="BB184" i="1"/>
  <c r="BB797" i="1"/>
  <c r="BB131" i="1"/>
  <c r="BB839" i="1"/>
  <c r="BB9" i="1"/>
  <c r="BB625" i="1"/>
  <c r="BB444" i="1"/>
  <c r="BB534" i="1"/>
  <c r="BB508" i="1"/>
  <c r="BB422" i="1"/>
  <c r="BB355" i="1"/>
  <c r="BB376" i="1"/>
  <c r="BB820" i="1"/>
  <c r="BB599" i="1"/>
  <c r="BB675" i="1"/>
  <c r="BB714" i="1"/>
  <c r="BB28" i="1"/>
  <c r="BB3" i="1"/>
  <c r="BB580" i="1"/>
  <c r="BB836" i="1"/>
  <c r="BB494" i="1"/>
  <c r="BB166" i="1"/>
  <c r="BB703" i="1"/>
  <c r="BB186" i="1"/>
  <c r="BB869" i="1"/>
  <c r="BB357" i="1"/>
  <c r="BB649" i="1"/>
  <c r="BB14" i="1"/>
  <c r="BB214" i="1"/>
  <c r="BB11" i="1"/>
  <c r="BB738" i="1"/>
  <c r="BB283" i="1"/>
  <c r="BB787" i="1"/>
  <c r="BB205" i="1"/>
  <c r="BB911" i="1"/>
  <c r="BB577" i="1"/>
  <c r="BB893" i="1"/>
  <c r="BB169" i="1"/>
  <c r="BB901" i="1"/>
  <c r="BB221" i="1"/>
  <c r="BB438" i="1"/>
  <c r="BB610" i="1"/>
  <c r="BB562" i="1"/>
  <c r="BB194" i="1"/>
  <c r="BB257" i="1"/>
  <c r="BB317" i="1"/>
  <c r="BB99" i="1"/>
  <c r="BB252" i="1"/>
  <c r="BB45" i="1"/>
  <c r="BB541" i="1"/>
  <c r="BB433" i="1"/>
  <c r="BB440" i="1"/>
  <c r="BB142" i="1"/>
  <c r="BB516" i="1"/>
  <c r="BB269" i="1"/>
  <c r="BB717" i="1"/>
  <c r="BB92" i="1"/>
  <c r="BB729" i="1"/>
  <c r="BB127" i="1"/>
  <c r="BB502" i="1"/>
  <c r="BB834" i="1"/>
  <c r="BB518" i="1"/>
  <c r="BB328" i="1"/>
  <c r="BB473" i="1"/>
  <c r="BB690" i="1"/>
  <c r="BB600" i="1"/>
  <c r="BB132" i="1"/>
  <c r="BB103" i="1"/>
  <c r="BB789" i="1"/>
  <c r="BB152" i="1"/>
  <c r="BB44" i="1"/>
  <c r="BB21" i="1"/>
  <c r="BB831" i="1"/>
  <c r="BB267" i="1"/>
  <c r="BB881" i="1"/>
  <c r="BB449" i="1"/>
  <c r="BB260" i="1"/>
  <c r="BB66" i="1"/>
  <c r="BB624" i="1"/>
  <c r="BB390" i="1"/>
  <c r="BB954" i="1"/>
  <c r="BB117" i="1"/>
  <c r="BB784" i="1"/>
  <c r="BB141" i="1"/>
  <c r="BB341" i="1"/>
  <c r="BB876" i="1"/>
  <c r="BB684" i="1"/>
  <c r="BB139" i="1"/>
  <c r="BB33" i="1"/>
  <c r="BB370" i="1"/>
  <c r="BB420" i="1"/>
  <c r="BB514" i="1"/>
  <c r="BB148" i="1"/>
  <c r="BB7" i="1"/>
  <c r="BB782" i="1"/>
  <c r="BB941" i="1"/>
  <c r="BB105" i="1"/>
  <c r="BB107" i="1"/>
  <c r="BB868" i="1"/>
  <c r="BB347" i="1"/>
  <c r="BB70" i="1"/>
  <c r="BB510" i="1"/>
  <c r="BB391" i="1"/>
  <c r="BB125" i="1"/>
  <c r="BB727" i="1"/>
  <c r="BB509" i="1"/>
  <c r="BB773" i="1"/>
  <c r="BB579" i="1"/>
  <c r="BB382" i="1"/>
  <c r="BB926" i="1"/>
  <c r="BB880" i="1"/>
  <c r="BB160" i="1"/>
  <c r="BB942" i="1"/>
  <c r="BB359" i="1"/>
  <c r="BB5" i="1"/>
  <c r="BB181" i="1"/>
  <c r="BB174" i="1"/>
  <c r="BB953" i="1"/>
  <c r="BB122" i="1"/>
  <c r="BB771" i="1"/>
  <c r="BB487" i="1"/>
  <c r="BB597" i="1"/>
  <c r="BB824" i="1"/>
  <c r="BB259" i="1"/>
  <c r="BB695" i="1"/>
  <c r="BB275" i="1"/>
  <c r="BB67" i="1"/>
  <c r="BB112" i="1"/>
  <c r="BB943" i="1"/>
  <c r="BB564" i="1"/>
  <c r="BB439" i="1"/>
  <c r="BB155" i="1"/>
  <c r="BB592" i="1"/>
  <c r="BB602" i="1"/>
  <c r="BB168" i="1"/>
  <c r="BB591" i="1"/>
  <c r="BB855" i="1"/>
  <c r="BB951" i="1"/>
  <c r="BB176" i="1"/>
  <c r="BB679" i="1"/>
  <c r="BB612" i="1"/>
  <c r="BB432" i="1"/>
  <c r="BB843" i="1"/>
  <c r="BB314" i="1"/>
  <c r="BB840" i="1"/>
  <c r="BB40" i="1"/>
  <c r="BB161" i="1"/>
  <c r="BB561" i="1"/>
  <c r="BB285" i="1"/>
  <c r="BB223" i="1"/>
  <c r="BB823" i="1"/>
  <c r="BB850" i="1"/>
  <c r="BB61" i="1"/>
  <c r="BB233" i="1"/>
  <c r="BB724" i="1"/>
  <c r="BB16" i="1"/>
  <c r="BB783" i="1"/>
  <c r="BB903" i="1"/>
  <c r="BB295" i="1"/>
  <c r="BB723" i="1"/>
  <c r="BB891" i="1"/>
  <c r="BB394" i="1"/>
  <c r="BB696" i="1"/>
  <c r="BB296" i="1"/>
  <c r="BB137" i="1"/>
  <c r="BB851" i="1"/>
  <c r="BB312" i="1"/>
  <c r="BB482" i="1"/>
  <c r="BB683" i="1"/>
  <c r="BB572" i="1"/>
  <c r="BB845" i="1"/>
  <c r="BB461" i="1"/>
  <c r="BB617" i="1"/>
  <c r="BB393" i="1"/>
  <c r="BB121" i="1"/>
  <c r="BB43" i="1"/>
  <c r="BB755" i="1"/>
  <c r="BB780" i="1"/>
  <c r="BB407" i="1"/>
  <c r="BB80" i="1"/>
  <c r="BB308" i="1"/>
  <c r="BB485" i="1"/>
  <c r="BB111" i="1"/>
  <c r="BB486" i="1"/>
  <c r="BB619" i="1"/>
  <c r="BB503" i="1"/>
  <c r="BB276" i="1"/>
  <c r="BB294" i="1"/>
  <c r="BB570" i="1"/>
  <c r="BB336" i="1"/>
  <c r="BB299" i="1"/>
  <c r="BB907" i="1"/>
  <c r="BB110" i="1"/>
  <c r="BB814" i="1"/>
  <c r="BB101" i="1"/>
  <c r="BB589" i="1"/>
  <c r="BB411" i="1"/>
  <c r="BB842" i="1"/>
  <c r="BB324" i="1"/>
  <c r="BB645" i="1"/>
  <c r="BB435" i="1"/>
  <c r="BB47" i="1"/>
  <c r="BB606" i="1"/>
  <c r="BB58" i="1"/>
  <c r="BB658" i="1"/>
  <c r="BB37" i="1"/>
  <c r="BB704" i="1"/>
  <c r="BB822" i="1"/>
  <c r="BB414" i="1"/>
  <c r="BB51" i="1"/>
  <c r="BB620" i="1"/>
  <c r="BB163" i="1"/>
  <c r="BB870" i="1"/>
  <c r="BB209" i="1"/>
  <c r="BB865" i="1"/>
  <c r="BB377" i="1"/>
  <c r="BB889" i="1"/>
  <c r="BB245" i="1"/>
  <c r="BB837" i="1"/>
  <c r="BB781" i="1"/>
  <c r="BB410" i="1"/>
  <c r="BB489" i="1"/>
  <c r="BB744" i="1"/>
  <c r="BB905" i="1"/>
  <c r="BB838" i="1"/>
  <c r="BB402" i="1"/>
  <c r="BB200" i="1"/>
  <c r="BB262" i="1"/>
  <c r="BB210" i="1"/>
  <c r="BB271" i="1"/>
  <c r="BB526" i="1"/>
  <c r="BB546" i="1"/>
  <c r="BB499" i="1"/>
  <c r="BB408" i="1"/>
  <c r="BB549" i="1"/>
  <c r="BB908" i="1"/>
  <c r="BB424" i="1"/>
  <c r="BB779" i="1"/>
  <c r="BB915" i="1"/>
  <c r="BB60" i="1"/>
  <c r="BB667" i="1"/>
  <c r="BB621" i="1"/>
  <c r="BB235" i="1"/>
  <c r="BB949" i="1"/>
  <c r="BB665" i="1"/>
  <c r="BB212" i="1"/>
  <c r="BB26" i="1"/>
  <c r="BB188" i="1"/>
  <c r="BB167" i="1"/>
  <c r="BB778" i="1"/>
  <c r="BB251" i="1"/>
  <c r="BB319" i="1"/>
  <c r="BB708" i="1"/>
  <c r="BB699" i="1"/>
  <c r="BB877" i="1"/>
  <c r="BB197" i="1"/>
  <c r="BB199" i="1"/>
  <c r="BB64" i="1"/>
  <c r="BB36" i="1"/>
  <c r="BB133" i="1"/>
  <c r="BB860" i="1"/>
  <c r="BB220" i="1"/>
  <c r="BB65" i="1"/>
  <c r="BB441" i="1"/>
  <c r="BB914" i="1"/>
  <c r="BB924" i="1"/>
  <c r="BB563" i="1"/>
  <c r="BB344" i="1"/>
  <c r="BB274" i="1"/>
  <c r="BB594" i="1"/>
  <c r="BB480" i="1"/>
  <c r="BB82" i="1"/>
  <c r="BB709" i="1"/>
  <c r="BB796" i="1"/>
  <c r="BB425" i="1"/>
  <c r="BB388" i="1"/>
  <c r="BB475" i="1"/>
  <c r="BB786" i="1"/>
  <c r="BB753" i="1"/>
  <c r="BB538" i="1"/>
  <c r="BB875" i="1"/>
  <c r="BB543" i="1"/>
  <c r="BB532" i="1"/>
  <c r="BB512" i="1"/>
  <c r="BB826" i="1"/>
  <c r="BB691" i="1"/>
  <c r="BB598" i="1"/>
  <c r="BB763" i="1"/>
  <c r="BB741" i="1"/>
  <c r="BB68" i="1"/>
  <c r="BB120" i="1"/>
  <c r="BB165" i="1"/>
  <c r="BB18" i="1"/>
  <c r="BB310" i="1"/>
  <c r="BB330" i="1"/>
  <c r="BB255" i="1"/>
  <c r="BB807" i="1"/>
  <c r="BB929" i="1"/>
  <c r="BB586" i="1"/>
  <c r="BB627" i="1"/>
  <c r="BB557" i="1"/>
  <c r="BB673" i="1"/>
  <c r="BB352" i="1"/>
  <c r="BB32" i="1"/>
  <c r="BB398" i="1"/>
  <c r="BB788" i="1"/>
  <c r="BB565" i="1"/>
  <c r="BB340" i="1"/>
  <c r="BB412" i="1"/>
  <c r="BB291" i="1"/>
  <c r="BB183" i="1"/>
  <c r="BB386" i="1"/>
  <c r="BB644" i="1"/>
  <c r="BB278" i="1"/>
  <c r="BB731" i="1"/>
  <c r="BB384" i="1"/>
  <c r="BB38" i="1"/>
  <c r="BB732" i="1"/>
  <c r="BB809" i="1"/>
  <c r="BB906" i="1"/>
  <c r="BB721" i="1"/>
  <c r="BB300" i="1"/>
  <c r="BB366" i="1"/>
  <c r="BB867" i="1"/>
  <c r="BB356" i="1"/>
  <c r="BB604" i="1"/>
  <c r="BB93" i="1"/>
  <c r="BB488" i="1"/>
  <c r="BB162" i="1"/>
  <c r="AS540" i="1" l="1"/>
  <c r="B20" i="2"/>
  <c r="B22" i="2" l="1"/>
  <c r="B25" i="2"/>
  <c r="BB540" i="1"/>
  <c r="B26" i="2" l="1"/>
</calcChain>
</file>

<file path=xl/sharedStrings.xml><?xml version="1.0" encoding="utf-8"?>
<sst xmlns="http://schemas.openxmlformats.org/spreadsheetml/2006/main" count="20371" uniqueCount="3875">
  <si>
    <t>Business Unit</t>
  </si>
  <si>
    <t>Booking No</t>
  </si>
  <si>
    <t>Application No</t>
  </si>
  <si>
    <t>Unit No</t>
  </si>
  <si>
    <t>Customer Name</t>
  </si>
  <si>
    <t>Booking Date</t>
  </si>
  <si>
    <t>Block</t>
  </si>
  <si>
    <t>Floor</t>
  </si>
  <si>
    <t>Hierarchy Level 4</t>
  </si>
  <si>
    <t>Suer Area (Sq. ft.)</t>
  </si>
  <si>
    <t>New Super Area (Sq. ft.)</t>
  </si>
  <si>
    <t>Diff in Super Area</t>
  </si>
  <si>
    <t>Carpet Area (Sq. ft.)</t>
  </si>
  <si>
    <t>New Carpet Area (Sq. ft.)</t>
  </si>
  <si>
    <t>Diff in Carpet Area Area</t>
  </si>
  <si>
    <t>Super Area Rate (Booking Rate)</t>
  </si>
  <si>
    <t>Carpet Area Rate (Booking Rate)</t>
  </si>
  <si>
    <t>Current Rate</t>
  </si>
  <si>
    <t>BSP</t>
  </si>
  <si>
    <t>GST on BSP as per Old Area</t>
  </si>
  <si>
    <t>GST%age</t>
  </si>
  <si>
    <t>Increase/Decrease Area cost</t>
  </si>
  <si>
    <t>GST% on Increase/Decrease Area cost</t>
  </si>
  <si>
    <t>Increased Unit Cost due to Excess Discount_Basic</t>
  </si>
  <si>
    <t>Increased Unit Cost due to Excess Discount_Tax</t>
  </si>
  <si>
    <t>BASIC after Increase or Decrease Area</t>
  </si>
  <si>
    <t>Discount/Credit Note (Already applied)</t>
  </si>
  <si>
    <t>GST on Credit Note</t>
  </si>
  <si>
    <t>Basic Sale Price after discount &amp; Adjustment</t>
  </si>
  <si>
    <t>PBIC Rate Carpet Area</t>
  </si>
  <si>
    <t>PBIC</t>
  </si>
  <si>
    <t>Tax on PBIC</t>
  </si>
  <si>
    <t>PBIC on Increase or Decrease Area</t>
  </si>
  <si>
    <t>Tax on Diff PBIC</t>
  </si>
  <si>
    <t>PBIC after Increase or Decrease Area</t>
  </si>
  <si>
    <t>Tax on PBIC after Increase or Decrease Area</t>
  </si>
  <si>
    <t>IFMS Amount</t>
  </si>
  <si>
    <t>IFMS Amount after Change Area</t>
  </si>
  <si>
    <t>Total BSP &amp; PBIC</t>
  </si>
  <si>
    <t>Total GST on BSP/ PBIC</t>
  </si>
  <si>
    <t>Total GST+IFMS and Interest</t>
  </si>
  <si>
    <t xml:space="preserve">Grand Total </t>
  </si>
  <si>
    <t>Total Received Till Date</t>
  </si>
  <si>
    <t>Interest</t>
  </si>
  <si>
    <t>Net Payable with Interest</t>
  </si>
  <si>
    <t>ATS Value</t>
  </si>
  <si>
    <t>Circle Rate</t>
  </si>
  <si>
    <t>Value as per Circle rate</t>
  </si>
  <si>
    <t>Stamp Duty Calculation on</t>
  </si>
  <si>
    <t>Ceiling up to 1000 of Stamp Duty Calculation Value</t>
  </si>
  <si>
    <t>Stamp Duty Percentage</t>
  </si>
  <si>
    <t>stamp duty</t>
  </si>
  <si>
    <t>actual stamp duty Ceiling up to Rs. 100</t>
  </si>
  <si>
    <t>Final Total Payable</t>
  </si>
  <si>
    <t>Area Variation Super %</t>
  </si>
  <si>
    <t>Area Variation Carpet %</t>
  </si>
  <si>
    <t>Final Super Area (in sq. mt.)</t>
  </si>
  <si>
    <t>Final Carpet Area (in sq. mt.)</t>
  </si>
  <si>
    <t>Invocie Date</t>
  </si>
  <si>
    <t>Due Date</t>
  </si>
  <si>
    <t>Stampduty % for mail merge</t>
  </si>
  <si>
    <t>M3M Capital Walk in M3M Capital Phase-1</t>
  </si>
  <si>
    <t>WPBOOKING/00001/23-24</t>
  </si>
  <si>
    <t>WPFLAP/00016/22-23</t>
  </si>
  <si>
    <t>Mr. SHUBHAM SINGH</t>
  </si>
  <si>
    <t>BLOCK-01</t>
  </si>
  <si>
    <t>FLOOR 1</t>
  </si>
  <si>
    <t>Anchor Units</t>
  </si>
  <si>
    <t>WPBOOKING/00009/23-24</t>
  </si>
  <si>
    <t>WPFLAP/00005/23-24</t>
  </si>
  <si>
    <t>R1 259</t>
  </si>
  <si>
    <t>Ms. RACHNA MAHALWALA</t>
  </si>
  <si>
    <t>FLOOR 2</t>
  </si>
  <si>
    <t>WPBOOKING/00005/24-25</t>
  </si>
  <si>
    <t>WPFLAP/00024/23-24</t>
  </si>
  <si>
    <t>R2 214</t>
  </si>
  <si>
    <t>Ms. Madhulika Nath</t>
  </si>
  <si>
    <t>BLOCK-02</t>
  </si>
  <si>
    <t>Retail</t>
  </si>
  <si>
    <t>WPBOOKING/00009/22-23</t>
  </si>
  <si>
    <t>WPFLAP/00006/22-23</t>
  </si>
  <si>
    <t>R2 215</t>
  </si>
  <si>
    <t>Ms. SHASHI</t>
  </si>
  <si>
    <t>WPBOOKING/00006/22-23</t>
  </si>
  <si>
    <t>WPFLAP/00003/22-23</t>
  </si>
  <si>
    <t>R2 LG 22</t>
  </si>
  <si>
    <t>Ms. SUMITI KHURANA</t>
  </si>
  <si>
    <t>BASEMENT 2</t>
  </si>
  <si>
    <t>WPBOOKING/00013/22-23</t>
  </si>
  <si>
    <t>WPFLAP/00009/22-23</t>
  </si>
  <si>
    <t>R2 UG 23</t>
  </si>
  <si>
    <t>Ms. SHYAMA GOYAL</t>
  </si>
  <si>
    <t>BASEMENT 1</t>
  </si>
  <si>
    <t>WPBOOKING/00014/22-23</t>
  </si>
  <si>
    <t>WPFLAP/00010/22-23</t>
  </si>
  <si>
    <t>R2 212</t>
  </si>
  <si>
    <t>Mr. AJAY KUMAR SHARMA</t>
  </si>
  <si>
    <t>WPBOOKING/00003/22-23</t>
  </si>
  <si>
    <t>WPFLAP/00002/22-23</t>
  </si>
  <si>
    <t>R2 115</t>
  </si>
  <si>
    <t>Mr. SATYA VRAT</t>
  </si>
  <si>
    <t>WPBOOKING/00017/22-23</t>
  </si>
  <si>
    <t>WPFLAP/00012/22-23</t>
  </si>
  <si>
    <t>R2 112A</t>
  </si>
  <si>
    <t>Ms. SAVITA TANWAR</t>
  </si>
  <si>
    <t>WPBOOKING/00004/24-25</t>
  </si>
  <si>
    <t>WPFLAP/00025/23-24</t>
  </si>
  <si>
    <t>R1 162</t>
  </si>
  <si>
    <t>Mr. Ram Niwas Gupta</t>
  </si>
  <si>
    <t>WPBOOKING/00011/22-23</t>
  </si>
  <si>
    <t>WPFLAP/00007/22-23</t>
  </si>
  <si>
    <t>R2 216</t>
  </si>
  <si>
    <t>Ms. Runa Singh</t>
  </si>
  <si>
    <t>WPBOOKING/00004/23-24</t>
  </si>
  <si>
    <t>WPFLAP/00003/23-24</t>
  </si>
  <si>
    <t>R2 UG 19</t>
  </si>
  <si>
    <t>Ms. KAVYA RAI</t>
  </si>
  <si>
    <t>WPBOOKING/00019/22-23</t>
  </si>
  <si>
    <t>WPFLAP/00014/22-23</t>
  </si>
  <si>
    <t>R2 217</t>
  </si>
  <si>
    <t>Mr. MANMEET VINOD SEHGAL</t>
  </si>
  <si>
    <t>WPBOOKING/00014/23-24</t>
  </si>
  <si>
    <t>WPFLAP/00020/23-24</t>
  </si>
  <si>
    <t>R2 LG 23</t>
  </si>
  <si>
    <t>Mr. Balraj Singh</t>
  </si>
  <si>
    <t>WPBOOKING/00006/23-24</t>
  </si>
  <si>
    <t>WPFLAP/00017/22-23</t>
  </si>
  <si>
    <t>R1 260</t>
  </si>
  <si>
    <t>Ms. SHIKHA WARIKOO</t>
  </si>
  <si>
    <t>WPBOOKING/00012/22-23</t>
  </si>
  <si>
    <t>WPFLAP/00008/22-23</t>
  </si>
  <si>
    <t>R2 212a</t>
  </si>
  <si>
    <t>Mr. RAVI MADAAN</t>
  </si>
  <si>
    <t>WPBOOKING/00018/22-23</t>
  </si>
  <si>
    <t>WPFLAP/00013/22-23</t>
  </si>
  <si>
    <t>R2 116</t>
  </si>
  <si>
    <t>Mr. HEMANT AGGARWAL</t>
  </si>
  <si>
    <t>WPBOOKING/00001/22-23</t>
  </si>
  <si>
    <t>CW1FLAP/00001/22-23</t>
  </si>
  <si>
    <t>R2 UG 22</t>
  </si>
  <si>
    <t>Ms. SARLA ARYA</t>
  </si>
  <si>
    <t>WPBOOKING/00002/23-24</t>
  </si>
  <si>
    <t>WPFLAP/00018/22-23</t>
  </si>
  <si>
    <t>R1 147</t>
  </si>
  <si>
    <t>Mr. VIKRAM RAJ JAISWAL</t>
  </si>
  <si>
    <t>WPBOOKING/00012/23-24</t>
  </si>
  <si>
    <t>WPFLAP/00018/23-24</t>
  </si>
  <si>
    <t>R1 UG 27</t>
  </si>
  <si>
    <t>Mr. Amar Chand Gupta</t>
  </si>
  <si>
    <t>WPBOOKING/00002/22-23</t>
  </si>
  <si>
    <t>WPFLAP/00001/22-23</t>
  </si>
  <si>
    <t>R1 248</t>
  </si>
  <si>
    <t>Mr. NARESH KUMAR</t>
  </si>
  <si>
    <t>WPBOOKING/00005/23-24</t>
  </si>
  <si>
    <t>WPFLAP/00004/23-24</t>
  </si>
  <si>
    <t>R2 211</t>
  </si>
  <si>
    <t>Ms. RUCHI</t>
  </si>
  <si>
    <t>WPBOOKING/00010/23-24</t>
  </si>
  <si>
    <t>WPFLAP/00009/23-24</t>
  </si>
  <si>
    <t>R2 114</t>
  </si>
  <si>
    <t>Mrs. SUKHWINDER DEVI</t>
  </si>
  <si>
    <t>WPBOOKING/00007/22-23</t>
  </si>
  <si>
    <t>WPFLAP/00005/22-23</t>
  </si>
  <si>
    <t>R2 UG 20</t>
  </si>
  <si>
    <t>Mr. GULAB CHAND CHAURASIA</t>
  </si>
  <si>
    <t>WPBOOKING/00013/23-24</t>
  </si>
  <si>
    <t>WPFLAP/00019/23-24</t>
  </si>
  <si>
    <t>R1 261</t>
  </si>
  <si>
    <t>Ms. Nirmala Prasad</t>
  </si>
  <si>
    <t>WPBOOKING/00005/22-23</t>
  </si>
  <si>
    <t>WPFLAP/00004/22-23</t>
  </si>
  <si>
    <t>R1 247</t>
  </si>
  <si>
    <t>Ms. SUMAN KUMARI</t>
  </si>
  <si>
    <t>WPBOOKING/00003/24-25</t>
  </si>
  <si>
    <t>WPFLAP/00023/23-24</t>
  </si>
  <si>
    <t>R2 LG 20</t>
  </si>
  <si>
    <t>Mr. Santosh Kumar Aggarwal</t>
  </si>
  <si>
    <t>WPBOOKING/00003/23-24</t>
  </si>
  <si>
    <t>WPFLAP/00002/23-24</t>
  </si>
  <si>
    <t>R2 LG 18</t>
  </si>
  <si>
    <t>Ms. SAROJ BALA</t>
  </si>
  <si>
    <t>M3M Capital Walk in M3M Capital Phase-2</t>
  </si>
  <si>
    <t>cwBOOKING/00135/22-23</t>
  </si>
  <si>
    <t>cwFLAP/00069/22-23</t>
  </si>
  <si>
    <t>R1 205</t>
  </si>
  <si>
    <t>Mr. KULDEEP KUMAR SHARMA</t>
  </si>
  <si>
    <t>cwBOOKING/00177/23-24</t>
  </si>
  <si>
    <t>cwFLAP/00147/22-23</t>
  </si>
  <si>
    <t>R1 G 01</t>
  </si>
  <si>
    <t>M/S. INVESTOR HOME SOLUTIONS PVT. LTD.</t>
  </si>
  <si>
    <t>GROUND</t>
  </si>
  <si>
    <t>cwBOOKING/00179/23-24</t>
  </si>
  <si>
    <t>cwFLAP/00145/22-23</t>
  </si>
  <si>
    <t>R1 G 02</t>
  </si>
  <si>
    <t>cwBOOKING/00176/23-24</t>
  </si>
  <si>
    <t>cwFLAP/00146/22-23</t>
  </si>
  <si>
    <t>R1 G 03</t>
  </si>
  <si>
    <t>cwBOOKING/00180/23-24</t>
  </si>
  <si>
    <t>cwFLAP/00152/22-23</t>
  </si>
  <si>
    <t>R1 G 04</t>
  </si>
  <si>
    <t>cwBOOKING/00285/22-23</t>
  </si>
  <si>
    <t>cwFLAP/00309/22-23</t>
  </si>
  <si>
    <t>R1 104</t>
  </si>
  <si>
    <t>Mr. SHAILENDRA KUMAR PANDEY</t>
  </si>
  <si>
    <t>cwBOOKING/00507/22-23</t>
  </si>
  <si>
    <t>cwFLAP/00583/22-23</t>
  </si>
  <si>
    <t>R1 112A</t>
  </si>
  <si>
    <t>Ms. RAJ BALA</t>
  </si>
  <si>
    <t xml:space="preserve">Pre Payment </t>
  </si>
  <si>
    <t>cwBOOKING/00506/22-23</t>
  </si>
  <si>
    <t>cwFLAP/00684/22-23</t>
  </si>
  <si>
    <t>R1 125</t>
  </si>
  <si>
    <t>Ms. ELEAROSE FRANCO CHOUDHURY</t>
  </si>
  <si>
    <t>cwBOOKING/00691/22-23</t>
  </si>
  <si>
    <t>cwFLAP/00586/22-23</t>
  </si>
  <si>
    <t>R1 134</t>
  </si>
  <si>
    <t>Mr. VIKASH KUMAR</t>
  </si>
  <si>
    <t>cwBOOKING/00508/22-23</t>
  </si>
  <si>
    <t>cwFLAP/00712/22-23</t>
  </si>
  <si>
    <t>R1 136</t>
  </si>
  <si>
    <t>Ms. SUNITA DEVI</t>
  </si>
  <si>
    <t>cwBOOKING/00680/22-23</t>
  </si>
  <si>
    <t>cwFLAP/00641/22-23</t>
  </si>
  <si>
    <t>R1 138</t>
  </si>
  <si>
    <t>Mr. TEJ PAL</t>
  </si>
  <si>
    <t>Ms. RITU</t>
  </si>
  <si>
    <t>cwBOOKING/00612/22-23</t>
  </si>
  <si>
    <t>cwFLAP/00514/22-23</t>
  </si>
  <si>
    <t>R1 141</t>
  </si>
  <si>
    <t>Ms. ANITA RANA</t>
  </si>
  <si>
    <t>cwBOOKING/00006/23-24</t>
  </si>
  <si>
    <t>cwFLAP/01015/22-23</t>
  </si>
  <si>
    <t>R1 142</t>
  </si>
  <si>
    <t>Ms. DISHA AGGARWAL</t>
  </si>
  <si>
    <t>cwBOOKING/00302/23-24</t>
  </si>
  <si>
    <t>cwFLAP/00188/23-24</t>
  </si>
  <si>
    <t>R1 153</t>
  </si>
  <si>
    <t>Mr. Parveen Kumar</t>
  </si>
  <si>
    <t>cwBOOKING/00036/23-24</t>
  </si>
  <si>
    <t>cwFLAP/01050/22-23</t>
  </si>
  <si>
    <t>R1 158</t>
  </si>
  <si>
    <t>Ms. SUGANDHA AGGARWAL</t>
  </si>
  <si>
    <t>cwBOOKING/00155/22-23</t>
  </si>
  <si>
    <t>cwFLAP/00329/22-23</t>
  </si>
  <si>
    <t>R1 206</t>
  </si>
  <si>
    <t>Mr. SURESH CHAND</t>
  </si>
  <si>
    <t>cwBOOKING/00287/23-24</t>
  </si>
  <si>
    <t>cwFLAP/00181/23-24</t>
  </si>
  <si>
    <t>R1 209</t>
  </si>
  <si>
    <t>Ms. Anjana Yadav</t>
  </si>
  <si>
    <t>cwBOOKING/00614/22-23</t>
  </si>
  <si>
    <t>cwFLAP/00526/22-23</t>
  </si>
  <si>
    <t>R1 210</t>
  </si>
  <si>
    <t>Ms. MANJU SHARMA</t>
  </si>
  <si>
    <t>cwBOOKING/00333/22-23</t>
  </si>
  <si>
    <t>cwFLAP/00269/22-23</t>
  </si>
  <si>
    <t>R1 222</t>
  </si>
  <si>
    <t>Mr. KOMAL AHUJA</t>
  </si>
  <si>
    <t>cwBOOKING/00390/22-23</t>
  </si>
  <si>
    <t>cwFLAP/00383/22-23</t>
  </si>
  <si>
    <t>R1 228</t>
  </si>
  <si>
    <t>Ms. SUMAN SHARMA</t>
  </si>
  <si>
    <t>cwBOOKING/00075/22-23</t>
  </si>
  <si>
    <t>cwFLAP/00178/22-23</t>
  </si>
  <si>
    <t>R1 231</t>
  </si>
  <si>
    <t>Ms. GARIMA MOHAN</t>
  </si>
  <si>
    <t>cwBOOKING/00257/22-23</t>
  </si>
  <si>
    <t>cwFLAP/00281/22-23</t>
  </si>
  <si>
    <t>R1 232</t>
  </si>
  <si>
    <t>Mr. PRAVEEN KUMAR</t>
  </si>
  <si>
    <t>cwBOOKING/00278/22-23</t>
  </si>
  <si>
    <t>cwFLAP/00362/22-23</t>
  </si>
  <si>
    <t>R1 233</t>
  </si>
  <si>
    <t>Ms. NELLA MANOJ DAVIS</t>
  </si>
  <si>
    <t>cwBOOKING/00358/22-23</t>
  </si>
  <si>
    <t>cwFLAP/00424/22-23</t>
  </si>
  <si>
    <t>R1 238</t>
  </si>
  <si>
    <t>Ms. URMILA SINHA</t>
  </si>
  <si>
    <t>cwBOOKING/00640/22-23</t>
  </si>
  <si>
    <t>cwFLAP/00466/22-23</t>
  </si>
  <si>
    <t>R1 239</t>
  </si>
  <si>
    <t>Mr. PARVEEN CHAWLA</t>
  </si>
  <si>
    <t>cwBOOKING/00411/22-23</t>
  </si>
  <si>
    <t>cwFLAP/00169/22-23</t>
  </si>
  <si>
    <t>R1 241</t>
  </si>
  <si>
    <t>Mr. ATUL KUMAR SETHI</t>
  </si>
  <si>
    <t>cwBOOKING/00139/22-23</t>
  </si>
  <si>
    <t>cwFLAP/00057/22-23</t>
  </si>
  <si>
    <t>R1 242</t>
  </si>
  <si>
    <t>Mr. ABINASH KUMAR</t>
  </si>
  <si>
    <t>cwBOOKING/00743/22-23</t>
  </si>
  <si>
    <t>cwFLAP/00629/22-23</t>
  </si>
  <si>
    <t>R1 244</t>
  </si>
  <si>
    <t>Ms. SOUNDRYA NIDHI SINGH</t>
  </si>
  <si>
    <t>cwBOOKING/00672/22-23</t>
  </si>
  <si>
    <t>cwFLAP/00803/22-23</t>
  </si>
  <si>
    <t>R1 256</t>
  </si>
  <si>
    <t>Ms. DIKSHA GUPTA</t>
  </si>
  <si>
    <t>cwBOOKING/00375/22-23</t>
  </si>
  <si>
    <t>cwFLAP/00456/22-23</t>
  </si>
  <si>
    <t>R1 G 07</t>
  </si>
  <si>
    <t>Ms. SEJAL JAIN</t>
  </si>
  <si>
    <t>cwBOOKING/00031/23-24</t>
  </si>
  <si>
    <t>cwFLAP/00996/22-23</t>
  </si>
  <si>
    <t>R1 LG 03</t>
  </si>
  <si>
    <t>Mr. SURYAVIR SINGH</t>
  </si>
  <si>
    <t>cwBOOKING/00294/23-24</t>
  </si>
  <si>
    <t>cwFLAP/00179/23-24</t>
  </si>
  <si>
    <t>R1 LG 04</t>
  </si>
  <si>
    <t>Mr. Nand Ram Saini</t>
  </si>
  <si>
    <t>cwBOOKING/00281/23-24</t>
  </si>
  <si>
    <t>cwFLAP/00159/23-24</t>
  </si>
  <si>
    <t>R1 LG 05</t>
  </si>
  <si>
    <t>Mr. Vikas Arora</t>
  </si>
  <si>
    <t>cwBOOKING/00298/23-24</t>
  </si>
  <si>
    <t>cwFLAP/00164/23-24</t>
  </si>
  <si>
    <t>R1 LG 08</t>
  </si>
  <si>
    <t>Mr. Chhotu Ram Saini</t>
  </si>
  <si>
    <t>cwBOOKING/00504/22-23</t>
  </si>
  <si>
    <t>cwFLAP/00829/22-23</t>
  </si>
  <si>
    <t>R1 LG 09</t>
  </si>
  <si>
    <t>Ms. ABHA KALRA</t>
  </si>
  <si>
    <t>cwBOOKING/00772/22-23</t>
  </si>
  <si>
    <t>cwFLAP/00660/22-23</t>
  </si>
  <si>
    <t>R1 LG 10</t>
  </si>
  <si>
    <t>Ms. ANITA TOKAS</t>
  </si>
  <si>
    <t>cwBOOKING/00072/23-24</t>
  </si>
  <si>
    <t>cwFLAP/01030/22-23</t>
  </si>
  <si>
    <t>R1 LG 23</t>
  </si>
  <si>
    <t>M/S. Praveensharma Infrabuild Private Limited</t>
  </si>
  <si>
    <t>cwBOOKING/00750/22-23</t>
  </si>
  <si>
    <t>cwFLAP/00124/22-23</t>
  </si>
  <si>
    <t>R1 LG 28</t>
  </si>
  <si>
    <t>Mr. NEERAJ ARORA</t>
  </si>
  <si>
    <t>cwBOOKING/00712/22-23</t>
  </si>
  <si>
    <t>cwFLAP/00954/22-23</t>
  </si>
  <si>
    <t>R1 UG 03</t>
  </si>
  <si>
    <t>Ms. SIMMI MAKKER</t>
  </si>
  <si>
    <t>cwBOOKING/00708/22-23</t>
  </si>
  <si>
    <t>cwFLAP/00943/22-23</t>
  </si>
  <si>
    <t>R1 UG 09</t>
  </si>
  <si>
    <t>Ms. KANCHANA CHAKRABORTY</t>
  </si>
  <si>
    <t>cwBOOKING/00529/22-23</t>
  </si>
  <si>
    <t>cwFLAP/00547/22-23</t>
  </si>
  <si>
    <t>R1 UG 15</t>
  </si>
  <si>
    <t>Ms. MADHU SIKRI</t>
  </si>
  <si>
    <t>cwBOOKING/00184/23-24</t>
  </si>
  <si>
    <t>cwFLAP/00067/23-24</t>
  </si>
  <si>
    <t>R2 209</t>
  </si>
  <si>
    <t>Ms. HEMA PARESH DESAI</t>
  </si>
  <si>
    <t>Discount Manual</t>
  </si>
  <si>
    <t>cwBOOKING/00276/23-24</t>
  </si>
  <si>
    <t>cwFLAP/00173/23-24</t>
  </si>
  <si>
    <t>R2 UG 01</t>
  </si>
  <si>
    <t>Mrs. DOLLY GOEL</t>
  </si>
  <si>
    <t>cwBOOKING/00175/22-23</t>
  </si>
  <si>
    <t>cwFLAP/00283/22-23</t>
  </si>
  <si>
    <t>R2 UG 12</t>
  </si>
  <si>
    <t>Mrs. KAMLESH SOBTI</t>
  </si>
  <si>
    <t>cwBOOKING/00470/22-23</t>
  </si>
  <si>
    <t>cwFLAP/00442/22-23</t>
  </si>
  <si>
    <t>R3 LG 26</t>
  </si>
  <si>
    <t>Mr. MAHENDER SINGH</t>
  </si>
  <si>
    <t>BLOCK-03</t>
  </si>
  <si>
    <t>cwBOOKING/00696/22-23</t>
  </si>
  <si>
    <t>cwFLAP/00799/22-23</t>
  </si>
  <si>
    <t>R3 LG 33</t>
  </si>
  <si>
    <t>Ms. SANDEEP KAUR CHANNA</t>
  </si>
  <si>
    <t>cwBOOKING/00593/22-23</t>
  </si>
  <si>
    <t>cwFLAP/00898/22-23</t>
  </si>
  <si>
    <t>R3 LG 43</t>
  </si>
  <si>
    <t>Mr. ANKUR JAIN</t>
  </si>
  <si>
    <t>cwBOOKING/00042/23-24</t>
  </si>
  <si>
    <t>cwFLAP/01006/22-23</t>
  </si>
  <si>
    <t>R3 LG 57</t>
  </si>
  <si>
    <t>Mr. ISHWAR SINGH</t>
  </si>
  <si>
    <t>cwBOOKING/00174/23-24</t>
  </si>
  <si>
    <t>cwFLAP/00065/23-24</t>
  </si>
  <si>
    <t>R3 LG 73</t>
  </si>
  <si>
    <t>Mr. GAURAV DWIVEDI</t>
  </si>
  <si>
    <t>cwBOOKING/00244/23-24</t>
  </si>
  <si>
    <t>cwFLAP/00115/23-24</t>
  </si>
  <si>
    <t>R3 UG 08</t>
  </si>
  <si>
    <t>M/S. Vishnu Kumar HUF</t>
  </si>
  <si>
    <t>cwBOOKING/00732/22-23</t>
  </si>
  <si>
    <t>cwFLAP/00823/22-23</t>
  </si>
  <si>
    <t>R3 UG 12A</t>
  </si>
  <si>
    <t>Mr. JAI SHOKEEN</t>
  </si>
  <si>
    <t>cwBOOKING/00146/23-24</t>
  </si>
  <si>
    <t>cwFLAP/00700/22-23</t>
  </si>
  <si>
    <t>R3 UG 28</t>
  </si>
  <si>
    <t>Ms. VEENA MALIK</t>
  </si>
  <si>
    <t>cwBOOKING/00024/22-23</t>
  </si>
  <si>
    <t>cwFLAP/00045/22-23</t>
  </si>
  <si>
    <t>R3 UG 40</t>
  </si>
  <si>
    <t>Mr. MANDEEP YADAV</t>
  </si>
  <si>
    <t>cwBOOKING/00477/22-23</t>
  </si>
  <si>
    <t>cwFLAP/00777/22-23</t>
  </si>
  <si>
    <t>R3 UG 41</t>
  </si>
  <si>
    <t>Mr. ABHIJIT SINHA</t>
  </si>
  <si>
    <t>cwBOOKING/00138/22-23</t>
  </si>
  <si>
    <t>CCWFLAP/00010/22-23</t>
  </si>
  <si>
    <t>R4 104</t>
  </si>
  <si>
    <t>Mr. MANOJ KUMAR SHARMA</t>
  </si>
  <si>
    <t>BLOCK-04</t>
  </si>
  <si>
    <t>cwBOOKING/00330/22-23</t>
  </si>
  <si>
    <t>CCWFLAP/00005/22-23</t>
  </si>
  <si>
    <t>R4 118</t>
  </si>
  <si>
    <t>Mr. DEEPAK CHAHAL</t>
  </si>
  <si>
    <t>cwBOOKING/00646/22-23</t>
  </si>
  <si>
    <t>cwFLAP/00627/22-23</t>
  </si>
  <si>
    <t>R4 123</t>
  </si>
  <si>
    <t>Ms. Gurpreet Kaur Bhatia</t>
  </si>
  <si>
    <t>cwBOOKING/00297/22-23</t>
  </si>
  <si>
    <t>cwFLAP/00377/22-23</t>
  </si>
  <si>
    <t>R4 131</t>
  </si>
  <si>
    <t>Mr. PANKAJ SAINI</t>
  </si>
  <si>
    <t>cwBOOKING/00331/22-23</t>
  </si>
  <si>
    <t>cwFLAP/00160/22-23</t>
  </si>
  <si>
    <t>R4 137</t>
  </si>
  <si>
    <t>Mr. SURESH KUMAR ARORA</t>
  </si>
  <si>
    <t>Mr. DARSHAN KUMAR</t>
  </si>
  <si>
    <t>cwBOOKING/00049/22-23</t>
  </si>
  <si>
    <t>cwFLAP/00089/22-23</t>
  </si>
  <si>
    <t>R4 144</t>
  </si>
  <si>
    <t>Mr. RAMESH KUMAR SINGH</t>
  </si>
  <si>
    <t>cwBOOKING/00048/22-23</t>
  </si>
  <si>
    <t>cwFLAP/00088/22-23</t>
  </si>
  <si>
    <t>R4 145</t>
  </si>
  <si>
    <t>Ms. SWETA KUMARI</t>
  </si>
  <si>
    <t>cwBOOKING/00326/22-23</t>
  </si>
  <si>
    <t>cwFLAP/00166/22-23</t>
  </si>
  <si>
    <t>R4 212A</t>
  </si>
  <si>
    <t>Mrs. SUMAN JAIN</t>
  </si>
  <si>
    <t>cwBOOKING/00643/22-23</t>
  </si>
  <si>
    <t>cwFLAP/00912/22-23</t>
  </si>
  <si>
    <t>R4 219</t>
  </si>
  <si>
    <t>Ms. Madhu Saini</t>
  </si>
  <si>
    <t>cwBOOKING/00084/22-23</t>
  </si>
  <si>
    <t>cwFLAP/00219/22-23</t>
  </si>
  <si>
    <t>R4 224</t>
  </si>
  <si>
    <t>Mr. SUSHIL MALIK</t>
  </si>
  <si>
    <t>Ms. SONIYA MALIK</t>
  </si>
  <si>
    <t>cwBOOKING/00025/22-23</t>
  </si>
  <si>
    <t>cwFLAP/00047/22-23</t>
  </si>
  <si>
    <t>R4 228</t>
  </si>
  <si>
    <t>Ms. SAVITA SINGHAL</t>
  </si>
  <si>
    <t>cwBOOKING/00130/22-23</t>
  </si>
  <si>
    <t>cwFLAP/00153/22-23</t>
  </si>
  <si>
    <t>R4 230</t>
  </si>
  <si>
    <t>Ms. ISHITA SINGHAL</t>
  </si>
  <si>
    <t>cwBOOKING/00202/22-23</t>
  </si>
  <si>
    <t>cwFLAP/00358/22-23</t>
  </si>
  <si>
    <t>R4 233</t>
  </si>
  <si>
    <t>Ms. PRABHATI VARMA</t>
  </si>
  <si>
    <t>cwBOOKING/00011/23-24</t>
  </si>
  <si>
    <t>cwFLAP/00521/22-23</t>
  </si>
  <si>
    <t>R4 235</t>
  </si>
  <si>
    <t>Mr. SATISH CHANDER SAROHA</t>
  </si>
  <si>
    <t>cwBOOKING/00127/22-23</t>
  </si>
  <si>
    <t>cwFLAP/00287/22-23</t>
  </si>
  <si>
    <t>R4 236</t>
  </si>
  <si>
    <t>Mr. MUKESH KUMAR</t>
  </si>
  <si>
    <t>cwBOOKING/00196/22-23</t>
  </si>
  <si>
    <t>cwFLAP/00071/22-23</t>
  </si>
  <si>
    <t>R4 238</t>
  </si>
  <si>
    <t>Mr. SEELAM SINGH TYAGI</t>
  </si>
  <si>
    <t>cwBOOKING/00285/23-24</t>
  </si>
  <si>
    <t>cwFLAP/00183/23-24</t>
  </si>
  <si>
    <t>R4 242</t>
  </si>
  <si>
    <t>Mr. Sunil Kumanna Chougule</t>
  </si>
  <si>
    <t>cwBOOKING/00070/22-23</t>
  </si>
  <si>
    <t>cwFLAP/00125/22-23</t>
  </si>
  <si>
    <t>R4 245</t>
  </si>
  <si>
    <t>Ms. Riya Ganotra</t>
  </si>
  <si>
    <t>cwBOOKING/00173/22-23</t>
  </si>
  <si>
    <t>cwFLAP/00072/22-23</t>
  </si>
  <si>
    <t>R4 246</t>
  </si>
  <si>
    <t>Mr. OM KAILASH</t>
  </si>
  <si>
    <t>cwBOOKING/00206/22-23</t>
  </si>
  <si>
    <t>cwFLAP/00317/22-23</t>
  </si>
  <si>
    <t>R4 247</t>
  </si>
  <si>
    <t>Mr. RAKESH DAHIYA</t>
  </si>
  <si>
    <t>cwBOOKING/00290/22-23</t>
  </si>
  <si>
    <t>cwFLAP/00291/22-23</t>
  </si>
  <si>
    <t>R4 248</t>
  </si>
  <si>
    <t>Ms. MEENA SINGLA</t>
  </si>
  <si>
    <t>cwBOOKING/00408/22-23</t>
  </si>
  <si>
    <t>cwFLAP/00413/22-23</t>
  </si>
  <si>
    <t>R4 249</t>
  </si>
  <si>
    <t>Mr. KULBHUSHAN CHAUDHARY</t>
  </si>
  <si>
    <t>cwBOOKING/00066/22-23</t>
  </si>
  <si>
    <t>cwFLAP/00029/22-23</t>
  </si>
  <si>
    <t>R4 G 12A</t>
  </si>
  <si>
    <t>Ms. POONAM LAKRA</t>
  </si>
  <si>
    <t>cwBOOKING/00536/22-23</t>
  </si>
  <si>
    <t>cwFLAP/00787/22-23</t>
  </si>
  <si>
    <t>R4 LG 03</t>
  </si>
  <si>
    <t>Ms. KAVITA DALAL</t>
  </si>
  <si>
    <t>cwBOOKING/00402/22-23</t>
  </si>
  <si>
    <t>cwFLAP/00469/22-23</t>
  </si>
  <si>
    <t>R4 LG 09</t>
  </si>
  <si>
    <t>Mr. KAPIL GANDHI</t>
  </si>
  <si>
    <t>cwBOOKING/00261/22-23</t>
  </si>
  <si>
    <t>cwFLAP/00218/22-23</t>
  </si>
  <si>
    <t>R4 LG 17</t>
  </si>
  <si>
    <t>Ms. SADHNA SINGH</t>
  </si>
  <si>
    <t>cwBOOKING/00046/22-23</t>
  </si>
  <si>
    <t>CCWFLAP/00011/22-23</t>
  </si>
  <si>
    <t>R4 LG 19</t>
  </si>
  <si>
    <t>Mr. RAJINDER SINGH YADAV</t>
  </si>
  <si>
    <t>cwBOOKING/00756/22-23</t>
  </si>
  <si>
    <t>cwFLAP/00598/22-23</t>
  </si>
  <si>
    <t>R4 UG 10</t>
  </si>
  <si>
    <t>Mr. Rajat Terence Richards</t>
  </si>
  <si>
    <t>cwBOOKING/00613/22-23</t>
  </si>
  <si>
    <t>cwFLAP/00597/22-23</t>
  </si>
  <si>
    <t>R4 UG 11</t>
  </si>
  <si>
    <t>Ms. Salvina Richards</t>
  </si>
  <si>
    <t>cwBOOKING/00352/22-23</t>
  </si>
  <si>
    <t>cwFLAP/00499/22-23</t>
  </si>
  <si>
    <t>R4 UG 17</t>
  </si>
  <si>
    <t>Ms. SURABHI MITTAL</t>
  </si>
  <si>
    <t>cwBOOKING/00367/22-23</t>
  </si>
  <si>
    <t>cwFLAP/00542/22-23</t>
  </si>
  <si>
    <t>R5 107</t>
  </si>
  <si>
    <t>Mr. SANJEEV KUMAR</t>
  </si>
  <si>
    <t>BLOCK-05</t>
  </si>
  <si>
    <t>cwBOOKING/00163/22-23</t>
  </si>
  <si>
    <t>cwFLAP/00168/22-23</t>
  </si>
  <si>
    <t>R5 109</t>
  </si>
  <si>
    <t>Ms. POOJA KIRAN TAGRA</t>
  </si>
  <si>
    <t>cwBOOKING/00148/22-23</t>
  </si>
  <si>
    <t>cwFLAP/00308/22-23</t>
  </si>
  <si>
    <t>R5 111</t>
  </si>
  <si>
    <t>Ms. GEETA SATYAKUMAR SINGH</t>
  </si>
  <si>
    <t>cwBOOKING/00659/22-23</t>
  </si>
  <si>
    <t>cwFLAP/00491/22-23</t>
  </si>
  <si>
    <t>R5 116</t>
  </si>
  <si>
    <t>M/S. Beauty Inn</t>
  </si>
  <si>
    <t>cwBOOKING/00619/22-23</t>
  </si>
  <si>
    <t>cwFLAP/00554/22-23</t>
  </si>
  <si>
    <t>R5 118</t>
  </si>
  <si>
    <t>Ms. Deepali Malik</t>
  </si>
  <si>
    <t>cwBOOKING/00068/22-23</t>
  </si>
  <si>
    <t>cwFLAP/00120/22-23</t>
  </si>
  <si>
    <t>R5 120</t>
  </si>
  <si>
    <t>Mr. SHALABH MALIK</t>
  </si>
  <si>
    <t>cwBOOKING/00170/23-24</t>
  </si>
  <si>
    <t>cwFLAP/01041/22-23</t>
  </si>
  <si>
    <t>R5 125</t>
  </si>
  <si>
    <t>Mr. Manish Arora</t>
  </si>
  <si>
    <t>cwBOOKING/00709/22-23</t>
  </si>
  <si>
    <t>cwFLAP/00950/22-23</t>
  </si>
  <si>
    <t>R5 127</t>
  </si>
  <si>
    <t>Ms. RENU YADAV</t>
  </si>
  <si>
    <t>cwBOOKING/00465/22-23</t>
  </si>
  <si>
    <t>cwFLAP/00763/22-23</t>
  </si>
  <si>
    <t>R5 129</t>
  </si>
  <si>
    <t>Mr. SHASHANK SHYAM SHARMA</t>
  </si>
  <si>
    <t>cwBOOKING/00407/22-23</t>
  </si>
  <si>
    <t>cwFLAP/00683/22-23</t>
  </si>
  <si>
    <t>R5 131</t>
  </si>
  <si>
    <t>Ms. KANCHAN KAKRAN</t>
  </si>
  <si>
    <t>cwBOOKING/00694/22-23</t>
  </si>
  <si>
    <t>cwFLAP/00565/22-23</t>
  </si>
  <si>
    <t>R5 133</t>
  </si>
  <si>
    <t>Mr. PARVEEN VERMA</t>
  </si>
  <si>
    <t>cwBOOKING/00397/22-23</t>
  </si>
  <si>
    <t>cwFLAP/00134/22-23</t>
  </si>
  <si>
    <t>R5 138</t>
  </si>
  <si>
    <t>Ms. ARTI MALIK</t>
  </si>
  <si>
    <t>cwBOOKING/00382/22-23</t>
  </si>
  <si>
    <t>cwFLAP/00409/22-23</t>
  </si>
  <si>
    <t>R5 141</t>
  </si>
  <si>
    <t>Ms. POONAM SAWHNEY</t>
  </si>
  <si>
    <t>cwBOOKING/00723/22-23</t>
  </si>
  <si>
    <t>cwFLAP/00961/22-23</t>
  </si>
  <si>
    <t>R5 144</t>
  </si>
  <si>
    <t>Ms. PRIYANKA PANDEY</t>
  </si>
  <si>
    <t>cwBOOKING/00065/23-24</t>
  </si>
  <si>
    <t>cwFLAP/00703/22-23</t>
  </si>
  <si>
    <t>R5 147</t>
  </si>
  <si>
    <t>Ms. SARITA DAHIYA</t>
  </si>
  <si>
    <t>cwBOOKING/00292/23-24</t>
  </si>
  <si>
    <t>cwFLAP/00165/23-24</t>
  </si>
  <si>
    <t>R5 149</t>
  </si>
  <si>
    <t>Ms. Sarika Jain</t>
  </si>
  <si>
    <t>cwBOOKING/00172/22-23</t>
  </si>
  <si>
    <t>cwFLAP/00336/22-23</t>
  </si>
  <si>
    <t>R5 152</t>
  </si>
  <si>
    <t>M/S. BLISS INFOSOFT PRIVATE LIMITED</t>
  </si>
  <si>
    <t>cwBOOKING/00171/22-23</t>
  </si>
  <si>
    <t>cwFLAP/00335/22-23</t>
  </si>
  <si>
    <t>R5 153</t>
  </si>
  <si>
    <t>cwBOOKING/00295/22-23</t>
  </si>
  <si>
    <t>cwFLAP/00277/22-23</t>
  </si>
  <si>
    <t>R5 155</t>
  </si>
  <si>
    <t>Mr. ASHOK KUMAR</t>
  </si>
  <si>
    <t>cwBOOKING/00247/22-23</t>
  </si>
  <si>
    <t>cwFLAP/00149/22-23</t>
  </si>
  <si>
    <t>R5 164</t>
  </si>
  <si>
    <t>Ms. INDU CHAWLA</t>
  </si>
  <si>
    <t>cwBOOKING/00245/22-23</t>
  </si>
  <si>
    <t>cwFLAP/00229/22-23</t>
  </si>
  <si>
    <t>R5 167</t>
  </si>
  <si>
    <t>Ms. SANGEETA SAINI</t>
  </si>
  <si>
    <t>cwBOOKING/00663/22-23</t>
  </si>
  <si>
    <t>cwFLAP/00595/22-23</t>
  </si>
  <si>
    <t>R5 170</t>
  </si>
  <si>
    <t>Ms. NEELAM SINGH</t>
  </si>
  <si>
    <t>cwBOOKING/00122/22-23</t>
  </si>
  <si>
    <t>cwFLAP/00276/22-23</t>
  </si>
  <si>
    <t>R5 201</t>
  </si>
  <si>
    <t>Ms. MONIKA DEVI</t>
  </si>
  <si>
    <t>cwBOOKING/00296/22-23</t>
  </si>
  <si>
    <t>cwFLAP/00021/22-23</t>
  </si>
  <si>
    <t>R5 209</t>
  </si>
  <si>
    <t>Ms. SAMIDHA SHIKHA</t>
  </si>
  <si>
    <t>cwBOOKING/00086/22-23</t>
  </si>
  <si>
    <t>cwFLAP/00221/22-23</t>
  </si>
  <si>
    <t>R5 223</t>
  </si>
  <si>
    <t>Mrs. RICHA KUMARI</t>
  </si>
  <si>
    <t>cwBOOKING/00190/22-23</t>
  </si>
  <si>
    <t>cwFLAP/00352/22-23</t>
  </si>
  <si>
    <t>R5 G 16</t>
  </si>
  <si>
    <t>Mr. RAJAT KUMAR KHANNA</t>
  </si>
  <si>
    <t>cwBOOKING/00480/22-23</t>
  </si>
  <si>
    <t>cwFLAP/00570/22-23</t>
  </si>
  <si>
    <t>R5 G 25</t>
  </si>
  <si>
    <t>Ms. Sangita Arora</t>
  </si>
  <si>
    <t>cwBOOKING/00080/22-23</t>
  </si>
  <si>
    <t>cwFLAP/00198/22-23</t>
  </si>
  <si>
    <t>R5 K 205</t>
  </si>
  <si>
    <t>Mr. SURINDER KUMAR</t>
  </si>
  <si>
    <t>Food Court</t>
  </si>
  <si>
    <t>cwBOOKING/00111/22-23</t>
  </si>
  <si>
    <t>cwFLAP/00255/22-23</t>
  </si>
  <si>
    <t>R5 K 209</t>
  </si>
  <si>
    <t>Ms. NIDHI MEHRA</t>
  </si>
  <si>
    <t>cwBOOKING/00292/22-23</t>
  </si>
  <si>
    <t>cwFLAP/00058/22-23</t>
  </si>
  <si>
    <t>R5 K 222</t>
  </si>
  <si>
    <t>Mr. GAURAV LAKHANPAL</t>
  </si>
  <si>
    <t>cwBOOKING/00272/23-24</t>
  </si>
  <si>
    <t>cwFLAP/00151/23-24</t>
  </si>
  <si>
    <t>R5 LG 01</t>
  </si>
  <si>
    <t>Mr. Pradeep Kumar Jain</t>
  </si>
  <si>
    <t>cwBOOKING/00758/22-23</t>
  </si>
  <si>
    <t>cwFLAP/00510/22-23</t>
  </si>
  <si>
    <t>R5 LG 05</t>
  </si>
  <si>
    <t>Ms. PARUL KUMAR</t>
  </si>
  <si>
    <t>cwBOOKING/00312/22-23</t>
  </si>
  <si>
    <t>cwFLAP/00263/22-23</t>
  </si>
  <si>
    <t>R5 LG 37</t>
  </si>
  <si>
    <t>Mr. VIJAY MAIRA</t>
  </si>
  <si>
    <t>cwBOOKING/00043/23-24</t>
  </si>
  <si>
    <t>cwFLAP/00907/22-23</t>
  </si>
  <si>
    <t>R5 LG 39</t>
  </si>
  <si>
    <t>Mr. ANIL KUMAR</t>
  </si>
  <si>
    <t>cwBOOKING/00706/22-23</t>
  </si>
  <si>
    <t>cwFLAP/00713/22-23</t>
  </si>
  <si>
    <t>R5 LG 45</t>
  </si>
  <si>
    <t>Mr. ANKIT KUMAR</t>
  </si>
  <si>
    <t>Mr. DEVENDER KUMAR</t>
  </si>
  <si>
    <t>cwBOOKING/00304/23-24</t>
  </si>
  <si>
    <t>cwFLAP/00192/23-24</t>
  </si>
  <si>
    <t>R5 LG 48</t>
  </si>
  <si>
    <t>Ms. Sapna</t>
  </si>
  <si>
    <t>cwBOOKING/00256/23-24</t>
  </si>
  <si>
    <t>cwFLAP/00135/23-24</t>
  </si>
  <si>
    <t>R5 LG 51</t>
  </si>
  <si>
    <t>Mr. Bharat Meena</t>
  </si>
  <si>
    <t>cwBOOKING/00282/23-24</t>
  </si>
  <si>
    <t>cwFLAP/00163/23-24</t>
  </si>
  <si>
    <t>R5 LG 52</t>
  </si>
  <si>
    <t>Ms. Asha Meena</t>
  </si>
  <si>
    <t>cwBOOKING/00514/22-23</t>
  </si>
  <si>
    <t>cwFLAP/00655/22-23</t>
  </si>
  <si>
    <t>R5 UG 06</t>
  </si>
  <si>
    <t>Ms. MANISHA SINGHAL</t>
  </si>
  <si>
    <t>cwBOOKING/00468/22-23</t>
  </si>
  <si>
    <t>cwFLAP/00769/22-23</t>
  </si>
  <si>
    <t>R5 UG 10</t>
  </si>
  <si>
    <t>Mr. OM PRAKASH ARORA</t>
  </si>
  <si>
    <t>cwBOOKING/00430/22-23</t>
  </si>
  <si>
    <t>cwFLAP/00233/22-23</t>
  </si>
  <si>
    <t>R5 UG 24</t>
  </si>
  <si>
    <t>Mrs. REKHA RANI</t>
  </si>
  <si>
    <t>cwBOOKING/00346/22-23</t>
  </si>
  <si>
    <t>cwFLAP/00170/22-23</t>
  </si>
  <si>
    <t>R5 UG 28</t>
  </si>
  <si>
    <t>Ms. VIJAY SHREE</t>
  </si>
  <si>
    <t>cwBOOKING/00517/22-23</t>
  </si>
  <si>
    <t>cwFLAP/00843/22-23</t>
  </si>
  <si>
    <t>R5 UG 31</t>
  </si>
  <si>
    <t>Ms. MEGHA GUPTA</t>
  </si>
  <si>
    <t>cwBOOKING/00076/23-24</t>
  </si>
  <si>
    <t>cwFLAP/01075/22-23</t>
  </si>
  <si>
    <t>R5 UG 35</t>
  </si>
  <si>
    <t>Ms. AMARJEET NAMSOT</t>
  </si>
  <si>
    <t>cwBOOKING/00722/22-23</t>
  </si>
  <si>
    <t>cwFLAP/00425/22-23</t>
  </si>
  <si>
    <t>R5 UG 36</t>
  </si>
  <si>
    <t>Ms. SHILPA KUKREJA</t>
  </si>
  <si>
    <t>cwBOOKING/00421/22-23</t>
  </si>
  <si>
    <t>cwFLAP/00390/22-23</t>
  </si>
  <si>
    <t>R5 UG 39</t>
  </si>
  <si>
    <t>Mr. SANDEEP KUMAR</t>
  </si>
  <si>
    <t>cwBOOKING/00432/22-23</t>
  </si>
  <si>
    <t>cwFLAP/00258/22-23</t>
  </si>
  <si>
    <t>R5 UG 42</t>
  </si>
  <si>
    <t>Mr. MRITUNJAY KUMAR SINGH</t>
  </si>
  <si>
    <t>cwBOOKING/00009/22-23</t>
  </si>
  <si>
    <t>CCWFLAP/00013/22-23</t>
  </si>
  <si>
    <t>R6 124</t>
  </si>
  <si>
    <t>Mr. SAURABH ARORA</t>
  </si>
  <si>
    <t>BLOCK-06</t>
  </si>
  <si>
    <t>cwBOOKING/00142/22-23</t>
  </si>
  <si>
    <t>cwFLAP/00302/22-23</t>
  </si>
  <si>
    <t>R6 127</t>
  </si>
  <si>
    <t>Ms. SANJEETA SEHRAWAT</t>
  </si>
  <si>
    <t>cwBOOKING/00101/22-23</t>
  </si>
  <si>
    <t>cwFLAP/00129/22-23</t>
  </si>
  <si>
    <t>R6 206</t>
  </si>
  <si>
    <t>Mr. Anuj Garg</t>
  </si>
  <si>
    <t>cwBOOKING/00192/22-23</t>
  </si>
  <si>
    <t>cwFLAP/00070/22-23</t>
  </si>
  <si>
    <t>R6 217</t>
  </si>
  <si>
    <t>Mr. NARAIN SINGH</t>
  </si>
  <si>
    <t>cwBOOKING/00228/22-23</t>
  </si>
  <si>
    <t>cwFLAP/00379/22-23</t>
  </si>
  <si>
    <t>R6 220</t>
  </si>
  <si>
    <t>Ms. Mamta Rani</t>
  </si>
  <si>
    <t>cwBOOKING/00186/23-24</t>
  </si>
  <si>
    <t>cwFLAP/01051/22-23</t>
  </si>
  <si>
    <t>R6 230</t>
  </si>
  <si>
    <t>Ms. KIRAN KOUSHAL</t>
  </si>
  <si>
    <t>cwBOOKING/00714/22-23</t>
  </si>
  <si>
    <t>cwFLAP/00487/22-23</t>
  </si>
  <si>
    <t>R6 LG 10</t>
  </si>
  <si>
    <t>Mr. VIKAS YADAV</t>
  </si>
  <si>
    <t>cwBOOKING/00006/22-23</t>
  </si>
  <si>
    <t>cwFLAP/00008/22-23</t>
  </si>
  <si>
    <t>R6 LG 20</t>
  </si>
  <si>
    <t>Mr. JASBIR SINGH LOYAL</t>
  </si>
  <si>
    <t>cwBOOKING/00416/22-23</t>
  </si>
  <si>
    <t>cwFLAP/00489/22-23</t>
  </si>
  <si>
    <t>R6 UG 16</t>
  </si>
  <si>
    <t>Mr. KARAN THUKRAL</t>
  </si>
  <si>
    <t>cwBOOKING/00038/22-23</t>
  </si>
  <si>
    <t>cwFLAP/00075/22-23</t>
  </si>
  <si>
    <t>R6 UG 18</t>
  </si>
  <si>
    <t>Ms. JYOTI KAPOOR</t>
  </si>
  <si>
    <t>Pre Payment +Accu</t>
  </si>
  <si>
    <t>cwBOOKING/00089/22-23</t>
  </si>
  <si>
    <t>cwFLAP/00225/22-23</t>
  </si>
  <si>
    <t>R6 UG 19</t>
  </si>
  <si>
    <t>Mr. MOHINDER SINGH VERMA</t>
  </si>
  <si>
    <t>cwBOOKING/00017/24-25</t>
  </si>
  <si>
    <t>cwFLAP/00011/24-25</t>
  </si>
  <si>
    <t>R5 LG 22</t>
  </si>
  <si>
    <t>Mr. Rajul Shrivastava</t>
  </si>
  <si>
    <t>cwBOOKING/00018/24-25</t>
  </si>
  <si>
    <t>cwFLAP/00016/24-25</t>
  </si>
  <si>
    <t>R5 140</t>
  </si>
  <si>
    <t>Ms. Geeta Devi</t>
  </si>
  <si>
    <t>cwBOOKING/00006/25-26</t>
  </si>
  <si>
    <t>cwFLAP/00018/24-25</t>
  </si>
  <si>
    <t>R2 108</t>
  </si>
  <si>
    <t>M/S. Gouri Prasad Das (HUF)</t>
  </si>
  <si>
    <t>cwBOOKING/00010/25-26</t>
  </si>
  <si>
    <t>cwFLAP/00007/25-26</t>
  </si>
  <si>
    <t>R1 UG 11</t>
  </si>
  <si>
    <t>Mr. Rajiv Gupta</t>
  </si>
  <si>
    <t>cwBOOKING/00162/22-23</t>
  </si>
  <si>
    <t>cwFLAP/00332/22-23</t>
  </si>
  <si>
    <t>R5 203</t>
  </si>
  <si>
    <t>Ms. USHA NAYAR</t>
  </si>
  <si>
    <t>cwBOOKING/00209/22-23</t>
  </si>
  <si>
    <t>cwFLAP/00364/22-23</t>
  </si>
  <si>
    <t>R6 209</t>
  </si>
  <si>
    <t>Ms. RENUBALA MADAN</t>
  </si>
  <si>
    <t>cwBOOKING/00034/23-24</t>
  </si>
  <si>
    <t>cwFLAP/00948/22-23</t>
  </si>
  <si>
    <t>R3 LG 68</t>
  </si>
  <si>
    <t>Ms. KULVINDER KAUR</t>
  </si>
  <si>
    <t>cwBOOKING/00338/22-23</t>
  </si>
  <si>
    <t>cwFLAP/00494/22-23</t>
  </si>
  <si>
    <t>R4 223</t>
  </si>
  <si>
    <t>Ms. RISHITA MOHITE</t>
  </si>
  <si>
    <t>cwBOOKING/00309/23-24</t>
  </si>
  <si>
    <t>cwFLAP/00210/23-24</t>
  </si>
  <si>
    <t>R5 LG 18</t>
  </si>
  <si>
    <t>Mrs. VARSHA RANI</t>
  </si>
  <si>
    <t>cwBOOKING/00144/22-23</t>
  </si>
  <si>
    <t>cwFLAP/00303/22-23</t>
  </si>
  <si>
    <t>R4 127</t>
  </si>
  <si>
    <t>Mr. NITIN YADAV</t>
  </si>
  <si>
    <t>cwBOOKING/00499/22-23</t>
  </si>
  <si>
    <t>cwFLAP/00818/22-23</t>
  </si>
  <si>
    <t>R3 LG 48</t>
  </si>
  <si>
    <t>Mr. BIKASH KALITA</t>
  </si>
  <si>
    <t>cwBOOKING/00379/22-23</t>
  </si>
  <si>
    <t>cwFLAP/00574/22-23</t>
  </si>
  <si>
    <t>R1 122</t>
  </si>
  <si>
    <t>Ms. INDIRA YADAV</t>
  </si>
  <si>
    <t>cwBOOKING/00332/22-23</t>
  </si>
  <si>
    <t>cwFLAP/00484/22-23</t>
  </si>
  <si>
    <t>R5 UG 25</t>
  </si>
  <si>
    <t>Ms. SAROJ MANCHANDA</t>
  </si>
  <si>
    <t>cwBOOKING/00776/22-23</t>
  </si>
  <si>
    <t>cwFLAP/00906/22-23</t>
  </si>
  <si>
    <t>R3 LG 56</t>
  </si>
  <si>
    <t>Ms. SUMAN YADAV</t>
  </si>
  <si>
    <t>cwBOOKING/00283/23-24</t>
  </si>
  <si>
    <t>cwFLAP/00177/23-24</t>
  </si>
  <si>
    <t>R1 202</t>
  </si>
  <si>
    <t>Ms. GEETA</t>
  </si>
  <si>
    <t>cwBOOKING/00458/22-23</t>
  </si>
  <si>
    <t>cwFLAP/00568/22-23</t>
  </si>
  <si>
    <t>R1 257</t>
  </si>
  <si>
    <t>Ms. ANITA MANCHANDA</t>
  </si>
  <si>
    <t>cwBOOKING/00374/22-23</t>
  </si>
  <si>
    <t>cwFLAP/00215/22-23</t>
  </si>
  <si>
    <t>R4 120</t>
  </si>
  <si>
    <t>M/S. CONGRUENCE CONSULTING LLP</t>
  </si>
  <si>
    <t>cwBOOKING/00654/22-23</t>
  </si>
  <si>
    <t>cwFLAP/00820/22-23</t>
  </si>
  <si>
    <t>R3 LG 50</t>
  </si>
  <si>
    <t>Ms. AISHWARYA SINGH</t>
  </si>
  <si>
    <t>cwBOOKING/00515/22-23</t>
  </si>
  <si>
    <t>cwFLAP/00758/22-23</t>
  </si>
  <si>
    <t>R3 LG 34</t>
  </si>
  <si>
    <t>Mr. UDAY VIR BENIWAL</t>
  </si>
  <si>
    <t>cwBOOKING/00061/23-24</t>
  </si>
  <si>
    <t>cwFLAP/01069/22-23</t>
  </si>
  <si>
    <t>R3 LG 53</t>
  </si>
  <si>
    <t>Ms. NISHI RATHORE</t>
  </si>
  <si>
    <t>cwBOOKING/00242/23-24</t>
  </si>
  <si>
    <t>cwFLAP/00073/23-24</t>
  </si>
  <si>
    <t>R3 LG 86</t>
  </si>
  <si>
    <t>cwBOOKING/00003/24-25</t>
  </si>
  <si>
    <t>cwFLAP/00201/23-24</t>
  </si>
  <si>
    <t>R2 102</t>
  </si>
  <si>
    <t>Mr. Sandeep Narula</t>
  </si>
  <si>
    <t>cwBOOKING/00473/22-23</t>
  </si>
  <si>
    <t>cwFLAP/00288/22-23</t>
  </si>
  <si>
    <t>R5 UG 12A</t>
  </si>
  <si>
    <t>Ms. ROSHNI</t>
  </si>
  <si>
    <t>cwBOOKING/00112/23-24</t>
  </si>
  <si>
    <t>cwFLAP/01018/22-23</t>
  </si>
  <si>
    <t>R2 LG 05</t>
  </si>
  <si>
    <t>Mrs. VANDANA</t>
  </si>
  <si>
    <t>cwBOOKING/00251/22-23</t>
  </si>
  <si>
    <t>cwFLAP/00375/22-23</t>
  </si>
  <si>
    <t>R5 K 208</t>
  </si>
  <si>
    <t>Mr. VIKRAM SHARMA</t>
  </si>
  <si>
    <t>cwBOOKING/00693/22-23</t>
  </si>
  <si>
    <t>cwFLAP/00581/22-23</t>
  </si>
  <si>
    <t>R1 254</t>
  </si>
  <si>
    <t>Mr. ROHAN GOEL</t>
  </si>
  <si>
    <t>cwBOOKING/00315/22-23</t>
  </si>
  <si>
    <t>cwFLAP/00387/22-23</t>
  </si>
  <si>
    <t>R4 UG 23</t>
  </si>
  <si>
    <t>Mr. TABARAK HUSSAIN KHAN</t>
  </si>
  <si>
    <t>cwBOOKING/00095/22-23</t>
  </si>
  <si>
    <t>cwFLAP/00239/22-23</t>
  </si>
  <si>
    <t>R5 220</t>
  </si>
  <si>
    <t>Mr. PULKIT TAYAL</t>
  </si>
  <si>
    <t>cwBOOKING/00656/22-23</t>
  </si>
  <si>
    <t>cwFLAP/00919/22-23</t>
  </si>
  <si>
    <t>R5 LG 43</t>
  </si>
  <si>
    <t>Ms. RAMADEVI BOPPANA</t>
  </si>
  <si>
    <t>cwBOOKING/00286/22-23</t>
  </si>
  <si>
    <t>cwFLAP/00206/22-23</t>
  </si>
  <si>
    <t>R5 117</t>
  </si>
  <si>
    <t>Ms. JASVEEN KHARBANDA</t>
  </si>
  <si>
    <t>cwBOOKING/00234/22-23</t>
  </si>
  <si>
    <t>cwFLAP/00270/22-23</t>
  </si>
  <si>
    <t>R5 165</t>
  </si>
  <si>
    <t>Mr. RAGHAV KAHOL</t>
  </si>
  <si>
    <t>cwBOOKING/00270/22-23</t>
  </si>
  <si>
    <t>cwFLAP/00437/22-23</t>
  </si>
  <si>
    <t>R5 K 201</t>
  </si>
  <si>
    <t>Ms. POOJA GUPTA</t>
  </si>
  <si>
    <t>cwBOOKING/00085/22-23</t>
  </si>
  <si>
    <t>cwFLAP/00220/22-23</t>
  </si>
  <si>
    <t>R4 124</t>
  </si>
  <si>
    <t>Ms. GAYATRI KUNDU</t>
  </si>
  <si>
    <t>cwBOOKING/00252/23-24</t>
  </si>
  <si>
    <t>cwFLAP/00140/23-24</t>
  </si>
  <si>
    <t>R1 LG 07</t>
  </si>
  <si>
    <t>Mr. Tulsi Ram Gupta</t>
  </si>
  <si>
    <t>cwBOOKING/00087/23-24</t>
  </si>
  <si>
    <t>cwFLAP/00012/23-24</t>
  </si>
  <si>
    <t>R6 114</t>
  </si>
  <si>
    <t>Ms. RAJ BALA JAIN</t>
  </si>
  <si>
    <t>cwBOOKING/00700/22-23</t>
  </si>
  <si>
    <t>cwFLAP/00652/22-23</t>
  </si>
  <si>
    <t>R1 UG 14</t>
  </si>
  <si>
    <t>Mr. DEEPINDER SINGH JAGGI</t>
  </si>
  <si>
    <t>cwBOOKING/00310/22-23</t>
  </si>
  <si>
    <t>cwFLAP/00257/22-23</t>
  </si>
  <si>
    <t>R5 UG 32</t>
  </si>
  <si>
    <t>Mr. GAURAV ARORA</t>
  </si>
  <si>
    <t>cwBOOKING/00024/23-24</t>
  </si>
  <si>
    <t>cwFLAP/01014/22-23</t>
  </si>
  <si>
    <t>R3 LG 87</t>
  </si>
  <si>
    <t>Mr. HARISH KUMAR KOCHAR</t>
  </si>
  <si>
    <t>cwBOOKING/00692/22-23</t>
  </si>
  <si>
    <t>cwFLAP/00590/22-23</t>
  </si>
  <si>
    <t>R4 134</t>
  </si>
  <si>
    <t>Mr. NITESH KUNDU</t>
  </si>
  <si>
    <t>cwBOOKING/00237/22-23</t>
  </si>
  <si>
    <t>cwFLAP/00162/22-23</t>
  </si>
  <si>
    <t>R6 UG 23</t>
  </si>
  <si>
    <t>Mr. AMIT TOKAS</t>
  </si>
  <si>
    <t>cwBOOKING/00392/22-23</t>
  </si>
  <si>
    <t>cwFLAP/00319/22-23</t>
  </si>
  <si>
    <t>R1 223</t>
  </si>
  <si>
    <t>Ms. ANITA OJHA</t>
  </si>
  <si>
    <t>cwBOOKING/00030/22-23</t>
  </si>
  <si>
    <t>cwFLAP/00054/22-23</t>
  </si>
  <si>
    <t>R6 112</t>
  </si>
  <si>
    <t>Ms. KUSAM</t>
  </si>
  <si>
    <t>cwBOOKING/00783/22-23</t>
  </si>
  <si>
    <t>cwFLAP/00728/22-23</t>
  </si>
  <si>
    <t>R6 207</t>
  </si>
  <si>
    <t>Mr. CHETAN AGRAWAL</t>
  </si>
  <si>
    <t>cwBOOKING/00657/22-23</t>
  </si>
  <si>
    <t>cwFLAP/00507/22-23</t>
  </si>
  <si>
    <t>R6 LG 12A</t>
  </si>
  <si>
    <t>Ms. Sunita Kajal</t>
  </si>
  <si>
    <t>cwBOOKING/00054/22-23</t>
  </si>
  <si>
    <t>CCWFLAP/00015/22-23</t>
  </si>
  <si>
    <t>R6 LG 14</t>
  </si>
  <si>
    <t>M/S. SKETS STUDIO PVT LTD</t>
  </si>
  <si>
    <t>cwBOOKING/00641/22-23</t>
  </si>
  <si>
    <t>cwFLAP/00397/22-23</t>
  </si>
  <si>
    <t>R4 LG 05</t>
  </si>
  <si>
    <t>Ms. Poonam Mehta</t>
  </si>
  <si>
    <t>cwBOOKING/00131/22-23</t>
  </si>
  <si>
    <t>cwFLAP/00123/22-23</t>
  </si>
  <si>
    <t>R5 132</t>
  </si>
  <si>
    <t>Mr. NIRAJ KUMAR CHHABRA</t>
  </si>
  <si>
    <t>cwBOOKING/00001/24-25</t>
  </si>
  <si>
    <t>cwFLAP/00208/23-24</t>
  </si>
  <si>
    <t>R5 154</t>
  </si>
  <si>
    <t>Mr. Nitesh Sharma</t>
  </si>
  <si>
    <t>cwBOOKING/00126/23-24</t>
  </si>
  <si>
    <t>cwFLAP/00037/23-24</t>
  </si>
  <si>
    <t>R1 UG 05</t>
  </si>
  <si>
    <t>Mr. SUMIT KANSAL</t>
  </si>
  <si>
    <t>cwBOOKING/00181/22-23</t>
  </si>
  <si>
    <t>cwFLAP/00327/22-23</t>
  </si>
  <si>
    <t>R4 119</t>
  </si>
  <si>
    <t>Mr. DARSHAN LAL GAURI</t>
  </si>
  <si>
    <t>cwBOOKING/00116/22-23</t>
  </si>
  <si>
    <t>cwFLAP/00272/22-23</t>
  </si>
  <si>
    <t>R4 143</t>
  </si>
  <si>
    <t>Mr. PULKIT GUPTA</t>
  </si>
  <si>
    <t>cwBOOKING/00513/22-23</t>
  </si>
  <si>
    <t>cwFLAP/00839/22-23</t>
  </si>
  <si>
    <t>R4 UG 12A</t>
  </si>
  <si>
    <t>Ms. SARITA SINGH</t>
  </si>
  <si>
    <t>cwBOOKING/00044/23-24</t>
  </si>
  <si>
    <t>cwFLAP/01038/22-23</t>
  </si>
  <si>
    <t>R1 LG 14</t>
  </si>
  <si>
    <t>Ms. SHEELA SHARMA</t>
  </si>
  <si>
    <t>cwBOOKING/00475/22-23</t>
  </si>
  <si>
    <t>cwFLAP/00776/22-23</t>
  </si>
  <si>
    <t>R2 UG 10</t>
  </si>
  <si>
    <t>Mr. ANIL SHARMA</t>
  </si>
  <si>
    <t>cwBOOKING/00751/22-23</t>
  </si>
  <si>
    <t>cwFLAP/00694/22-23</t>
  </si>
  <si>
    <t>R5 UG 14</t>
  </si>
  <si>
    <t>Ms. RITU SETHI</t>
  </si>
  <si>
    <t>cwBOOKING/00068/23-24</t>
  </si>
  <si>
    <t>cwFLAP/01072/22-23</t>
  </si>
  <si>
    <t>R6 LG 05</t>
  </si>
  <si>
    <t>Mr. TARUN JOLLY</t>
  </si>
  <si>
    <t>cwBOOKING/00029/22-23</t>
  </si>
  <si>
    <t>cwFLAP/00051/22-23</t>
  </si>
  <si>
    <t>R1 230</t>
  </si>
  <si>
    <t>Ms. SEEMA ANISH MALHOTRA</t>
  </si>
  <si>
    <t>Mr. ANISH MALHOTRA</t>
  </si>
  <si>
    <t>cwBOOKING/00725/22-23</t>
  </si>
  <si>
    <t>cwFLAP/00962/22-23</t>
  </si>
  <si>
    <t>R1 UG 31</t>
  </si>
  <si>
    <t>Mr. RAJ KUMAR PANWAR</t>
  </si>
  <si>
    <t>cwBOOKING/00742/22-23</t>
  </si>
  <si>
    <t>cwFLAP/00973/22-23</t>
  </si>
  <si>
    <t>R1 139</t>
  </si>
  <si>
    <t>Ms. NISHA SHARMA</t>
  </si>
  <si>
    <t>cwBOOKING/00245/23-24</t>
  </si>
  <si>
    <t>cwFLAP/00134/23-24</t>
  </si>
  <si>
    <t>R1 159</t>
  </si>
  <si>
    <t>Mr. Jitendra Panchal</t>
  </si>
  <si>
    <t>cwBOOKING/00110/22-23</t>
  </si>
  <si>
    <t>cwFLAP/00254/22-23</t>
  </si>
  <si>
    <t>R4 121</t>
  </si>
  <si>
    <t>Ms. RASHMI PANWAR</t>
  </si>
  <si>
    <t>cwBOOKING/00594/22-23</t>
  </si>
  <si>
    <t>cwFLAP/00450/22-23</t>
  </si>
  <si>
    <t>R4 UG 02</t>
  </si>
  <si>
    <t>Ms. Alka Sharma</t>
  </si>
  <si>
    <t>cwBOOKING/00511/22-23</t>
  </si>
  <si>
    <t>cwFAP0026/00007/22-23</t>
  </si>
  <si>
    <t>R1 124</t>
  </si>
  <si>
    <t>Mr. SANDEEP BARSAINYA</t>
  </si>
  <si>
    <t>cwBOOKING/00048/23-24</t>
  </si>
  <si>
    <t>cwFLAP/00630/22-23</t>
  </si>
  <si>
    <t>R2 205</t>
  </si>
  <si>
    <t>Ms. GEETA VIJ</t>
  </si>
  <si>
    <t>cwBOOKING/00046/23-24</t>
  </si>
  <si>
    <t>cwFLAP/00939/22-23</t>
  </si>
  <si>
    <t>R3 UG 33</t>
  </si>
  <si>
    <t>Ms. GEETA GUPTA</t>
  </si>
  <si>
    <t>cwBOOKING/00768/22-23</t>
  </si>
  <si>
    <t>cwFLAP/00571/22-23</t>
  </si>
  <si>
    <t>R5 UG 03</t>
  </si>
  <si>
    <t>Mr. Vikas Kumar Sharma</t>
  </si>
  <si>
    <t>cwBOOKING/00253/23-24</t>
  </si>
  <si>
    <t>cwFLAP/00141/23-24</t>
  </si>
  <si>
    <t>R1 LG 06</t>
  </si>
  <si>
    <t>Mr. Tilak Raj Narang</t>
  </si>
  <si>
    <t>cwBOOKING/00030/23-24</t>
  </si>
  <si>
    <t>cwFLAP/00601/22-23</t>
  </si>
  <si>
    <t>R6 118</t>
  </si>
  <si>
    <t>Mr. MANOJ KUMAR GUPTA</t>
  </si>
  <si>
    <t>cwBOOKING/00739/22-23</t>
  </si>
  <si>
    <t>cwFLAP/00564/22-23</t>
  </si>
  <si>
    <t>R1 UG 17</t>
  </si>
  <si>
    <t>Ms. ANJANA JARYAL</t>
  </si>
  <si>
    <t>cwBOOKING/00505/22-23</t>
  </si>
  <si>
    <t>cwFLAP/00678/22-23</t>
  </si>
  <si>
    <t>R1 129</t>
  </si>
  <si>
    <t>Ms. NITA NIJHARA</t>
  </si>
  <si>
    <t>cwBOOKING/00005/22-23</t>
  </si>
  <si>
    <t>cwFLAP/00001/22-23</t>
  </si>
  <si>
    <t>R4 LG 06</t>
  </si>
  <si>
    <t>cwBOOKING/00088/22-23</t>
  </si>
  <si>
    <t>cwFLAP/00223/22-23</t>
  </si>
  <si>
    <t>R5 K 212</t>
  </si>
  <si>
    <t>Ms. PRITTY RAO</t>
  </si>
  <si>
    <t>cwBOOKING/00215/22-23</t>
  </si>
  <si>
    <t>cwFLAP/00197/22-23</t>
  </si>
  <si>
    <t>R4 239</t>
  </si>
  <si>
    <t>M/S. UBUNTU &amp; ORENDA PRIVATE LIMITED</t>
  </si>
  <si>
    <t>cwBOOKING/00280/23-24</t>
  </si>
  <si>
    <t>cwFLAP/00170/23-24</t>
  </si>
  <si>
    <t>R1 LG 18</t>
  </si>
  <si>
    <t>Mr. SIKANDERDEEP SINGH</t>
  </si>
  <si>
    <t>cwBOOKING/00029/23-24</t>
  </si>
  <si>
    <t>cwFLAP/00602/22-23</t>
  </si>
  <si>
    <t>R6 119</t>
  </si>
  <si>
    <t>Ms. SEEMA GUPTA</t>
  </si>
  <si>
    <t>cwBOOKING/00494/22-23</t>
  </si>
  <si>
    <t>cwFLAP/00756/22-23</t>
  </si>
  <si>
    <t>R3 LG 12</t>
  </si>
  <si>
    <t>Ms. NINA NEHRA</t>
  </si>
  <si>
    <t>cwBOOKING/00667/22-23</t>
  </si>
  <si>
    <t>cwFLAP/00922/22-23</t>
  </si>
  <si>
    <t>R5 LG 33</t>
  </si>
  <si>
    <t>Ms. Sunita Yadav</t>
  </si>
  <si>
    <t>cwBOOKING/00639/22-23</t>
  </si>
  <si>
    <t>cwFLAP/00911/22-23</t>
  </si>
  <si>
    <t>R2 LG 03</t>
  </si>
  <si>
    <t>Ms. RATANI DEVI</t>
  </si>
  <si>
    <t>cwBOOKING/00705/22-23</t>
  </si>
  <si>
    <t>cwFLAP/00501/22-23</t>
  </si>
  <si>
    <t>R4 136</t>
  </si>
  <si>
    <t>Mr. SACHIN SHARMA</t>
  </si>
  <si>
    <t>cwBOOKING/00306/23-24</t>
  </si>
  <si>
    <t>cwFLAP/00196/23-24</t>
  </si>
  <si>
    <t>R2 103</t>
  </si>
  <si>
    <t>Mrs. Naveen Narula</t>
  </si>
  <si>
    <t>cwBOOKING/00534/22-23</t>
  </si>
  <si>
    <t>cwFLAP/00519/22-23</t>
  </si>
  <si>
    <t>R5 102</t>
  </si>
  <si>
    <t>Ms. SHALINI GUPTA</t>
  </si>
  <si>
    <t>cwBOOKING/00081/22-23</t>
  </si>
  <si>
    <t>cwFLAP/00199/22-23</t>
  </si>
  <si>
    <t>R5 K 214</t>
  </si>
  <si>
    <t>Mr. BIJENDER KUMAR CHAUHAN</t>
  </si>
  <si>
    <t>cwBOOKING/00782/22-23</t>
  </si>
  <si>
    <t>cwFLAP/00775/22-23</t>
  </si>
  <si>
    <t>R5 UG 18</t>
  </si>
  <si>
    <t>Mr. UDAY SINGH</t>
  </si>
  <si>
    <t>cwBOOKING/00604/22-23</t>
  </si>
  <si>
    <t>cwFLAP/00903/22-23</t>
  </si>
  <si>
    <t>R1 UG 24</t>
  </si>
  <si>
    <t>Mr. MANISH SHOKEEN</t>
  </si>
  <si>
    <t>cwBOOKING/00149/23-24</t>
  </si>
  <si>
    <t>cwFLAP/00029/23-24</t>
  </si>
  <si>
    <t>R3 LG 66</t>
  </si>
  <si>
    <t>Ms. HARSIMRAN TIWANA</t>
  </si>
  <si>
    <t>cwBOOKING/00371/22-23</t>
  </si>
  <si>
    <t>cwFLAP/00204/22-23</t>
  </si>
  <si>
    <t>R5 206</t>
  </si>
  <si>
    <t>Ms. ANJALI SHARMA</t>
  </si>
  <si>
    <t>cwBOOKING/00270/23-24</t>
  </si>
  <si>
    <t>cwFLAP/00161/23-24</t>
  </si>
  <si>
    <t>R3 LG 75</t>
  </si>
  <si>
    <t>Mr. Didar Singh</t>
  </si>
  <si>
    <t>cwBOOKING/00437/22-23</t>
  </si>
  <si>
    <t>cwFLAP/00720/22-23</t>
  </si>
  <si>
    <t>R5 LG 36</t>
  </si>
  <si>
    <t>Mr. MANISH MAHAJAN</t>
  </si>
  <si>
    <t>cwBOOKING/00003/22-23</t>
  </si>
  <si>
    <t>CCWFLAP/00004/22-23</t>
  </si>
  <si>
    <t>R5 212A</t>
  </si>
  <si>
    <t>Mr. HARENDRA KUMAR</t>
  </si>
  <si>
    <t>cwBOOKING/00688/22-23</t>
  </si>
  <si>
    <t>cwFLAP/00596/22-23</t>
  </si>
  <si>
    <t>R5 143</t>
  </si>
  <si>
    <t>Mr. VISHAL KAMRA</t>
  </si>
  <si>
    <t>cwBOOKING/00400/22-23</t>
  </si>
  <si>
    <t>cwFLAP/00464/22-23</t>
  </si>
  <si>
    <t>R1 246</t>
  </si>
  <si>
    <t>Mr. Rajiv Kumar</t>
  </si>
  <si>
    <t>cwBOOKING/00479/22-23</t>
  </si>
  <si>
    <t>cwFLAP/00783/22-23</t>
  </si>
  <si>
    <t>R5 UG 05</t>
  </si>
  <si>
    <t>Mr. ASHOK KUMAR WADHAWAN</t>
  </si>
  <si>
    <t>cwBOOKING/00541/22-23</t>
  </si>
  <si>
    <t>cwFLAP/00639/22-23</t>
  </si>
  <si>
    <t>R2 202</t>
  </si>
  <si>
    <t>Mr. HARISH CHANDER BHARTOLA</t>
  </si>
  <si>
    <t>cwBOOKING/00740/22-23</t>
  </si>
  <si>
    <t>cwFLAP/00646/22-23</t>
  </si>
  <si>
    <t>R1 120</t>
  </si>
  <si>
    <t>Mr. SUNIL KAUSHIK</t>
  </si>
  <si>
    <t>Ms. MEENU</t>
  </si>
  <si>
    <t>cwBOOKING/00064/23-24</t>
  </si>
  <si>
    <t>cwFLAP/01026/22-23</t>
  </si>
  <si>
    <t>R3 UG 32</t>
  </si>
  <si>
    <t>M/S. WORKIFY OFFICES</t>
  </si>
  <si>
    <t>cwBOOKING/00501/22-23</t>
  </si>
  <si>
    <t>cwFLAP/00293/22-23</t>
  </si>
  <si>
    <t>R4 UG 08</t>
  </si>
  <si>
    <t>Mr. BRAHMA NAND HARIT</t>
  </si>
  <si>
    <t>cwBOOKING/00306/22-23</t>
  </si>
  <si>
    <t>cwFLAP/00252/22-23</t>
  </si>
  <si>
    <t>R4 UG 07</t>
  </si>
  <si>
    <t>Ms. JYOTI</t>
  </si>
  <si>
    <t>cwBOOKING/00661/22-23</t>
  </si>
  <si>
    <t>cwFLAP/00556/22-23</t>
  </si>
  <si>
    <t>R4 140</t>
  </si>
  <si>
    <t>Ms. NEELIMA RAJ</t>
  </si>
  <si>
    <t>cwBOOKING/00142/23-24</t>
  </si>
  <si>
    <t>cwFLAP/01028/22-23</t>
  </si>
  <si>
    <t>R1 LG 16</t>
  </si>
  <si>
    <t>Ms. RITA MALIK</t>
  </si>
  <si>
    <t>cwBOOKING/00264/22-23</t>
  </si>
  <si>
    <t>cwFLAP/00338/22-23</t>
  </si>
  <si>
    <t>R5 166</t>
  </si>
  <si>
    <t>Ms. SURBHI VERMA</t>
  </si>
  <si>
    <t>cwBOOKING/00415/22-23</t>
  </si>
  <si>
    <t>cwFLAP/00452/22-23</t>
  </si>
  <si>
    <t>R6 LG 17</t>
  </si>
  <si>
    <t>Mr. NEERAJ KUMAR SINGH TOMAR</t>
  </si>
  <si>
    <t>cwBOOKING/00635/22-23</t>
  </si>
  <si>
    <t>cwFLAP/00910/22-23</t>
  </si>
  <si>
    <t>R1 K 305</t>
  </si>
  <si>
    <t>Mr. HARISH KUMAR DUSEJA</t>
  </si>
  <si>
    <t>FLOOR 3</t>
  </si>
  <si>
    <t>cwBOOKING/00111/23-24</t>
  </si>
  <si>
    <t>cwFLAP/00026/23-24</t>
  </si>
  <si>
    <t>R1 130</t>
  </si>
  <si>
    <t>Mr. ANKIT PATEL</t>
  </si>
  <si>
    <t>cwBOOKING/00503/22-23</t>
  </si>
  <si>
    <t>cwFLAP/00828/22-23</t>
  </si>
  <si>
    <t>R5 UG 41</t>
  </si>
  <si>
    <t>Ms. BONDADA LAKSHMI SAILAJA</t>
  </si>
  <si>
    <t>cwBOOKING/00178/22-23</t>
  </si>
  <si>
    <t>cwFLAP/00154/22-23</t>
  </si>
  <si>
    <t>R4 210</t>
  </si>
  <si>
    <t>Mr. ABHINAV GUPTA</t>
  </si>
  <si>
    <t>cwBOOKING/00781/22-23</t>
  </si>
  <si>
    <t>cwFLAP/01003/22-23</t>
  </si>
  <si>
    <t>R4 LG 12</t>
  </si>
  <si>
    <t>cwBOOKING/00198/22-23</t>
  </si>
  <si>
    <t>cwFLAP/00190/22-23</t>
  </si>
  <si>
    <t>R4 206</t>
  </si>
  <si>
    <t>Ms. SEEMA CHAUDHARY</t>
  </si>
  <si>
    <t>cwBOOKING/00107/23-24</t>
  </si>
  <si>
    <t>cwFLAP/01032/22-23</t>
  </si>
  <si>
    <t>R3 UG 04</t>
  </si>
  <si>
    <t>Ms. ANITA BANSAL</t>
  </si>
  <si>
    <t>cwBOOKING/00509/22-23</t>
  </si>
  <si>
    <t>cwFLAP/00755/22-23</t>
  </si>
  <si>
    <t>R3 LG 35</t>
  </si>
  <si>
    <t>Ms. URVI MALHOTRA</t>
  </si>
  <si>
    <t>cwBOOKING/00665/22-23</t>
  </si>
  <si>
    <t>cwFLAP/00685/22-23</t>
  </si>
  <si>
    <t>R6 LG 02</t>
  </si>
  <si>
    <t>Ms. POONAM</t>
  </si>
  <si>
    <t>cwBOOKING/00018/23-24</t>
  </si>
  <si>
    <t>cwFLAP/00599/22-23</t>
  </si>
  <si>
    <t>R1 140</t>
  </si>
  <si>
    <t>Mr. AMIT TOMAR</t>
  </si>
  <si>
    <t>cwBOOKING/00780/22-23</t>
  </si>
  <si>
    <t>cwFLAP/01002/22-23</t>
  </si>
  <si>
    <t>R3 LG 63</t>
  </si>
  <si>
    <t>Ms. RAJASHREE ROY</t>
  </si>
  <si>
    <t>cwBOOKING/00658/22-23</t>
  </si>
  <si>
    <t>cwFLAP/00651/22-23</t>
  </si>
  <si>
    <t>R5 LG 02</t>
  </si>
  <si>
    <t>Mr. VISHAL GUPTA</t>
  </si>
  <si>
    <t>cwBOOKING/00051/23-24</t>
  </si>
  <si>
    <t>cwFLAP/00844/22-23</t>
  </si>
  <si>
    <t>R4 LG 01</t>
  </si>
  <si>
    <t>Ms. AARTI AGGARWAL</t>
  </si>
  <si>
    <t>cwBOOKING/00426/22-23</t>
  </si>
  <si>
    <t>cwFLAP/00710/22-23</t>
  </si>
  <si>
    <t>R4 222</t>
  </si>
  <si>
    <t>Mr. PANKAJ MALIK</t>
  </si>
  <si>
    <t>cwBOOKING/00092/22-23</t>
  </si>
  <si>
    <t>cwFLAP/00082/22-23</t>
  </si>
  <si>
    <t>R4 202</t>
  </si>
  <si>
    <t>Mr. MADAN MOHAN CHAWLA</t>
  </si>
  <si>
    <t>cwBOOKING/00606/22-23</t>
  </si>
  <si>
    <t>cwFLAP/00666/22-23</t>
  </si>
  <si>
    <t>R1 K 301</t>
  </si>
  <si>
    <t>Mr. ARUN KUMAR TYAGI</t>
  </si>
  <si>
    <t>cwBOOKING/00070/23-24</t>
  </si>
  <si>
    <t>cwFLAP/01016/22-23</t>
  </si>
  <si>
    <t>R3 UG 23</t>
  </si>
  <si>
    <t>Mr. AJAY SHARMA</t>
  </si>
  <si>
    <t>cwBOOKING/00213/22-23</t>
  </si>
  <si>
    <t>cwFLAP/00185/22-23</t>
  </si>
  <si>
    <t>R4 109</t>
  </si>
  <si>
    <t>Ms. TANYA SARIN</t>
  </si>
  <si>
    <t>cwBOOKING/00617/22-23</t>
  </si>
  <si>
    <t>cwFLAP/00701/22-23</t>
  </si>
  <si>
    <t>R6 LG 01</t>
  </si>
  <si>
    <t>Ms. NIDHI RAI</t>
  </si>
  <si>
    <t>cwBOOKING/00378/22-23</t>
  </si>
  <si>
    <t>cwFLAP/00573/22-23</t>
  </si>
  <si>
    <t>R4 K 305</t>
  </si>
  <si>
    <t>Ms. KAVITA RANI</t>
  </si>
  <si>
    <t>cwBOOKING/00258/22-23</t>
  </si>
  <si>
    <t>cwFLAP/00006/22-23</t>
  </si>
  <si>
    <t>R6 102</t>
  </si>
  <si>
    <t>Mr. ANIL KANT</t>
  </si>
  <si>
    <t>cwBOOKING/00108/23-24</t>
  </si>
  <si>
    <t>cwFLAP/01012/22-23</t>
  </si>
  <si>
    <t>R3 UG 38</t>
  </si>
  <si>
    <t>Mr. MANOJ CHAWLA</t>
  </si>
  <si>
    <t>cwBOOKING/00194/23-24</t>
  </si>
  <si>
    <t>cwFLAP/00056/23-24</t>
  </si>
  <si>
    <t>R4 139</t>
  </si>
  <si>
    <t>Mr. YOGENDRA BAJPAI</t>
  </si>
  <si>
    <t>cwBOOKING/00010/22-23</t>
  </si>
  <si>
    <t>cwFLAP/00019/22-23</t>
  </si>
  <si>
    <t>R6 LG 27</t>
  </si>
  <si>
    <t>Mr. RAKESH KUMAR</t>
  </si>
  <si>
    <t>cwBOOKING/00341/22-23</t>
  </si>
  <si>
    <t>cwFLAP/00267/22-23</t>
  </si>
  <si>
    <t>R1 116</t>
  </si>
  <si>
    <t>Mr. NARENDER KUMAR GUPTA</t>
  </si>
  <si>
    <t>CCWBOOKING/00012/22-23</t>
  </si>
  <si>
    <t>CCWFLAP/00027/22-23</t>
  </si>
  <si>
    <t>R6 UG 02</t>
  </si>
  <si>
    <t>cwBOOKING/00146/22-23</t>
  </si>
  <si>
    <t>cwFLAP/00080/22-23</t>
  </si>
  <si>
    <t>R2 110</t>
  </si>
  <si>
    <t>Mr. RAHUL YADAV</t>
  </si>
  <si>
    <t>cwBOOKING/00290/23-24</t>
  </si>
  <si>
    <t>cwFLAP/00190/23-24</t>
  </si>
  <si>
    <t>R2 LG 04</t>
  </si>
  <si>
    <t>Mr. Pranav Sood</t>
  </si>
  <si>
    <t>cwBOOKING/00771/22-23</t>
  </si>
  <si>
    <t>cwFLAP/00656/22-23</t>
  </si>
  <si>
    <t>R1 LG 11</t>
  </si>
  <si>
    <t>Mr. PUSHPENDER SINGH RAJPUROHIT</t>
  </si>
  <si>
    <t>cwBOOKING/00080/23-24</t>
  </si>
  <si>
    <t>cwFLAP/01009/22-23</t>
  </si>
  <si>
    <t>R1 LG 22</t>
  </si>
  <si>
    <t>Mr. MANOJ SRIVASTAVA</t>
  </si>
  <si>
    <t>cwBOOKING/00460/22-23</t>
  </si>
  <si>
    <t>cwFLAP/00131/22-23</t>
  </si>
  <si>
    <t>R5 UG 02</t>
  </si>
  <si>
    <t>Ms. SMITA LAKRA</t>
  </si>
  <si>
    <t>cwBOOKING/00451/22-23</t>
  </si>
  <si>
    <t>cwFLAP/00563/22-23</t>
  </si>
  <si>
    <t>R2 LG 02</t>
  </si>
  <si>
    <t>Mr. SANJAY KUMAR SINHA</t>
  </si>
  <si>
    <t>cwBOOKING/00047/23-24</t>
  </si>
  <si>
    <t>cwFLAP/01054/22-23</t>
  </si>
  <si>
    <t>R3 LG 96</t>
  </si>
  <si>
    <t>Ms. SEEMA KANSAL</t>
  </si>
  <si>
    <t>cwBOOKING/00057/23-24</t>
  </si>
  <si>
    <t>cwFLAP/01065/22-23</t>
  </si>
  <si>
    <t>R5 145</t>
  </si>
  <si>
    <t>CCWBOOKING/00011/22-23</t>
  </si>
  <si>
    <t>CCWFLAP/00026/22-23</t>
  </si>
  <si>
    <t>R6 UG 12A</t>
  </si>
  <si>
    <t>Mr. AMIT SHOKEEN</t>
  </si>
  <si>
    <t>cwBOOKING/00078/23-24</t>
  </si>
  <si>
    <t>cwFLAP/00927/22-23</t>
  </si>
  <si>
    <t>R4 LG 29</t>
  </si>
  <si>
    <t>Mr. HUKAM SINGH VERMA</t>
  </si>
  <si>
    <t>cwBOOKING/00377/22-23</t>
  </si>
  <si>
    <t>cwFLAP/00371/22-23</t>
  </si>
  <si>
    <t>R5 207</t>
  </si>
  <si>
    <t>Mr. AMIT BHATIA</t>
  </si>
  <si>
    <t>cwBOOKING/00424/22-23</t>
  </si>
  <si>
    <t>cwFLAP/00389/22-23</t>
  </si>
  <si>
    <t>R5 150</t>
  </si>
  <si>
    <t>Ms. NIDHI GUPTA</t>
  </si>
  <si>
    <t>cwBOOKING/00745/22-23</t>
  </si>
  <si>
    <t>cwFLAP/00419/22-23</t>
  </si>
  <si>
    <t>R5 UG 27</t>
  </si>
  <si>
    <t>Mr. HARINDER</t>
  </si>
  <si>
    <t>cwBOOKING/00769/22-23</t>
  </si>
  <si>
    <t>cwFLAP/00679/22-23</t>
  </si>
  <si>
    <t>R1 127</t>
  </si>
  <si>
    <t>Mr. BHUPENDER KATARIA</t>
  </si>
  <si>
    <t>cwBOOKING/00439/22-23</t>
  </si>
  <si>
    <t>cwFLAP/00546/22-23</t>
  </si>
  <si>
    <t>R5 121</t>
  </si>
  <si>
    <t>Mr. GHANSHAM DASS MADAN</t>
  </si>
  <si>
    <t>cwBOOKING/00077/23-24</t>
  </si>
  <si>
    <t>cwFLAP/00822/22-23</t>
  </si>
  <si>
    <t>R3 UG 05</t>
  </si>
  <si>
    <t>cwBOOKING/00130/23-24</t>
  </si>
  <si>
    <t>cwFLAP/01062/22-23</t>
  </si>
  <si>
    <t>R1 253</t>
  </si>
  <si>
    <t>Ms. KALPANA RAY</t>
  </si>
  <si>
    <t>cwBOOKING/00685/22-23</t>
  </si>
  <si>
    <t>cwFLAP/00936/22-23</t>
  </si>
  <si>
    <t>R1 243</t>
  </si>
  <si>
    <t>Mr. SURESH PRASAD PANDEY</t>
  </si>
  <si>
    <t>cwBOOKING/00123/22-23</t>
  </si>
  <si>
    <t>cwFLAP/00280/22-23</t>
  </si>
  <si>
    <t>R1 219</t>
  </si>
  <si>
    <t>Mr. SANJAY SINGH</t>
  </si>
  <si>
    <t>cwBOOKING/00453/22-23</t>
  </si>
  <si>
    <t>cwFLAP/00305/22-23</t>
  </si>
  <si>
    <t>R1 UG 16</t>
  </si>
  <si>
    <t>Dr. PIYUSH RANJAN</t>
  </si>
  <si>
    <t>cwBOOKING/00774/22-23</t>
  </si>
  <si>
    <t>cwFLAP/00772/22-23</t>
  </si>
  <si>
    <t>R3 LG 41</t>
  </si>
  <si>
    <t>Mr. NAVEEN KUMAR MANGLE</t>
  </si>
  <si>
    <t>cwBOOKING/00040/23-24</t>
  </si>
  <si>
    <t>cwFLAP/00972/22-23</t>
  </si>
  <si>
    <t>R3 LG 58</t>
  </si>
  <si>
    <t>Ms. SHARMISTA KOYAL</t>
  </si>
  <si>
    <t>cwBOOKING/00319/22-23</t>
  </si>
  <si>
    <t>cwFLAP/00474/22-23</t>
  </si>
  <si>
    <t>R4 129</t>
  </si>
  <si>
    <t>Mr. ROHIT AGRAWAL</t>
  </si>
  <si>
    <t>cwBOOKING/00412/22-23</t>
  </si>
  <si>
    <t>cwFLAP/00241/22-23</t>
  </si>
  <si>
    <t>R5 UG 30</t>
  </si>
  <si>
    <t>Ms. SONU KALHER</t>
  </si>
  <si>
    <t>cwBOOKING/00409/22-23</t>
  </si>
  <si>
    <t>cwFLAP/00415/22-23</t>
  </si>
  <si>
    <t>R6 UG 20</t>
  </si>
  <si>
    <t>Mr. TAKDIR SINGH</t>
  </si>
  <si>
    <t>cwBOOKING/00082/23-24</t>
  </si>
  <si>
    <t>cwFLAP/00009/23-24</t>
  </si>
  <si>
    <t>R6 115</t>
  </si>
  <si>
    <t>Mr. SUNNY LATHER</t>
  </si>
  <si>
    <t>cwBOOKING/00132/22-23</t>
  </si>
  <si>
    <t>cwFLAP/00126/22-23</t>
  </si>
  <si>
    <t>R4 103</t>
  </si>
  <si>
    <t>Mr. AMIT DOOMRA</t>
  </si>
  <si>
    <t>cwBOOKING/00039/22-23</t>
  </si>
  <si>
    <t>cwFLAP/00076/22-23</t>
  </si>
  <si>
    <t>R4 220</t>
  </si>
  <si>
    <t>Mr. DIWAKAR KUMAR</t>
  </si>
  <si>
    <t>cwBOOKING/00310/23-24</t>
  </si>
  <si>
    <t>cwFLAP/00211/23-24</t>
  </si>
  <si>
    <t>R2 UG 06</t>
  </si>
  <si>
    <t>Ms. Mamta</t>
  </si>
  <si>
    <t>cwBOOKING/00091/22-23</t>
  </si>
  <si>
    <t>cwFLAP/00128/22-23</t>
  </si>
  <si>
    <t>R4 225</t>
  </si>
  <si>
    <t>Ms. RASHMI RATHEE</t>
  </si>
  <si>
    <t>cwBOOKING/00062/22-23</t>
  </si>
  <si>
    <t>cwFLAP/00094/22-23</t>
  </si>
  <si>
    <t>R5 UG 12</t>
  </si>
  <si>
    <t>Ms. RAJESH DEVI</t>
  </si>
  <si>
    <t>cwBOOKING/00125/22-23</t>
  </si>
  <si>
    <t>cwFLAP/00140/22-23</t>
  </si>
  <si>
    <t>R5 K 210</t>
  </si>
  <si>
    <t>Ms. POONAM KUMARI</t>
  </si>
  <si>
    <t>cwBOOKING/00149/22-23</t>
  </si>
  <si>
    <t>cwFLAP/00312/22-23</t>
  </si>
  <si>
    <t>R5 151</t>
  </si>
  <si>
    <t>Ms. SHAKUNTALA</t>
  </si>
  <si>
    <t>cwBOOKING/00120/23-24</t>
  </si>
  <si>
    <t>cwFLAP/01044/22-23</t>
  </si>
  <si>
    <t>R3 UG 22</t>
  </si>
  <si>
    <t>Ms. ASHA TOKAS</t>
  </si>
  <si>
    <t>cwBOOKING/00152/22-23</t>
  </si>
  <si>
    <t>CCWFLAP/00014/22-23</t>
  </si>
  <si>
    <t>R5 208</t>
  </si>
  <si>
    <t>Mr. VINOD KUMAR</t>
  </si>
  <si>
    <t>cwBOOKING/00389/22-23</t>
  </si>
  <si>
    <t>cwFLAP/00373/22-23</t>
  </si>
  <si>
    <t>R4 K 303</t>
  </si>
  <si>
    <t>Ms. RUKMANI CHOUDHARY</t>
  </si>
  <si>
    <t>cwBOOKING/00752/22-23</t>
  </si>
  <si>
    <t>cwFLAP/00978/22-23</t>
  </si>
  <si>
    <t>R5 UG 17</t>
  </si>
  <si>
    <t>Mr. KHAJAN CHAND</t>
  </si>
  <si>
    <t>cwBOOKING/00020/22-23</t>
  </si>
  <si>
    <t>cwFLAP/00028/22-23</t>
  </si>
  <si>
    <t>R4 229</t>
  </si>
  <si>
    <t>Ms. MEENA DEVI</t>
  </si>
  <si>
    <t>cwBOOKING/00094/22-23</t>
  </si>
  <si>
    <t>cwFLAP/00238/22-23</t>
  </si>
  <si>
    <t>R5 221</t>
  </si>
  <si>
    <t>cwBOOKING/00673/22-23</t>
  </si>
  <si>
    <t>cwFLAP/00926/22-23</t>
  </si>
  <si>
    <t>R5 LG 34</t>
  </si>
  <si>
    <t>cwBOOKING/00362/22-23</t>
  </si>
  <si>
    <t>cwFLAP/00266/22-23</t>
  </si>
  <si>
    <t>R5 G 20</t>
  </si>
  <si>
    <t>Mr. LALIT PARSAD GUPTA</t>
  </si>
  <si>
    <t>cwBOOKING/00431/22-23</t>
  </si>
  <si>
    <t>cwFLAP/00513/22-23</t>
  </si>
  <si>
    <t>R5 136</t>
  </si>
  <si>
    <t>Ms. DIVYA SHARMA</t>
  </si>
  <si>
    <t>cwBOOKING/00334/22-23</t>
  </si>
  <si>
    <t>cwFLAP/00351/22-23</t>
  </si>
  <si>
    <t>R4 211</t>
  </si>
  <si>
    <t>Ms. SUMAN LATA YADAV</t>
  </si>
  <si>
    <t>cwBOOKING/00078/22-23</t>
  </si>
  <si>
    <t>cwFLAP/00113/22-23</t>
  </si>
  <si>
    <t>R5 128</t>
  </si>
  <si>
    <t>Mr. KUNAL SAINI</t>
  </si>
  <si>
    <t>cwBOOKING/00115/22-23</t>
  </si>
  <si>
    <t>cwFLAP/00268/22-23</t>
  </si>
  <si>
    <t>R1 204</t>
  </si>
  <si>
    <t>Ms. ANURADHA TANKHA</t>
  </si>
  <si>
    <t>cwBOOKING/00005/23-24</t>
  </si>
  <si>
    <t>cwFLAP/00851/22-23</t>
  </si>
  <si>
    <t>R5 G 11</t>
  </si>
  <si>
    <t>Mr. PRADEEP KUMAR</t>
  </si>
  <si>
    <t>cwBOOKING/00271/23-24</t>
  </si>
  <si>
    <t>cwFLAP/00149/23-24</t>
  </si>
  <si>
    <t>R3 LG 62</t>
  </si>
  <si>
    <t>Ms. Neelam Sharma</t>
  </si>
  <si>
    <t>cwBOOKING/00266/23-24</t>
  </si>
  <si>
    <t>cwFLAP/00114/23-24</t>
  </si>
  <si>
    <t>R6 UG 06</t>
  </si>
  <si>
    <t>Ms. Madhu Jha</t>
  </si>
  <si>
    <t>cwBOOKING/00519/22-23</t>
  </si>
  <si>
    <t>cwFLAP/00480/22-23</t>
  </si>
  <si>
    <t>R5 114</t>
  </si>
  <si>
    <t>Mr. DEEPINDER SINGH</t>
  </si>
  <si>
    <t>cwBOOKING/00381/22-23</t>
  </si>
  <si>
    <t>cwFLAP/00354/22-23</t>
  </si>
  <si>
    <t>R1 LG 27</t>
  </si>
  <si>
    <t>Mr. AMANDEEP SINGH</t>
  </si>
  <si>
    <t>cwBOOKING/00317/22-23</t>
  </si>
  <si>
    <t>cwFLAP/00472/22-23</t>
  </si>
  <si>
    <t>R5 UG 26</t>
  </si>
  <si>
    <t>Mr. NEERAJ KHURANA</t>
  </si>
  <si>
    <t>cwBOOKING/00322/22-23</t>
  </si>
  <si>
    <t>cwFLAP/00475/22-23</t>
  </si>
  <si>
    <t>R5 157</t>
  </si>
  <si>
    <t>Ms. SHIPRA JAIN</t>
  </si>
  <si>
    <t>cwBOOKING/00135/23-24</t>
  </si>
  <si>
    <t>cwFLAP/00673/22-23</t>
  </si>
  <si>
    <t>R1 146</t>
  </si>
  <si>
    <t>Ms. NEHA RANI</t>
  </si>
  <si>
    <t>cwBOOKING/00022/22-23</t>
  </si>
  <si>
    <t>CCWFLAP/00007/22-23</t>
  </si>
  <si>
    <t>R5 LG 15</t>
  </si>
  <si>
    <t>cwBOOKING/00425/22-23</t>
  </si>
  <si>
    <t>cwFLAP/00708/22-23</t>
  </si>
  <si>
    <t>R4 G 07</t>
  </si>
  <si>
    <t>Mr. SAHIL POPLI</t>
  </si>
  <si>
    <t>cwBOOKING/00218/22-23</t>
  </si>
  <si>
    <t>cwFLAP/00118/22-23</t>
  </si>
  <si>
    <t>R6 UG 04</t>
  </si>
  <si>
    <t>Ms. RIMPY KAKKAR</t>
  </si>
  <si>
    <t>cwBOOKING/00128/23-24</t>
  </si>
  <si>
    <t>cwFLAP/00038/23-24</t>
  </si>
  <si>
    <t>R4 LG 30</t>
  </si>
  <si>
    <t>Ms. HEMLATA</t>
  </si>
  <si>
    <t>cwBOOKING/00707/22-23</t>
  </si>
  <si>
    <t>cwFLAP/00672/22-23</t>
  </si>
  <si>
    <t>R3 LG 45</t>
  </si>
  <si>
    <t>Ms. Namita Kumari</t>
  </si>
  <si>
    <t>cwBOOKING/00759/22-23</t>
  </si>
  <si>
    <t>cwFLAP/00762/22-23</t>
  </si>
  <si>
    <t>R4 UG 05</t>
  </si>
  <si>
    <t>Ms. SUNDIPIKA WAHAL</t>
  </si>
  <si>
    <t>cwBOOKING/00073/23-24</t>
  </si>
  <si>
    <t>cwFLAP/01035/22-23</t>
  </si>
  <si>
    <t>R3 UG 35</t>
  </si>
  <si>
    <t>Ms. HINA</t>
  </si>
  <si>
    <t>cwBOOKING/00212/22-23</t>
  </si>
  <si>
    <t>cwFLAP/00180/22-23</t>
  </si>
  <si>
    <t>R5 162</t>
  </si>
  <si>
    <t>Ms. SUSHEELA</t>
  </si>
  <si>
    <t>cwBOOKING/00761/22-23</t>
  </si>
  <si>
    <t>cwFLAP/00986/22-23</t>
  </si>
  <si>
    <t>R3 LG 60</t>
  </si>
  <si>
    <t>Mr. NIKUNJ DUTT</t>
  </si>
  <si>
    <t>cwBOOKING/00305/22-23</t>
  </si>
  <si>
    <t>cwFLAP/00399/22-23</t>
  </si>
  <si>
    <t>R6 LG 30</t>
  </si>
  <si>
    <t>Ms. SUNILA KUMARI JAKHAR</t>
  </si>
  <si>
    <t>cwBOOKING/00066/23-24</t>
  </si>
  <si>
    <t>cwFLAP/01071/22-23</t>
  </si>
  <si>
    <t>R3 LG 69</t>
  </si>
  <si>
    <t>Mr. ARUN</t>
  </si>
  <si>
    <t>cwBOOKING/00634/22-23</t>
  </si>
  <si>
    <t>cwFLAP/00603/22-23</t>
  </si>
  <si>
    <t>R5 134</t>
  </si>
  <si>
    <t>Mr. MOHIT SHARMA</t>
  </si>
  <si>
    <t>cwBOOKING/00101/23-24</t>
  </si>
  <si>
    <t>cwFLAP/00023/23-24</t>
  </si>
  <si>
    <t>R1 137</t>
  </si>
  <si>
    <t>Mr. SUKHWINDER SINGH</t>
  </si>
  <si>
    <t>cwBOOKING/00410/22-23</t>
  </si>
  <si>
    <t>cwFLAP/00246/22-23</t>
  </si>
  <si>
    <t>R5 UG 29</t>
  </si>
  <si>
    <t>Ms. SUMITRA DEVI</t>
  </si>
  <si>
    <t>cwBOOKING/00294/22-23</t>
  </si>
  <si>
    <t>cwFLAP/00449/22-23</t>
  </si>
  <si>
    <t>R5 K 212A</t>
  </si>
  <si>
    <t>Ms. SAROJ</t>
  </si>
  <si>
    <t>CCWBOOKING/00015/22-23</t>
  </si>
  <si>
    <t>CCWFLAP/00030/22-23</t>
  </si>
  <si>
    <t>R6 UG 12</t>
  </si>
  <si>
    <t>Ms. SUNITA SHARMA</t>
  </si>
  <si>
    <t>cwBOOKING/00015/23-24</t>
  </si>
  <si>
    <t>cwFLAP/00628/22-23</t>
  </si>
  <si>
    <t>R5 UG 37</t>
  </si>
  <si>
    <t>Ms. APARNA</t>
  </si>
  <si>
    <t>cwBOOKING/00394/22-23</t>
  </si>
  <si>
    <t>cwFLAP/00228/22-23</t>
  </si>
  <si>
    <t>R5 K 204</t>
  </si>
  <si>
    <t>Ms. SANTOSH</t>
  </si>
  <si>
    <t>cwBOOKING/00344/22-23</t>
  </si>
  <si>
    <t>cwFLAP/00173/22-23</t>
  </si>
  <si>
    <t>R5 LG 28</t>
  </si>
  <si>
    <t>Ms. SHALINI SHUKLA</t>
  </si>
  <si>
    <t>cwBOOKING/00183/23-24</t>
  </si>
  <si>
    <t>cwFLAP/00014/23-24</t>
  </si>
  <si>
    <t>R2 201</t>
  </si>
  <si>
    <t>Ms. KAMLESH PHALSWAL</t>
  </si>
  <si>
    <t>cwBOOKING/00140/23-24</t>
  </si>
  <si>
    <t>cwFLAP/01053/22-23</t>
  </si>
  <si>
    <t>R1 123</t>
  </si>
  <si>
    <t>Mr. RADHEY SHYAM</t>
  </si>
  <si>
    <t>cwBOOKING/00113/23-24</t>
  </si>
  <si>
    <t>cwFLAP/00027/23-24</t>
  </si>
  <si>
    <t>R1 133</t>
  </si>
  <si>
    <t>cwBOOKING/00114/22-23</t>
  </si>
  <si>
    <t>cwFLAP/00231/22-23</t>
  </si>
  <si>
    <t>R5 202</t>
  </si>
  <si>
    <t>Ms. VANDANA KHUTEL</t>
  </si>
  <si>
    <t>cwBOOKING/00069/22-23</t>
  </si>
  <si>
    <t>cwFLAP/00121/22-23</t>
  </si>
  <si>
    <t>R5 222</t>
  </si>
  <si>
    <t>Ms. KANCHAN JAIN</t>
  </si>
  <si>
    <t>cwBOOKING/00150/22-23</t>
  </si>
  <si>
    <t>cwFLAP/00315/22-23</t>
  </si>
  <si>
    <t>R2 UG 03</t>
  </si>
  <si>
    <t>Mr. VINAY STEPHEN SINGH</t>
  </si>
  <si>
    <t>cwBOOKING/00004/22-23</t>
  </si>
  <si>
    <t>cwFLAP/00004/22-23</t>
  </si>
  <si>
    <t>R4 218</t>
  </si>
  <si>
    <t>Mr. MAHENDER SUKHIJA</t>
  </si>
  <si>
    <t>cwBOOKING/00216/22-23</t>
  </si>
  <si>
    <t>cwFLAP/00368/22-23</t>
  </si>
  <si>
    <t>R6 UG 26</t>
  </si>
  <si>
    <t>Mr. RITESH AWTANEY</t>
  </si>
  <si>
    <t>cwBOOKING/00684/22-23</t>
  </si>
  <si>
    <t>cwFLAP/00468/22-23</t>
  </si>
  <si>
    <t>R6 219</t>
  </si>
  <si>
    <t>Mr. DEEPAK GUPTA</t>
  </si>
  <si>
    <t>cwBOOKING/00467/22-23</t>
  </si>
  <si>
    <t>cwFLAP/00770/22-23</t>
  </si>
  <si>
    <t>R1 105</t>
  </si>
  <si>
    <t>Mr. AVULA ANIL KUMAR</t>
  </si>
  <si>
    <t>cwBOOKING/00242/22-23</t>
  </si>
  <si>
    <t>cwFLAP/00205/22-23</t>
  </si>
  <si>
    <t>R2 UG 02</t>
  </si>
  <si>
    <t>Mr. SUDERSHAN ARORA</t>
  </si>
  <si>
    <t>cwBOOKING/00299/22-23</t>
  </si>
  <si>
    <t>cwFLAP/00454/22-23</t>
  </si>
  <si>
    <t>R2 UG 05</t>
  </si>
  <si>
    <t>Ms. GURPREET KAUR</t>
  </si>
  <si>
    <t>cwBOOKING/00701/22-23</t>
  </si>
  <si>
    <t>cwFLAP/00577/22-23</t>
  </si>
  <si>
    <t>R6 132</t>
  </si>
  <si>
    <t>cwBOOKING/00518/22-23</t>
  </si>
  <si>
    <t>cwFLAP/00244/22-23</t>
  </si>
  <si>
    <t>R5 172</t>
  </si>
  <si>
    <t>Mr. TANISHQ UPADHAYAY</t>
  </si>
  <si>
    <t>cwBOOKING/00067/22-23</t>
  </si>
  <si>
    <t>cwFLAP/00119/22-23</t>
  </si>
  <si>
    <t>R4 116</t>
  </si>
  <si>
    <t>Ms. PINKI</t>
  </si>
  <si>
    <t>cwBOOKING/00151/22-23</t>
  </si>
  <si>
    <t>cwFLAP/00316/22-23</t>
  </si>
  <si>
    <t>R5 110</t>
  </si>
  <si>
    <t>Mr. PRASHANT VASHISTH</t>
  </si>
  <si>
    <t>cwBOOKING/00147/23-24</t>
  </si>
  <si>
    <t>cwFLAP/00693/22-23</t>
  </si>
  <si>
    <t>R5 LG 03</t>
  </si>
  <si>
    <t>Ms. BIMLA KUMARI</t>
  </si>
  <si>
    <t>cwBOOKING/00347/22-23</t>
  </si>
  <si>
    <t>cwFLAP/00211/22-23</t>
  </si>
  <si>
    <t>R5 K 302</t>
  </si>
  <si>
    <t>Mr. BRIJESH KUMAR JAIN</t>
  </si>
  <si>
    <t>cwBOOKING/00248/22-23</t>
  </si>
  <si>
    <t>cwFLAP/00172/22-23</t>
  </si>
  <si>
    <t>R5 159</t>
  </si>
  <si>
    <t>Ms. SAVITA YADAV</t>
  </si>
  <si>
    <t>Mr. KESHAV YADAV</t>
  </si>
  <si>
    <t>cwBOOKING/00293/22-23</t>
  </si>
  <si>
    <t>cwFLAP/00340/22-23</t>
  </si>
  <si>
    <t>R4 138</t>
  </si>
  <si>
    <t>cwBOOKING/00765/22-23</t>
  </si>
  <si>
    <t>cwFLAP/00991/22-23</t>
  </si>
  <si>
    <t>R5 LG 27</t>
  </si>
  <si>
    <t>Mr. PAWAN SONI</t>
  </si>
  <si>
    <t>cwBOOKING/00154/23-24</t>
  </si>
  <si>
    <t>cwFLAP/00055/23-24</t>
  </si>
  <si>
    <t>R3 LG 90</t>
  </si>
  <si>
    <t>Ms. MONIKA GUPTA</t>
  </si>
  <si>
    <t>cwBOOKING/00256/22-23</t>
  </si>
  <si>
    <t>cwFLAP/00282/22-23</t>
  </si>
  <si>
    <t>R6 205</t>
  </si>
  <si>
    <t>cwBOOKING/00262/22-23</t>
  </si>
  <si>
    <t>cwFLAP/00429/22-23</t>
  </si>
  <si>
    <t>R4 LG 26</t>
  </si>
  <si>
    <t>Ms. ANITA</t>
  </si>
  <si>
    <t>cwBOOKING/00040/22-23</t>
  </si>
  <si>
    <t>cwFLAP/00077/22-23</t>
  </si>
  <si>
    <t>R6 UG 28</t>
  </si>
  <si>
    <t>Mr. SUNIL SINGH NEGI</t>
  </si>
  <si>
    <t>Printing Done</t>
  </si>
  <si>
    <t>cwBOOKING/00267/23-24</t>
  </si>
  <si>
    <t>cwFLAP/00068/23-24</t>
  </si>
  <si>
    <t>R3 LG 40</t>
  </si>
  <si>
    <t>cwBOOKING/00267/22-23</t>
  </si>
  <si>
    <t>cwFLAP/00432/22-23</t>
  </si>
  <si>
    <t>R5 K 221</t>
  </si>
  <si>
    <t>Ms. SIMRAN</t>
  </si>
  <si>
    <t>cwBOOKING/00302/22-23</t>
  </si>
  <si>
    <t>cwFLAP/00458/22-23</t>
  </si>
  <si>
    <t>R1 252</t>
  </si>
  <si>
    <t>Mr. VED PRAKASH YADAV</t>
  </si>
  <si>
    <t>cwBOOKING/00001/23-24</t>
  </si>
  <si>
    <t>cwFLAP/00977/22-23</t>
  </si>
  <si>
    <t>R3 LG 31</t>
  </si>
  <si>
    <t>Ms. MAMTA SHARAN</t>
  </si>
  <si>
    <t>cwBOOKING/00042/22-23</t>
  </si>
  <si>
    <t>cwFLAP/00079/22-23</t>
  </si>
  <si>
    <t>R1 207</t>
  </si>
  <si>
    <t>Ms. ALKA RANI</t>
  </si>
  <si>
    <t>cwBOOKING/00108/22-23</t>
  </si>
  <si>
    <t>cwFLAP/00005/22-23</t>
  </si>
  <si>
    <t>R6 123</t>
  </si>
  <si>
    <t>Mr. KEDAR NATH PANDEY</t>
  </si>
  <si>
    <t>cwBOOKING/00516/22-23</t>
  </si>
  <si>
    <t>cwFLAP/00842/22-23</t>
  </si>
  <si>
    <t>R4 UG 14</t>
  </si>
  <si>
    <t>Ms. SUSHMA RANI</t>
  </si>
  <si>
    <t>cwBOOKING/00444/22-23</t>
  </si>
  <si>
    <t>cwFLAP/00343/22-23</t>
  </si>
  <si>
    <t>R4 UG 15</t>
  </si>
  <si>
    <t>Mr. MAHESH SHANKLA</t>
  </si>
  <si>
    <t>cwBOOKING/00129/22-23</t>
  </si>
  <si>
    <t>cwFLAP/00292/22-23</t>
  </si>
  <si>
    <t>R6 UG 24</t>
  </si>
  <si>
    <t>Mr. VIJAY KUMAR SHARMA</t>
  </si>
  <si>
    <t>cwBOOKING/00281/22-23</t>
  </si>
  <si>
    <t>cwFLAP/00321/22-23</t>
  </si>
  <si>
    <t>R4 204</t>
  </si>
  <si>
    <t>cwBOOKING/00351/22-23</t>
  </si>
  <si>
    <t>cwFLAP/00370/22-23</t>
  </si>
  <si>
    <t>R1 224</t>
  </si>
  <si>
    <t>cwBOOKING/00368/22-23</t>
  </si>
  <si>
    <t>cwFLAP/00243/22-23</t>
  </si>
  <si>
    <t>R5 K 224</t>
  </si>
  <si>
    <t>Ms. NEENA</t>
  </si>
  <si>
    <t>cwBOOKING/00388/22-23</t>
  </si>
  <si>
    <t>cwFLAP/00593/22-23</t>
  </si>
  <si>
    <t>R6 224</t>
  </si>
  <si>
    <t>Ms. EKTA KATARIA</t>
  </si>
  <si>
    <t>cwBOOKING/00419/22-23</t>
  </si>
  <si>
    <t>cwFLAP/00505/22-23</t>
  </si>
  <si>
    <t>R4 122</t>
  </si>
  <si>
    <t>Ms. MONIKA</t>
  </si>
  <si>
    <t>cwBOOKING/00220/22-23</t>
  </si>
  <si>
    <t>cwFLAP/00262/22-23</t>
  </si>
  <si>
    <t>R4 237</t>
  </si>
  <si>
    <t>Mr. RAJAN ANAND</t>
  </si>
  <si>
    <t>cwBOOKING/00009/23-24</t>
  </si>
  <si>
    <t>cwFLAP/01022/22-23</t>
  </si>
  <si>
    <t>R6 UG 01</t>
  </si>
  <si>
    <t>Mr. SAURAV GUPTA</t>
  </si>
  <si>
    <t>cwBOOKING/00084/23-24</t>
  </si>
  <si>
    <t>cwFLAP/00968/22-23</t>
  </si>
  <si>
    <t>R3 LG 79</t>
  </si>
  <si>
    <t>Mr. SANJAY MATHUR</t>
  </si>
  <si>
    <t>cwBOOKING/00686/22-23</t>
  </si>
  <si>
    <t>cwFLAP/00669/22-23</t>
  </si>
  <si>
    <t>R3 UG 31</t>
  </si>
  <si>
    <t>Ms. NITIKA JETLEY</t>
  </si>
  <si>
    <t>cwBOOKING/00268/22-23</t>
  </si>
  <si>
    <t>cwFLAP/00394/22-23</t>
  </si>
  <si>
    <t>R5 UG 40</t>
  </si>
  <si>
    <t>Ms. RAJNI AGARWAL</t>
  </si>
  <si>
    <t>cwBOOKING/00395/22-23</t>
  </si>
  <si>
    <t>cwFLAP/00497/22-23</t>
  </si>
  <si>
    <t>R5 158</t>
  </si>
  <si>
    <t>Mr. VED PARKASH</t>
  </si>
  <si>
    <t>cwBOOKING/00072/22-23</t>
  </si>
  <si>
    <t>cwFLAP/00136/22-23</t>
  </si>
  <si>
    <t>R5 LG 11</t>
  </si>
  <si>
    <t>Mr. ALOK KUMAR AGGARWAL</t>
  </si>
  <si>
    <t>Ms. RENU AGGARWAL</t>
  </si>
  <si>
    <t>cwBOOKING/00054/23-24</t>
  </si>
  <si>
    <t>cwFLAP/01064/22-23</t>
  </si>
  <si>
    <t>R5 LG 30</t>
  </si>
  <si>
    <t>Mr. DHARMENDER YADAV</t>
  </si>
  <si>
    <t>cwBOOKING/00050/23-24</t>
  </si>
  <si>
    <t>cwFLAP/00767/22-23</t>
  </si>
  <si>
    <t>R2 208</t>
  </si>
  <si>
    <t>Ms. JASMINE SHARMA</t>
  </si>
  <si>
    <t>cwBOOKING/00573/22-23</t>
  </si>
  <si>
    <t>cwFLAP/00888/22-23</t>
  </si>
  <si>
    <t>R6 116</t>
  </si>
  <si>
    <t>Ms. KAVITA NIKHIL GUPTA</t>
  </si>
  <si>
    <t>cwBOOKING/00603/22-23</t>
  </si>
  <si>
    <t>cwFLAP/00819/22-23</t>
  </si>
  <si>
    <t>R3 LG 51</t>
  </si>
  <si>
    <t>Mr ANIRUDH KAPOOR</t>
  </si>
  <si>
    <t>cwBOOKING/00297/23-24</t>
  </si>
  <si>
    <t>cwFLAP/00156/23-24</t>
  </si>
  <si>
    <t>R5 226</t>
  </si>
  <si>
    <t>Mr. Uday Singh Shekhawat</t>
  </si>
  <si>
    <t>cwBOOKING/00025/23-24</t>
  </si>
  <si>
    <t>cwFLAP/01046/22-23</t>
  </si>
  <si>
    <t>R1 UG 02</t>
  </si>
  <si>
    <t>Mr. ASHISH PATIAL</t>
  </si>
  <si>
    <t>cwBOOKING/00010/23-24</t>
  </si>
  <si>
    <t>cwFLAP/00592/22-23</t>
  </si>
  <si>
    <t>R6 218</t>
  </si>
  <si>
    <t>Ms. CHAVI AGGARWAL</t>
  </si>
  <si>
    <t>cwBOOKING/00466/22-23</t>
  </si>
  <si>
    <t>cwFLAP/00591/22-23</t>
  </si>
  <si>
    <t>R5 LG 09</t>
  </si>
  <si>
    <t>Ms. POOJA MITTAL</t>
  </si>
  <si>
    <t>cwBOOKING/00728/22-23</t>
  </si>
  <si>
    <t>cwFLAP/00217/22-23</t>
  </si>
  <si>
    <t>R6 UG 03</t>
  </si>
  <si>
    <t>Ms. GUNJAN JAIN</t>
  </si>
  <si>
    <t>cwBOOKING/00366/22-23</t>
  </si>
  <si>
    <t>cwFLAP/00417/22-23</t>
  </si>
  <si>
    <t>R5 168</t>
  </si>
  <si>
    <t>Mr. HARISH PRAKASH</t>
  </si>
  <si>
    <t>cwBOOKING/00447/22-23</t>
  </si>
  <si>
    <t>cwFLAP/00384/22-23</t>
  </si>
  <si>
    <t>R1 110</t>
  </si>
  <si>
    <t>cwBOOKING/00008/23-24</t>
  </si>
  <si>
    <t>cwFLAP/00817/22-23</t>
  </si>
  <si>
    <t>R3 LG 37</t>
  </si>
  <si>
    <t>Ms. PREETI NAIR M</t>
  </si>
  <si>
    <t>cwBOOKING/00126/22-23</t>
  </si>
  <si>
    <t>cwFLAP/00067/22-23</t>
  </si>
  <si>
    <t>R4 128</t>
  </si>
  <si>
    <t>Ms. SHANTI DEVI SEHRA</t>
  </si>
  <si>
    <t>cwBOOKING/00329/22-23</t>
  </si>
  <si>
    <t>cwFLAP/00482/22-23</t>
  </si>
  <si>
    <t>R5 225</t>
  </si>
  <si>
    <t>Ms. KANIKA KAPIL</t>
  </si>
  <si>
    <t>cwBOOKING/00777/22-23</t>
  </si>
  <si>
    <t>cwFLAP/00539/22-23</t>
  </si>
  <si>
    <t>R4 215</t>
  </si>
  <si>
    <t>Mr. YATIN SEHGAL</t>
  </si>
  <si>
    <t>cwBOOKING/00345/22-23</t>
  </si>
  <si>
    <t>cwFLAP/00495/22-23</t>
  </si>
  <si>
    <t>R4 132</t>
  </si>
  <si>
    <t>Ms. VEENA SHARMA</t>
  </si>
  <si>
    <t>cwBOOKING/00189/22-23</t>
  </si>
  <si>
    <t>cwFLAP/00022/22-23</t>
  </si>
  <si>
    <t>R5 210</t>
  </si>
  <si>
    <t>Mr. SANKRANT SANU</t>
  </si>
  <si>
    <t>cwBOOKING/00073/22-23</t>
  </si>
  <si>
    <t>cwFLAP/00137/22-23</t>
  </si>
  <si>
    <t>R5 LG 12</t>
  </si>
  <si>
    <t>cwBOOKING/00125/23-24</t>
  </si>
  <si>
    <t>cwFLAP/00036/23-24</t>
  </si>
  <si>
    <t>R3 LG 39</t>
  </si>
  <si>
    <t>Ms. ANSHIKA SOLANKI</t>
  </si>
  <si>
    <t>cwBOOKING/00485/22-23</t>
  </si>
  <si>
    <t>cwFLAP/00515/22-23</t>
  </si>
  <si>
    <t>R6 216</t>
  </si>
  <si>
    <t>Mr. PAVNENDRA BHADAURIA</t>
  </si>
  <si>
    <t>cwBOOKING/00010/24-25</t>
  </si>
  <si>
    <t>cwFLAP/00202/23-24</t>
  </si>
  <si>
    <t>R2 105</t>
  </si>
  <si>
    <t>Mr. Sohan Singh Kadian</t>
  </si>
  <si>
    <t>cwBOOKING/00027/22-23</t>
  </si>
  <si>
    <t>cwFLAP/00049/22-23</t>
  </si>
  <si>
    <t>R6 226</t>
  </si>
  <si>
    <t>Ms. RAJESH KUMARI RATHEE</t>
  </si>
  <si>
    <t>cwBOOKING/00720/22-23</t>
  </si>
  <si>
    <t>cwFLAP/00960/22-23</t>
  </si>
  <si>
    <t>R5 171</t>
  </si>
  <si>
    <t>Mr. RAJESH KUMAR SANSANWAL</t>
  </si>
  <si>
    <t>cwBOOKING/00095/23-24</t>
  </si>
  <si>
    <t>cwFLAP/00790/22-23</t>
  </si>
  <si>
    <t>R3 UG 14</t>
  </si>
  <si>
    <t>Ms. PRITI JAIN</t>
  </si>
  <si>
    <t>cwBOOKING/00342/22-23</t>
  </si>
  <si>
    <t>cwFLAP/00165/22-23</t>
  </si>
  <si>
    <t>R5 212</t>
  </si>
  <si>
    <t>Ms. MEENA CHANDRA</t>
  </si>
  <si>
    <t>cwBOOKING/00370/22-23</t>
  </si>
  <si>
    <t>cwFLAP/00376/22-23</t>
  </si>
  <si>
    <t>R1 234</t>
  </si>
  <si>
    <t>Mr. MAHINDER KUMAR HANS</t>
  </si>
  <si>
    <t>cwBOOKING/00182/22-23</t>
  </si>
  <si>
    <t>cwFLAP/00347/22-23</t>
  </si>
  <si>
    <t>R4 G 02</t>
  </si>
  <si>
    <t>Ms. SWATI MAHAJAN</t>
  </si>
  <si>
    <t>cwBOOKING/00636/22-23</t>
  </si>
  <si>
    <t>cwFLAP/00553/22-23</t>
  </si>
  <si>
    <t>R4 130</t>
  </si>
  <si>
    <t>Mr. MURARI LAL GUPTA</t>
  </si>
  <si>
    <t>cwBOOKING/00698/22-23</t>
  </si>
  <si>
    <t>cwFLAP/00681/22-23</t>
  </si>
  <si>
    <t>R5 LG 46</t>
  </si>
  <si>
    <t>Ms. AANCHAL RASTOGI</t>
  </si>
  <si>
    <t>cwBOOKING/00032/22-23</t>
  </si>
  <si>
    <t>cwFLAP/00060/22-23</t>
  </si>
  <si>
    <t>R5 215</t>
  </si>
  <si>
    <t>Mr. SUNDEEP GUPTA</t>
  </si>
  <si>
    <t>cwBOOKING/00060/23-24</t>
  </si>
  <si>
    <t>cwFLAP/00945/22-23</t>
  </si>
  <si>
    <t>R3 LG 14</t>
  </si>
  <si>
    <t>Mr. SANJEEV BAHL</t>
  </si>
  <si>
    <t>cwBOOKING/00033/23-24</t>
  </si>
  <si>
    <t>cwFLAP/00908/22-23</t>
  </si>
  <si>
    <t>R3 LG 30</t>
  </si>
  <si>
    <t>Mr. SATINDER PAL SINGH KOHLI</t>
  </si>
  <si>
    <t>cwBOOKING/00032/23-24</t>
  </si>
  <si>
    <t>cwFLAP/00909/22-23</t>
  </si>
  <si>
    <t>R3 LG 36</t>
  </si>
  <si>
    <t>Ms. RAJNEESH KAUR KOHLI</t>
  </si>
  <si>
    <t>cwBOOKING/00087/22-23</t>
  </si>
  <si>
    <t>cwFLAP/00222/22-23</t>
  </si>
  <si>
    <t>R4 243</t>
  </si>
  <si>
    <t>Ms. NEELAM</t>
  </si>
  <si>
    <t>cwBOOKING/00376/22-23</t>
  </si>
  <si>
    <t>cwFLAP/00500/22-23</t>
  </si>
  <si>
    <t>R4 212</t>
  </si>
  <si>
    <t>Ms. KAVITA RANA</t>
  </si>
  <si>
    <t>cwBOOKING/00013/22-23</t>
  </si>
  <si>
    <t>cwFLAP/00024/22-23</t>
  </si>
  <si>
    <t>R4 221</t>
  </si>
  <si>
    <t>Mr. SURAJ BHAN</t>
  </si>
  <si>
    <t>cwBOOKING/00227/22-23</t>
  </si>
  <si>
    <t>cwFLAP/00385/22-23</t>
  </si>
  <si>
    <t>R4 UG 24</t>
  </si>
  <si>
    <t>Mr. SUNIL KUMAR</t>
  </si>
  <si>
    <t>cwBOOKING/00638/22-23</t>
  </si>
  <si>
    <t>cwFLAP/00724/22-23</t>
  </si>
  <si>
    <t>R1 LG 25</t>
  </si>
  <si>
    <t>cwBOOKING/00648/22-23</t>
  </si>
  <si>
    <t>cwFLAP/00518/22-23</t>
  </si>
  <si>
    <t>R1 103</t>
  </si>
  <si>
    <t>Mr. RAKESH KUMAR VERMA</t>
  </si>
  <si>
    <t>cwBOOKING/00016/24-25</t>
  </si>
  <si>
    <t>cwFLAP/00014/24-25</t>
  </si>
  <si>
    <t>R5 LG 21</t>
  </si>
  <si>
    <t>Ms. Neha Nagpal</t>
  </si>
  <si>
    <t>cwBOOKING/00500/22-23</t>
  </si>
  <si>
    <t>cwFLAP/00374/22-23</t>
  </si>
  <si>
    <t>R1 155</t>
  </si>
  <si>
    <t>cwBOOKING/00203/22-23</t>
  </si>
  <si>
    <t>cwFLAP/00357/22-23</t>
  </si>
  <si>
    <t>R5 K 216</t>
  </si>
  <si>
    <t>Ms. RITIKA</t>
  </si>
  <si>
    <t>cwBOOKING/00244/22-23</t>
  </si>
  <si>
    <t>cwFLAP/00359/22-23</t>
  </si>
  <si>
    <t>R6 214</t>
  </si>
  <si>
    <t>Ms. SONIA SANGA</t>
  </si>
  <si>
    <t>cwBOOKING/00055/22-23</t>
  </si>
  <si>
    <t>cwFLAP/00102/22-23</t>
  </si>
  <si>
    <t>R1 211</t>
  </si>
  <si>
    <t>Ms. ANUPRIYA</t>
  </si>
  <si>
    <t>cwBOOKING/00609/22-23</t>
  </si>
  <si>
    <t>cwFLAP/00503/22-23</t>
  </si>
  <si>
    <t>R1 240</t>
  </si>
  <si>
    <t>Ms. RAJANI MEENA</t>
  </si>
  <si>
    <t>cwBOOKING/00230/22-23</t>
  </si>
  <si>
    <t>cwFLAP/00391/22-23</t>
  </si>
  <si>
    <t>R5 169</t>
  </si>
  <si>
    <t>Mr. ROHIT SHARMA</t>
  </si>
  <si>
    <t>cwBOOKING/00005/24-25</t>
  </si>
  <si>
    <t>cwFLAP/00222/23-24</t>
  </si>
  <si>
    <t>R1 LG 02</t>
  </si>
  <si>
    <t>Ms. Upasna Sohlot</t>
  </si>
  <si>
    <t>cwBOOKING/00035/22-23</t>
  </si>
  <si>
    <t>cwFLAP/00063/22-23</t>
  </si>
  <si>
    <t>R4 UG 06</t>
  </si>
  <si>
    <t>Mr. AMIT KUMAR SINGH</t>
  </si>
  <si>
    <t>cwBOOKING/00179/22-23</t>
  </si>
  <si>
    <t>cwFLAP/00212/22-23</t>
  </si>
  <si>
    <t>R5 K 218</t>
  </si>
  <si>
    <t>Ms. ARUNA YADAV</t>
  </si>
  <si>
    <t>cwBOOKING/00747/22-23</t>
  </si>
  <si>
    <t>cwFLAP/00677/22-23</t>
  </si>
  <si>
    <t>R5 LG 38</t>
  </si>
  <si>
    <t>Mr. SANDEEP JAIN</t>
  </si>
  <si>
    <t>cwBOOKING/00284/22-23</t>
  </si>
  <si>
    <t>cwFLAP/00388/22-23</t>
  </si>
  <si>
    <t>R1 214</t>
  </si>
  <si>
    <t>Ms. PUSHP LATA</t>
  </si>
  <si>
    <t>cwBOOKING/00666/22-23</t>
  </si>
  <si>
    <t>cwFLAP/00923/22-23</t>
  </si>
  <si>
    <t>R1 225</t>
  </si>
  <si>
    <t>Mr. MADAN LAL</t>
  </si>
  <si>
    <t>cwBOOKING/00035/23-24</t>
  </si>
  <si>
    <t>cwFLAP/00690/22-23</t>
  </si>
  <si>
    <t>R1 227</t>
  </si>
  <si>
    <t>Ms. CHHAYA</t>
  </si>
  <si>
    <t>cwBOOKING/00034/22-23</t>
  </si>
  <si>
    <t>cwFLAP/00062/22-23</t>
  </si>
  <si>
    <t>R4 LG 07</t>
  </si>
  <si>
    <t>cwBOOKING/00239/22-23</t>
  </si>
  <si>
    <t>cwFLAP/00164/22-23</t>
  </si>
  <si>
    <t>R4 208</t>
  </si>
  <si>
    <t>Mr. VIRENDRA KUMAR AGRAWAL</t>
  </si>
  <si>
    <t>CCWBOOKING/00014/22-23</t>
  </si>
  <si>
    <t>CCWFLAP/00029/22-23</t>
  </si>
  <si>
    <t>R1 216</t>
  </si>
  <si>
    <t>Ms. RITA DEVI</t>
  </si>
  <si>
    <t>cwBOOKING/00365/22-23</t>
  </si>
  <si>
    <t>cwFLAP/00540/22-23</t>
  </si>
  <si>
    <t>R5 219</t>
  </si>
  <si>
    <t>M/S. GAGAN KHETARPAL HUF</t>
  </si>
  <si>
    <t>cwBOOKING/00350/22-23</t>
  </si>
  <si>
    <t>cwFLAP/00498/22-23</t>
  </si>
  <si>
    <t>R1 237</t>
  </si>
  <si>
    <t>Ms. VEENA KUMARI</t>
  </si>
  <si>
    <t>cwBOOKING/00167/23-24</t>
  </si>
  <si>
    <t>cwFLAP/00049/23-24</t>
  </si>
  <si>
    <t>R6 104</t>
  </si>
  <si>
    <t>Mr. RAJ PAL</t>
  </si>
  <si>
    <t>cwBOOKING/00019/22-23</t>
  </si>
  <si>
    <t>CCWFLAP/00009/22-23</t>
  </si>
  <si>
    <t>R4 241</t>
  </si>
  <si>
    <t>Mr. PRATAP SINGH</t>
  </si>
  <si>
    <t>cwBOOKING/00167/22-23</t>
  </si>
  <si>
    <t>cwFLAP/00216/22-23</t>
  </si>
  <si>
    <t>R4 234</t>
  </si>
  <si>
    <t>Ms. MINAKSHI KAPOOR</t>
  </si>
  <si>
    <t>cwBOOKING/00327/22-23</t>
  </si>
  <si>
    <t>cwFLAP/00265/22-23</t>
  </si>
  <si>
    <t>R1 215</t>
  </si>
  <si>
    <t>Mr. AKASH JAIN</t>
  </si>
  <si>
    <t>cwBOOKING/00165/23-24</t>
  </si>
  <si>
    <t>cwFLAP/00766/22-23</t>
  </si>
  <si>
    <t>R5 173</t>
  </si>
  <si>
    <t>Mr. Ravinder Hooda</t>
  </si>
  <si>
    <t>cwBOOKING/00052/22-23</t>
  </si>
  <si>
    <t>cwFLAP/00096/22-23</t>
  </si>
  <si>
    <t>R5 211</t>
  </si>
  <si>
    <t>cwBOOKING/00044/22-23</t>
  </si>
  <si>
    <t>cwFLAP/00083/22-23</t>
  </si>
  <si>
    <t>R4 244</t>
  </si>
  <si>
    <t>Mr. BADRI NATH RAI</t>
  </si>
  <si>
    <t>cwBOOKING/00083/23-24</t>
  </si>
  <si>
    <t>cwFLAP/00407/22-23</t>
  </si>
  <si>
    <t>R6 204</t>
  </si>
  <si>
    <t>Ms. REKHA SINGH</t>
  </si>
  <si>
    <t>cwBOOKING/00059/23-24</t>
  </si>
  <si>
    <t>cwFLAP/01067/22-23</t>
  </si>
  <si>
    <t>R5 UG 34</t>
  </si>
  <si>
    <t>Ms. RAJ RANI</t>
  </si>
  <si>
    <t>cwBOOKING/00199/22-23</t>
  </si>
  <si>
    <t>cwFLAP/00356/22-23</t>
  </si>
  <si>
    <t>R6 106</t>
  </si>
  <si>
    <t>Ms. SUDESH</t>
  </si>
  <si>
    <t>cwBOOKING/00512/22-23</t>
  </si>
  <si>
    <t>cwFLAP/00837/22-23</t>
  </si>
  <si>
    <t>R1 UG 08</t>
  </si>
  <si>
    <t>Ms. SONIYA KUMARI</t>
  </si>
  <si>
    <t>cwBOOKING/00405/22-23</t>
  </si>
  <si>
    <t>cwFLAP/00110/22-23</t>
  </si>
  <si>
    <t>R4 G 20</t>
  </si>
  <si>
    <t>Mr. YOGESH ARORA</t>
  </si>
  <si>
    <t>cwBOOKING/00014/23-24</t>
  </si>
  <si>
    <t>cwFLAP/00661/22-23</t>
  </si>
  <si>
    <t>R3 UG 29</t>
  </si>
  <si>
    <t>Mr. PRABHDEEP SINGH</t>
  </si>
  <si>
    <t>cwBOOKING/00063/22-23</t>
  </si>
  <si>
    <t>CCWFLAP/00001/22-23</t>
  </si>
  <si>
    <t>R6 223</t>
  </si>
  <si>
    <t>Mr. ARVIND KUMAR</t>
  </si>
  <si>
    <t>cwBOOKING/00225/23-24</t>
  </si>
  <si>
    <t>cwFLAP/00052/23-24</t>
  </si>
  <si>
    <t>R3 LG 77</t>
  </si>
  <si>
    <t>cwBOOKING/00079/22-23</t>
  </si>
  <si>
    <t>cwFLAP/00196/22-23</t>
  </si>
  <si>
    <t>R5 K 223</t>
  </si>
  <si>
    <t>cwBOOKING/00718/22-23</t>
  </si>
  <si>
    <t>cwFLAP/00782/22-23</t>
  </si>
  <si>
    <t>R4 UG 09</t>
  </si>
  <si>
    <t>Mr. PRADEEP MAHINDRU</t>
  </si>
  <si>
    <t>cwBOOKING/00153/22-23</t>
  </si>
  <si>
    <t>cwFLAP/00285/22-23</t>
  </si>
  <si>
    <t>R4 240</t>
  </si>
  <si>
    <t>Mr. CHHOTEY LAL</t>
  </si>
  <si>
    <t>cwBOOKING/00165/22-23</t>
  </si>
  <si>
    <t>cwFLAP/00333/22-23</t>
  </si>
  <si>
    <t>R4 232</t>
  </si>
  <si>
    <t>Mr. KRISHAN YADAV</t>
  </si>
  <si>
    <t>cwBOOKING/00719/22-23</t>
  </si>
  <si>
    <t>cwFLAP/00722/22-23</t>
  </si>
  <si>
    <t>R4 LG 08</t>
  </si>
  <si>
    <t>Mr. VIPUL TYAGI</t>
  </si>
  <si>
    <t>cwBOOKING/00669/22-23</t>
  </si>
  <si>
    <t>cwFLAP/00925/22-23</t>
  </si>
  <si>
    <t>R5 142</t>
  </si>
  <si>
    <t>Ms. ANURADHA</t>
  </si>
  <si>
    <t>CCWBOOKING/00013/22-23</t>
  </si>
  <si>
    <t>CCWFLAP/00028/22-23</t>
  </si>
  <si>
    <t>R1 212A</t>
  </si>
  <si>
    <t>Mr. ADESH KUMAR</t>
  </si>
  <si>
    <t>cwBOOKING/00197/22-23</t>
  </si>
  <si>
    <t>cwFLAP/00306/22-23</t>
  </si>
  <si>
    <t>R5 137</t>
  </si>
  <si>
    <t>Ms. ANITA PANDAY</t>
  </si>
  <si>
    <t>cwBOOKING/00023/22-23</t>
  </si>
  <si>
    <t>CCWFLAP/00008/22-23</t>
  </si>
  <si>
    <t>R5 LG 14</t>
  </si>
  <si>
    <t>Ms. MARY MURMU</t>
  </si>
  <si>
    <t>cwBOOKING/00434/22-23</t>
  </si>
  <si>
    <t>cwFLAP/00714/22-23</t>
  </si>
  <si>
    <t>R4 117</t>
  </si>
  <si>
    <t>Mr. BEJOY RAVEENDRAN</t>
  </si>
  <si>
    <t>cwBOOKING/00168/23-24</t>
  </si>
  <si>
    <t>cwCWA/00001/23-24</t>
  </si>
  <si>
    <t>R4 141</t>
  </si>
  <si>
    <t>Mr. SANJIT SINGH</t>
  </si>
  <si>
    <t>cwBOOKING/00208/22-23</t>
  </si>
  <si>
    <t>cwFLAP/00176/22-23</t>
  </si>
  <si>
    <t>R1 208</t>
  </si>
  <si>
    <t>cwBOOKING/00036/22-23</t>
  </si>
  <si>
    <t>cwFLAP/00064/22-23</t>
  </si>
  <si>
    <t>R6 UG 27</t>
  </si>
  <si>
    <t>cwBOOKING/00189/23-24</t>
  </si>
  <si>
    <t>cwFLAP/00033/23-24</t>
  </si>
  <si>
    <t>R5 UG 20</t>
  </si>
  <si>
    <t>Mr. VIMAL KUMAR VERMA</t>
  </si>
  <si>
    <t>cwBOOKING/00779/22-23</t>
  </si>
  <si>
    <t>cwFLAP/01001/22-23</t>
  </si>
  <si>
    <t>R5 174</t>
  </si>
  <si>
    <t>Mr. RISHABH KAUL</t>
  </si>
  <si>
    <t>cwBOOKING/00001/22-23</t>
  </si>
  <si>
    <t>cwFLAP/00002/22-23</t>
  </si>
  <si>
    <t>R6 112A</t>
  </si>
  <si>
    <t>Ms. MADHU BALA</t>
  </si>
  <si>
    <t>cwBOOKING/00241/22-23</t>
  </si>
  <si>
    <t>cwFLAP/00251/22-23</t>
  </si>
  <si>
    <t>R4 UG 16</t>
  </si>
  <si>
    <t>Mr. VIRAT KHULLAR</t>
  </si>
  <si>
    <t>cwBOOKING/00011/22-23</t>
  </si>
  <si>
    <t>cwFLAP/00023/22-23</t>
  </si>
  <si>
    <t>R6 212</t>
  </si>
  <si>
    <t>Ms. SAVITA</t>
  </si>
  <si>
    <t>cwBOOKING/00737/22-23</t>
  </si>
  <si>
    <t>cwFLAP/00969/22-23</t>
  </si>
  <si>
    <t>R5 UG 16</t>
  </si>
  <si>
    <t>Ms. JAYMALA NANDWANI</t>
  </si>
  <si>
    <t>cwBOOKING/00689/22-23</t>
  </si>
  <si>
    <t>cwFLAP/00588/22-23</t>
  </si>
  <si>
    <t>R5 UG 47</t>
  </si>
  <si>
    <t>Mr. ASHWINI AGARWAL</t>
  </si>
  <si>
    <t>cwBOOKING/00059/22-23</t>
  </si>
  <si>
    <t>cwFLAP/00106/22-23</t>
  </si>
  <si>
    <t>R1 229</t>
  </si>
  <si>
    <t>Mr. NITIN KUMAR</t>
  </si>
  <si>
    <t>cwBOOKING/00307/23-24</t>
  </si>
  <si>
    <t>cwFLAP/00186/23-24</t>
  </si>
  <si>
    <t>R3 LG 81</t>
  </si>
  <si>
    <t>Ms. Preeti Sharma</t>
  </si>
  <si>
    <t>cwBOOKING/00137/23-24</t>
  </si>
  <si>
    <t>cwFLAP/01061/22-23</t>
  </si>
  <si>
    <t>R5 176</t>
  </si>
  <si>
    <t>Mr. VIVEK BHANDARI</t>
  </si>
  <si>
    <t>cwBOOKING/00702/22-23</t>
  </si>
  <si>
    <t>cwFAP0026/00005/22-23</t>
  </si>
  <si>
    <t>R5 UG 46</t>
  </si>
  <si>
    <t>cwBOOKING/00526/22-23</t>
  </si>
  <si>
    <t>cwFLAP/00780/22-23</t>
  </si>
  <si>
    <t>R3 LG 27</t>
  </si>
  <si>
    <t>Ms. VARSHA</t>
  </si>
  <si>
    <t>cwBOOKING/00459/22-23</t>
  </si>
  <si>
    <t>cwFLAP/00194/22-23</t>
  </si>
  <si>
    <t>R2 LG 12</t>
  </si>
  <si>
    <t>Ms. BABITA DHAMA</t>
  </si>
  <si>
    <t>cwBOOKING/00716/22-23</t>
  </si>
  <si>
    <t>cwFLAP/00725/22-23</t>
  </si>
  <si>
    <t>R5 UG 43</t>
  </si>
  <si>
    <t>Ms. SHAILY THAKUR JHA</t>
  </si>
  <si>
    <t>cwBOOKING/00191/22-23</t>
  </si>
  <si>
    <t>cwFLAP/00017/22-23</t>
  </si>
  <si>
    <t>R4 203</t>
  </si>
  <si>
    <t>Mr. ANKUR KUMAR SINGH</t>
  </si>
  <si>
    <t>cwBOOKING/00217/22-23</t>
  </si>
  <si>
    <t>cwFLAP/00186/22-23</t>
  </si>
  <si>
    <t>R4 146</t>
  </si>
  <si>
    <t>Mr. GAURAV SUKHIJA</t>
  </si>
  <si>
    <t>cwBOOKING/00051/22-23</t>
  </si>
  <si>
    <t>cwFLAP/00095/22-23</t>
  </si>
  <si>
    <t>R5 K 203</t>
  </si>
  <si>
    <t>Ms. GEETA RANI</t>
  </si>
  <si>
    <t>cwBOOKING/00386/22-23</t>
  </si>
  <si>
    <t>cwFLAP/00299/22-23</t>
  </si>
  <si>
    <t>R6 108</t>
  </si>
  <si>
    <t>Ms. KAMLESH</t>
  </si>
  <si>
    <t>cwBOOKING/00387/22-23</t>
  </si>
  <si>
    <t>cwFLAP/00298/22-23</t>
  </si>
  <si>
    <t>R6 109</t>
  </si>
  <si>
    <t>Ms. NEELAM RANI</t>
  </si>
  <si>
    <t>cwBOOKING/00238/22-23</t>
  </si>
  <si>
    <t>cwFLAP/00158/22-23</t>
  </si>
  <si>
    <t>R4 209</t>
  </si>
  <si>
    <t>Ms. LAXMI SHARMA</t>
  </si>
  <si>
    <t>cwBOOKING/00490/22-23</t>
  </si>
  <si>
    <t>cwFLAP/00805/22-23</t>
  </si>
  <si>
    <t>R6 117</t>
  </si>
  <si>
    <t>Ms. KUSUM LATA</t>
  </si>
  <si>
    <t>cwBOOKING/00016/22-23</t>
  </si>
  <si>
    <t>cwFLAP/00025/22-23</t>
  </si>
  <si>
    <t>R5 LG 44</t>
  </si>
  <si>
    <t>Mr. NITIN THOLIYA</t>
  </si>
  <si>
    <t>cwBOOKING/00145/22-23</t>
  </si>
  <si>
    <t>cwFLAP/00304/22-23</t>
  </si>
  <si>
    <t>R6 120</t>
  </si>
  <si>
    <t>Ms. SNEHA SINGH</t>
  </si>
  <si>
    <t>cwBOOKING/00205/22-23</t>
  </si>
  <si>
    <t>cwFLAP/00360/22-23</t>
  </si>
  <si>
    <t>R5 G 01</t>
  </si>
  <si>
    <t>M/S. SHAILI ENGINEERING</t>
  </si>
  <si>
    <t>cwBOOKING/00401/22-23</t>
  </si>
  <si>
    <t>cwFLAP/00667/22-23</t>
  </si>
  <si>
    <t>R6 LG 23</t>
  </si>
  <si>
    <t>Mr. GOVIND RAVISHANKAR SHARMA</t>
  </si>
  <si>
    <t>cwBOOKING/00314/23-24</t>
  </si>
  <si>
    <t>cwFLAP/00220/23-24</t>
  </si>
  <si>
    <t>R3 LG 74</t>
  </si>
  <si>
    <t>Mr. Khushal Chandra Sharma</t>
  </si>
  <si>
    <t>cwBOOKING/00309/22-23</t>
  </si>
  <si>
    <t>cwFLAP/00184/22-23</t>
  </si>
  <si>
    <t>R6 UG 10</t>
  </si>
  <si>
    <t>Mr. PARMOD SALUJA</t>
  </si>
  <si>
    <t>cwBOOKING/00124/22-23</t>
  </si>
  <si>
    <t>cwFLAP/00286/22-23</t>
  </si>
  <si>
    <t>R1 UG 01</t>
  </si>
  <si>
    <t>Ms. RITA CHAWLA</t>
  </si>
  <si>
    <t>cwBOOKING/00721/22-23</t>
  </si>
  <si>
    <t>cwFLAP/00959/22-23</t>
  </si>
  <si>
    <t>R5 UG 22</t>
  </si>
  <si>
    <t>Ms. PARUL SINGH</t>
  </si>
  <si>
    <t>cwBOOKING/00138/23-24</t>
  </si>
  <si>
    <t>cwFLAP/00046/23-24</t>
  </si>
  <si>
    <t>R3 LG 38</t>
  </si>
  <si>
    <t>Ms. BABITA BIJALWAN</t>
  </si>
  <si>
    <t>cwBOOKING/00026/22-23</t>
  </si>
  <si>
    <t>cwFLAP/00046/22-23</t>
  </si>
  <si>
    <t>R5 108</t>
  </si>
  <si>
    <t>Mr. KAMAL SAHNI</t>
  </si>
  <si>
    <t>cwBOOKING/00211/22-23</t>
  </si>
  <si>
    <t>cwFLAP/00171/22-23</t>
  </si>
  <si>
    <t>R1 UG 25</t>
  </si>
  <si>
    <t>Ms. SMRITI BHATHEJA</t>
  </si>
  <si>
    <t>cwBOOKING/00357/22-23</t>
  </si>
  <si>
    <t>cwFLAP/00504/22-23</t>
  </si>
  <si>
    <t>R1 UG 12A</t>
  </si>
  <si>
    <t>Mr. DASHMESH KATARIA</t>
  </si>
  <si>
    <t>cwBOOKING/00343/22-23</t>
  </si>
  <si>
    <t>cwFLAP/00401/22-23</t>
  </si>
  <si>
    <t>R4 107</t>
  </si>
  <si>
    <t>Ms. NATASHA GUPTA</t>
  </si>
  <si>
    <t>cwBOOKING/00105/22-23</t>
  </si>
  <si>
    <t>cwFLAP/00010/22-23</t>
  </si>
  <si>
    <t>R1 217</t>
  </si>
  <si>
    <t>Mr. SUMIT DHINGRA</t>
  </si>
  <si>
    <t>cwBOOKING/00259/22-23</t>
  </si>
  <si>
    <t>cwFLAP/00087/22-23</t>
  </si>
  <si>
    <t>R2 UG 11</t>
  </si>
  <si>
    <t>Mr. RAJENDER KAUSHIK</t>
  </si>
  <si>
    <t>cwBOOKING/00253/22-23</t>
  </si>
  <si>
    <t>cwFLAP/00414/22-23</t>
  </si>
  <si>
    <t>R1 221</t>
  </si>
  <si>
    <t>Ms. ANJALI PRAKASH</t>
  </si>
  <si>
    <t>cwBOOKING/00736/22-23</t>
  </si>
  <si>
    <t>cwFLAP/00589/22-23</t>
  </si>
  <si>
    <t>R6 203</t>
  </si>
  <si>
    <t>Mr. RITESH AGARWAL</t>
  </si>
  <si>
    <t>cwBOOKING/00535/22-23</t>
  </si>
  <si>
    <t>cwFLAP/00575/22-23</t>
  </si>
  <si>
    <t>R4 LG 25</t>
  </si>
  <si>
    <t>Ms. CHANDER KHANNA</t>
  </si>
  <si>
    <t>cwBOOKING/00235/22-23</t>
  </si>
  <si>
    <t>cwFLAP/00392/22-23</t>
  </si>
  <si>
    <t>R1 249</t>
  </si>
  <si>
    <t>Mr. HARIOM</t>
  </si>
  <si>
    <t>cwBOOKING/00762/22-23</t>
  </si>
  <si>
    <t>cwFLAP/00224/22-23</t>
  </si>
  <si>
    <t>R4 G 08</t>
  </si>
  <si>
    <t>cwBOOKING/00187/22-23</t>
  </si>
  <si>
    <t>cwFLAP/00289/22-23</t>
  </si>
  <si>
    <t>R5 163</t>
  </si>
  <si>
    <t>Ms. SEENA DEVI</t>
  </si>
  <si>
    <t>cwBOOKING/00055/23-24</t>
  </si>
  <si>
    <t>cwFLAP/00830/22-23</t>
  </si>
  <si>
    <t>R3 LG 25</t>
  </si>
  <si>
    <t>Ms. ANITA DEVI</t>
  </si>
  <si>
    <t>cwBOOKING/00093/22-23</t>
  </si>
  <si>
    <t>cwFLAP/00144/22-23</t>
  </si>
  <si>
    <t>R4 126</t>
  </si>
  <si>
    <t>Mr. SHASHI RANJAN KUMAR</t>
  </si>
  <si>
    <t>cwBOOKING/00307/22-23</t>
  </si>
  <si>
    <t>cwFLAP/00395/22-23</t>
  </si>
  <si>
    <t>R1 154</t>
  </si>
  <si>
    <t>cwBOOKING/00674/22-23</t>
  </si>
  <si>
    <t>cwFLAP/00826/22-23</t>
  </si>
  <si>
    <t>R3 LG 08</t>
  </si>
  <si>
    <t>Ms. SULOCHANA DEVI</t>
  </si>
  <si>
    <t>cwBOOKING/00158/22-23</t>
  </si>
  <si>
    <t>cwFLAP/00092/22-23</t>
  </si>
  <si>
    <t>R5 123</t>
  </si>
  <si>
    <t>cwBOOKING/00159/22-23</t>
  </si>
  <si>
    <t>cwFLAP/00091/22-23</t>
  </si>
  <si>
    <t>R5 119</t>
  </si>
  <si>
    <t>cwBOOKING/00160/22-23</t>
  </si>
  <si>
    <t>cwFLAP/00331/22-23</t>
  </si>
  <si>
    <t>R5 204</t>
  </si>
  <si>
    <t>Mr. RAMESH KUMAR MEHAR</t>
  </si>
  <si>
    <t>cwBOOKING/00180/22-23</t>
  </si>
  <si>
    <t>cwFLAP/00346/22-23</t>
  </si>
  <si>
    <t>R5 LG 42</t>
  </si>
  <si>
    <t>Ms. CHARU DAGAR</t>
  </si>
  <si>
    <t>cwBOOKING/00102/22-23</t>
  </si>
  <si>
    <t>cwFLAP/00232/22-23</t>
  </si>
  <si>
    <t>R5 205</t>
  </si>
  <si>
    <t>Mr. VED PAL</t>
  </si>
  <si>
    <t>cwBOOKING/00274/22-23</t>
  </si>
  <si>
    <t>cwFLAP/00135/22-23</t>
  </si>
  <si>
    <t>R5 161</t>
  </si>
  <si>
    <t>cwBOOKING/00668/22-23</t>
  </si>
  <si>
    <t>cwFLAP/00924/22-23</t>
  </si>
  <si>
    <t>R6 130</t>
  </si>
  <si>
    <t>Ms. JUHI KHANNA</t>
  </si>
  <si>
    <t>cwBOOKING/00186/22-23</t>
  </si>
  <si>
    <t>cwFLAP/00350/22-23</t>
  </si>
  <si>
    <t>R6 UG 07</t>
  </si>
  <si>
    <t>cwBOOKING/00602/22-23</t>
  </si>
  <si>
    <t>cwFLAP/00902/22-23</t>
  </si>
  <si>
    <t>R5 UG 44</t>
  </si>
  <si>
    <t>Ms. ABHA GHOSH</t>
  </si>
  <si>
    <t>cwBOOKING/00396/22-23</t>
  </si>
  <si>
    <t>cwFLAP/00485/22-23</t>
  </si>
  <si>
    <t>R4 UG 12</t>
  </si>
  <si>
    <t>Ms. DIVYA SETIA</t>
  </si>
  <si>
    <t>cwBOOKING/00249/22-23</t>
  </si>
  <si>
    <t>cwFLAP/00097/22-23</t>
  </si>
  <si>
    <t>R4 125</t>
  </si>
  <si>
    <t>M/S. RAJENDRA SINGH HUF</t>
  </si>
  <si>
    <t>cwBOOKING/00607/22-23</t>
  </si>
  <si>
    <t>cwFLAP/00638/22-23</t>
  </si>
  <si>
    <t>R2 203</t>
  </si>
  <si>
    <t>Mr. HANSA DATT</t>
  </si>
  <si>
    <t>cwBOOKING/00289/22-23</t>
  </si>
  <si>
    <t>cwFLAP/00447/22-23</t>
  </si>
  <si>
    <t>R1 149</t>
  </si>
  <si>
    <t>Mr. GAURAV GUPTA</t>
  </si>
  <si>
    <t>cwBOOKING/00300/22-23</t>
  </si>
  <si>
    <t>cwFLAP/00455/22-23</t>
  </si>
  <si>
    <t>R1 150</t>
  </si>
  <si>
    <t>Ms. PUSHPLATA KAUSHIK</t>
  </si>
  <si>
    <t>cwBOOKING/00291/22-23</t>
  </si>
  <si>
    <t>cwFLAP/00448/22-23</t>
  </si>
  <si>
    <t>R1 151</t>
  </si>
  <si>
    <t>Ms. TANU</t>
  </si>
  <si>
    <t>cwBOOKING/00127/23-24</t>
  </si>
  <si>
    <t>cwFLAP/01025/22-23</t>
  </si>
  <si>
    <t>R3 UG 03</t>
  </si>
  <si>
    <t>Mr. VIPIN GUPTA</t>
  </si>
  <si>
    <t>cwBOOKING/00523/22-23</t>
  </si>
  <si>
    <t>cwFLAP/00721/22-23</t>
  </si>
  <si>
    <t>R3 LG 42</t>
  </si>
  <si>
    <t>Ms. KOMAL ARORA</t>
  </si>
  <si>
    <t>cwBOOKING/00524/22-23</t>
  </si>
  <si>
    <t>cwFLAP/00761/22-23</t>
  </si>
  <si>
    <t>R3 LG 47</t>
  </si>
  <si>
    <t>cwBOOKING/00383/22-23</t>
  </si>
  <si>
    <t>cwFLAP/00284/22-23</t>
  </si>
  <si>
    <t>R5 UG 38</t>
  </si>
  <si>
    <t>Ms. Sushila Devi</t>
  </si>
  <si>
    <t xml:space="preserve">Under Cancellation </t>
  </si>
  <si>
    <t>cwBOOKING/00311/23-24</t>
  </si>
  <si>
    <t>cwFLAP/00213/23-24</t>
  </si>
  <si>
    <t>R5 LG 23</t>
  </si>
  <si>
    <t>Ms. Rajani Agrawal</t>
  </si>
  <si>
    <t>cwBOOKING/00133/22-23</t>
  </si>
  <si>
    <t>cwFLAP/00295/22-23</t>
  </si>
  <si>
    <t>R5 K 206</t>
  </si>
  <si>
    <t>Ms. SHASHI RANI</t>
  </si>
  <si>
    <t>cwBOOKING/00023/23-24</t>
  </si>
  <si>
    <t>cwFLAP/01034/22-23</t>
  </si>
  <si>
    <t>R5 UG 19</t>
  </si>
  <si>
    <t>Ms. MONICA MALIK</t>
  </si>
  <si>
    <t>cwBOOKING/00280/22-23</t>
  </si>
  <si>
    <t>cwFLAP/00174/22-23</t>
  </si>
  <si>
    <t>R5 104</t>
  </si>
  <si>
    <t>Ms. LEKHA SONI</t>
  </si>
  <si>
    <t>cwBOOKING/00279/22-23</t>
  </si>
  <si>
    <t>cwFLAP/00188/22-23</t>
  </si>
  <si>
    <t>R5 105</t>
  </si>
  <si>
    <t>cwBOOKING/00282/22-23</t>
  </si>
  <si>
    <t>cwFLAP/00187/22-23</t>
  </si>
  <si>
    <t>R5 106</t>
  </si>
  <si>
    <t>CCWBOOKING/00009/22-23</t>
  </si>
  <si>
    <t>CCWFLAP/00024/22-23</t>
  </si>
  <si>
    <t>R1 226</t>
  </si>
  <si>
    <t>Mr. VISHNU DUTT SHARMA</t>
  </si>
  <si>
    <t>cwBOOKING/00136/23-24</t>
  </si>
  <si>
    <t>cwFLAP/00044/23-24</t>
  </si>
  <si>
    <t>R3 LG 17</t>
  </si>
  <si>
    <t>Mr. ABHIJEET RAJ</t>
  </si>
  <si>
    <t>cwBOOKING/00608/22-23</t>
  </si>
  <si>
    <t>cwFLAP/00904/22-23</t>
  </si>
  <si>
    <t>R3 LG 29</t>
  </si>
  <si>
    <t>Ms. SUKHWINDER KAUR</t>
  </si>
  <si>
    <t>cwBOOKING/00133/23-24</t>
  </si>
  <si>
    <t>cwFLAP/01048/22-23</t>
  </si>
  <si>
    <t>R3 LG 19</t>
  </si>
  <si>
    <t>Ms. RITU KUMARI</t>
  </si>
  <si>
    <t>cwBOOKING/00483/22-23</t>
  </si>
  <si>
    <t>cwFLAP/00522/22-23</t>
  </si>
  <si>
    <t>R4 135</t>
  </si>
  <si>
    <t>Mr. SATISH KUMAR JOHAR</t>
  </si>
  <si>
    <t>cwBOOKING/00478/22-23</t>
  </si>
  <si>
    <t>cwFLAP/00691/22-23</t>
  </si>
  <si>
    <t>R3 LG 32</t>
  </si>
  <si>
    <t>Ms. ANITA DEVI MALHAN</t>
  </si>
  <si>
    <t>cwBOOKING/00028/22-23</t>
  </si>
  <si>
    <t>cwFLAP/00050/22-23</t>
  </si>
  <si>
    <t>R2 210</t>
  </si>
  <si>
    <t>Ms. PINKI SHARMA</t>
  </si>
  <si>
    <t>Mr. PRATEEK SHARMA</t>
  </si>
  <si>
    <t>cwBOOKING/00474/22-23</t>
  </si>
  <si>
    <t>cwFLAP/00506/22-23</t>
  </si>
  <si>
    <t>R5 UG 01</t>
  </si>
  <si>
    <t>Mr. MOHIT RAJUBHAI SHETH</t>
  </si>
  <si>
    <t>cwBOOKING/00283/22-23</t>
  </si>
  <si>
    <t>cwFLAP/00175/22-23</t>
  </si>
  <si>
    <t>R5 103</t>
  </si>
  <si>
    <t>cwBOOKING/00121/22-23</t>
  </si>
  <si>
    <t>cwFLAP/00274/22-23</t>
  </si>
  <si>
    <t>R6 202</t>
  </si>
  <si>
    <t>Mr. VED PRAKASH SINGH</t>
  </si>
  <si>
    <t>cwBOOKING/00308/22-23</t>
  </si>
  <si>
    <t>cwFLAP/00365/22-23</t>
  </si>
  <si>
    <t>R4 216</t>
  </si>
  <si>
    <t>Md. RIZWAN KHAN</t>
  </si>
  <si>
    <t>cwBOOKING/00662/22-23</t>
  </si>
  <si>
    <t>cwFLAP/00572/22-23</t>
  </si>
  <si>
    <t>R1 212</t>
  </si>
  <si>
    <t>Dr. MAHENDRA PRATAP GANDHI</t>
  </si>
  <si>
    <t>cwBOOKING/00502/22-23</t>
  </si>
  <si>
    <t>cwFLAP/00624/22-23</t>
  </si>
  <si>
    <t>R6 UG 05</t>
  </si>
  <si>
    <t>Mr. Mahesh Kumar</t>
  </si>
  <si>
    <t>cwBOOKING/00045/23-24</t>
  </si>
  <si>
    <t>cwFLAP/01057/22-23</t>
  </si>
  <si>
    <t>R1 126</t>
  </si>
  <si>
    <t>Mr. ISHANT CHOUDHRY</t>
  </si>
  <si>
    <t>cwBOOKING/00715/22-23</t>
  </si>
  <si>
    <t>cwFLAP/00955/22-23</t>
  </si>
  <si>
    <t>R3 LG 55</t>
  </si>
  <si>
    <t>cwBOOKING/00328/22-23</t>
  </si>
  <si>
    <t>cwFLAP/00157/22-23</t>
  </si>
  <si>
    <t>R5 160</t>
  </si>
  <si>
    <t>cwBOOKING/00312/23-24</t>
  </si>
  <si>
    <t>cwFLAP/00215/23-24</t>
  </si>
  <si>
    <t>R3 LG 46</t>
  </si>
  <si>
    <t>Ms. Sunita Tikku</t>
  </si>
  <si>
    <t>cwBOOKING/00741/22-23</t>
  </si>
  <si>
    <t>cwFLAP/00971/22-23</t>
  </si>
  <si>
    <t>R1 152</t>
  </si>
  <si>
    <t>Mr. SIDDHARTH KUMAR</t>
  </si>
  <si>
    <t>cwBOOKING/00161/23-24</t>
  </si>
  <si>
    <t>cwFLAP/00060/23-24</t>
  </si>
  <si>
    <t>R3 LG 18</t>
  </si>
  <si>
    <t>Ms. RENUBALA</t>
  </si>
  <si>
    <t>cwBOOKING/00681/22-23</t>
  </si>
  <si>
    <t>cwFLAP/00838/22-23</t>
  </si>
  <si>
    <t>R5 UG 50</t>
  </si>
  <si>
    <t>Ms. SUKHMANA</t>
  </si>
  <si>
    <t>cwBOOKING/00417/22-23</t>
  </si>
  <si>
    <t>cwFLAP/00470/22-23</t>
  </si>
  <si>
    <t>R2 LG 06</t>
  </si>
  <si>
    <t>Mr. SUKHBIR SINGH BUDHWAR</t>
  </si>
  <si>
    <t>cwBOOKING/00037/23-24</t>
  </si>
  <si>
    <t>cwFLAP/00947/22-23</t>
  </si>
  <si>
    <t>R3 LG 15</t>
  </si>
  <si>
    <t>cwBOOKING/00188/23-24</t>
  </si>
  <si>
    <t>cwFLAP/00057/23-24</t>
  </si>
  <si>
    <t>R4 150</t>
  </si>
  <si>
    <t>Mr. ANAND KUMAR</t>
  </si>
  <si>
    <t>cwBOOKING/00263/23-24</t>
  </si>
  <si>
    <t>cwFLAP/00146/23-24</t>
  </si>
  <si>
    <t>R6 211</t>
  </si>
  <si>
    <t>Mr. Azad Singh</t>
  </si>
  <si>
    <t>cwBOOKING/00454/22-23</t>
  </si>
  <si>
    <t>cwFLAP/00735/22-23</t>
  </si>
  <si>
    <t>R6 210</t>
  </si>
  <si>
    <t>Ms. AMRESH DEVI</t>
  </si>
  <si>
    <t>cwBOOKING/00075/23-24</t>
  </si>
  <si>
    <t>cwFLAP/00874/22-23</t>
  </si>
  <si>
    <t>R1 UG 23</t>
  </si>
  <si>
    <t>Mr. VAIBHAV GOEL</t>
  </si>
  <si>
    <t>cwBOOKING/00449/22-23</t>
  </si>
  <si>
    <t>cwFLAP/00560/22-23</t>
  </si>
  <si>
    <t>R6 LG 25</t>
  </si>
  <si>
    <t>Mr. AJAY NEGI</t>
  </si>
  <si>
    <t>cwBOOKING/00445/22-23</t>
  </si>
  <si>
    <t>cwFLAP/00726/22-23</t>
  </si>
  <si>
    <t>R4 227</t>
  </si>
  <si>
    <t>Ms. PINKY SHOKEEN</t>
  </si>
  <si>
    <t>cwBOOKING/00141/22-23</t>
  </si>
  <si>
    <t>cwFLAP/00242/22-23</t>
  </si>
  <si>
    <t>R1 121</t>
  </si>
  <si>
    <t>Ms. SANTOSH DEVI</t>
  </si>
  <si>
    <t>cwBOOKING/00162/23-24</t>
  </si>
  <si>
    <t>cwFLAP/00934/22-23</t>
  </si>
  <si>
    <t>R5 LG 26</t>
  </si>
  <si>
    <t>Mr. JOGINDER JANGHU</t>
  </si>
  <si>
    <t>cwBOOKING/00007/24-25</t>
  </si>
  <si>
    <t>cwFLAP/00216/23-24</t>
  </si>
  <si>
    <t>R1 UG 29</t>
  </si>
  <si>
    <t>Mr. Shiv Shankar</t>
  </si>
  <si>
    <t>cwBOOKING/00156/22-23</t>
  </si>
  <si>
    <t>cwFLAP/00139/22-23</t>
  </si>
  <si>
    <t>R6 212A</t>
  </si>
  <si>
    <t>Ms. ANITA GILL</t>
  </si>
  <si>
    <t>cwBOOKING/00195/23-24</t>
  </si>
  <si>
    <t>cwFLAP/00040/23-24</t>
  </si>
  <si>
    <t>R2 UG 15</t>
  </si>
  <si>
    <t>Mr. Iknoor Singh Sandhu</t>
  </si>
  <si>
    <t>cwBOOKING/00109/23-24</t>
  </si>
  <si>
    <t>cwFLAP/00709/22-23</t>
  </si>
  <si>
    <t>R1 UG 06</t>
  </si>
  <si>
    <t>Ms. YAMINI MANN SHOKEEN</t>
  </si>
  <si>
    <t>cwBOOKING/00003/23-24</t>
  </si>
  <si>
    <t>cwFLAP/00993/22-23</t>
  </si>
  <si>
    <t>R1 UG 04</t>
  </si>
  <si>
    <t>Mr. MANINDER SINGH</t>
  </si>
  <si>
    <t>cwBOOKING/00097/23-24</t>
  </si>
  <si>
    <t>cwFLAP/01079/22-23</t>
  </si>
  <si>
    <t>R5 K 219</t>
  </si>
  <si>
    <t>Ms. ANURADHA SAXENA</t>
  </si>
  <si>
    <t>cwBOOKING/00098/23-24</t>
  </si>
  <si>
    <t>cwFLAP/00692/22-23</t>
  </si>
  <si>
    <t>R1 UG 07</t>
  </si>
  <si>
    <t>Ms. POONAM RANI</t>
  </si>
  <si>
    <t>cwBOOKING/00056/23-24</t>
  </si>
  <si>
    <t>cwFLAP/00797/22-23</t>
  </si>
  <si>
    <t>R1 245</t>
  </si>
  <si>
    <t>Mr. SUNIL PRAKASH</t>
  </si>
  <si>
    <t>cwBOOKING/00064/22-23</t>
  </si>
  <si>
    <t>CCWFLAP/00002/22-23</t>
  </si>
  <si>
    <t>R5 224</t>
  </si>
  <si>
    <t>cwBOOKING/00423/22-23</t>
  </si>
  <si>
    <t>cwFLAP/00297/22-23</t>
  </si>
  <si>
    <t>R1 117</t>
  </si>
  <si>
    <t>Ms. ROSHNI DEVI</t>
  </si>
  <si>
    <t>cwBOOKING/00271/22-23</t>
  </si>
  <si>
    <t>cwFLAP/00439/22-23</t>
  </si>
  <si>
    <t>R6 UG 14</t>
  </si>
  <si>
    <t>Ms. MONIKA TOMAR</t>
  </si>
  <si>
    <t>cwBOOKING/00119/22-23</t>
  </si>
  <si>
    <t>cwFLAP/00275/22-23</t>
  </si>
  <si>
    <t>R4 115</t>
  </si>
  <si>
    <t>Mr. SANJAY MITTAL</t>
  </si>
  <si>
    <t>cwBOOKING/00336/22-23</t>
  </si>
  <si>
    <t>cwFLAP/00493/22-23</t>
  </si>
  <si>
    <t>R5 UG 05a</t>
  </si>
  <si>
    <t>M/S. G R CREATIONS PVT LTD</t>
  </si>
  <si>
    <t>cwBOOKING/00359/22-23</t>
  </si>
  <si>
    <t>cwFLAP/00436/22-23</t>
  </si>
  <si>
    <t>R1 111</t>
  </si>
  <si>
    <t>Ms. SHAGUN ROY</t>
  </si>
  <si>
    <t>cwBOOKING/00303/22-23</t>
  </si>
  <si>
    <t>cwFLAP/00459/22-23</t>
  </si>
  <si>
    <t>R4 UG 18</t>
  </si>
  <si>
    <t>Ms. NIDHI AGGARWAL</t>
  </si>
  <si>
    <t>cwBOOKING/00697/22-23</t>
  </si>
  <si>
    <t>cwFLAP/00938/22-23</t>
  </si>
  <si>
    <t>R1 148</t>
  </si>
  <si>
    <t>Mr. KARUNESH KUMAR</t>
  </si>
  <si>
    <t>cwBOOKING/00129/23-24</t>
  </si>
  <si>
    <t>cwFLAP/00039/23-24</t>
  </si>
  <si>
    <t>R3 LG 11</t>
  </si>
  <si>
    <t>Mr. PUSHKAR SINGH</t>
  </si>
  <si>
    <t>cwBOOKING/00069/23-24</t>
  </si>
  <si>
    <t>cwFLAP/01074/22-23</t>
  </si>
  <si>
    <t>R3 UG 36</t>
  </si>
  <si>
    <t>Ms. SUDESH MANN</t>
  </si>
  <si>
    <t>cwBOOKING/00134/22-23</t>
  </si>
  <si>
    <t>cwFLAP/00011/22-23</t>
  </si>
  <si>
    <t>R5 217</t>
  </si>
  <si>
    <t>Dr. RAJENDRA KUMAR SINGH</t>
  </si>
  <si>
    <t>cwBOOKING/00079/23-24</t>
  </si>
  <si>
    <t>cwFLAP/00680/22-23</t>
  </si>
  <si>
    <t>R4 LG 15</t>
  </si>
  <si>
    <t>Mr. VIPUL JAIN</t>
  </si>
  <si>
    <t>cwBOOKING/00429/22-23</t>
  </si>
  <si>
    <t>cwFLAP/00183/22-23</t>
  </si>
  <si>
    <t>R5 LG 29</t>
  </si>
  <si>
    <t>Mr. SUVENDU BANERJEE</t>
  </si>
  <si>
    <t>cwBOOKING/00284/23-24</t>
  </si>
  <si>
    <t>cwFLAP/00182/23-24</t>
  </si>
  <si>
    <t>R5 LG 49</t>
  </si>
  <si>
    <t>Ms. Dolly Chandel</t>
  </si>
  <si>
    <t>cwBOOKING/00277/22-23</t>
  </si>
  <si>
    <t>cwFLAP/00163/22-23</t>
  </si>
  <si>
    <t>R6 UG 25</t>
  </si>
  <si>
    <t>Ms. ANU SHARMA</t>
  </si>
  <si>
    <t>cwBOOKING/00288/23-24</t>
  </si>
  <si>
    <t>cwFLAP/00150/23-24</t>
  </si>
  <si>
    <t>R2 LG 10</t>
  </si>
  <si>
    <t>Mr. Ravi Kumar Meena</t>
  </si>
  <si>
    <t>cwBOOKING/00448/22-23</t>
  </si>
  <si>
    <t>cwFLAP/00418/22-23</t>
  </si>
  <si>
    <t>R4 147</t>
  </si>
  <si>
    <t>Mr. RANBIR KISHORE</t>
  </si>
  <si>
    <t>cwBOOKING/00595/22-23</t>
  </si>
  <si>
    <t>cwFLAP/00900/22-23</t>
  </si>
  <si>
    <t>R4 133</t>
  </si>
  <si>
    <t>Ms. NEETU SINGH</t>
  </si>
  <si>
    <t>cwBOOKING/00105/23-24</t>
  </si>
  <si>
    <t>cwFLAP/00946/22-23</t>
  </si>
  <si>
    <t>R3 UG 26</t>
  </si>
  <si>
    <t>Mr. VIKAS GABA</t>
  </si>
  <si>
    <t>cwBOOKING/00660/22-23</t>
  </si>
  <si>
    <t>cwFLAP/00508/22-23</t>
  </si>
  <si>
    <t>R6 110</t>
  </si>
  <si>
    <t>cwBOOKING/00393/22-23</t>
  </si>
  <si>
    <t>cwFLAP/00462/22-23</t>
  </si>
  <si>
    <t>R5 UG 33</t>
  </si>
  <si>
    <t>Ms. TAKAM MONI</t>
  </si>
  <si>
    <t>cwBOOKING/00037/22-23</t>
  </si>
  <si>
    <t>cwFLAP/00065/22-23</t>
  </si>
  <si>
    <t>R1 250</t>
  </si>
  <si>
    <t>Ms. DARSHNA</t>
  </si>
  <si>
    <t>cwBOOKING/00763/22-23</t>
  </si>
  <si>
    <t>cwFLAP/00988/22-23</t>
  </si>
  <si>
    <t>R3 UG 11</t>
  </si>
  <si>
    <t>Ms. MADHU AGGARWAL</t>
  </si>
  <si>
    <t>cwBOOKING/00484/22-23</t>
  </si>
  <si>
    <t>cwFLAP/00406/22-23</t>
  </si>
  <si>
    <t>R5 LG 32</t>
  </si>
  <si>
    <t>Mr. ALOK YADAV</t>
  </si>
  <si>
    <t>cwBOOKING/00195/22-23</t>
  </si>
  <si>
    <t>cwFLAP/00294/22-23</t>
  </si>
  <si>
    <t>R6 UG 17</t>
  </si>
  <si>
    <t>Mr. RAJIV KHANIJO</t>
  </si>
  <si>
    <t>cwBOOKING/00749/22-23</t>
  </si>
  <si>
    <t>cwFLAP/00975/22-23</t>
  </si>
  <si>
    <t>R5 UG 49</t>
  </si>
  <si>
    <t>Mr. KARAN KOCHHAR</t>
  </si>
  <si>
    <t>cwBOOKING/00022/23-24</t>
  </si>
  <si>
    <t>cwFLAP/00555/22-23</t>
  </si>
  <si>
    <t>R5 214</t>
  </si>
  <si>
    <t>Mr. MANI RAM</t>
  </si>
  <si>
    <t>cwBOOKING/00177/22-23</t>
  </si>
  <si>
    <t>cwFLAP/00337/22-23</t>
  </si>
  <si>
    <t>R6 125</t>
  </si>
  <si>
    <t>Ms. KIRAN CHOUDHARY</t>
  </si>
  <si>
    <t>Mr. SATISH KUMAR</t>
  </si>
  <si>
    <t>cwBOOKING/00200/22-23</t>
  </si>
  <si>
    <t>cwFLAP/00161/22-23</t>
  </si>
  <si>
    <t>R5 LG 41</t>
  </si>
  <si>
    <t>Ms. VINAYA SANDHU</t>
  </si>
  <si>
    <t>cwBOOKING/00222/22-23</t>
  </si>
  <si>
    <t>cwFLAP/00378/22-23</t>
  </si>
  <si>
    <t>R1 LG 12A</t>
  </si>
  <si>
    <t>Ms. SHARDA DEVI</t>
  </si>
  <si>
    <t>cwBOOKING/00764/22-23</t>
  </si>
  <si>
    <t>cwFLAP/00654/22-23</t>
  </si>
  <si>
    <t>R3 UG 16</t>
  </si>
  <si>
    <t>Ms. NIKVINDER KAUR</t>
  </si>
  <si>
    <t>cwBOOKING/00291/23-24</t>
  </si>
  <si>
    <t>cwFLAP/00178/23-24</t>
  </si>
  <si>
    <t>R3 LG 84</t>
  </si>
  <si>
    <t>Mr. Rajvir Singh Solanki</t>
  </si>
  <si>
    <t>cwBOOKING/00734/22-23</t>
  </si>
  <si>
    <t>cwFLAP/00967/22-23</t>
  </si>
  <si>
    <t>R1 131</t>
  </si>
  <si>
    <t>Mr. ANIL BHARDWAJ</t>
  </si>
  <si>
    <t>cwBOOKING/00254/22-23</t>
  </si>
  <si>
    <t>cwFLAP/00155/22-23</t>
  </si>
  <si>
    <t>R4 226</t>
  </si>
  <si>
    <t>Ms. NAMRATA KAPUR</t>
  </si>
  <si>
    <t>cwBOOKING/00264/23-24</t>
  </si>
  <si>
    <t>cwFLAP/00041/23-24</t>
  </si>
  <si>
    <t>R3 LG 10</t>
  </si>
  <si>
    <t>Mr. Yogesh Chand Kaushik</t>
  </si>
  <si>
    <t>cwBOOKING/00028/23-24</t>
  </si>
  <si>
    <t>cwFLAP/00545/22-23</t>
  </si>
  <si>
    <t>R1 106</t>
  </si>
  <si>
    <t>Mr. NIRDOSH KUMAR</t>
  </si>
  <si>
    <t>cwBOOKING/00140/22-23</t>
  </si>
  <si>
    <t>cwFLAP/00296/22-23</t>
  </si>
  <si>
    <t>R5 K 211</t>
  </si>
  <si>
    <t>Ms. CHARVI SARAF</t>
  </si>
  <si>
    <t>cwBOOKING/00027/23-24</t>
  </si>
  <si>
    <t>cwFLAP/00999/22-23</t>
  </si>
  <si>
    <t>R1 102</t>
  </si>
  <si>
    <t>Mr. JAGDISH LAL</t>
  </si>
  <si>
    <t>cwBOOKING/00369/22-23</t>
  </si>
  <si>
    <t>cwFLAP/00261/22-23</t>
  </si>
  <si>
    <t>R4 231</t>
  </si>
  <si>
    <t>Ms. ARSHI FATIMA</t>
  </si>
  <si>
    <t>cwBOOKING/00229/22-23</t>
  </si>
  <si>
    <t>cwFLAP/00227/22-23</t>
  </si>
  <si>
    <t>R4 207</t>
  </si>
  <si>
    <t>Ms. NEELAM KUMARI</t>
  </si>
  <si>
    <t>cwBOOKING/00677/22-23</t>
  </si>
  <si>
    <t>cwFLAP/00929/22-23</t>
  </si>
  <si>
    <t>R3 LG 09</t>
  </si>
  <si>
    <t>Mr. NITIN TALWAR</t>
  </si>
  <si>
    <t>cwBOOKING/00767/22-23</t>
  </si>
  <si>
    <t>cwFLAP/00632/22-23</t>
  </si>
  <si>
    <t>R5 LG 35</t>
  </si>
  <si>
    <t>Mr. PUNEET</t>
  </si>
  <si>
    <t>cwBOOKING/00653/22-23</t>
  </si>
  <si>
    <t>cwFLAP/00788/22-23</t>
  </si>
  <si>
    <t>R4 LG 02</t>
  </si>
  <si>
    <t>Col. KAPIL DALAL</t>
  </si>
  <si>
    <t>cwBOOKING/00476/22-23</t>
  </si>
  <si>
    <t>cwFLAP/00541/22-23</t>
  </si>
  <si>
    <t>R1 107</t>
  </si>
  <si>
    <t>Mr. LALIT ARORA</t>
  </si>
  <si>
    <t>cwBOOKING/00115/23-24</t>
  </si>
  <si>
    <t>cwFLAP/00995/22-23</t>
  </si>
  <si>
    <t>R6 228</t>
  </si>
  <si>
    <t>Mr. ASHISH SHARMA</t>
  </si>
  <si>
    <t>cwBOOKING/00391/22-23</t>
  </si>
  <si>
    <t>cwFLAP/00478/22-23</t>
  </si>
  <si>
    <t>R1 118</t>
  </si>
  <si>
    <t>Ms. SUSHMA SHARMA</t>
  </si>
  <si>
    <t>cwBOOKING/00273/22-23</t>
  </si>
  <si>
    <t>cwFLAP/00440/22-23</t>
  </si>
  <si>
    <t>R4 105</t>
  </si>
  <si>
    <t>Ms. RACHNA GOEL</t>
  </si>
  <si>
    <t>cwBOOKING/00325/22-23</t>
  </si>
  <si>
    <t>cwFLAP/00372/22-23</t>
  </si>
  <si>
    <t>R5 K 225</t>
  </si>
  <si>
    <t>cwBOOKING/00160/23-24</t>
  </si>
  <si>
    <t>cwFLAP/00059/23-24</t>
  </si>
  <si>
    <t>R5 UG 48</t>
  </si>
  <si>
    <t>Ms. PATASO DEVI</t>
  </si>
  <si>
    <t>cwBOOKING/00100/22-23</t>
  </si>
  <si>
    <t>cwFLAP/00248/22-23</t>
  </si>
  <si>
    <t>R5 218</t>
  </si>
  <si>
    <t>Ms. CHANDRA BISHT</t>
  </si>
  <si>
    <t>cwBOOKING/00355/22-23</t>
  </si>
  <si>
    <t>cwFLAP/00301/22-23</t>
  </si>
  <si>
    <t>R6 201</t>
  </si>
  <si>
    <t>Ms. GEETA KUMARI GUPTA</t>
  </si>
  <si>
    <t>cwBOOKING/00258/23-24</t>
  </si>
  <si>
    <t>cwFLAP/00136/23-24</t>
  </si>
  <si>
    <t>R3 LG 85</t>
  </si>
  <si>
    <t>Ms. Rajni Devi</t>
  </si>
  <si>
    <t>cwBOOKING/00610/22-23</t>
  </si>
  <si>
    <t>cwFLAP/00648/22-23</t>
  </si>
  <si>
    <t>R5 101</t>
  </si>
  <si>
    <t>Ms. SHASHI SHARMA</t>
  </si>
  <si>
    <t>cwBOOKING/00446/22-23</t>
  </si>
  <si>
    <t>cwFLAP/00486/22-23</t>
  </si>
  <si>
    <t>R4 205</t>
  </si>
  <si>
    <t>Mr. KARUN RANJAN</t>
  </si>
  <si>
    <t>cwBOOKING/00773/22-23</t>
  </si>
  <si>
    <t>cwFLAP/00998/22-23</t>
  </si>
  <si>
    <t>R5 LG 31</t>
  </si>
  <si>
    <t>Mr. ABHINAV MEHTA</t>
  </si>
  <si>
    <t>cwBOOKING/00265/22-23</t>
  </si>
  <si>
    <t>cwFLAP/00339/22-23</t>
  </si>
  <si>
    <t>R4 214</t>
  </si>
  <si>
    <t>Mr. ARJUN SINGH</t>
  </si>
  <si>
    <t>cwBOOKING/00172/23-24</t>
  </si>
  <si>
    <t>cwFLAP/01052/22-23</t>
  </si>
  <si>
    <t>R1 LG 15</t>
  </si>
  <si>
    <t>M/S. Jasmin Infrasolutions Private Limited</t>
  </si>
  <si>
    <t>cwBOOKING/00420/22-23</t>
  </si>
  <si>
    <t>cwFLAP/00427/22-23</t>
  </si>
  <si>
    <t>R4 108</t>
  </si>
  <si>
    <t>Mr. SANDEEP SINGH GILL</t>
  </si>
  <si>
    <t>cwBOOKING/00153/23-24</t>
  </si>
  <si>
    <t>cwFLAP/00784/22-23</t>
  </si>
  <si>
    <t>R4 LG 16</t>
  </si>
  <si>
    <t>Ms. RAMRATI</t>
  </si>
  <si>
    <t>cwBOOKING/00103/23-24</t>
  </si>
  <si>
    <t>cwFLAP/01020/22-23</t>
  </si>
  <si>
    <t>R3 UG 34</t>
  </si>
  <si>
    <t>Mr. JAGPAL YADAV</t>
  </si>
  <si>
    <t>cwBOOKING/00699/22-23</t>
  </si>
  <si>
    <t>cwFLAP/00802/22-23</t>
  </si>
  <si>
    <t>R3 LG 54</t>
  </si>
  <si>
    <t>Ms. NIDHI SHARMA</t>
  </si>
  <si>
    <t>cwBOOKING/00053/22-23</t>
  </si>
  <si>
    <t>cwFLAP/00100/22-23</t>
  </si>
  <si>
    <t>R6 103</t>
  </si>
  <si>
    <t>Mr. SANJEEV KHARBANDA</t>
  </si>
  <si>
    <t>cwBOOKING/00119/23-24</t>
  </si>
  <si>
    <t>cwFLAP/01033/22-23</t>
  </si>
  <si>
    <t>R3 UG 24</t>
  </si>
  <si>
    <t>cwBOOKING/00067/23-24</t>
  </si>
  <si>
    <t>cwFLAP/01073/22-23</t>
  </si>
  <si>
    <t>R6 LG 06</t>
  </si>
  <si>
    <t>cwBOOKING/00004/23-24</t>
  </si>
  <si>
    <t>cwFLAP/00789/22-23</t>
  </si>
  <si>
    <t>R4 LG 14</t>
  </si>
  <si>
    <t>cwBOOKING/00169/22-23</t>
  </si>
  <si>
    <t>cwFLAP/00214/22-23</t>
  </si>
  <si>
    <t>R6 222</t>
  </si>
  <si>
    <t>M/S. CDG BROADCAST PRIVATE LIMITED</t>
  </si>
  <si>
    <t>cwBOOKING/00269/22-23</t>
  </si>
  <si>
    <t>cwFLAP/00416/22-23</t>
  </si>
  <si>
    <t>R4 217</t>
  </si>
  <si>
    <t>Mr. DEEPAK UPPAL</t>
  </si>
  <si>
    <t>cwBOOKING/00157/23-24</t>
  </si>
  <si>
    <t>cwFLAP/00003/23-24</t>
  </si>
  <si>
    <t>R3 UG 37</t>
  </si>
  <si>
    <t>Mr. MONTY BHAGAT</t>
  </si>
  <si>
    <t>cwBOOKING/00293/23-24</t>
  </si>
  <si>
    <t>cwFLAP/00180/23-24</t>
  </si>
  <si>
    <t>R5 LG 50</t>
  </si>
  <si>
    <t>cwBOOKING/00611/22-23</t>
  </si>
  <si>
    <t>cwFLAP/00835/22-23</t>
  </si>
  <si>
    <t>R2 UG 04</t>
  </si>
  <si>
    <t>Mr. GAUTAM BANSAL</t>
  </si>
  <si>
    <t>cwBOOKING/00118/22-23</t>
  </si>
  <si>
    <t>CCWFLAP/00016/22-23</t>
  </si>
  <si>
    <t>R6 UG 32</t>
  </si>
  <si>
    <t>cwBOOKING/00288/22-23</t>
  </si>
  <si>
    <t>cwFLAP/00132/22-23</t>
  </si>
  <si>
    <t>R6 LG 19</t>
  </si>
  <si>
    <t>M/S. MOHIT SHINGHAL HUF</t>
  </si>
  <si>
    <t>cwBOOKING/00049/23-24</t>
  </si>
  <si>
    <t>cwFLAP/01031/22-23</t>
  </si>
  <si>
    <t>R5 UG 21</t>
  </si>
  <si>
    <t>Mr. SURENDER MADAN</t>
  </si>
  <si>
    <t>cwBOOKING/00123/23-24</t>
  </si>
  <si>
    <t>cwFLAP/00981/22-23</t>
  </si>
  <si>
    <t>R6 229</t>
  </si>
  <si>
    <t>Mr. RAMAVTAR MEENA</t>
  </si>
  <si>
    <t>cwBOOKING/00016/23-24</t>
  </si>
  <si>
    <t>cwFLAP/00702/22-23</t>
  </si>
  <si>
    <t>R1 128</t>
  </si>
  <si>
    <t>Mr. DEEPAK</t>
  </si>
  <si>
    <t>cwBOOKING/00118/23-24</t>
  </si>
  <si>
    <t>cwFLAP/00847/22-23</t>
  </si>
  <si>
    <t>R3 LG 07</t>
  </si>
  <si>
    <t>Ms. SWEEN MANCHANDA</t>
  </si>
  <si>
    <t>cwBOOKING/00748/22-23</t>
  </si>
  <si>
    <t>cwFLAP/00663/22-23</t>
  </si>
  <si>
    <t>R3 UG 19</t>
  </si>
  <si>
    <t>Ms. SAROJ CHAUDHARY</t>
  </si>
  <si>
    <t>cwBOOKING/00268/23-24</t>
  </si>
  <si>
    <t>cwFLAP/00160/23-24</t>
  </si>
  <si>
    <t>R5 UG 45</t>
  </si>
  <si>
    <t>Ms. Bharti</t>
  </si>
  <si>
    <t>cwBOOKING/00300/23-24</t>
  </si>
  <si>
    <t>cwFLAP/00193/23-24</t>
  </si>
  <si>
    <t>R5 148</t>
  </si>
  <si>
    <t>Mr. Suraj Choudhary</t>
  </si>
  <si>
    <t>cwBOOKING/00385/22-23</t>
  </si>
  <si>
    <t>cwFLAP/00159/22-23</t>
  </si>
  <si>
    <t>R4 LG 04</t>
  </si>
  <si>
    <t>Ms. MADHURI VAISHYA</t>
  </si>
  <si>
    <t>cwBOOKING/00724/22-23</t>
  </si>
  <si>
    <t>cwFLAP/00688/22-23</t>
  </si>
  <si>
    <t>R1 UG 19</t>
  </si>
  <si>
    <t>Mr. SATPAL</t>
  </si>
  <si>
    <t>cwBOOKING/00469/22-23</t>
  </si>
  <si>
    <t>cwFLAP/00771/22-23</t>
  </si>
  <si>
    <t>R5 115</t>
  </si>
  <si>
    <t>Ms. PRATIBHA</t>
  </si>
  <si>
    <t>cwBOOKING/00090/22-23</t>
  </si>
  <si>
    <t>cwFLAP/00235/22-23</t>
  </si>
  <si>
    <t>R5 LG 06</t>
  </si>
  <si>
    <t>Ms. SANTOSH JAIN</t>
  </si>
  <si>
    <t>cwBOOKING/00061/22-23</t>
  </si>
  <si>
    <t>cwFLAP/00112/22-23</t>
  </si>
  <si>
    <t>R1 119</t>
  </si>
  <si>
    <t>Mr. SYED MOHAMMAD NAJIB ASHRAF</t>
  </si>
  <si>
    <t>cwBOOKING/00062/23-24</t>
  </si>
  <si>
    <t>cwFLAP/01068/22-23</t>
  </si>
  <si>
    <t>R3 LG 28</t>
  </si>
  <si>
    <t>Mr. SURESH KUMAR</t>
  </si>
  <si>
    <t>cwBOOKING/00243/23-24</t>
  </si>
  <si>
    <t>cwFLAP/01039/22-23</t>
  </si>
  <si>
    <t>R4 UG 26</t>
  </si>
  <si>
    <t>Ms. Sushma Devi</t>
  </si>
  <si>
    <t>cwBOOKING/00275/22-23</t>
  </si>
  <si>
    <t>cwFLAP/00099/22-23</t>
  </si>
  <si>
    <t>R4 G 11</t>
  </si>
  <si>
    <t>Ms. NAVYA BAJAJ</t>
  </si>
  <si>
    <t>cwBOOKING/00735/22-23</t>
  </si>
  <si>
    <t>cwFLAP/00764/22-23</t>
  </si>
  <si>
    <t>R6 UG 11</t>
  </si>
  <si>
    <t>Mr. ARYAN SHARMA</t>
  </si>
  <si>
    <t>cwBOOKING/00020/23-24</t>
  </si>
  <si>
    <t>cwFLAP/00928/22-23</t>
  </si>
  <si>
    <t>R5 126</t>
  </si>
  <si>
    <t>Ms. SONIKA SACHDEVA</t>
  </si>
  <si>
    <t>cwBOOKING/00760/22-23</t>
  </si>
  <si>
    <t>cwFLAP/00983/22-23</t>
  </si>
  <si>
    <t>R5 LG 17</t>
  </si>
  <si>
    <t>Mr. RAKESH KUMAR UPADHYAY</t>
  </si>
  <si>
    <t>cwBOOKING/00380/22-23</t>
  </si>
  <si>
    <t>cwFLAP/00420/22-23</t>
  </si>
  <si>
    <t>R5 K 220</t>
  </si>
  <si>
    <t>Mr. GOBIND LAL VERMA</t>
  </si>
  <si>
    <t>cwBOOKING/00136/22-23</t>
  </si>
  <si>
    <t>cwFLAP/00012/22-23</t>
  </si>
  <si>
    <t>R5 216</t>
  </si>
  <si>
    <t>cwBOOKING/00755/22-23</t>
  </si>
  <si>
    <t>cwFLAP/00695/22-23</t>
  </si>
  <si>
    <t>R1 UG 21</t>
  </si>
  <si>
    <t>Dr. ANKUR JAIN</t>
  </si>
  <si>
    <t>cwBOOKING/00754/22-23</t>
  </si>
  <si>
    <t>cwFLAP/00773/22-23</t>
  </si>
  <si>
    <t>R1 115</t>
  </si>
  <si>
    <t>Mr. NARPENDER DHANKHAR</t>
  </si>
  <si>
    <t>cwBOOKING/00455/22-23</t>
  </si>
  <si>
    <t>cwFLAP/00471/22-23</t>
  </si>
  <si>
    <t>R1 236</t>
  </si>
  <si>
    <t>Ms. ARUNA</t>
  </si>
  <si>
    <t>cwBOOKING/00096/23-24</t>
  </si>
  <si>
    <t>cwFLAP/00786/22-23</t>
  </si>
  <si>
    <t>R3 UG 15</t>
  </si>
  <si>
    <t>cwBOOKING/00471/22-23</t>
  </si>
  <si>
    <t>cwFLAP/00465/22-23</t>
  </si>
  <si>
    <t>R6 UG 31</t>
  </si>
  <si>
    <t>Mr. ANIL KUMAR SAH</t>
  </si>
  <si>
    <t>cwBOOKING/00071/22-23</t>
  </si>
  <si>
    <t>CCWFLAP/00003/22-23</t>
  </si>
  <si>
    <t>R5 K 202</t>
  </si>
  <si>
    <t>Mr. PARVEEN TEWATIA</t>
  </si>
  <si>
    <t>cwBOOKING/00154/22-23</t>
  </si>
  <si>
    <t>cwFLAP/00090/22-23</t>
  </si>
  <si>
    <t>R1 251</t>
  </si>
  <si>
    <t>Mr. DILBAGH</t>
  </si>
  <si>
    <t>cwBOOKING/00183/22-23</t>
  </si>
  <si>
    <t>cwFLAP/00348/22-23</t>
  </si>
  <si>
    <t>R6 LG 09</t>
  </si>
  <si>
    <t>Mr. AYUSH AGGARWAL</t>
  </si>
  <si>
    <t>cwBOOKING/00170/22-23</t>
  </si>
  <si>
    <t>cwFLAP/00230/22-23</t>
  </si>
  <si>
    <t>R6 221</t>
  </si>
  <si>
    <t>cwBOOKING/00746/22-23</t>
  </si>
  <si>
    <t>cwFLAP/00757/22-23</t>
  </si>
  <si>
    <t>R6 UG 30</t>
  </si>
  <si>
    <t>cwBOOKING/00184/22-23</t>
  </si>
  <si>
    <t>cwFLAP/00349/22-23</t>
  </si>
  <si>
    <t>R6 LG 08</t>
  </si>
  <si>
    <t>Ms. ANITA AGGARWAL</t>
  </si>
  <si>
    <t>cwBOOKING/00041/23-24</t>
  </si>
  <si>
    <t>cwFLAP/01055/22-23</t>
  </si>
  <si>
    <t>R5 175</t>
  </si>
  <si>
    <t>Ms. GEETA MANI</t>
  </si>
  <si>
    <t>cwBOOKING/00497/22-23</t>
  </si>
  <si>
    <t>cwFLAP/00811/22-23</t>
  </si>
  <si>
    <t>R6 107</t>
  </si>
  <si>
    <t>Mr. SANJEEV BHALLA</t>
  </si>
  <si>
    <t>cwBOOKING/00093/23-24</t>
  </si>
  <si>
    <t>cwFLAP/00944/22-23</t>
  </si>
  <si>
    <t>R5 146</t>
  </si>
  <si>
    <t>Mr. ASHISH PANCHAL</t>
  </si>
  <si>
    <t>cwBOOKING/00182/23-24</t>
  </si>
  <si>
    <t>cwFLAP/01036/22-23</t>
  </si>
  <si>
    <t>R1 LG 19</t>
  </si>
  <si>
    <t>Mr. SHYAM SUNDER SHARMA</t>
  </si>
  <si>
    <t>cwBOOKING/00644/22-23</t>
  </si>
  <si>
    <t>cwFLAP/00914/22-23</t>
  </si>
  <si>
    <t>R6 215</t>
  </si>
  <si>
    <t>Mr. RAJENDER BODH</t>
  </si>
  <si>
    <t>cwBOOKING/00074/23-24</t>
  </si>
  <si>
    <t>cwFLAP/00812/22-23</t>
  </si>
  <si>
    <t>R3 UG 12</t>
  </si>
  <si>
    <t>Mr. Vikas Goyal</t>
  </si>
  <si>
    <t>cwBOOKING/00398/22-23</t>
  </si>
  <si>
    <t>cwFLAP/00665/22-23</t>
  </si>
  <si>
    <t>R4 106</t>
  </si>
  <si>
    <t>Ms. SANGKIM LIENTHANG</t>
  </si>
  <si>
    <t>cwBOOKING/00090/23-24</t>
  </si>
  <si>
    <t>cwFLAP/00920/22-23</t>
  </si>
  <si>
    <t>R3 LG 59</t>
  </si>
  <si>
    <t>Mr. RACHIT SEHRAWAT</t>
  </si>
  <si>
    <t>cwBOOKING/00175/23-24</t>
  </si>
  <si>
    <t>cwFLAP/00974/22-23</t>
  </si>
  <si>
    <t>R3 UG 02</t>
  </si>
  <si>
    <t>Mr. M P SHARMA</t>
  </si>
  <si>
    <t>cwBOOKING/00308/23-24</t>
  </si>
  <si>
    <t>cwFLAP/00198/23-24</t>
  </si>
  <si>
    <t>R5 112A</t>
  </si>
  <si>
    <t>Ms. Pushpa</t>
  </si>
  <si>
    <t>cwBOOKING/00457/22-23</t>
  </si>
  <si>
    <t>cwFLAP/00754/22-23</t>
  </si>
  <si>
    <t>R5 112</t>
  </si>
  <si>
    <t>Mr. KUSH BHATIA</t>
  </si>
  <si>
    <t>cwBOOKING/00097/22-23</t>
  </si>
  <si>
    <t>cwFLAP/00101/22-23</t>
  </si>
  <si>
    <t>R6 227</t>
  </si>
  <si>
    <t>Mr. AAYUSH SHARMA</t>
  </si>
  <si>
    <t>cwBOOKING/00164/23-24</t>
  </si>
  <si>
    <t>cwFLAP/01045/22-23</t>
  </si>
  <si>
    <t>R1 LG 21</t>
  </si>
  <si>
    <t>MOHD KASHIF</t>
  </si>
  <si>
    <t>cwBOOKING/00303/23-24</t>
  </si>
  <si>
    <t>cwFLAP/00187/23-24</t>
  </si>
  <si>
    <t>R3 UG 25</t>
  </si>
  <si>
    <t>cwBOOKING/00100/23-24</t>
  </si>
  <si>
    <t>cwFLAP/01042/22-23</t>
  </si>
  <si>
    <t>R3 UG 18</t>
  </si>
  <si>
    <t>Ms. CHITRA CHAWLA</t>
  </si>
  <si>
    <t>cwBOOKING/00017/22-23</t>
  </si>
  <si>
    <t>cwFLAP/00027/22-23</t>
  </si>
  <si>
    <t>R5 K 217</t>
  </si>
  <si>
    <t>Mr. SUMIT MALIK</t>
  </si>
  <si>
    <t>cwBOOKING/00091/23-24</t>
  </si>
  <si>
    <t>cwFLAP/01019/22-23</t>
  </si>
  <si>
    <t>R1 UG 20</t>
  </si>
  <si>
    <t>Mr. RAJIV KUMAR SOLANKI</t>
  </si>
  <si>
    <t>cwBOOKING/00053/23-24</t>
  </si>
  <si>
    <t>cwFLAP/00957/22-23</t>
  </si>
  <si>
    <t>R1 UG 18</t>
  </si>
  <si>
    <t>Mr. KANCHAN KALRA</t>
  </si>
  <si>
    <t>cwBOOKING/00117/23-24</t>
  </si>
  <si>
    <t>cwFLAP/00825/22-23</t>
  </si>
  <si>
    <t>R1 145</t>
  </si>
  <si>
    <t>Mr. AKHILESH KUMAR DUBEY</t>
  </si>
  <si>
    <t>cwBOOKING/00060/22-23</t>
  </si>
  <si>
    <t>cwFLAP/00111/22-23</t>
  </si>
  <si>
    <t>R6 208</t>
  </si>
  <si>
    <t>cwBOOKING/00301/23-24</t>
  </si>
  <si>
    <t>cwFLAP/00171/23-24</t>
  </si>
  <si>
    <t>R2 104</t>
  </si>
  <si>
    <t>Mr. Shashank Jorwal</t>
  </si>
  <si>
    <t>cwBOOKING/00121/23-24</t>
  </si>
  <si>
    <t>cwFLAP/00956/22-23</t>
  </si>
  <si>
    <t>R3 UG 01</t>
  </si>
  <si>
    <t>Ms. PRABHA SHARMA</t>
  </si>
  <si>
    <t>cwBOOKING/00353/22-23</t>
  </si>
  <si>
    <t>cwFLAP/00386/22-23</t>
  </si>
  <si>
    <t>R6 101</t>
  </si>
  <si>
    <t>Ms. SADHNA GUPTA</t>
  </si>
  <si>
    <t>cwBOOKING/00012/23-24</t>
  </si>
  <si>
    <t>cwFLAP/00779/22-23</t>
  </si>
  <si>
    <t>R4 K 301</t>
  </si>
  <si>
    <t>Mr. Vinod Kumar Bapna</t>
  </si>
  <si>
    <t>cwBOOKING/00687/22-23</t>
  </si>
  <si>
    <t>cwFLAP/00831/22-23</t>
  </si>
  <si>
    <t>R2 207</t>
  </si>
  <si>
    <t>Ms. PRITI AGARWAL</t>
  </si>
  <si>
    <t>cwBOOKING/00255/22-23</t>
  </si>
  <si>
    <t>cwFLAP/00177/22-23</t>
  </si>
  <si>
    <t>R1 220</t>
  </si>
  <si>
    <t>Ms. RITU SHARMA</t>
  </si>
  <si>
    <t>cwBOOKING/00106/23-24</t>
  </si>
  <si>
    <t>cwFLAP/01037/22-23</t>
  </si>
  <si>
    <t>R3 LG 95</t>
  </si>
  <si>
    <t>Mr. VIMAL SARDA</t>
  </si>
  <si>
    <t>cwBOOKING/00766/22-23</t>
  </si>
  <si>
    <t>cwFLAP/00992/22-23</t>
  </si>
  <si>
    <t>R5 UG 07</t>
  </si>
  <si>
    <t>cwBOOKING/00021/23-24</t>
  </si>
  <si>
    <t>cwFLAP/00259/22-23</t>
  </si>
  <si>
    <t>R5 K 303</t>
  </si>
  <si>
    <t>M/S. K5 INVESTMENT PVT. LTD.</t>
  </si>
  <si>
    <t>cwBOOKING/00013/23-24</t>
  </si>
  <si>
    <t>cwFLAP/00210/22-23</t>
  </si>
  <si>
    <t>R5 K 304</t>
  </si>
  <si>
    <t>Mr. AMIT KHANDELWAL</t>
  </si>
  <si>
    <t>cwBOOKING/00279/23-24</t>
  </si>
  <si>
    <t>cwFLAP/00176/23-24</t>
  </si>
  <si>
    <t>R1 143</t>
  </si>
  <si>
    <t>Ms. Jyoti Sharma</t>
  </si>
  <si>
    <t>cwBOOKING/00114/23-24</t>
  </si>
  <si>
    <t>cwFLAP/00022/23-24</t>
  </si>
  <si>
    <t>R3 LG 93</t>
  </si>
  <si>
    <t>Mr. MANUSHIVAM MAHESHWARI</t>
  </si>
  <si>
    <t>cwBOOKING/00224/22-23</t>
  </si>
  <si>
    <t>cwFLAP/00053/22-23</t>
  </si>
  <si>
    <t>R4 G 05</t>
  </si>
  <si>
    <t>Ms. Rekha Verma</t>
  </si>
  <si>
    <t>cwBOOKING/00778/22-23</t>
  </si>
  <si>
    <t>cwFLAP/01000/22-23</t>
  </si>
  <si>
    <t>R4 UG 19</t>
  </si>
  <si>
    <t>cwBOOKING/00703/22-23</t>
  </si>
  <si>
    <t>cwFLAP/00649/22-23</t>
  </si>
  <si>
    <t>R1 K 304</t>
  </si>
  <si>
    <t>Ms. SEEMA SHARMA</t>
  </si>
  <si>
    <t>cwBOOKING/00542/22-23</t>
  </si>
  <si>
    <t>cwFLAP/00854/22-23</t>
  </si>
  <si>
    <t>R3 LG 44</t>
  </si>
  <si>
    <t>Ms. AKANKSHA GUPTA</t>
  </si>
  <si>
    <t>cwBOOKING/00204/22-23</t>
  </si>
  <si>
    <t>cwFLAP/00068/22-23</t>
  </si>
  <si>
    <t>R4 114</t>
  </si>
  <si>
    <t>M/S. EQUITY LOGISTIC SOLUTIONS PRIVATE LIMITED</t>
  </si>
  <si>
    <t>cwBOOKING/00161/22-23</t>
  </si>
  <si>
    <t>cwFLAP/00042/22-23</t>
  </si>
  <si>
    <t>R5 K 207</t>
  </si>
  <si>
    <t>Mr. JARIN GEORGE MATHEW</t>
  </si>
  <si>
    <t>cwBOOKING/00422/22-23</t>
  </si>
  <si>
    <t>cwFLAP/00704/22-23</t>
  </si>
  <si>
    <t>R4 LG 27</t>
  </si>
  <si>
    <t>Mr. GAGAN CHANDHOK</t>
  </si>
  <si>
    <t>cwBOOKING/00770/22-23</t>
  </si>
  <si>
    <t>cwFLAP/00985/22-23</t>
  </si>
  <si>
    <t>R1 108</t>
  </si>
  <si>
    <t>cwBOOKING/00364/22-23</t>
  </si>
  <si>
    <t>cwFLAP/00502/22-23</t>
  </si>
  <si>
    <t>R5 G 05</t>
  </si>
  <si>
    <t>Mr. SANDEEP GOYAL</t>
  </si>
  <si>
    <t>cwBOOKING/00520/22-23</t>
  </si>
  <si>
    <t>cwFLAP/00543/22-23</t>
  </si>
  <si>
    <t>R6 UG 09</t>
  </si>
  <si>
    <t>Mr. AJMER SINGH</t>
  </si>
  <si>
    <t>cwBOOKING/00753/22-23</t>
  </si>
  <si>
    <t>cwFLAP/00640/22-23</t>
  </si>
  <si>
    <t>R3 UG 20</t>
  </si>
  <si>
    <t>Mr. MOHAN SINGH RAWAT</t>
  </si>
  <si>
    <t>cwBOOKING/00363/22-23</t>
  </si>
  <si>
    <t>cwFLAP/00525/22-23</t>
  </si>
  <si>
    <t>R1 LG 12</t>
  </si>
  <si>
    <t>Ms. AARTI SABHARWAL</t>
  </si>
  <si>
    <t>cwBOOKING/00738/22-23</t>
  </si>
  <si>
    <t>cwFLAP/00970/22-23</t>
  </si>
  <si>
    <t>R1 235</t>
  </si>
  <si>
    <t>Mr. DEVENDRA SINGH</t>
  </si>
  <si>
    <t>cwBOOKING/00596/22-23</t>
  </si>
  <si>
    <t>cwFLAP/00477/22-23</t>
  </si>
  <si>
    <t>R5 G 15</t>
  </si>
  <si>
    <t>M/S. Shree Radha Krishna Real Estate Private Limited</t>
  </si>
  <si>
    <t>cwBOOKING/00139/23-24</t>
  </si>
  <si>
    <t>cwFLAP/01049/22-23</t>
  </si>
  <si>
    <t>R3 UG 06</t>
  </si>
  <si>
    <t>Ms. ANITA CHOPRA</t>
  </si>
  <si>
    <t>cwBOOKING/00399/22-23</t>
  </si>
  <si>
    <t>cwFLAP/00330/22-23</t>
  </si>
  <si>
    <t>R6 LG 07</t>
  </si>
  <si>
    <t>Ms. Swati Tanwar</t>
  </si>
  <si>
    <t>cwBOOKING/00110/23-24</t>
  </si>
  <si>
    <t>cwFLAP/00821/22-23</t>
  </si>
  <si>
    <t>R3 UG 10</t>
  </si>
  <si>
    <t>Mr. PRIYAM KUMAR</t>
  </si>
  <si>
    <t>cwBOOKING/00041/22-23</t>
  </si>
  <si>
    <t>cwFLAP/00078/22-23</t>
  </si>
  <si>
    <t>R4 UG 04</t>
  </si>
  <si>
    <t>Mr. SANJAY DEHRAN</t>
  </si>
  <si>
    <t>cwBOOKING/00323/22-23</t>
  </si>
  <si>
    <t>cwFLAP/00245/22-23</t>
  </si>
  <si>
    <t>R4 G 06</t>
  </si>
  <si>
    <t>Mr. KAMAL GARG</t>
  </si>
  <si>
    <t>cwBOOKING/00717/22-23</t>
  </si>
  <si>
    <t>cwFAP0026/00003/22-23</t>
  </si>
  <si>
    <t>R5 122</t>
  </si>
  <si>
    <t>Ms. SONIA BANSAL</t>
  </si>
  <si>
    <t>cwBOOKING/00757/22-23</t>
  </si>
  <si>
    <t>cwFLAP/00980/22-23</t>
  </si>
  <si>
    <t>R3 UG 21</t>
  </si>
  <si>
    <t>cwBOOKING/00081/23-24</t>
  </si>
  <si>
    <t>cwFLAP/01078/22-23</t>
  </si>
  <si>
    <t>R3 UG 39</t>
  </si>
  <si>
    <t>Mr. PRAVESH KUMAR KARHANA</t>
  </si>
  <si>
    <t>cwBOOKING/00171/23-24</t>
  </si>
  <si>
    <t>cwFLAP/01023/22-23</t>
  </si>
  <si>
    <t>R2 204</t>
  </si>
  <si>
    <t>cwBOOKING/00106/22-23</t>
  </si>
  <si>
    <t>cwFLAP/00250/22-23</t>
  </si>
  <si>
    <t>R2 UG 17</t>
  </si>
  <si>
    <t>Mr. PANNA LAL CHAURASIA</t>
  </si>
  <si>
    <t>cwBOOKING/00651/22-23</t>
  </si>
  <si>
    <t>cwFLAP/00916/22-23</t>
  </si>
  <si>
    <t>R4 UG 25</t>
  </si>
  <si>
    <t>Ms. SHEHZADI GULNAR MIRZA</t>
  </si>
  <si>
    <t>cwBOOKING/00675/22-23</t>
  </si>
  <si>
    <t>cwFLAP/00552/22-23</t>
  </si>
  <si>
    <t>R5 G 12A</t>
  </si>
  <si>
    <t>M/S. SRM CONTRACTORS LIMITED</t>
  </si>
  <si>
    <t>cwBOOKING/00413/22-23</t>
  </si>
  <si>
    <t>cwFLAP/00527/22-23</t>
  </si>
  <si>
    <t>R4 112A</t>
  </si>
  <si>
    <t>Mr. NEELABH AYODHYA SINGH</t>
  </si>
  <si>
    <t>cwBOOKING/00009/25-26</t>
  </si>
  <si>
    <t>cwFLAP/00007/24-25</t>
  </si>
  <si>
    <t>R3 LG 02</t>
  </si>
  <si>
    <t>Mr. Sanjay Gupta</t>
  </si>
  <si>
    <t>cwBOOKING/00726/22-23</t>
  </si>
  <si>
    <t>cwFLAP/00964/22-23</t>
  </si>
  <si>
    <t>R5 UG 04</t>
  </si>
  <si>
    <t>cwBOOKING/00647/22-23</t>
  </si>
  <si>
    <t>cwFLAP/00551/22-23</t>
  </si>
  <si>
    <t>R4 G 17</t>
  </si>
  <si>
    <t>Mr. Mohan Singh Suden</t>
  </si>
  <si>
    <t>cwBOOKING/00094/23-24</t>
  </si>
  <si>
    <t>cwFLAP/00935/22-23</t>
  </si>
  <si>
    <t>R3 LG 49</t>
  </si>
  <si>
    <t>Mr. DHARAMPAL SEHRAWAT</t>
  </si>
  <si>
    <t>cwBOOKING/00695/22-23</t>
  </si>
  <si>
    <t>cwFLAP/00032/22-23</t>
  </si>
  <si>
    <t>R5 G 21</t>
  </si>
  <si>
    <t>Mr. SANJEEV KUMAR GARG</t>
  </si>
  <si>
    <t>cwBOOKING/00021/22-23</t>
  </si>
  <si>
    <t>cwFLAP/00044/22-23</t>
  </si>
  <si>
    <t>R1 218</t>
  </si>
  <si>
    <t>Ms. USHA DEVI</t>
  </si>
  <si>
    <t>cwBOOKING/00320/22-23</t>
  </si>
  <si>
    <t>cwFLAP/00363/22-23</t>
  </si>
  <si>
    <t>R4 110</t>
  </si>
  <si>
    <t>Mr. ALOK CHATTOPADHYAY</t>
  </si>
  <si>
    <t>cwBOOKING/00335/22-23</t>
  </si>
  <si>
    <t>cwFAP0026/00001/22-23</t>
  </si>
  <si>
    <t>R6 225</t>
  </si>
  <si>
    <t>Mr. SACHIN JAIN</t>
  </si>
  <si>
    <t>cwBOOKING/00679/22-23</t>
  </si>
  <si>
    <t>cwFLAP/00530/22-23</t>
  </si>
  <si>
    <t>R6 231</t>
  </si>
  <si>
    <t>Ms. PRAVEEN KUMARI</t>
  </si>
  <si>
    <t>cwBOOKING/00631/22-23</t>
  </si>
  <si>
    <t>cwFLAP/00587/22-23</t>
  </si>
  <si>
    <t>R5 LG 40</t>
  </si>
  <si>
    <t>Mr. SHAMBHU SHARAN SINGH</t>
  </si>
  <si>
    <t>cwBOOKING/00384/22-23</t>
  </si>
  <si>
    <t>cwFLAP/00584/22-23</t>
  </si>
  <si>
    <t>R1 G 08</t>
  </si>
  <si>
    <t>Mr. SANJEEV KUMAR WADHWA</t>
  </si>
  <si>
    <t>cwBOOKING/00731/22-23</t>
  </si>
  <si>
    <t>cwFLAP/00965/22-23</t>
  </si>
  <si>
    <t>R1 G 17</t>
  </si>
  <si>
    <t>Ms. KAMNA BAGRODIA</t>
  </si>
  <si>
    <t>cwBOOKING/00406/22-23</t>
  </si>
  <si>
    <t>cwFLAP/00441/22-23</t>
  </si>
  <si>
    <t>R4 G 04</t>
  </si>
  <si>
    <t>M/S. ROCKY CYCLES PRIVATE LIMITED</t>
  </si>
  <si>
    <t>cwBOOKING/00086/23-24</t>
  </si>
  <si>
    <t>cwFLAP/00952/22-23</t>
  </si>
  <si>
    <t>R1 LG 26</t>
  </si>
  <si>
    <t>Mr. SANDEEP MALIK</t>
  </si>
  <si>
    <t>cwBOOKING/00711/22-23</t>
  </si>
  <si>
    <t>cwFLAP/00848/22-23</t>
  </si>
  <si>
    <t>R1 UG 12</t>
  </si>
  <si>
    <t>Ms. SUPREET KAUR SAWHNEY</t>
  </si>
  <si>
    <t>cwBOOKING/00733/22-23</t>
  </si>
  <si>
    <t>cwFLAP/00966/22-23</t>
  </si>
  <si>
    <t>R3 UG 27</t>
  </si>
  <si>
    <t>Ms. SMITA SHARMA</t>
  </si>
  <si>
    <t>cwBOOKING/00190/23-24</t>
  </si>
  <si>
    <t>cwFLAP/00071/23-24</t>
  </si>
  <si>
    <t>R1 LG 17</t>
  </si>
  <si>
    <t>Ms. MEENAKSHI TOMAR</t>
  </si>
  <si>
    <t>cwBOOKING/00007/23-24</t>
  </si>
  <si>
    <t>cwFLAP/00686/22-23</t>
  </si>
  <si>
    <t>R1 132</t>
  </si>
  <si>
    <t>Mr. JITENDER MISHRA</t>
  </si>
  <si>
    <t>CCWBOOKING/00010/22-23</t>
  </si>
  <si>
    <t>CCWFLAP/00025/22-23</t>
  </si>
  <si>
    <t>R4 G 12</t>
  </si>
  <si>
    <t>M/S. RSK BUILTECH LLP</t>
  </si>
  <si>
    <t>cwBOOKING/00002/22-23</t>
  </si>
  <si>
    <t>cwFLAP/00003/22-23</t>
  </si>
  <si>
    <t>R6 126</t>
  </si>
  <si>
    <t>cwBOOKING/00058/23-24</t>
  </si>
  <si>
    <t>cwFLAP/01066/22-23</t>
  </si>
  <si>
    <t>R1 UG 22</t>
  </si>
  <si>
    <t>M/S. DELPHI INFOTECH PVT.LTD.</t>
  </si>
  <si>
    <t>cwBOOKING/00305/23-24</t>
  </si>
  <si>
    <t>cwFLAP/00195/23-24</t>
  </si>
  <si>
    <t>R4 G 22</t>
  </si>
  <si>
    <t>M/S. Banipur Infra Private Limited</t>
  </si>
  <si>
    <t>cwBOOKING/00289/23-24</t>
  </si>
  <si>
    <t>cwFLAP/00172/23-24</t>
  </si>
  <si>
    <t>R3 LG 05</t>
  </si>
  <si>
    <t>Ms. Nandita Kumari</t>
  </si>
  <si>
    <t>cwBOOKING/00615/22-23</t>
  </si>
  <si>
    <t>cwFLAP/00675/22-23</t>
  </si>
  <si>
    <t>R1 K 302</t>
  </si>
  <si>
    <t>Mr. RANDEEP MALIK</t>
  </si>
  <si>
    <t>cwBOOKING/00166/23-24</t>
  </si>
  <si>
    <t>cwFLAP/00063/23-24</t>
  </si>
  <si>
    <t>R4 102</t>
  </si>
  <si>
    <t>Mr. KUSHMEET SINGH SAWHNEY</t>
  </si>
  <si>
    <t>cwBOOKING/00670/22-23</t>
  </si>
  <si>
    <t>cwFLAP/00696/22-23</t>
  </si>
  <si>
    <t>R6 LG 16</t>
  </si>
  <si>
    <t>Ms. RASHMI HUKKU</t>
  </si>
  <si>
    <t>cwBOOKING/00296/23-24</t>
  </si>
  <si>
    <t>cwFLAP/00191/23-24</t>
  </si>
  <si>
    <t>R5 LG 16</t>
  </si>
  <si>
    <t>Ms. Dhanpati Devi</t>
  </si>
  <si>
    <t>cwBOOKING/00650/22-23</t>
  </si>
  <si>
    <t>cwFLAP/00915/22-23</t>
  </si>
  <si>
    <t>R1 K 303</t>
  </si>
  <si>
    <t>Mr. PANKAJ JYOTI</t>
  </si>
  <si>
    <t>cwBOOKING/00597/22-23</t>
  </si>
  <si>
    <t>cwFLAP/00476/22-23</t>
  </si>
  <si>
    <t>R4 G 14</t>
  </si>
  <si>
    <t>Mr. ASHISH .</t>
  </si>
  <si>
    <t>cwBOOKING/00250/22-23</t>
  </si>
  <si>
    <t>cwFLAP/00402/22-23</t>
  </si>
  <si>
    <t>R5 G 06</t>
  </si>
  <si>
    <t>Mrs. SHUBHANGEE SHARMA</t>
  </si>
  <si>
    <t>cwBOOKING/00152/23-24</t>
  </si>
  <si>
    <t>cwFLAP/00002/23-24</t>
  </si>
  <si>
    <t>R3 LG 94</t>
  </si>
  <si>
    <t>Dr. GURJAP SINGH</t>
  </si>
  <si>
    <t>cwBOOKING/00710/22-23</t>
  </si>
  <si>
    <t>cwFLAP/00605/22-23</t>
  </si>
  <si>
    <t>R1 135</t>
  </si>
  <si>
    <t>Mr. RAJESH KUMAR KARGWAL</t>
  </si>
  <si>
    <t>cwBOOKING/00117/22-23</t>
  </si>
  <si>
    <t>cwFLAP/00138/22-23</t>
  </si>
  <si>
    <t>R6 LG 24</t>
  </si>
  <si>
    <t>Mr. SARFRAZ AHMAD</t>
  </si>
  <si>
    <t>cwBOOKING/00521/22-23</t>
  </si>
  <si>
    <t>cwFLAP/00550/22-23</t>
  </si>
  <si>
    <t>R6 UG 08</t>
  </si>
  <si>
    <t>cwBOOKING/00713/22-23</t>
  </si>
  <si>
    <t>cwFLAP/00558/22-23</t>
  </si>
  <si>
    <t>R6 LG 04</t>
  </si>
  <si>
    <t>Ms. VAISHNOW MALHOTRA</t>
  </si>
  <si>
    <t>cwBOOKING/00099/23-24</t>
  </si>
  <si>
    <t>cwFLAP/00846/22-23</t>
  </si>
  <si>
    <t>R2 UG 14</t>
  </si>
  <si>
    <t>Ms. ARTI MISHRA</t>
  </si>
  <si>
    <t>cwBOOKING/00436/22-23</t>
  </si>
  <si>
    <t>cwFLAP/00717/22-23</t>
  </si>
  <si>
    <t>R4 G 16</t>
  </si>
  <si>
    <t>Mr. RUSHIL KATYAL</t>
  </si>
  <si>
    <t>cwBOOKING/00227/23-24</t>
  </si>
  <si>
    <t>cwFLAP/00123/23-24</t>
  </si>
  <si>
    <t>R4 LG 31</t>
  </si>
  <si>
    <t>Ms. Meenakshi Singhal</t>
  </si>
  <si>
    <t>cwBOOKING/00301/22-23</t>
  </si>
  <si>
    <t>cwFLAP/00208/22-23</t>
  </si>
  <si>
    <t>R5 G 17</t>
  </si>
  <si>
    <t>Mr. VISHANT JAIN</t>
  </si>
  <si>
    <t>cwBOOKING/00230/23-24</t>
  </si>
  <si>
    <t>cwFLAP/00127/23-24</t>
  </si>
  <si>
    <t>R4 LG 28</t>
  </si>
  <si>
    <t>cwBOOKING/00089/23-24</t>
  </si>
  <si>
    <t>cwFLAP/00852/22-23</t>
  </si>
  <si>
    <t>R1 LG 20</t>
  </si>
  <si>
    <t>M/S. HARYANA EARTHMOVERS</t>
  </si>
  <si>
    <t>cwBOOKING/00472/22-23</t>
  </si>
  <si>
    <t>cwFLAP/00670/22-23</t>
  </si>
  <si>
    <t>R5 130</t>
  </si>
  <si>
    <t>Ms. CHANDRA DUTTA</t>
  </si>
  <si>
    <t>cwBOOKING/00088/23-24</t>
  </si>
  <si>
    <t>cwFLAP/00523/22-23</t>
  </si>
  <si>
    <t>R4 G 01</t>
  </si>
  <si>
    <t>Mr. SUMIT GAUR</t>
  </si>
  <si>
    <t>cwBOOKING/00226/23-24</t>
  </si>
  <si>
    <t>cwFLAP/00124/23-24</t>
  </si>
  <si>
    <t>R4 LG 32</t>
  </si>
  <si>
    <t>cwBOOKING/00428/22-23</t>
  </si>
  <si>
    <t>cwFLAP/00711/22-23</t>
  </si>
  <si>
    <t>R1 144</t>
  </si>
  <si>
    <t>Mr. BILAL AHMAD WANI</t>
  </si>
  <si>
    <t>cwBOOKING/00427/22-23</t>
  </si>
  <si>
    <t>cwFLAP/00313/22-23</t>
  </si>
  <si>
    <t>R5 G 24</t>
  </si>
  <si>
    <t>Mr. GAURAV VAID</t>
  </si>
  <si>
    <t>cwBOOKING/00645/22-23</t>
  </si>
  <si>
    <t>cwFLAP/00668/22-23</t>
  </si>
  <si>
    <t>R3 UG 30</t>
  </si>
  <si>
    <t>Ms. SUNITA AHUJA</t>
  </si>
  <si>
    <t>cwBOOKING/00132/23-24</t>
  </si>
  <si>
    <t>cwFLAP/00042/23-24</t>
  </si>
  <si>
    <t>R2 206</t>
  </si>
  <si>
    <t>Mr. SHRUTI KANT RUSTAGI</t>
  </si>
  <si>
    <t>cwBOOKING/00099/22-23</t>
  </si>
  <si>
    <t>cwFLAP/00247/22-23</t>
  </si>
  <si>
    <t>R4 G 19</t>
  </si>
  <si>
    <t>Mr. BALBIR SINGH</t>
  </si>
  <si>
    <t>cwBOOKING/00226/22-23</t>
  </si>
  <si>
    <t>cwFLAP/00116/22-23</t>
  </si>
  <si>
    <t>R4 112</t>
  </si>
  <si>
    <t>Mr. PAWAN AGGARWAL</t>
  </si>
  <si>
    <t>cwBOOKING/00240/22-23</t>
  </si>
  <si>
    <t>cwFLAP/00393/22-23</t>
  </si>
  <si>
    <t>R5 G 14</t>
  </si>
  <si>
    <t>M/S. H S ASSOCIATES</t>
  </si>
  <si>
    <t>cwBOOKING/00134/23-24</t>
  </si>
  <si>
    <t>cwFLAP/00005/23-24</t>
  </si>
  <si>
    <t>R3 LG 04</t>
  </si>
  <si>
    <t>Mr. DEEPAK NAITHANI</t>
  </si>
  <si>
    <t>cwBOOKING/00261/23-24</t>
  </si>
  <si>
    <t>cwFLAP/00143/23-24</t>
  </si>
  <si>
    <t>R5 UG 11</t>
  </si>
  <si>
    <t>M/S. WOLFE RETAILS (OPC) PRIVATE LIMITED</t>
  </si>
  <si>
    <t>cwBOOKING/00249/23-24</t>
  </si>
  <si>
    <t>cwFLAP/00121/23-24</t>
  </si>
  <si>
    <t>R6 UG 15</t>
  </si>
  <si>
    <t>Ms. Ritu Goel</t>
  </si>
  <si>
    <t>cwBOOKING/00229/23-24</t>
  </si>
  <si>
    <t>cwFLAP/00125/23-24</t>
  </si>
  <si>
    <t>R6 LG 33</t>
  </si>
  <si>
    <t>cwBOOKING/00236/22-23</t>
  </si>
  <si>
    <t>cwFLAP/00191/22-23</t>
  </si>
  <si>
    <t>R5 124</t>
  </si>
  <si>
    <t>Ms. OSHIMA REEHAL</t>
  </si>
  <si>
    <t>cwBOOKING/00047/22-23</t>
  </si>
  <si>
    <t>cwFLAP/00085/22-23</t>
  </si>
  <si>
    <t>R4 111</t>
  </si>
  <si>
    <t>Mr. ASHISH NARANG</t>
  </si>
  <si>
    <t>cwBOOKING/00148/23-24</t>
  </si>
  <si>
    <t>cwFLAP/01029/22-23</t>
  </si>
  <si>
    <t>R2 LG 11</t>
  </si>
  <si>
    <t>Ms. AMRITA JHA</t>
  </si>
  <si>
    <t>cwBOOKING/00260/22-23</t>
  </si>
  <si>
    <t>cwFLAP/00344/22-23</t>
  </si>
  <si>
    <t>R4 K 302</t>
  </si>
  <si>
    <t>Ms. NEHA MALHOTRA</t>
  </si>
  <si>
    <t>cwBOOKING/00266/22-23</t>
  </si>
  <si>
    <t>cwFLAP/00345/22-23</t>
  </si>
  <si>
    <t>R5 K 301</t>
  </si>
  <si>
    <t>cwBOOKING/00228/23-24</t>
  </si>
  <si>
    <t>cwFLAP/00126/23-24</t>
  </si>
  <si>
    <t>R5 LG 12A</t>
  </si>
  <si>
    <t>cwBOOKING/00102/23-24</t>
  </si>
  <si>
    <t>cwFLAP/00958/22-23</t>
  </si>
  <si>
    <t>R3 LG 70</t>
  </si>
  <si>
    <t>Ms. NEELAM DHIMAN</t>
  </si>
  <si>
    <t>cwBOOKING/00727/22-23</t>
  </si>
  <si>
    <t>cwFLAP/00963/22-23</t>
  </si>
  <si>
    <t>R4 UG 27</t>
  </si>
  <si>
    <t>cwBOOKING/00234/23-24</t>
  </si>
  <si>
    <t>cwFLAP/00082/23-24</t>
  </si>
  <si>
    <t>R6 128</t>
  </si>
  <si>
    <t>M/S. ORIGAMI BUSINESS MANAGEMENT PRIVATE LIMITED</t>
  </si>
  <si>
    <t>cwBOOKING/00085/23-24</t>
  </si>
  <si>
    <t>cwFLAP/00774/22-23</t>
  </si>
  <si>
    <t>R4 LG 12A</t>
  </si>
  <si>
    <t>M/S. DEEPAK SHARMA (HUF)</t>
  </si>
  <si>
    <t>cwBOOKING/00240/23-24</t>
  </si>
  <si>
    <t>cwFLAP/00131/23-24</t>
  </si>
  <si>
    <t>R6 LG 32</t>
  </si>
  <si>
    <t>M/S. ROKLIM ESTATES LLP</t>
  </si>
  <si>
    <t>cwBOOKING/00616/22-23</t>
  </si>
  <si>
    <t>cwFLAP/00207/22-23</t>
  </si>
  <si>
    <t>R1 G 18</t>
  </si>
  <si>
    <t>Ms. RASHMI KEDIA</t>
  </si>
  <si>
    <t>cwBOOKING/00235/23-24</t>
  </si>
  <si>
    <t>cwFLAP/00079/23-24</t>
  </si>
  <si>
    <t>R6 121</t>
  </si>
  <si>
    <t>cwBOOKING/00237/23-24</t>
  </si>
  <si>
    <t>cwFLAP/00080/23-24</t>
  </si>
  <si>
    <t>R6 122</t>
  </si>
  <si>
    <t>cwBOOKING/00531/22-23</t>
  </si>
  <si>
    <t>cwFLAP/00036/22-23</t>
  </si>
  <si>
    <t>R1 G 06</t>
  </si>
  <si>
    <t>Mr. SUNIL KUMAR ARORA</t>
  </si>
  <si>
    <t>cwBOOKING/00316/22-23</t>
  </si>
  <si>
    <t>cwFLAP/00457/22-23</t>
  </si>
  <si>
    <t>R5 G 12</t>
  </si>
  <si>
    <t>Mr. BHARAT BHAMBHANI</t>
  </si>
  <si>
    <t>cwBOOKING/00197/23-24</t>
  </si>
  <si>
    <t>cwFLAP/00085/23-24</t>
  </si>
  <si>
    <t>R4 251</t>
  </si>
  <si>
    <t>M/S. DRUMMOND ESTATES LLP</t>
  </si>
  <si>
    <t>cwBOOKING/00403/22-23</t>
  </si>
  <si>
    <t>cwFLAP/00342/22-23</t>
  </si>
  <si>
    <t>R2 LG 17</t>
  </si>
  <si>
    <t>Ms. SHIPRA JHA</t>
  </si>
  <si>
    <t>cwBOOKING/00015/22-23</t>
  </si>
  <si>
    <t>cwFLAP/00018/22-23</t>
  </si>
  <si>
    <t>R5 156</t>
  </si>
  <si>
    <t>Mr. APOORVA GAUR</t>
  </si>
  <si>
    <t>cwBOOKING/00236/23-24</t>
  </si>
  <si>
    <t>cwFLAP/00077/23-24</t>
  </si>
  <si>
    <t>R6 129</t>
  </si>
  <si>
    <t>cwBOOKING/00678/22-23</t>
  </si>
  <si>
    <t>cwFLAP/00930/22-23</t>
  </si>
  <si>
    <t>R4 UG 01</t>
  </si>
  <si>
    <t>Mr. MITESH JAIN</t>
  </si>
  <si>
    <t>cwBOOKING/00250/23-24</t>
  </si>
  <si>
    <t>cwFLAP/00147/23-24</t>
  </si>
  <si>
    <t>R3 UG 17</t>
  </si>
  <si>
    <t>M/S. LORD SHRI RANKESHWAR DEVELOPERS PRIVATE LIMITED</t>
  </si>
  <si>
    <t>cwBOOKING/00207/23-24</t>
  </si>
  <si>
    <t>cwFLAP/00098/23-24</t>
  </si>
  <si>
    <t>R4 UG 21</t>
  </si>
  <si>
    <t>cwBOOKING/00201/23-24</t>
  </si>
  <si>
    <t>cwFLAP/00089/23-24</t>
  </si>
  <si>
    <t>R4 149</t>
  </si>
  <si>
    <t>cwBOOKING/00214/22-23</t>
  </si>
  <si>
    <t>cwFLAP/00367/22-23</t>
  </si>
  <si>
    <t>R5 G 07</t>
  </si>
  <si>
    <t>Mr. NAVNEET VATS</t>
  </si>
  <si>
    <t>cwBOOKING/00200/23-24</t>
  </si>
  <si>
    <t>cwFLAP/00090/23-24</t>
  </si>
  <si>
    <t>R6 131</t>
  </si>
  <si>
    <t>cwBOOKING/00187/23-24</t>
  </si>
  <si>
    <t>cwFLAP/00070/23-24</t>
  </si>
  <si>
    <t>R5 G 03</t>
  </si>
  <si>
    <t>M/S. TRIUMPH EDUDEVELOPERS PRIVATE LIMITED</t>
  </si>
  <si>
    <t>cwBOOKING/00199/23-24</t>
  </si>
  <si>
    <t>cwFLAP/00086/23-24</t>
  </si>
  <si>
    <t>R6 233</t>
  </si>
  <si>
    <t>cwBOOKING/00209/23-24</t>
  </si>
  <si>
    <t>cwFLAP/00097/23-24</t>
  </si>
  <si>
    <t>R4 UG 20</t>
  </si>
  <si>
    <t>cwBOOKING/00204/23-24</t>
  </si>
  <si>
    <t>cwFLAP/00091/23-24</t>
  </si>
  <si>
    <t>R4 151</t>
  </si>
  <si>
    <t>cwBOOKING/00231/23-24</t>
  </si>
  <si>
    <t>cwFLAP/00128/23-24</t>
  </si>
  <si>
    <t>R2 UG 08</t>
  </si>
  <si>
    <t>Ms. Minakshi Kumari</t>
  </si>
  <si>
    <t>cwBOOKING/00104/23-24</t>
  </si>
  <si>
    <t>cwFLAP/01011/22-23</t>
  </si>
  <si>
    <t>R6 LG 03</t>
  </si>
  <si>
    <t>Ms. MRIGNAINI VIJAN</t>
  </si>
  <si>
    <t>cwBOOKING/00202/23-24</t>
  </si>
  <si>
    <t>cwFLAP/00101/23-24</t>
  </si>
  <si>
    <t>R5 UG 08</t>
  </si>
  <si>
    <t>cwBOOKING/00203/23-24</t>
  </si>
  <si>
    <t>cwFLAP/00102/23-24</t>
  </si>
  <si>
    <t>R5 UG 09</t>
  </si>
  <si>
    <t>cwBOOKING/00205/23-24</t>
  </si>
  <si>
    <t>cwFLAP/00087/23-24</t>
  </si>
  <si>
    <t>R6 111</t>
  </si>
  <si>
    <t>cwBOOKING/00198/23-24</t>
  </si>
  <si>
    <t>cwFLAP/00088/23-24</t>
  </si>
  <si>
    <t>R6 133</t>
  </si>
  <si>
    <t>cwBOOKING/00220/23-24</t>
  </si>
  <si>
    <t>cwFLAP/00095/23-24</t>
  </si>
  <si>
    <t>R6 UG 22</t>
  </si>
  <si>
    <t>cwBOOKING/00213/23-24</t>
  </si>
  <si>
    <t>cwFLAP/00107/23-24</t>
  </si>
  <si>
    <t>R5 LG 08</t>
  </si>
  <si>
    <t>cwBOOKING/00128/22-23</t>
  </si>
  <si>
    <t>cwFLAP/00290/22-23</t>
  </si>
  <si>
    <t>R5 G 02</t>
  </si>
  <si>
    <t>Mr. AJAY BABBAR</t>
  </si>
  <si>
    <t>cwBOOKING/00247/23-24</t>
  </si>
  <si>
    <t>cwFLAP/00116/23-24</t>
  </si>
  <si>
    <t>R4 142</t>
  </si>
  <si>
    <t>M/S. MUNNARE BUILDERS LLP</t>
  </si>
  <si>
    <t>CCWBOOKING/00003/22-23</t>
  </si>
  <si>
    <t>CCWFLAP/00018/22-23</t>
  </si>
  <si>
    <t>R1 G 09</t>
  </si>
  <si>
    <t>M/S. RAKSHAK SECURITAS PVT. LTD.</t>
  </si>
  <si>
    <t>CCWBOOKING/00004/22-23</t>
  </si>
  <si>
    <t>CCWFLAP/00019/22-23</t>
  </si>
  <si>
    <t>R1 G 10</t>
  </si>
  <si>
    <t>CCWBOOKING/00007/22-23</t>
  </si>
  <si>
    <t>CCWFLAP/00022/22-23</t>
  </si>
  <si>
    <t>R1 G 11</t>
  </si>
  <si>
    <t>cwBOOKING/00241/23-24</t>
  </si>
  <si>
    <t>cwFLAP/00133/23-24</t>
  </si>
  <si>
    <t>R6 LG 31</t>
  </si>
  <si>
    <t>cwBOOKING/00212/23-24</t>
  </si>
  <si>
    <t>cwFLAP/00109/23-24</t>
  </si>
  <si>
    <t>R5 LG 07</t>
  </si>
  <si>
    <t>cwBOOKING/00215/23-24</t>
  </si>
  <si>
    <t>cwFLAP/00104/23-24</t>
  </si>
  <si>
    <t>R5 LG 04</t>
  </si>
  <si>
    <t>cwBOOKING/00233/23-24</t>
  </si>
  <si>
    <t>cwFLAP/00130/23-24</t>
  </si>
  <si>
    <t>R2 UG 07</t>
  </si>
  <si>
    <t>CCWBOOKING/00006/22-23</t>
  </si>
  <si>
    <t>CCWFLAP/00021/22-23</t>
  </si>
  <si>
    <t>R1 G 12</t>
  </si>
  <si>
    <t>cwBOOKING/00221/23-24</t>
  </si>
  <si>
    <t>cwFLAP/00096/23-24</t>
  </si>
  <si>
    <t>R6 UG 21</t>
  </si>
  <si>
    <t>cwBOOKING/00092/23-24</t>
  </si>
  <si>
    <t>cwFLAP/00017/23-24</t>
  </si>
  <si>
    <t>R6 LG 15</t>
  </si>
  <si>
    <t>Md. ANAS</t>
  </si>
  <si>
    <t>CCWBOOKING/00005/22-23</t>
  </si>
  <si>
    <t>CCWFLAP/00020/22-23</t>
  </si>
  <si>
    <t>R1 G 14</t>
  </si>
  <si>
    <t>cwBOOKING/00223/23-24</t>
  </si>
  <si>
    <t>cwFLAP/00100/23-24</t>
  </si>
  <si>
    <t>R4 LG 20</t>
  </si>
  <si>
    <t>cwBOOKING/00052/23-24</t>
  </si>
  <si>
    <t>cwFLAP/01063/22-23</t>
  </si>
  <si>
    <t>R1 G 19</t>
  </si>
  <si>
    <t>Mr. HARSHIT GOYAL</t>
  </si>
  <si>
    <t>cwBOOKING/00462/22-23</t>
  </si>
  <si>
    <t>cwFLAP/00428/22-23</t>
  </si>
  <si>
    <t>R4 G 15</t>
  </si>
  <si>
    <t>Mr. MANOJ KUMAR TOMAR</t>
  </si>
  <si>
    <t>cwBOOKING/00206/23-24</t>
  </si>
  <si>
    <t>cwFLAP/00099/23-24</t>
  </si>
  <si>
    <t>R4 UG 22</t>
  </si>
  <si>
    <t>CCWBOOKING/00008/22-23</t>
  </si>
  <si>
    <t>CCWFLAP/00023/22-23</t>
  </si>
  <si>
    <t>R1 G 12A</t>
  </si>
  <si>
    <t>cwBOOKING/00210/23-24</t>
  </si>
  <si>
    <t>cwFLAP/00111/23-24</t>
  </si>
  <si>
    <t>R4 LG 21</t>
  </si>
  <si>
    <t>cwBOOKING/00238/23-24</t>
  </si>
  <si>
    <t>cwFLAP/00081/23-24</t>
  </si>
  <si>
    <t>R6 LG 28</t>
  </si>
  <si>
    <t>M/S. TRON INFRA TECH PRIVATE LIMITED</t>
  </si>
  <si>
    <t>cwBOOKING/00222/23-24</t>
  </si>
  <si>
    <t>cwFLAP/00110/23-24</t>
  </si>
  <si>
    <t>R4 LG 22</t>
  </si>
  <si>
    <t>cwBOOKING/00218/23-24</t>
  </si>
  <si>
    <t>cwFLAP/00108/23-24</t>
  </si>
  <si>
    <t>R4 LG 23</t>
  </si>
  <si>
    <t>cwBOOKING/00017/23-24</t>
  </si>
  <si>
    <t>cwFLAP/00594/22-23</t>
  </si>
  <si>
    <t>R6 LG 18</t>
  </si>
  <si>
    <t>M/S. A. K. BAKSHI &amp; SON (HUF)</t>
  </si>
  <si>
    <t>cwBOOKING/00262/23-24</t>
  </si>
  <si>
    <t>cwFLAP/00158/23-24</t>
  </si>
  <si>
    <t>R4 LG 18</t>
  </si>
  <si>
    <t>cwBOOKING/00174/22-23</t>
  </si>
  <si>
    <t>cwFLAP/00037/22-23</t>
  </si>
  <si>
    <t>R5 G 19</t>
  </si>
  <si>
    <t>Mr. AUMAN BANSAL</t>
  </si>
  <si>
    <t>cwBOOKING/00208/23-24</t>
  </si>
  <si>
    <t>cwFLAP/00084/23-24</t>
  </si>
  <si>
    <t>R4 201</t>
  </si>
  <si>
    <t>cwBOOKING/00124/23-24</t>
  </si>
  <si>
    <t>cwFLAP/00697/22-23</t>
  </si>
  <si>
    <t>R6 LG 11</t>
  </si>
  <si>
    <t>Mr. DHIRAJ KUMAR BAJAJ</t>
  </si>
  <si>
    <t>cwBOOKING/00239/23-24</t>
  </si>
  <si>
    <t>cwFLAP/00078/23-24</t>
  </si>
  <si>
    <t>R6 LG 29</t>
  </si>
  <si>
    <t>cwBOOKING/00251/23-24</t>
  </si>
  <si>
    <t>cwFLAP/00148/23-24</t>
  </si>
  <si>
    <t>R5 LG 10</t>
  </si>
  <si>
    <t>cwBOOKING/00217/23-24</t>
  </si>
  <si>
    <t>cwFLAP/00093/23-24</t>
  </si>
  <si>
    <t>R4 LG 10</t>
  </si>
  <si>
    <t>cwBOOKING/00214/23-24</t>
  </si>
  <si>
    <t>cwFLAP/00092/23-24</t>
  </si>
  <si>
    <t>R4 LG 11</t>
  </si>
  <si>
    <t>cwBOOKING/00219/23-24</t>
  </si>
  <si>
    <t>cwFLAP/00103/23-24</t>
  </si>
  <si>
    <t>R6 LG 22</t>
  </si>
  <si>
    <t>cwBOOKING/00232/23-24</t>
  </si>
  <si>
    <t>cwFLAP/00129/23-24</t>
  </si>
  <si>
    <t>R2 UG 09</t>
  </si>
  <si>
    <t>cwBOOKING/00188/22-23</t>
  </si>
  <si>
    <t>cwFLAP/00098/22-23</t>
  </si>
  <si>
    <t>R5 G 08</t>
  </si>
  <si>
    <t>cwBOOKING/00077/22-23</t>
  </si>
  <si>
    <t>cwFLAP/00182/22-23</t>
  </si>
  <si>
    <t>R4 G 18</t>
  </si>
  <si>
    <t>Mr. SULTAN SINGH</t>
  </si>
  <si>
    <t>cwBOOKING/00232/22-23</t>
  </si>
  <si>
    <t>cwFLAP/00038/22-23</t>
  </si>
  <si>
    <t>R5 G 18</t>
  </si>
  <si>
    <t>Mr. Rakesh Tyagi</t>
  </si>
  <si>
    <t>cwBOOKING/00056/22-23</t>
  </si>
  <si>
    <t>cwFLAP/00103/22-23</t>
  </si>
  <si>
    <t>R5 G 04</t>
  </si>
  <si>
    <t>cwBOOKING/00137/22-23</t>
  </si>
  <si>
    <t>cwFLAP/00040/22-23</t>
  </si>
  <si>
    <t>R5 G 09</t>
  </si>
  <si>
    <t>M/S. PARSHEV JAIN HUF</t>
  </si>
  <si>
    <t>cwBOOKING/00216/23-24</t>
  </si>
  <si>
    <t>cwFLAP/00105/23-24</t>
  </si>
  <si>
    <t>R6 LG 21</t>
  </si>
  <si>
    <t>CCWBOOKING/00002/22-23</t>
  </si>
  <si>
    <t>CCWFLAP/00017/22-23</t>
  </si>
  <si>
    <t>R1 G 15</t>
  </si>
  <si>
    <t>cwBOOKING/00349/22-23</t>
  </si>
  <si>
    <t>cwFLAP/00496/22-23</t>
  </si>
  <si>
    <t>R4 G 21</t>
  </si>
  <si>
    <t>M/S. NSV INDIA OVERSEAS LLP</t>
  </si>
  <si>
    <t>cwBOOKING/00164/22-23</t>
  </si>
  <si>
    <t>cwFLAP/00033/22-23</t>
  </si>
  <si>
    <t>R5 G 22</t>
  </si>
  <si>
    <t>Mr. PARESH SINGLA</t>
  </si>
  <si>
    <t>cwBOOKING/00211/23-24</t>
  </si>
  <si>
    <t>cwFLAP/00106/23-24</t>
  </si>
  <si>
    <t>R4 LG 24</t>
  </si>
  <si>
    <t>cwBOOKING/00440/22-23</t>
  </si>
  <si>
    <t>cwFLAP/00035/22-23</t>
  </si>
  <si>
    <t>R1 G 05</t>
  </si>
  <si>
    <t>Ms. BHAVNA GOYAL</t>
  </si>
  <si>
    <t>cwBOOKING/00233/22-23</t>
  </si>
  <si>
    <t>cwFLAP/00031/22-23</t>
  </si>
  <si>
    <t>R5 G 23</t>
  </si>
  <si>
    <t>Ms. PUNAM SINGLA</t>
  </si>
  <si>
    <t>cwBOOKING/00260/23-24</t>
  </si>
  <si>
    <t>cwFLAP/00142/23-24</t>
  </si>
  <si>
    <t>R6 UG 29</t>
  </si>
  <si>
    <t>cwBOOKING/00248/23-24</t>
  </si>
  <si>
    <t>cwFLAP/00139/23-24</t>
  </si>
  <si>
    <t>R4 101</t>
  </si>
  <si>
    <t>cwBOOKING/00649/22-23</t>
  </si>
  <si>
    <t>cwFLAP/00850/22-23</t>
  </si>
  <si>
    <t>R4 K 304</t>
  </si>
  <si>
    <t>Ms. SANTOSH KUMARI</t>
  </si>
  <si>
    <t>cwBOOKING/00246/23-24</t>
  </si>
  <si>
    <t>cwFLAP/00119/23-24</t>
  </si>
  <si>
    <t>R1 201</t>
  </si>
  <si>
    <t>cwBOOKING/00443/22-23</t>
  </si>
  <si>
    <t>cwFLAP/00034/22-23</t>
  </si>
  <si>
    <t>R5 G 10</t>
  </si>
  <si>
    <t>cwBOOKING/00277/23-24</t>
  </si>
  <si>
    <t>cwFLAP/00174/23-24</t>
  </si>
  <si>
    <t>R1 101</t>
  </si>
  <si>
    <t>Under  Transfer</t>
  </si>
  <si>
    <t>cwBOOKING/00539/22-23</t>
  </si>
  <si>
    <t>cwFLAP/00676/22-23</t>
  </si>
  <si>
    <t>R4 G 03</t>
  </si>
  <si>
    <t>Mr. Mukesh Verma</t>
  </si>
  <si>
    <t>cwBOOKING/00461/22-23</t>
  </si>
  <si>
    <t>cwFLAP/00566/22-23</t>
  </si>
  <si>
    <t>R1 114</t>
  </si>
  <si>
    <t>Mr. JITENDER MANAV</t>
  </si>
  <si>
    <t>Payable on Negative</t>
  </si>
  <si>
    <t>cwBOOKING/00191/23-24</t>
  </si>
  <si>
    <t>cwFLAP/00066/23-24</t>
  </si>
  <si>
    <t>R3 LG 65</t>
  </si>
  <si>
    <t>Mr. VINAYAK PANT</t>
  </si>
  <si>
    <t>cwBOOKING/00038/23-24</t>
  </si>
  <si>
    <t>cwFLAP/00933/22-23</t>
  </si>
  <si>
    <t>R1 LG 01</t>
  </si>
  <si>
    <t>Mr. NIMRAT PAL SABHARWAL</t>
  </si>
  <si>
    <t>cwBOOKING/00107/22-23</t>
  </si>
  <si>
    <t>cwFLAP/00041/22-23</t>
  </si>
  <si>
    <t>R5 K 215</t>
  </si>
  <si>
    <t>Ms. HARPREET LUTHRA</t>
  </si>
  <si>
    <t>cwBOOKING/00045/22-23</t>
  </si>
  <si>
    <t>cwFLAP/00084/22-23</t>
  </si>
  <si>
    <t>R5 135</t>
  </si>
  <si>
    <t>Mr. LAKSHAY MEHTA</t>
  </si>
  <si>
    <t>cwBOOKING/00318/22-23</t>
  </si>
  <si>
    <t>cwFLAP/00473/22-23</t>
  </si>
  <si>
    <t>R6 LG 12</t>
  </si>
  <si>
    <t>Ms. SHASHI KIRAN</t>
  </si>
  <si>
    <t>cwBOOKING/00278/23-24</t>
  </si>
  <si>
    <t>cwFLAP/00175/23-24</t>
  </si>
  <si>
    <t>R1 LG 24</t>
  </si>
  <si>
    <t>M3M Capital Walk in M3M Capital Phase-3</t>
  </si>
  <si>
    <t>W3BOOKING/00025/24-25</t>
  </si>
  <si>
    <t>W3FLAP/00003/24-25</t>
  </si>
  <si>
    <t>R7 112A</t>
  </si>
  <si>
    <t>Ms. Priyamvada</t>
  </si>
  <si>
    <t>BLOCK-07</t>
  </si>
  <si>
    <t>W3BOOKING/00014/24-25</t>
  </si>
  <si>
    <t>W3FLAP/00013/24-25</t>
  </si>
  <si>
    <t>R7 209</t>
  </si>
  <si>
    <t>Mr. Amit Rai</t>
  </si>
  <si>
    <t>W3BOOKING/00007/24-25</t>
  </si>
  <si>
    <t>W3FLAP/00025/24-25</t>
  </si>
  <si>
    <t>R7 UG 02</t>
  </si>
  <si>
    <t>Mr. Dharmender Singh</t>
  </si>
  <si>
    <t>W3BOOKING/00059/24-25</t>
  </si>
  <si>
    <t>W3FLAP/00057/24-25</t>
  </si>
  <si>
    <t>R7 LG 01</t>
  </si>
  <si>
    <t>M/S. Amrit Pal Singh Sachdeva (HUF)</t>
  </si>
  <si>
    <t>W3BOOKING/00004/25-26</t>
  </si>
  <si>
    <t>W3FLAP/00056/24-25</t>
  </si>
  <si>
    <t>R7 LG 12</t>
  </si>
  <si>
    <t>W3BOOKING/00009/24-25</t>
  </si>
  <si>
    <t>W3FLAP/00014/24-25</t>
  </si>
  <si>
    <t>R7 102</t>
  </si>
  <si>
    <t>M/S. Sanah Forex And Travels Private Limited</t>
  </si>
  <si>
    <t>W3BOOKING/00017/24-25</t>
  </si>
  <si>
    <t>W3FLAP/00008/24-25</t>
  </si>
  <si>
    <t>R7 107</t>
  </si>
  <si>
    <t>Mr. Ajay Kumar</t>
  </si>
  <si>
    <t>W3BOOKING/00012/24-25</t>
  </si>
  <si>
    <t>W3FLAP/00006/24-25</t>
  </si>
  <si>
    <t>R7 UG 11</t>
  </si>
  <si>
    <t>Mr. Gaurav Kharbanda</t>
  </si>
  <si>
    <t>W3BOOKING/00002/24-25</t>
  </si>
  <si>
    <t>W3FLAP/00021/24-25</t>
  </si>
  <si>
    <t>R7 203</t>
  </si>
  <si>
    <t>Ms. Rasika Singh Tomar</t>
  </si>
  <si>
    <t>W3BOOKING/00005/24-25</t>
  </si>
  <si>
    <t>CW3FLAP/00001/24-25</t>
  </si>
  <si>
    <t>R7 207</t>
  </si>
  <si>
    <t>Mr. Pradeep Kumar Satija</t>
  </si>
  <si>
    <t>W3BOOKING/00019/24-25</t>
  </si>
  <si>
    <t>W3FLAP/00043/24-25</t>
  </si>
  <si>
    <t>R7 101</t>
  </si>
  <si>
    <t>Ms. Neelam Chhabra</t>
  </si>
  <si>
    <t>W3BOOKING/00008/24-25</t>
  </si>
  <si>
    <t>W3FLAP/00007/24-25</t>
  </si>
  <si>
    <t>R7 211</t>
  </si>
  <si>
    <t>Mr. Rajiv Kumar Jain</t>
  </si>
  <si>
    <t>W3BOOKING/00028/24-25</t>
  </si>
  <si>
    <t>W3FLAP/00004/24-25</t>
  </si>
  <si>
    <t>R7 115</t>
  </si>
  <si>
    <t>Ms. Preetika</t>
  </si>
  <si>
    <t>W3BOOKING/00016/24-25</t>
  </si>
  <si>
    <t>W3FLAP/00023/24-25</t>
  </si>
  <si>
    <t>R7 204</t>
  </si>
  <si>
    <t>Mr. Dhaval Shivhare</t>
  </si>
  <si>
    <t>W3BOOKING/00032/24-25</t>
  </si>
  <si>
    <t>W3FLAP/00009/24-25</t>
  </si>
  <si>
    <t>R7 214</t>
  </si>
  <si>
    <t>Ms. Chandni Aggarwal</t>
  </si>
  <si>
    <t>W3BOOKING/00018/24-25</t>
  </si>
  <si>
    <t>W3FLAP/00010/24-25</t>
  </si>
  <si>
    <t>R7 103</t>
  </si>
  <si>
    <t>Mr. Gopal Manna</t>
  </si>
  <si>
    <t>W3BOOKING/00021/24-25</t>
  </si>
  <si>
    <t>W3FLAP/00034/24-25</t>
  </si>
  <si>
    <t>R7 206</t>
  </si>
  <si>
    <t>Mr. Jayanta Kumar Bose</t>
  </si>
  <si>
    <t>W3BOOKING/00006/24-25</t>
  </si>
  <si>
    <t>W3FLAP/00024/24-25</t>
  </si>
  <si>
    <t>R7 202</t>
  </si>
  <si>
    <t>Mr. Raj Kumar Ajmeria</t>
  </si>
  <si>
    <t>W3BOOKING/00022/24-25</t>
  </si>
  <si>
    <t>W3FLAP/00039/24-25</t>
  </si>
  <si>
    <t>R7 LG 02</t>
  </si>
  <si>
    <t>Ms. Manisha Nagal</t>
  </si>
  <si>
    <t>W3BOOKING/00020/24-25</t>
  </si>
  <si>
    <t>W3FLAP/00026/24-25</t>
  </si>
  <si>
    <t>R7 205</t>
  </si>
  <si>
    <t>W3BOOKING/00044/24-25</t>
  </si>
  <si>
    <t>W3FLAP/00015/24-25</t>
  </si>
  <si>
    <t>R7 212A</t>
  </si>
  <si>
    <t>Mr. Rohit Gogna</t>
  </si>
  <si>
    <t>W3BOOKING/00038/24-25</t>
  </si>
  <si>
    <t>W3FLAP/00020/24-25</t>
  </si>
  <si>
    <t>R7 UG 14</t>
  </si>
  <si>
    <t>Mr. Siddharth Sood</t>
  </si>
  <si>
    <t>W3BOOKING/00003/24-25</t>
  </si>
  <si>
    <t>W3FLAP/00011/24-25</t>
  </si>
  <si>
    <t>R7 UG 09</t>
  </si>
  <si>
    <t>Ms. Sarita</t>
  </si>
  <si>
    <t>W3BOOKING/00013/24-25</t>
  </si>
  <si>
    <t>W3FLAP/00012/24-25</t>
  </si>
  <si>
    <t>R7 208</t>
  </si>
  <si>
    <t>Ms. Suman</t>
  </si>
  <si>
    <t>W3BOOKING/00024/24-25</t>
  </si>
  <si>
    <t>W3FLAP/00027/24-25</t>
  </si>
  <si>
    <t>R7 111</t>
  </si>
  <si>
    <t>Ms. ANUPAM</t>
  </si>
  <si>
    <t>W3BOOKING/00048/24-25</t>
  </si>
  <si>
    <t>W3FLAP/00049/24-25</t>
  </si>
  <si>
    <t>R7 UG 10</t>
  </si>
  <si>
    <t>Mr. Balwan</t>
  </si>
  <si>
    <t>W3BOOKING/00041/24-25</t>
  </si>
  <si>
    <t>W3FLAP/00029/24-25</t>
  </si>
  <si>
    <t>R7 UG 01</t>
  </si>
  <si>
    <t>Mr. Sanjeev Kumar Budhiraja</t>
  </si>
  <si>
    <t>W3BOOKING/00042/24-25</t>
  </si>
  <si>
    <t>W3FLAP/00028/24-25</t>
  </si>
  <si>
    <t>R7 UG 15</t>
  </si>
  <si>
    <t>W3BOOKING/00045/24-25</t>
  </si>
  <si>
    <t>W3FLAP/00037/24-25</t>
  </si>
  <si>
    <t>R7 LG 11</t>
  </si>
  <si>
    <t>W3BOOKING/00023/24-25</t>
  </si>
  <si>
    <t>W3FLAP/00005/24-25</t>
  </si>
  <si>
    <t>R7 114</t>
  </si>
  <si>
    <t>Mr. Rahul Bidhuri</t>
  </si>
  <si>
    <t>W3BOOKING/00053/24-25</t>
  </si>
  <si>
    <t>W3FLAP/00055/24-25</t>
  </si>
  <si>
    <t>R7 106</t>
  </si>
  <si>
    <t>Mr. Karan Kapoor</t>
  </si>
  <si>
    <t>W3BOOKING/00055/24-25</t>
  </si>
  <si>
    <t>W3FLAP/00033/24-25</t>
  </si>
  <si>
    <t>R7 UG 12A</t>
  </si>
  <si>
    <t>W3BOOKING/00051/24-25</t>
  </si>
  <si>
    <t>W3FLAP/00032/24-25</t>
  </si>
  <si>
    <t>R7 UG 12</t>
  </si>
  <si>
    <t>W3BOOKING/00049/24-25</t>
  </si>
  <si>
    <t>W3FLAP/00030/24-25</t>
  </si>
  <si>
    <t>R7 UG 06</t>
  </si>
  <si>
    <t>W3BOOKING/00043/24-25</t>
  </si>
  <si>
    <t>W3FLAP/00031/24-25</t>
  </si>
  <si>
    <t>R7 UG 05</t>
  </si>
  <si>
    <t>W3BOOKING/00029/24-25</t>
  </si>
  <si>
    <t>W3FLAP/00017/24-25</t>
  </si>
  <si>
    <t>R7 UG 08</t>
  </si>
  <si>
    <t>Ms. Ragini Sharma</t>
  </si>
  <si>
    <t>Payment in Favour of</t>
  </si>
  <si>
    <t xml:space="preserve">Account Number </t>
  </si>
  <si>
    <t>IFSC Code</t>
  </si>
  <si>
    <t>Name of Bank</t>
  </si>
  <si>
    <t>Address of Bank Branch</t>
  </si>
  <si>
    <t xml:space="preserve">Name of Builder </t>
  </si>
  <si>
    <t>PAN of the Builder</t>
  </si>
  <si>
    <t xml:space="preserve">Address of the builder </t>
  </si>
  <si>
    <t>Address of the Unit/Apartment</t>
  </si>
  <si>
    <t xml:space="preserve">Email ID  </t>
  </si>
  <si>
    <t>Mobile Number</t>
  </si>
  <si>
    <t>UBPL M3M CAPITAL MASTER ACCOUNT</t>
  </si>
  <si>
    <t>777705001441</t>
  </si>
  <si>
    <t>ICIC0000399</t>
  </si>
  <si>
    <t>ICICI Bank</t>
  </si>
  <si>
    <t>Shop No - 19, 20, 21, Vipul Orchid Plaza, Suncity,
Sector  54, Gurgaon, Haryana -122002</t>
  </si>
  <si>
    <t xml:space="preserve">Union Buildmart Private Limited
</t>
  </si>
  <si>
    <t>AABCU4843M</t>
  </si>
  <si>
    <t>41st Floor, Tower-1, M3M International Financial center, sector-  66,Gurugram, Haryana, India 122101</t>
  </si>
  <si>
    <t xml:space="preserve">(……………..)Village Chauma, Sector – 113, Gurugram, Manesar Urban    Complex, GURGAON, HARYANA, INDIA PIN Code: 122017
</t>
  </si>
  <si>
    <t>Feedback@m3mindia.com</t>
  </si>
  <si>
    <t>UBPL M3M CAPITAL PHASE 2 MASTER ACCOUNT</t>
  </si>
  <si>
    <t>777705551661</t>
  </si>
  <si>
    <t>Shop No - 19, 20, Vipul Orchid Plaza, Suncity,
Sector  54, Gurgaon, Haryana -122002</t>
  </si>
  <si>
    <t>UBPL M3M CAPITAL PHASE-3 MASTER ACCOUNT</t>
  </si>
  <si>
    <t>777705004541</t>
  </si>
  <si>
    <t>ICIC0005885</t>
  </si>
  <si>
    <t>Shop No. 107, 108 Emaar Emerald Plaza , Sector 65,Gurgaon, Haryana</t>
  </si>
  <si>
    <t> 8068970077</t>
  </si>
  <si>
    <t>Schedule</t>
  </si>
  <si>
    <t>Invoice Date</t>
  </si>
  <si>
    <t>Total Accumulation (Subject to Payment demand received within Due Date)</t>
  </si>
  <si>
    <t>Interest Due</t>
  </si>
  <si>
    <t>Net Amount Payable With Interest</t>
  </si>
  <si>
    <t xml:space="preserve">* 1% To avoid penal consequences under the Income Tax Act 1961, you are required to comply with provisions of Section 194 IA
</t>
  </si>
  <si>
    <t>(effective from 01st June 2013), by deducting TDS @ 1% from each instalment/payment. Please submit with us TDS certificate/Challan</t>
  </si>
  <si>
    <t>showing proof of deposition of the same within 7 days from the date of tax so deposited so that the appropriate credit may be allowed in your account</t>
  </si>
  <si>
    <t>On Notice of Offer of Possession</t>
  </si>
  <si>
    <t>OLD Basic Sales Price</t>
  </si>
  <si>
    <t>New Basic Sales Price</t>
  </si>
  <si>
    <t>Old Area</t>
  </si>
  <si>
    <t>New Area</t>
  </si>
  <si>
    <t>Difference In Area</t>
  </si>
  <si>
    <t>Total Amount</t>
  </si>
  <si>
    <t>Total Received</t>
  </si>
  <si>
    <t>Capital Walk- On Notice of Offer of Possession</t>
  </si>
  <si>
    <t>Accumulation Amount</t>
  </si>
  <si>
    <t>Payable With Interest</t>
  </si>
  <si>
    <t>* Stamp Duty Charges is payable extra</t>
  </si>
  <si>
    <t>Total Payable Without Interest</t>
  </si>
  <si>
    <t>Collection RM</t>
  </si>
  <si>
    <t>Frontend RM</t>
  </si>
  <si>
    <t>Priya Anand</t>
  </si>
  <si>
    <t>Sabhyata Kapoor</t>
  </si>
  <si>
    <t xml:space="preserve">Ritika Singh </t>
  </si>
  <si>
    <t>Darshan Lal</t>
  </si>
  <si>
    <t>Shubra</t>
  </si>
  <si>
    <t>Manish Kumar</t>
  </si>
  <si>
    <t>Vidhi Singh</t>
  </si>
  <si>
    <t>Chandrima</t>
  </si>
  <si>
    <t>Preeti Chauhan</t>
  </si>
  <si>
    <t>Sudhanshu Gurjar</t>
  </si>
  <si>
    <t>Sonia Gupta</t>
  </si>
  <si>
    <t>Deepak chaubey</t>
  </si>
  <si>
    <t>Abhinav</t>
  </si>
  <si>
    <t>Sanjeev</t>
  </si>
  <si>
    <t>Column1</t>
  </si>
  <si>
    <t>R1 165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</si>
</sst>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₹&quot;\ #,##0;[Red]&quot;₹&quot;\ \-#,##0"/>
    <numFmt numFmtId="165" formatCode="&quot;₹&quot;\ #,##0.00;[Red]&quot;₹&quot;\ \-#,##0.00"/>
    <numFmt numFmtId="166" formatCode="_ * #,##0.00_ ;_ * \-#,##0.00_ ;_ * &quot;-&quot;??_ ;_ @_ "/>
    <numFmt numFmtId="167" formatCode="_ * #,##0_ ;_ * \-#,##0_ ;_ * &quot;-&quot;??_ ;_ @_ "/>
    <numFmt numFmtId="168" formatCode="_(* #,##0.00_);_(* \(#,##0.00\);_(* &quot;-&quot;??_);_(@_)"/>
    <numFmt numFmtId="169" formatCode="_(* #,##0_);_(* \(#,##0\);_(* &quot;-&quot;??_);_(@_)"/>
    <numFmt numFmtId="170" formatCode="[$-409]d/mmm/yy;@"/>
    <numFmt numFmtId="171" formatCode="#,##0.00_ ;[Red]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5" fontId="2" fillId="0" borderId="1" xfId="0" applyNumberFormat="1" applyFont="1" applyFill="1" applyBorder="1" applyAlignment="1">
      <alignment horizontal="center" vertical="center" wrapText="1"/>
    </xf>
    <xf numFmtId="166" fontId="2" fillId="0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7" fontId="2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1" xfId="0" applyFont="1" applyFill="1" applyBorder="1"/>
    <xf numFmtId="0" fontId="3" fillId="0" borderId="1" xfId="0" applyFont="1" applyFill="1" applyBorder="1"/>
    <xf numFmtId="15" fontId="4" fillId="0" borderId="1" xfId="0" applyNumberFormat="1" applyFont="1" applyFill="1" applyBorder="1"/>
    <xf numFmtId="166" fontId="3" fillId="0" borderId="1" xfId="1" applyFont="1" applyFill="1" applyBorder="1"/>
    <xf numFmtId="165" fontId="3" fillId="0" borderId="1" xfId="1" applyNumberFormat="1" applyFont="1" applyFill="1" applyBorder="1"/>
    <xf numFmtId="9" fontId="3" fillId="0" borderId="1" xfId="2" applyFont="1" applyFill="1" applyBorder="1"/>
    <xf numFmtId="168" fontId="3" fillId="0" borderId="1" xfId="0" applyNumberFormat="1" applyFont="1" applyFill="1" applyBorder="1"/>
    <xf numFmtId="165" fontId="3" fillId="0" borderId="1" xfId="0" applyNumberFormat="1" applyFont="1" applyFill="1" applyBorder="1"/>
    <xf numFmtId="167" fontId="3" fillId="0" borderId="1" xfId="1" applyNumberFormat="1" applyFont="1" applyFill="1" applyBorder="1"/>
    <xf numFmtId="166" fontId="3" fillId="0" borderId="1" xfId="1" applyNumberFormat="1" applyFont="1" applyFill="1" applyBorder="1"/>
    <xf numFmtId="167" fontId="3" fillId="0" borderId="1" xfId="0" applyNumberFormat="1" applyFont="1" applyFill="1" applyBorder="1"/>
    <xf numFmtId="166" fontId="3" fillId="0" borderId="1" xfId="0" applyNumberFormat="1" applyFont="1" applyFill="1" applyBorder="1"/>
    <xf numFmtId="164" fontId="3" fillId="0" borderId="1" xfId="0" applyNumberFormat="1" applyFont="1" applyFill="1" applyBorder="1"/>
    <xf numFmtId="10" fontId="3" fillId="0" borderId="1" xfId="0" applyNumberFormat="1" applyFont="1" applyFill="1" applyBorder="1"/>
    <xf numFmtId="169" fontId="3" fillId="0" borderId="1" xfId="0" applyNumberFormat="1" applyFont="1" applyFill="1" applyBorder="1"/>
    <xf numFmtId="15" fontId="3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3" fillId="2" borderId="0" xfId="0" applyFont="1" applyFill="1"/>
    <xf numFmtId="0" fontId="3" fillId="0" borderId="1" xfId="0" applyNumberFormat="1" applyFont="1" applyFill="1" applyBorder="1"/>
    <xf numFmtId="170" fontId="3" fillId="0" borderId="1" xfId="0" applyNumberFormat="1" applyFont="1" applyFill="1" applyBorder="1"/>
    <xf numFmtId="166" fontId="3" fillId="0" borderId="1" xfId="1" applyNumberFormat="1" applyFont="1" applyFill="1" applyBorder="1" applyAlignment="1"/>
    <xf numFmtId="166" fontId="3" fillId="0" borderId="1" xfId="1" applyFont="1" applyFill="1" applyBorder="1" applyAlignment="1"/>
    <xf numFmtId="0" fontId="5" fillId="0" borderId="1" xfId="0" applyFont="1" applyFill="1" applyBorder="1"/>
    <xf numFmtId="166" fontId="3" fillId="0" borderId="0" xfId="0" applyNumberFormat="1" applyFont="1" applyFill="1"/>
    <xf numFmtId="0" fontId="4" fillId="3" borderId="1" xfId="0" applyFont="1" applyFill="1" applyBorder="1"/>
    <xf numFmtId="0" fontId="3" fillId="3" borderId="1" xfId="0" applyFont="1" applyFill="1" applyBorder="1"/>
    <xf numFmtId="15" fontId="4" fillId="3" borderId="1" xfId="0" applyNumberFormat="1" applyFont="1" applyFill="1" applyBorder="1"/>
    <xf numFmtId="166" fontId="3" fillId="3" borderId="1" xfId="1" applyFont="1" applyFill="1" applyBorder="1"/>
    <xf numFmtId="165" fontId="3" fillId="3" borderId="1" xfId="1" applyNumberFormat="1" applyFont="1" applyFill="1" applyBorder="1"/>
    <xf numFmtId="9" fontId="3" fillId="3" borderId="1" xfId="2" applyFont="1" applyFill="1" applyBorder="1"/>
    <xf numFmtId="168" fontId="3" fillId="3" borderId="1" xfId="0" applyNumberFormat="1" applyFont="1" applyFill="1" applyBorder="1"/>
    <xf numFmtId="165" fontId="3" fillId="3" borderId="1" xfId="0" applyNumberFormat="1" applyFont="1" applyFill="1" applyBorder="1"/>
    <xf numFmtId="167" fontId="3" fillId="3" borderId="1" xfId="1" applyNumberFormat="1" applyFont="1" applyFill="1" applyBorder="1"/>
    <xf numFmtId="166" fontId="3" fillId="3" borderId="1" xfId="1" applyNumberFormat="1" applyFont="1" applyFill="1" applyBorder="1"/>
    <xf numFmtId="167" fontId="3" fillId="3" borderId="1" xfId="0" applyNumberFormat="1" applyFont="1" applyFill="1" applyBorder="1"/>
    <xf numFmtId="166" fontId="3" fillId="3" borderId="1" xfId="0" applyNumberFormat="1" applyFont="1" applyFill="1" applyBorder="1"/>
    <xf numFmtId="164" fontId="3" fillId="3" borderId="1" xfId="0" applyNumberFormat="1" applyFont="1" applyFill="1" applyBorder="1"/>
    <xf numFmtId="10" fontId="3" fillId="3" borderId="1" xfId="0" applyNumberFormat="1" applyFont="1" applyFill="1" applyBorder="1"/>
    <xf numFmtId="169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0" xfId="0" applyFont="1" applyFill="1"/>
    <xf numFmtId="0" fontId="4" fillId="2" borderId="1" xfId="0" applyFont="1" applyFill="1" applyBorder="1"/>
    <xf numFmtId="0" fontId="3" fillId="2" borderId="1" xfId="0" applyFont="1" applyFill="1" applyBorder="1"/>
    <xf numFmtId="15" fontId="4" fillId="2" borderId="1" xfId="0" applyNumberFormat="1" applyFont="1" applyFill="1" applyBorder="1"/>
    <xf numFmtId="166" fontId="3" fillId="2" borderId="1" xfId="1" applyFont="1" applyFill="1" applyBorder="1"/>
    <xf numFmtId="165" fontId="3" fillId="2" borderId="1" xfId="1" applyNumberFormat="1" applyFont="1" applyFill="1" applyBorder="1"/>
    <xf numFmtId="9" fontId="3" fillId="2" borderId="1" xfId="2" applyFont="1" applyFill="1" applyBorder="1"/>
    <xf numFmtId="168" fontId="3" fillId="2" borderId="1" xfId="0" applyNumberFormat="1" applyFont="1" applyFill="1" applyBorder="1"/>
    <xf numFmtId="167" fontId="3" fillId="2" borderId="1" xfId="1" applyNumberFormat="1" applyFont="1" applyFill="1" applyBorder="1"/>
    <xf numFmtId="165" fontId="3" fillId="2" borderId="1" xfId="0" applyNumberFormat="1" applyFont="1" applyFill="1" applyBorder="1"/>
    <xf numFmtId="166" fontId="3" fillId="2" borderId="1" xfId="1" applyNumberFormat="1" applyFont="1" applyFill="1" applyBorder="1"/>
    <xf numFmtId="167" fontId="3" fillId="2" borderId="1" xfId="0" applyNumberFormat="1" applyFont="1" applyFill="1" applyBorder="1"/>
    <xf numFmtId="166" fontId="3" fillId="2" borderId="1" xfId="0" applyNumberFormat="1" applyFont="1" applyFill="1" applyBorder="1"/>
    <xf numFmtId="164" fontId="3" fillId="2" borderId="1" xfId="0" applyNumberFormat="1" applyFont="1" applyFill="1" applyBorder="1"/>
    <xf numFmtId="10" fontId="3" fillId="2" borderId="1" xfId="0" applyNumberFormat="1" applyFont="1" applyFill="1" applyBorder="1"/>
    <xf numFmtId="169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6" fillId="0" borderId="0" xfId="0" applyFont="1" applyFill="1"/>
    <xf numFmtId="0" fontId="7" fillId="0" borderId="1" xfId="0" applyFont="1" applyFill="1" applyBorder="1"/>
    <xf numFmtId="0" fontId="6" fillId="0" borderId="1" xfId="0" applyFont="1" applyFill="1" applyBorder="1"/>
    <xf numFmtId="15" fontId="7" fillId="0" borderId="1" xfId="0" applyNumberFormat="1" applyFont="1" applyFill="1" applyBorder="1"/>
    <xf numFmtId="166" fontId="6" fillId="0" borderId="1" xfId="1" applyFont="1" applyFill="1" applyBorder="1"/>
    <xf numFmtId="165" fontId="6" fillId="0" borderId="1" xfId="1" applyNumberFormat="1" applyFont="1" applyFill="1" applyBorder="1"/>
    <xf numFmtId="9" fontId="6" fillId="0" borderId="1" xfId="2" applyFont="1" applyFill="1" applyBorder="1"/>
    <xf numFmtId="167" fontId="6" fillId="0" borderId="1" xfId="1" applyNumberFormat="1" applyFont="1" applyFill="1" applyBorder="1"/>
    <xf numFmtId="0" fontId="3" fillId="0" borderId="1" xfId="0" applyNumberFormat="1" applyFont="1" applyFill="1" applyBorder="1" applyAlignment="1">
      <alignment horizontal="left"/>
    </xf>
    <xf numFmtId="2" fontId="3" fillId="0" borderId="1" xfId="0" applyNumberFormat="1" applyFont="1" applyFill="1" applyBorder="1"/>
    <xf numFmtId="0" fontId="4" fillId="4" borderId="1" xfId="0" applyFont="1" applyFill="1" applyBorder="1"/>
    <xf numFmtId="0" fontId="3" fillId="4" borderId="1" xfId="0" applyFont="1" applyFill="1" applyBorder="1"/>
    <xf numFmtId="15" fontId="4" fillId="4" borderId="1" xfId="0" applyNumberFormat="1" applyFont="1" applyFill="1" applyBorder="1"/>
    <xf numFmtId="166" fontId="3" fillId="4" borderId="1" xfId="1" applyFont="1" applyFill="1" applyBorder="1"/>
    <xf numFmtId="165" fontId="3" fillId="4" borderId="1" xfId="1" applyNumberFormat="1" applyFont="1" applyFill="1" applyBorder="1"/>
    <xf numFmtId="9" fontId="3" fillId="4" borderId="1" xfId="2" applyFont="1" applyFill="1" applyBorder="1"/>
    <xf numFmtId="168" fontId="3" fillId="4" borderId="1" xfId="0" applyNumberFormat="1" applyFont="1" applyFill="1" applyBorder="1"/>
    <xf numFmtId="165" fontId="3" fillId="4" borderId="1" xfId="0" applyNumberFormat="1" applyFont="1" applyFill="1" applyBorder="1"/>
    <xf numFmtId="167" fontId="3" fillId="4" borderId="1" xfId="1" applyNumberFormat="1" applyFont="1" applyFill="1" applyBorder="1"/>
    <xf numFmtId="166" fontId="3" fillId="4" borderId="1" xfId="1" applyNumberFormat="1" applyFont="1" applyFill="1" applyBorder="1"/>
    <xf numFmtId="167" fontId="3" fillId="4" borderId="1" xfId="0" applyNumberFormat="1" applyFont="1" applyFill="1" applyBorder="1"/>
    <xf numFmtId="166" fontId="3" fillId="4" borderId="1" xfId="0" applyNumberFormat="1" applyFont="1" applyFill="1" applyBorder="1"/>
    <xf numFmtId="164" fontId="3" fillId="4" borderId="1" xfId="0" applyNumberFormat="1" applyFont="1" applyFill="1" applyBorder="1"/>
    <xf numFmtId="10" fontId="3" fillId="4" borderId="1" xfId="0" applyNumberFormat="1" applyFont="1" applyFill="1" applyBorder="1"/>
    <xf numFmtId="169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3" fillId="4" borderId="0" xfId="0" applyFont="1" applyFill="1"/>
    <xf numFmtId="0" fontId="8" fillId="0" borderId="0" xfId="0" applyFont="1" applyFill="1"/>
    <xf numFmtId="0" fontId="5" fillId="2" borderId="1" xfId="0" applyFont="1" applyFill="1" applyBorder="1"/>
    <xf numFmtId="0" fontId="3" fillId="5" borderId="0" xfId="0" applyFont="1" applyFill="1"/>
    <xf numFmtId="166" fontId="0" fillId="0" borderId="0" xfId="0" applyNumberFormat="1"/>
    <xf numFmtId="9" fontId="9" fillId="6" borderId="2" xfId="2" applyFont="1" applyFill="1" applyBorder="1" applyAlignment="1">
      <alignment horizontal="left" vertical="center" wrapText="1"/>
    </xf>
    <xf numFmtId="9" fontId="9" fillId="7" borderId="2" xfId="2" applyFont="1" applyFill="1" applyBorder="1" applyAlignment="1">
      <alignment horizontal="left" vertical="center" wrapText="1"/>
    </xf>
    <xf numFmtId="0" fontId="0" fillId="0" borderId="0" xfId="0" applyAlignment="1"/>
    <xf numFmtId="0" fontId="12" fillId="0" borderId="0" xfId="0" applyFont="1" applyAlignment="1"/>
    <xf numFmtId="9" fontId="9" fillId="7" borderId="3" xfId="2" applyFont="1" applyFill="1" applyBorder="1" applyAlignment="1">
      <alignment horizontal="left" vertical="center" wrapText="1"/>
    </xf>
    <xf numFmtId="171" fontId="0" fillId="0" borderId="0" xfId="0" applyNumberFormat="1"/>
    <xf numFmtId="1" fontId="0" fillId="0" borderId="0" xfId="0" applyNumberFormat="1"/>
    <xf numFmtId="0" fontId="10" fillId="0" borderId="0" xfId="0" applyFont="1" applyFill="1" applyBorder="1" applyAlignment="1"/>
    <xf numFmtId="0" fontId="10" fillId="2" borderId="4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/>
    <xf numFmtId="49" fontId="3" fillId="3" borderId="1" xfId="0" applyNumberFormat="1" applyFont="1" applyFill="1" applyBorder="1"/>
    <xf numFmtId="49" fontId="3" fillId="2" borderId="1" xfId="0" applyNumberFormat="1" applyFont="1" applyFill="1" applyBorder="1"/>
    <xf numFmtId="49" fontId="3" fillId="4" borderId="1" xfId="0" applyNumberFormat="1" applyFont="1" applyFill="1" applyBorder="1"/>
    <xf numFmtId="49" fontId="0" fillId="0" borderId="0" xfId="0" applyNumberFormat="1"/>
    <xf numFmtId="49" fontId="11" fillId="0" borderId="6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6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.shah/Downloads/Application%20of%20OC%20Demand-Capital%20Wal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ra.singh1/AppData/Local/Microsoft/Windows/INetCache/Content.Outlook/AX6RUX5S/Capital%20Phase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's Summary"/>
      <sheetName val="Final"/>
      <sheetName val="Summary"/>
      <sheetName val="Demand unit Wise"/>
      <sheetName val="Hold Cases"/>
      <sheetName val="NO outstanding Cases"/>
      <sheetName val="Sheet1"/>
      <sheetName val="Sheet3"/>
      <sheetName val="Sheet5"/>
      <sheetName val="Sheet2"/>
    </sheetNames>
    <sheetDataSet>
      <sheetData sheetId="0"/>
      <sheetData sheetId="1">
        <row r="1">
          <cell r="B1" t="str">
            <v>Unit No</v>
          </cell>
          <cell r="C1" t="str">
            <v>Tower No.</v>
          </cell>
          <cell r="D1" t="str">
            <v>Business Unit</v>
          </cell>
          <cell r="E1" t="str">
            <v>Booking No</v>
          </cell>
          <cell r="F1" t="str">
            <v>Customer Name</v>
          </cell>
          <cell r="G1" t="str">
            <v>Application No</v>
          </cell>
          <cell r="H1" t="str">
            <v>Schedule</v>
          </cell>
          <cell r="I1" t="str">
            <v>Hold Remarks</v>
          </cell>
          <cell r="J1" t="str">
            <v>BBA Registered Date</v>
          </cell>
          <cell r="K1" t="str">
            <v>Invoice Date</v>
          </cell>
          <cell r="L1" t="str">
            <v>Due Date</v>
          </cell>
          <cell r="M1" t="str">
            <v>Demand Amount</v>
          </cell>
          <cell r="N1" t="str">
            <v>GST Amount</v>
          </cell>
          <cell r="O1" t="str">
            <v>Demand Amount (Included GST)</v>
          </cell>
          <cell r="P1" t="str">
            <v>Accumulation till 30th-Apr-26 on OC Demand</v>
          </cell>
          <cell r="Q1" t="str">
            <v>Disc adj on OC
( D)</v>
          </cell>
          <cell r="R1" t="str">
            <v>TPR adj on OC
(E )</v>
          </cell>
          <cell r="S1" t="str">
            <v>GST on Accumulation &amp; Discount</v>
          </cell>
          <cell r="T1" t="str">
            <v>Total Accumulation with GST Including TPR</v>
          </cell>
          <cell r="U1" t="str">
            <v>Advance Payment</v>
          </cell>
          <cell r="V1" t="str">
            <v>Outstanding</v>
          </cell>
          <cell r="W1" t="str">
            <v>Net Amount</v>
          </cell>
          <cell r="X1" t="str">
            <v>LPF Accrued</v>
          </cell>
          <cell r="Y1" t="str">
            <v>LPF Waived</v>
          </cell>
          <cell r="Z1" t="str">
            <v>LPF Paid</v>
          </cell>
          <cell r="AA1" t="str">
            <v>Net LPF Paid Accrued</v>
          </cell>
          <cell r="AB1" t="str">
            <v>CL status</v>
          </cell>
          <cell r="AC1" t="str">
            <v>Applicable/ Not Applicable</v>
          </cell>
          <cell r="AD1" t="str">
            <v>%age of Discount
(J) = I/K</v>
          </cell>
          <cell r="AE1" t="str">
            <v>Remarks</v>
          </cell>
          <cell r="AF1" t="str">
            <v>GST Invoice</v>
          </cell>
        </row>
        <row r="2">
          <cell r="B2" t="str">
            <v>R2 UG 22</v>
          </cell>
          <cell r="C2" t="str">
            <v>R2</v>
          </cell>
          <cell r="D2" t="str">
            <v>M3M Capital Walk in M3M Capital Phase-1</v>
          </cell>
          <cell r="E2" t="str">
            <v>WPBOOKING/00001/22-23</v>
          </cell>
          <cell r="F2" t="str">
            <v>Ms. SARLA ARYA</v>
          </cell>
          <cell r="G2" t="str">
            <v>CW1FLAP/00001/22-23</v>
          </cell>
          <cell r="H2" t="str">
            <v>On Application of OC</v>
          </cell>
          <cell r="I2">
            <v>0</v>
          </cell>
          <cell r="J2">
            <v>45329</v>
          </cell>
          <cell r="K2">
            <v>46144</v>
          </cell>
          <cell r="L2">
            <v>46164</v>
          </cell>
          <cell r="M2">
            <v>4425295</v>
          </cell>
          <cell r="N2">
            <v>221264</v>
          </cell>
          <cell r="O2">
            <v>4646559</v>
          </cell>
          <cell r="P2">
            <v>2020770.7590690667</v>
          </cell>
          <cell r="Q2"/>
          <cell r="R2"/>
          <cell r="S2">
            <v>101038.53795345334</v>
          </cell>
          <cell r="T2">
            <v>2121809.2970225201</v>
          </cell>
          <cell r="U2">
            <v>38723</v>
          </cell>
          <cell r="V2">
            <v>0</v>
          </cell>
          <cell r="W2">
            <v>2486026.7029774799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 t="str">
            <v>Executed</v>
          </cell>
          <cell r="AC2" t="str">
            <v>Yes</v>
          </cell>
          <cell r="AD2">
            <v>0.36531277544425045</v>
          </cell>
          <cell r="AE2" t="str">
            <v>Above 35%</v>
          </cell>
          <cell r="AF2" t="str">
            <v>UnRegistered</v>
          </cell>
        </row>
        <row r="3">
          <cell r="B3" t="str">
            <v>R1 165</v>
          </cell>
          <cell r="C3" t="str">
            <v>R1</v>
          </cell>
          <cell r="D3" t="str">
            <v>M3M Capital Walk in M3M Capital Phase-1</v>
          </cell>
          <cell r="E3" t="str">
            <v>WPBOOKING/00001/23-24</v>
          </cell>
          <cell r="F3" t="str">
            <v>Mr. SHUBHAM SINGH</v>
          </cell>
          <cell r="G3" t="str">
            <v>WPFLAP/00016/22-23</v>
          </cell>
          <cell r="H3" t="str">
            <v>On Application of OC</v>
          </cell>
          <cell r="I3">
            <v>0</v>
          </cell>
          <cell r="J3">
            <v>45236</v>
          </cell>
          <cell r="K3">
            <v>46144</v>
          </cell>
          <cell r="L3">
            <v>46164</v>
          </cell>
          <cell r="M3">
            <v>3883653</v>
          </cell>
          <cell r="N3">
            <v>194182</v>
          </cell>
          <cell r="O3">
            <v>4077835</v>
          </cell>
          <cell r="P3"/>
          <cell r="Q3"/>
          <cell r="R3"/>
          <cell r="S3"/>
          <cell r="T3">
            <v>0</v>
          </cell>
          <cell r="U3">
            <v>20521</v>
          </cell>
          <cell r="V3">
            <v>0</v>
          </cell>
          <cell r="W3">
            <v>4057314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/>
          <cell r="AC3"/>
          <cell r="AD3"/>
          <cell r="AE3"/>
          <cell r="AF3" t="str">
            <v>UnRegistered</v>
          </cell>
        </row>
        <row r="4">
          <cell r="B4" t="str">
            <v>R1 248</v>
          </cell>
          <cell r="C4" t="str">
            <v>R1</v>
          </cell>
          <cell r="D4" t="str">
            <v>M3M Capital Walk in M3M Capital Phase-1</v>
          </cell>
          <cell r="E4" t="str">
            <v>WPBOOKING/00002/22-23</v>
          </cell>
          <cell r="F4" t="str">
            <v>Mr. NARESH KUMAR</v>
          </cell>
          <cell r="G4" t="str">
            <v>WPFLAP/00001/22-23</v>
          </cell>
          <cell r="H4" t="str">
            <v>On Application of OC</v>
          </cell>
          <cell r="I4">
            <v>0</v>
          </cell>
          <cell r="J4">
            <v>44963</v>
          </cell>
          <cell r="K4">
            <v>46144</v>
          </cell>
          <cell r="L4">
            <v>46164</v>
          </cell>
          <cell r="M4">
            <v>2781663</v>
          </cell>
          <cell r="N4">
            <v>139084</v>
          </cell>
          <cell r="O4">
            <v>2920747</v>
          </cell>
          <cell r="P4">
            <v>536077.27104000002</v>
          </cell>
          <cell r="Q4"/>
          <cell r="R4"/>
          <cell r="S4">
            <v>26803.863552000003</v>
          </cell>
          <cell r="T4">
            <v>562881.13459200005</v>
          </cell>
          <cell r="U4">
            <v>0</v>
          </cell>
          <cell r="V4">
            <v>0</v>
          </cell>
          <cell r="W4">
            <v>2357865.8654080001</v>
          </cell>
          <cell r="X4">
            <v>5804</v>
          </cell>
          <cell r="Y4">
            <v>0</v>
          </cell>
          <cell r="Z4">
            <v>0</v>
          </cell>
          <cell r="AA4">
            <v>5804</v>
          </cell>
          <cell r="AB4" t="str">
            <v>Executed</v>
          </cell>
          <cell r="AC4" t="str">
            <v>Yes</v>
          </cell>
          <cell r="AD4">
            <v>8.6617286120072606E-2</v>
          </cell>
          <cell r="AE4" t="str">
            <v>Less than 35%</v>
          </cell>
          <cell r="AF4" t="str">
            <v>UnRegistered</v>
          </cell>
        </row>
        <row r="5">
          <cell r="B5" t="str">
            <v>R1 147</v>
          </cell>
          <cell r="C5" t="str">
            <v>R1</v>
          </cell>
          <cell r="D5" t="str">
            <v>M3M Capital Walk in M3M Capital Phase-1</v>
          </cell>
          <cell r="E5" t="str">
            <v>WPBOOKING/00002/23-24</v>
          </cell>
          <cell r="F5" t="str">
            <v>Mr. VIKRAM RAJ JAISWAL</v>
          </cell>
          <cell r="G5" t="str">
            <v>WPFLAP/00018/22-23</v>
          </cell>
          <cell r="H5" t="str">
            <v>On Application of OC</v>
          </cell>
          <cell r="I5">
            <v>0</v>
          </cell>
          <cell r="J5">
            <v>45378</v>
          </cell>
          <cell r="K5">
            <v>46144</v>
          </cell>
          <cell r="L5">
            <v>46164</v>
          </cell>
          <cell r="M5">
            <v>4301990</v>
          </cell>
          <cell r="N5">
            <v>215100</v>
          </cell>
          <cell r="O5">
            <v>4517090</v>
          </cell>
          <cell r="P5"/>
          <cell r="Q5"/>
          <cell r="R5"/>
          <cell r="S5"/>
          <cell r="T5">
            <v>0</v>
          </cell>
          <cell r="U5">
            <v>206515</v>
          </cell>
          <cell r="V5">
            <v>0</v>
          </cell>
          <cell r="W5">
            <v>4310575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/>
          <cell r="AC5"/>
          <cell r="AD5"/>
          <cell r="AE5"/>
          <cell r="AF5" t="str">
            <v>UnRegistered</v>
          </cell>
        </row>
        <row r="6">
          <cell r="B6" t="str">
            <v>R2 115</v>
          </cell>
          <cell r="C6" t="str">
            <v>R2</v>
          </cell>
          <cell r="D6" t="str">
            <v>M3M Capital Walk in M3M Capital Phase-1</v>
          </cell>
          <cell r="E6" t="str">
            <v>WPBOOKING/00003/22-23</v>
          </cell>
          <cell r="F6" t="str">
            <v>Mr. SATYA VRAT</v>
          </cell>
          <cell r="G6" t="str">
            <v>WPFLAP/00002/22-23</v>
          </cell>
          <cell r="H6" t="str">
            <v>On Application of OC</v>
          </cell>
          <cell r="I6">
            <v>0</v>
          </cell>
          <cell r="J6">
            <v>44964</v>
          </cell>
          <cell r="K6">
            <v>46144</v>
          </cell>
          <cell r="L6">
            <v>46164</v>
          </cell>
          <cell r="M6">
            <v>3141755</v>
          </cell>
          <cell r="N6">
            <v>157088</v>
          </cell>
          <cell r="O6">
            <v>3298843</v>
          </cell>
          <cell r="P6">
            <v>728980.32601333351</v>
          </cell>
          <cell r="Q6"/>
          <cell r="R6"/>
          <cell r="S6">
            <v>36449.016300666677</v>
          </cell>
          <cell r="T6">
            <v>765429.34231400024</v>
          </cell>
          <cell r="U6">
            <v>0</v>
          </cell>
          <cell r="V6">
            <v>0</v>
          </cell>
          <cell r="W6">
            <v>2533413.6576859998</v>
          </cell>
          <cell r="X6">
            <v>21979</v>
          </cell>
          <cell r="Y6">
            <v>21979</v>
          </cell>
          <cell r="Z6">
            <v>0</v>
          </cell>
          <cell r="AA6">
            <v>0</v>
          </cell>
          <cell r="AB6" t="str">
            <v>Executed</v>
          </cell>
          <cell r="AC6" t="str">
            <v>Yes</v>
          </cell>
          <cell r="AD6">
            <v>0.12387410095012361</v>
          </cell>
          <cell r="AE6" t="str">
            <v>Less than 35%</v>
          </cell>
          <cell r="AF6" t="str">
            <v>UnRegistered</v>
          </cell>
        </row>
        <row r="7">
          <cell r="B7" t="str">
            <v>R2 LG 18</v>
          </cell>
          <cell r="C7" t="str">
            <v>R2</v>
          </cell>
          <cell r="D7" t="str">
            <v>M3M Capital Walk in M3M Capital Phase-1</v>
          </cell>
          <cell r="E7" t="str">
            <v>WPBOOKING/00003/23-24</v>
          </cell>
          <cell r="F7" t="str">
            <v>Ms. SAROJ BALA</v>
          </cell>
          <cell r="G7" t="str">
            <v>WPFLAP/00002/23-24</v>
          </cell>
          <cell r="H7" t="str">
            <v>On Application of OC</v>
          </cell>
          <cell r="I7">
            <v>0</v>
          </cell>
          <cell r="J7">
            <v>45103</v>
          </cell>
          <cell r="K7">
            <v>46144</v>
          </cell>
          <cell r="L7">
            <v>46164</v>
          </cell>
          <cell r="M7">
            <v>6021792</v>
          </cell>
          <cell r="N7">
            <v>301090</v>
          </cell>
          <cell r="O7">
            <v>6322882</v>
          </cell>
          <cell r="P7"/>
          <cell r="Q7"/>
          <cell r="R7"/>
          <cell r="S7"/>
          <cell r="T7">
            <v>0</v>
          </cell>
          <cell r="U7">
            <v>0</v>
          </cell>
          <cell r="V7">
            <v>0</v>
          </cell>
          <cell r="W7">
            <v>6322882</v>
          </cell>
          <cell r="X7">
            <v>166238.76</v>
          </cell>
          <cell r="Y7">
            <v>0</v>
          </cell>
          <cell r="Z7">
            <v>0</v>
          </cell>
          <cell r="AA7">
            <v>166238.76</v>
          </cell>
          <cell r="AB7"/>
          <cell r="AC7"/>
          <cell r="AD7"/>
          <cell r="AE7"/>
          <cell r="AF7" t="str">
            <v>UnRegistered</v>
          </cell>
        </row>
        <row r="8">
          <cell r="B8" t="str">
            <v>R2 LG 20</v>
          </cell>
          <cell r="C8" t="str">
            <v>R2</v>
          </cell>
          <cell r="D8" t="str">
            <v>M3M Capital Walk in M3M Capital Phase-1</v>
          </cell>
          <cell r="E8" t="str">
            <v>WPBOOKING/00003/24-25</v>
          </cell>
          <cell r="F8" t="str">
            <v>Mr. Santosh Kumar Aggarwal</v>
          </cell>
          <cell r="G8" t="str">
            <v>WPFLAP/00023/23-24</v>
          </cell>
          <cell r="H8" t="str">
            <v>On Application of OC</v>
          </cell>
          <cell r="I8">
            <v>0</v>
          </cell>
          <cell r="J8">
            <v>45421</v>
          </cell>
          <cell r="K8">
            <v>46144</v>
          </cell>
          <cell r="L8">
            <v>46164</v>
          </cell>
          <cell r="M8">
            <v>10075440</v>
          </cell>
          <cell r="N8">
            <v>503772</v>
          </cell>
          <cell r="O8">
            <v>10579212</v>
          </cell>
          <cell r="P8"/>
          <cell r="Q8"/>
          <cell r="R8"/>
          <cell r="S8"/>
          <cell r="T8">
            <v>0</v>
          </cell>
          <cell r="U8">
            <v>80312</v>
          </cell>
          <cell r="V8">
            <v>0</v>
          </cell>
          <cell r="W8">
            <v>10498900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/>
          <cell r="AC8"/>
          <cell r="AD8"/>
          <cell r="AE8"/>
          <cell r="AF8" t="str">
            <v>UnRegistered</v>
          </cell>
        </row>
        <row r="9">
          <cell r="B9" t="str">
            <v>R2 UG 19</v>
          </cell>
          <cell r="C9" t="str">
            <v>R2</v>
          </cell>
          <cell r="D9" t="str">
            <v>M3M Capital Walk in M3M Capital Phase-1</v>
          </cell>
          <cell r="E9" t="str">
            <v>WPBOOKING/00004/23-24</v>
          </cell>
          <cell r="F9" t="str">
            <v>Ms. KAVYA RAI</v>
          </cell>
          <cell r="G9" t="str">
            <v>WPFLAP/00003/23-24</v>
          </cell>
          <cell r="H9" t="str">
            <v>On Application of OC</v>
          </cell>
          <cell r="I9">
            <v>0</v>
          </cell>
          <cell r="J9">
            <v>45378</v>
          </cell>
          <cell r="K9">
            <v>46144</v>
          </cell>
          <cell r="L9">
            <v>46164</v>
          </cell>
          <cell r="M9">
            <v>4336164</v>
          </cell>
          <cell r="N9">
            <v>216808</v>
          </cell>
          <cell r="O9">
            <v>4552972</v>
          </cell>
          <cell r="P9">
            <v>96840.995999999999</v>
          </cell>
          <cell r="Q9"/>
          <cell r="R9"/>
          <cell r="S9">
            <v>4842.0497999999998</v>
          </cell>
          <cell r="T9">
            <v>101683.04579999999</v>
          </cell>
          <cell r="U9">
            <v>379413</v>
          </cell>
          <cell r="V9">
            <v>0</v>
          </cell>
          <cell r="W9">
            <v>4071875.9542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 t="str">
            <v>Executed</v>
          </cell>
          <cell r="AC9" t="str">
            <v>Yes</v>
          </cell>
          <cell r="AD9">
            <v>8.9333321560805274E-3</v>
          </cell>
          <cell r="AE9" t="str">
            <v>Less than 35%</v>
          </cell>
          <cell r="AF9" t="str">
            <v>UnRegistered</v>
          </cell>
        </row>
        <row r="10">
          <cell r="B10" t="str">
            <v>R1 162</v>
          </cell>
          <cell r="C10" t="str">
            <v>R1</v>
          </cell>
          <cell r="D10" t="str">
            <v>M3M Capital Walk in M3M Capital Phase-1</v>
          </cell>
          <cell r="E10" t="str">
            <v>WPBOOKING/00004/24-25</v>
          </cell>
          <cell r="F10" t="str">
            <v>Mr. Ram Niwas Gupta</v>
          </cell>
          <cell r="G10" t="str">
            <v>WPFLAP/00025/23-24</v>
          </cell>
          <cell r="H10" t="str">
            <v>On Application of OC</v>
          </cell>
          <cell r="I10">
            <v>0</v>
          </cell>
          <cell r="J10">
            <v>45408</v>
          </cell>
          <cell r="K10">
            <v>46144</v>
          </cell>
          <cell r="L10">
            <v>46164</v>
          </cell>
          <cell r="M10">
            <v>6002975</v>
          </cell>
          <cell r="N10">
            <v>300148</v>
          </cell>
          <cell r="O10">
            <v>6303123</v>
          </cell>
          <cell r="P10"/>
          <cell r="Q10"/>
          <cell r="R10"/>
          <cell r="S10"/>
          <cell r="T10">
            <v>0</v>
          </cell>
          <cell r="U10">
            <v>0.6</v>
          </cell>
          <cell r="V10">
            <v>0</v>
          </cell>
          <cell r="W10">
            <v>6303122.4000000004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/>
          <cell r="AC10"/>
          <cell r="AD10"/>
          <cell r="AE10"/>
          <cell r="AF10" t="str">
            <v>UnRegistered</v>
          </cell>
        </row>
        <row r="11">
          <cell r="B11" t="str">
            <v>R1 247</v>
          </cell>
          <cell r="C11" t="str">
            <v>R1</v>
          </cell>
          <cell r="D11" t="str">
            <v>M3M Capital Walk in M3M Capital Phase-1</v>
          </cell>
          <cell r="E11" t="str">
            <v>WPBOOKING/00005/22-23</v>
          </cell>
          <cell r="F11" t="str">
            <v>Ms. SUMAN KUMARI</v>
          </cell>
          <cell r="G11" t="str">
            <v>WPFLAP/00004/22-23</v>
          </cell>
          <cell r="H11" t="str">
            <v>On Application of OC</v>
          </cell>
          <cell r="I11">
            <v>0</v>
          </cell>
          <cell r="J11">
            <v>45072</v>
          </cell>
          <cell r="K11">
            <v>46144</v>
          </cell>
          <cell r="L11">
            <v>46164</v>
          </cell>
          <cell r="M11">
            <v>2091549</v>
          </cell>
          <cell r="N11">
            <v>104578</v>
          </cell>
          <cell r="O11">
            <v>2196127</v>
          </cell>
          <cell r="P11"/>
          <cell r="Q11"/>
          <cell r="R11"/>
          <cell r="S11"/>
          <cell r="T11">
            <v>0</v>
          </cell>
          <cell r="U11">
            <v>1</v>
          </cell>
          <cell r="V11">
            <v>0</v>
          </cell>
          <cell r="W11">
            <v>2196126</v>
          </cell>
          <cell r="X11">
            <v>30186</v>
          </cell>
          <cell r="Y11">
            <v>0</v>
          </cell>
          <cell r="Z11">
            <v>0</v>
          </cell>
          <cell r="AA11">
            <v>30186</v>
          </cell>
          <cell r="AB11"/>
          <cell r="AC11"/>
          <cell r="AD11"/>
          <cell r="AE11"/>
          <cell r="AF11" t="str">
            <v>UnRegistered</v>
          </cell>
        </row>
        <row r="12">
          <cell r="B12" t="str">
            <v>R2 211</v>
          </cell>
          <cell r="C12" t="str">
            <v>R2</v>
          </cell>
          <cell r="D12" t="str">
            <v>M3M Capital Walk in M3M Capital Phase-1</v>
          </cell>
          <cell r="E12" t="str">
            <v>WPBOOKING/00005/23-24</v>
          </cell>
          <cell r="F12" t="str">
            <v>Ms. RUCHI</v>
          </cell>
          <cell r="G12" t="str">
            <v>WPFLAP/00004/23-24</v>
          </cell>
          <cell r="H12" t="str">
            <v>On Application of OC</v>
          </cell>
          <cell r="I12">
            <v>0</v>
          </cell>
          <cell r="J12">
            <v>45335</v>
          </cell>
          <cell r="K12">
            <v>46144</v>
          </cell>
          <cell r="L12">
            <v>46164</v>
          </cell>
          <cell r="M12">
            <v>4871224</v>
          </cell>
          <cell r="N12">
            <v>243562</v>
          </cell>
          <cell r="O12">
            <v>5114786</v>
          </cell>
          <cell r="P12"/>
          <cell r="Q12"/>
          <cell r="R12"/>
          <cell r="S12"/>
          <cell r="T12">
            <v>0</v>
          </cell>
          <cell r="U12">
            <v>197549</v>
          </cell>
          <cell r="V12">
            <v>0</v>
          </cell>
          <cell r="W12">
            <v>4917237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/>
          <cell r="AC12"/>
          <cell r="AD12"/>
          <cell r="AE12"/>
          <cell r="AF12" t="str">
            <v>07CFWPR7166F1ZN</v>
          </cell>
        </row>
        <row r="13">
          <cell r="B13" t="str">
            <v>R2 214</v>
          </cell>
          <cell r="C13" t="str">
            <v>R2</v>
          </cell>
          <cell r="D13" t="str">
            <v>M3M Capital Walk in M3M Capital Phase-1</v>
          </cell>
          <cell r="E13" t="str">
            <v>WPBOOKING/00005/24-25</v>
          </cell>
          <cell r="F13" t="str">
            <v>Ms. Madhulika Nath</v>
          </cell>
          <cell r="G13" t="str">
            <v>WPFLAP/00024/23-24</v>
          </cell>
          <cell r="H13" t="str">
            <v>On Application of OC</v>
          </cell>
          <cell r="I13">
            <v>0</v>
          </cell>
          <cell r="J13">
            <v>45426</v>
          </cell>
          <cell r="K13">
            <v>46144</v>
          </cell>
          <cell r="L13">
            <v>46164</v>
          </cell>
          <cell r="M13">
            <v>1956348</v>
          </cell>
          <cell r="N13">
            <v>97818</v>
          </cell>
          <cell r="O13">
            <v>2054166</v>
          </cell>
          <cell r="P13"/>
          <cell r="Q13"/>
          <cell r="R13"/>
          <cell r="S13"/>
          <cell r="T13">
            <v>0</v>
          </cell>
          <cell r="U13">
            <v>78702.13</v>
          </cell>
          <cell r="V13">
            <v>0</v>
          </cell>
          <cell r="W13">
            <v>1975463.87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/>
          <cell r="AC13"/>
          <cell r="AD13"/>
          <cell r="AE13"/>
          <cell r="AF13" t="str">
            <v>UnRegistered</v>
          </cell>
        </row>
        <row r="14">
          <cell r="B14" t="str">
            <v>R2 LG 22</v>
          </cell>
          <cell r="C14" t="str">
            <v>R2</v>
          </cell>
          <cell r="D14" t="str">
            <v>M3M Capital Walk in M3M Capital Phase-1</v>
          </cell>
          <cell r="E14" t="str">
            <v>WPBOOKING/00006/22-23</v>
          </cell>
          <cell r="F14" t="str">
            <v>Ms. SUMITI KHURANA</v>
          </cell>
          <cell r="G14" t="str">
            <v>WPFLAP/00003/22-23</v>
          </cell>
          <cell r="H14" t="str">
            <v>On Application of OC</v>
          </cell>
          <cell r="I14">
            <v>0</v>
          </cell>
          <cell r="J14">
            <v>44978</v>
          </cell>
          <cell r="K14">
            <v>46144</v>
          </cell>
          <cell r="L14">
            <v>46164</v>
          </cell>
          <cell r="M14">
            <v>4828940</v>
          </cell>
          <cell r="N14">
            <v>241446</v>
          </cell>
          <cell r="O14">
            <v>5070386</v>
          </cell>
          <cell r="P14">
            <v>1063188.1587533334</v>
          </cell>
          <cell r="Q14"/>
          <cell r="R14"/>
          <cell r="S14">
            <v>53159.40793766667</v>
          </cell>
          <cell r="T14">
            <v>1116347.566691</v>
          </cell>
          <cell r="U14">
            <v>0</v>
          </cell>
          <cell r="V14">
            <v>0</v>
          </cell>
          <cell r="W14">
            <v>3954038.433309</v>
          </cell>
          <cell r="X14">
            <v>2012</v>
          </cell>
          <cell r="Y14">
            <v>2012</v>
          </cell>
          <cell r="Z14">
            <v>0</v>
          </cell>
          <cell r="AA14">
            <v>0</v>
          </cell>
          <cell r="AB14" t="str">
            <v>Executed</v>
          </cell>
          <cell r="AC14" t="str">
            <v>Yes</v>
          </cell>
          <cell r="AD14">
            <v>0.10919559995510289</v>
          </cell>
          <cell r="AE14" t="str">
            <v>Less than 35%</v>
          </cell>
          <cell r="AF14" t="str">
            <v>UnRegistered</v>
          </cell>
        </row>
        <row r="15">
          <cell r="B15" t="str">
            <v>R1 260</v>
          </cell>
          <cell r="C15" t="str">
            <v>R1</v>
          </cell>
          <cell r="D15" t="str">
            <v>M3M Capital Walk in M3M Capital Phase-1</v>
          </cell>
          <cell r="E15" t="str">
            <v>WPBOOKING/00006/23-24</v>
          </cell>
          <cell r="F15" t="str">
            <v>Ms. SHIKHA WARIKOO</v>
          </cell>
          <cell r="G15" t="str">
            <v>WPFLAP/00017/22-23</v>
          </cell>
          <cell r="H15" t="str">
            <v>On Application of OC</v>
          </cell>
          <cell r="I15">
            <v>0</v>
          </cell>
          <cell r="J15">
            <v>45236</v>
          </cell>
          <cell r="K15">
            <v>46144</v>
          </cell>
          <cell r="L15">
            <v>46164</v>
          </cell>
          <cell r="M15">
            <v>3100874</v>
          </cell>
          <cell r="N15">
            <v>155044</v>
          </cell>
          <cell r="O15">
            <v>3255918</v>
          </cell>
          <cell r="P15"/>
          <cell r="Q15"/>
          <cell r="R15"/>
          <cell r="S15"/>
          <cell r="T15">
            <v>0</v>
          </cell>
          <cell r="U15">
            <v>40101</v>
          </cell>
          <cell r="V15">
            <v>0</v>
          </cell>
          <cell r="W15">
            <v>3215817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/>
          <cell r="AC15"/>
          <cell r="AD15"/>
          <cell r="AE15"/>
          <cell r="AF15" t="str">
            <v>UnRegistered</v>
          </cell>
        </row>
        <row r="16">
          <cell r="B16" t="str">
            <v>R2 215</v>
          </cell>
          <cell r="C16" t="str">
            <v>R2</v>
          </cell>
          <cell r="D16" t="str">
            <v>M3M Capital Walk in M3M Capital Phase-1</v>
          </cell>
          <cell r="E16" t="str">
            <v>WPBOOKING/00009/22-23</v>
          </cell>
          <cell r="F16" t="str">
            <v>Ms. SHASHI</v>
          </cell>
          <cell r="G16" t="str">
            <v>WPFLAP/00006/22-23</v>
          </cell>
          <cell r="H16" t="str">
            <v>On Application of OC</v>
          </cell>
          <cell r="I16">
            <v>0</v>
          </cell>
          <cell r="J16">
            <v>45286</v>
          </cell>
          <cell r="K16">
            <v>46144</v>
          </cell>
          <cell r="L16">
            <v>46164</v>
          </cell>
          <cell r="M16">
            <v>3013642</v>
          </cell>
          <cell r="N16">
            <v>150682</v>
          </cell>
          <cell r="O16">
            <v>3164324</v>
          </cell>
          <cell r="P16"/>
          <cell r="Q16"/>
          <cell r="R16"/>
          <cell r="S16"/>
          <cell r="T16">
            <v>0</v>
          </cell>
          <cell r="U16">
            <v>0</v>
          </cell>
          <cell r="V16">
            <v>0</v>
          </cell>
          <cell r="W16">
            <v>3164324</v>
          </cell>
          <cell r="X16">
            <v>14626</v>
          </cell>
          <cell r="Y16">
            <v>0</v>
          </cell>
          <cell r="Z16">
            <v>14626</v>
          </cell>
          <cell r="AA16">
            <v>0</v>
          </cell>
          <cell r="AB16"/>
          <cell r="AC16"/>
          <cell r="AD16"/>
          <cell r="AE16"/>
          <cell r="AF16" t="str">
            <v>UnRegistered</v>
          </cell>
        </row>
        <row r="17">
          <cell r="B17" t="str">
            <v>R1 259</v>
          </cell>
          <cell r="C17" t="str">
            <v>R1</v>
          </cell>
          <cell r="D17" t="str">
            <v>M3M Capital Walk in M3M Capital Phase-1</v>
          </cell>
          <cell r="E17" t="str">
            <v>WPBOOKING/00009/23-24</v>
          </cell>
          <cell r="F17" t="str">
            <v>Ms. RACHNA MAHALWALA</v>
          </cell>
          <cell r="G17" t="str">
            <v>WPFLAP/00005/23-24</v>
          </cell>
          <cell r="H17" t="str">
            <v>On Application of OC</v>
          </cell>
          <cell r="I17">
            <v>0</v>
          </cell>
          <cell r="J17">
            <v>45147</v>
          </cell>
          <cell r="K17">
            <v>46144</v>
          </cell>
          <cell r="L17">
            <v>46164</v>
          </cell>
          <cell r="M17">
            <v>3293947</v>
          </cell>
          <cell r="N17">
            <v>164698</v>
          </cell>
          <cell r="O17">
            <v>3458645</v>
          </cell>
          <cell r="P17"/>
          <cell r="Q17"/>
          <cell r="R17"/>
          <cell r="S17"/>
          <cell r="T17">
            <v>0</v>
          </cell>
          <cell r="U17">
            <v>0</v>
          </cell>
          <cell r="V17">
            <v>0</v>
          </cell>
          <cell r="W17">
            <v>3458645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/>
          <cell r="AC17"/>
          <cell r="AD17"/>
          <cell r="AE17"/>
          <cell r="AF17" t="str">
            <v>UnRegistered</v>
          </cell>
        </row>
        <row r="18">
          <cell r="B18" t="str">
            <v>R2 114</v>
          </cell>
          <cell r="C18" t="str">
            <v>R2</v>
          </cell>
          <cell r="D18" t="str">
            <v>M3M Capital Walk in M3M Capital Phase-1</v>
          </cell>
          <cell r="E18" t="str">
            <v>WPBOOKING/00010/23-24</v>
          </cell>
          <cell r="F18" t="str">
            <v>Mrs. SUKHWINDER DEVI</v>
          </cell>
          <cell r="G18" t="str">
            <v>WPFLAP/00009/23-24</v>
          </cell>
          <cell r="H18" t="str">
            <v>On Application of OC</v>
          </cell>
          <cell r="I18">
            <v>0</v>
          </cell>
          <cell r="J18">
            <v>45323</v>
          </cell>
          <cell r="K18">
            <v>46144</v>
          </cell>
          <cell r="L18">
            <v>46164</v>
          </cell>
          <cell r="M18">
            <v>6495687</v>
          </cell>
          <cell r="N18">
            <v>324784</v>
          </cell>
          <cell r="O18">
            <v>6820471</v>
          </cell>
          <cell r="P18"/>
          <cell r="Q18"/>
          <cell r="R18"/>
          <cell r="S18"/>
          <cell r="T18">
            <v>0</v>
          </cell>
          <cell r="U18">
            <v>175000</v>
          </cell>
          <cell r="V18">
            <v>0</v>
          </cell>
          <cell r="W18">
            <v>6645471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/>
          <cell r="AC18"/>
          <cell r="AD18"/>
          <cell r="AE18"/>
          <cell r="AF18" t="str">
            <v>UnRegistered</v>
          </cell>
        </row>
        <row r="19">
          <cell r="B19" t="str">
            <v>R2 216</v>
          </cell>
          <cell r="C19" t="str">
            <v>R2</v>
          </cell>
          <cell r="D19" t="str">
            <v>M3M Capital Walk in M3M Capital Phase-1</v>
          </cell>
          <cell r="E19" t="str">
            <v>WPBOOKING/00011/22-23</v>
          </cell>
          <cell r="F19" t="str">
            <v>Ms. Runa Singh</v>
          </cell>
          <cell r="G19" t="str">
            <v>WPFLAP/00007/22-23</v>
          </cell>
          <cell r="H19" t="str">
            <v>On Application of OC</v>
          </cell>
          <cell r="I19">
            <v>0</v>
          </cell>
          <cell r="J19">
            <v>45035</v>
          </cell>
          <cell r="K19">
            <v>46144</v>
          </cell>
          <cell r="L19">
            <v>46164</v>
          </cell>
          <cell r="M19">
            <v>4227343</v>
          </cell>
          <cell r="N19">
            <v>211368</v>
          </cell>
          <cell r="O19">
            <v>4438711</v>
          </cell>
          <cell r="P19"/>
          <cell r="Q19"/>
          <cell r="R19"/>
          <cell r="S19"/>
          <cell r="T19">
            <v>0</v>
          </cell>
          <cell r="U19">
            <v>3433</v>
          </cell>
          <cell r="V19">
            <v>0</v>
          </cell>
          <cell r="W19">
            <v>4435278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/>
          <cell r="AC19"/>
          <cell r="AD19"/>
          <cell r="AE19"/>
          <cell r="AF19" t="str">
            <v>UnRegistered</v>
          </cell>
        </row>
        <row r="20">
          <cell r="B20" t="str">
            <v>R2 212a</v>
          </cell>
          <cell r="C20" t="str">
            <v>R2</v>
          </cell>
          <cell r="D20" t="str">
            <v>M3M Capital Walk in M3M Capital Phase-1</v>
          </cell>
          <cell r="E20" t="str">
            <v>WPBOOKING/00012/22-23</v>
          </cell>
          <cell r="F20" t="str">
            <v>Mr. RAVI MADAAN</v>
          </cell>
          <cell r="G20" t="str">
            <v>WPFLAP/00008/22-23</v>
          </cell>
          <cell r="H20" t="str">
            <v>On Application of OC</v>
          </cell>
          <cell r="I20">
            <v>0</v>
          </cell>
          <cell r="J20">
            <v>45007</v>
          </cell>
          <cell r="K20">
            <v>46144</v>
          </cell>
          <cell r="L20">
            <v>46164</v>
          </cell>
          <cell r="M20">
            <v>4037942</v>
          </cell>
          <cell r="N20">
            <v>201898</v>
          </cell>
          <cell r="O20">
            <v>4239840</v>
          </cell>
          <cell r="P20"/>
          <cell r="Q20"/>
          <cell r="R20"/>
          <cell r="S20"/>
          <cell r="T20">
            <v>0</v>
          </cell>
          <cell r="U20">
            <v>17.71</v>
          </cell>
          <cell r="V20">
            <v>0</v>
          </cell>
          <cell r="W20">
            <v>4239822.29</v>
          </cell>
          <cell r="X20">
            <v>2982.8</v>
          </cell>
          <cell r="Y20">
            <v>0</v>
          </cell>
          <cell r="Z20">
            <v>0</v>
          </cell>
          <cell r="AA20">
            <v>2982.8</v>
          </cell>
          <cell r="AB20"/>
          <cell r="AC20"/>
          <cell r="AD20"/>
          <cell r="AE20"/>
          <cell r="AF20" t="str">
            <v>UnRegistered</v>
          </cell>
        </row>
        <row r="21">
          <cell r="B21" t="str">
            <v>R1 UG 27</v>
          </cell>
          <cell r="C21" t="str">
            <v>R1</v>
          </cell>
          <cell r="D21" t="str">
            <v>M3M Capital Walk in M3M Capital Phase-1</v>
          </cell>
          <cell r="E21" t="str">
            <v>WPBOOKING/00012/23-24</v>
          </cell>
          <cell r="F21" t="str">
            <v>Mr. Amar Chand Gupta</v>
          </cell>
          <cell r="G21" t="str">
            <v>WPFLAP/00018/23-24</v>
          </cell>
          <cell r="H21" t="str">
            <v>On Application of OC</v>
          </cell>
          <cell r="I21">
            <v>0</v>
          </cell>
          <cell r="J21">
            <v>45272</v>
          </cell>
          <cell r="K21">
            <v>46144</v>
          </cell>
          <cell r="L21">
            <v>46164</v>
          </cell>
          <cell r="M21">
            <v>5587433</v>
          </cell>
          <cell r="N21">
            <v>279372</v>
          </cell>
          <cell r="O21">
            <v>5866805</v>
          </cell>
          <cell r="P21"/>
          <cell r="Q21"/>
          <cell r="R21"/>
          <cell r="S21"/>
          <cell r="T21">
            <v>0</v>
          </cell>
          <cell r="U21">
            <v>0</v>
          </cell>
          <cell r="V21">
            <v>1</v>
          </cell>
          <cell r="W21">
            <v>5866806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/>
          <cell r="AC21"/>
          <cell r="AD21"/>
          <cell r="AE21"/>
          <cell r="AF21" t="str">
            <v>UnRegistered</v>
          </cell>
        </row>
        <row r="22">
          <cell r="B22" t="str">
            <v>R2 UG 23</v>
          </cell>
          <cell r="C22" t="str">
            <v>R2</v>
          </cell>
          <cell r="D22" t="str">
            <v>M3M Capital Walk in M3M Capital Phase-1</v>
          </cell>
          <cell r="E22" t="str">
            <v>WPBOOKING/00013/22-23</v>
          </cell>
          <cell r="F22" t="str">
            <v>Ms. SHYAMA GOYAL</v>
          </cell>
          <cell r="G22" t="str">
            <v>WPFLAP/00009/22-23</v>
          </cell>
          <cell r="H22" t="str">
            <v>On Application of OC</v>
          </cell>
          <cell r="I22">
            <v>0</v>
          </cell>
          <cell r="J22">
            <v>45044</v>
          </cell>
          <cell r="K22">
            <v>46144</v>
          </cell>
          <cell r="L22">
            <v>46164</v>
          </cell>
          <cell r="M22">
            <v>8451185</v>
          </cell>
          <cell r="N22">
            <v>422560</v>
          </cell>
          <cell r="O22">
            <v>8873745</v>
          </cell>
          <cell r="P22">
            <v>899069.47420333326</v>
          </cell>
          <cell r="Q22"/>
          <cell r="R22"/>
          <cell r="S22">
            <v>44953.473710166669</v>
          </cell>
          <cell r="T22">
            <v>944022.9479134999</v>
          </cell>
          <cell r="U22">
            <v>45659.85</v>
          </cell>
          <cell r="V22">
            <v>0</v>
          </cell>
          <cell r="W22">
            <v>7884062.2020865008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str">
            <v>Executed</v>
          </cell>
          <cell r="AC22" t="str">
            <v>Yes</v>
          </cell>
          <cell r="AD22">
            <v>6.2161159814333601E-2</v>
          </cell>
          <cell r="AE22" t="str">
            <v>Less than 35%</v>
          </cell>
          <cell r="AF22" t="str">
            <v>UnRegistered</v>
          </cell>
        </row>
        <row r="23">
          <cell r="B23" t="str">
            <v>R1 261</v>
          </cell>
          <cell r="C23" t="str">
            <v>R1</v>
          </cell>
          <cell r="D23" t="str">
            <v>M3M Capital Walk in M3M Capital Phase-1</v>
          </cell>
          <cell r="E23" t="str">
            <v>WPBOOKING/00013/23-24</v>
          </cell>
          <cell r="F23" t="str">
            <v>Ms. Nirmala Prasad</v>
          </cell>
          <cell r="G23" t="str">
            <v>WPFLAP/00019/23-24</v>
          </cell>
          <cell r="H23" t="str">
            <v>On Application of OC</v>
          </cell>
          <cell r="I23">
            <v>0</v>
          </cell>
          <cell r="J23">
            <v>45251</v>
          </cell>
          <cell r="K23">
            <v>46144</v>
          </cell>
          <cell r="L23">
            <v>46164</v>
          </cell>
          <cell r="M23">
            <v>11099991</v>
          </cell>
          <cell r="N23">
            <v>555000</v>
          </cell>
          <cell r="O23">
            <v>11654991</v>
          </cell>
          <cell r="P23"/>
          <cell r="Q23"/>
          <cell r="R23"/>
          <cell r="S23"/>
          <cell r="T23">
            <v>0</v>
          </cell>
          <cell r="U23">
            <v>664.46</v>
          </cell>
          <cell r="V23">
            <v>0</v>
          </cell>
          <cell r="W23">
            <v>11654326.539999999</v>
          </cell>
          <cell r="X23">
            <v>6400.26</v>
          </cell>
          <cell r="Y23">
            <v>0</v>
          </cell>
          <cell r="Z23">
            <v>0</v>
          </cell>
          <cell r="AA23">
            <v>6400.26</v>
          </cell>
          <cell r="AB23"/>
          <cell r="AC23"/>
          <cell r="AD23"/>
          <cell r="AE23"/>
          <cell r="AF23" t="str">
            <v>UnRegistered</v>
          </cell>
        </row>
        <row r="24">
          <cell r="B24" t="str">
            <v>R2 212</v>
          </cell>
          <cell r="C24" t="str">
            <v>R2</v>
          </cell>
          <cell r="D24" t="str">
            <v>M3M Capital Walk in M3M Capital Phase-1</v>
          </cell>
          <cell r="E24" t="str">
            <v>WPBOOKING/00014/22-23</v>
          </cell>
          <cell r="F24" t="str">
            <v>Mr. AJAY KUMAR SHARMA</v>
          </cell>
          <cell r="G24" t="str">
            <v>WPFLAP/00010/22-23</v>
          </cell>
          <cell r="H24" t="str">
            <v>On Application of OC</v>
          </cell>
          <cell r="I24">
            <v>0</v>
          </cell>
          <cell r="J24">
            <v>45469</v>
          </cell>
          <cell r="K24">
            <v>46144</v>
          </cell>
          <cell r="L24">
            <v>46164</v>
          </cell>
          <cell r="M24">
            <v>5470647</v>
          </cell>
          <cell r="N24">
            <v>273532</v>
          </cell>
          <cell r="O24">
            <v>5744179</v>
          </cell>
          <cell r="P24"/>
          <cell r="Q24"/>
          <cell r="R24"/>
          <cell r="S24"/>
          <cell r="T24">
            <v>0</v>
          </cell>
          <cell r="U24">
            <v>0</v>
          </cell>
          <cell r="V24">
            <v>0</v>
          </cell>
          <cell r="W24">
            <v>5744179</v>
          </cell>
          <cell r="X24">
            <v>27484.48</v>
          </cell>
          <cell r="Y24">
            <v>0</v>
          </cell>
          <cell r="Z24">
            <v>27482</v>
          </cell>
          <cell r="AA24">
            <v>2.48</v>
          </cell>
          <cell r="AB24"/>
          <cell r="AC24"/>
          <cell r="AD24"/>
          <cell r="AE24"/>
          <cell r="AF24" t="str">
            <v>UnRegistered</v>
          </cell>
        </row>
        <row r="25">
          <cell r="B25" t="str">
            <v>R2 LG 23</v>
          </cell>
          <cell r="C25" t="str">
            <v>R2</v>
          </cell>
          <cell r="D25" t="str">
            <v>M3M Capital Walk in M3M Capital Phase-1</v>
          </cell>
          <cell r="E25" t="str">
            <v>WPBOOKING/00014/23-24</v>
          </cell>
          <cell r="F25" t="str">
            <v>Mr. Balraj Singh</v>
          </cell>
          <cell r="G25" t="str">
            <v>WPFLAP/00020/23-24</v>
          </cell>
          <cell r="H25" t="str">
            <v>On Application of OC</v>
          </cell>
          <cell r="I25">
            <v>0</v>
          </cell>
          <cell r="J25">
            <v>45272</v>
          </cell>
          <cell r="K25">
            <v>46144</v>
          </cell>
          <cell r="L25">
            <v>46164</v>
          </cell>
          <cell r="M25">
            <v>13296164</v>
          </cell>
          <cell r="N25">
            <v>664808</v>
          </cell>
          <cell r="O25">
            <v>13960972</v>
          </cell>
          <cell r="P25"/>
          <cell r="Q25"/>
          <cell r="R25"/>
          <cell r="S25"/>
          <cell r="T25">
            <v>0</v>
          </cell>
          <cell r="U25">
            <v>108275</v>
          </cell>
          <cell r="V25">
            <v>0</v>
          </cell>
          <cell r="W25">
            <v>13852697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/>
          <cell r="AC25"/>
          <cell r="AD25"/>
          <cell r="AE25"/>
          <cell r="AF25" t="str">
            <v>UnRegistered</v>
          </cell>
        </row>
        <row r="26">
          <cell r="B26" t="str">
            <v>R2 112A</v>
          </cell>
          <cell r="C26" t="str">
            <v>R2</v>
          </cell>
          <cell r="D26" t="str">
            <v>M3M Capital Walk in M3M Capital Phase-1</v>
          </cell>
          <cell r="E26" t="str">
            <v>WPBOOKING/00017/22-23</v>
          </cell>
          <cell r="F26" t="str">
            <v>Ms. SAVITA TANWAR</v>
          </cell>
          <cell r="G26" t="str">
            <v>WPFLAP/00012/22-23</v>
          </cell>
          <cell r="H26" t="str">
            <v>On Application of OC</v>
          </cell>
          <cell r="I26">
            <v>0</v>
          </cell>
          <cell r="J26">
            <v>45058</v>
          </cell>
          <cell r="K26">
            <v>46144</v>
          </cell>
          <cell r="L26">
            <v>46164</v>
          </cell>
          <cell r="M26">
            <v>4699831</v>
          </cell>
          <cell r="N26">
            <v>234992</v>
          </cell>
          <cell r="O26">
            <v>4934823</v>
          </cell>
          <cell r="P26"/>
          <cell r="Q26"/>
          <cell r="R26"/>
          <cell r="S26"/>
          <cell r="T26">
            <v>0</v>
          </cell>
          <cell r="U26">
            <v>0</v>
          </cell>
          <cell r="V26">
            <v>0</v>
          </cell>
          <cell r="W26">
            <v>4934823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/>
          <cell r="AC26"/>
          <cell r="AD26"/>
          <cell r="AE26"/>
          <cell r="AF26" t="str">
            <v>UnRegistered</v>
          </cell>
        </row>
        <row r="27">
          <cell r="B27" t="str">
            <v>R2 116</v>
          </cell>
          <cell r="C27" t="str">
            <v>R2</v>
          </cell>
          <cell r="D27" t="str">
            <v>M3M Capital Walk in M3M Capital Phase-1</v>
          </cell>
          <cell r="E27" t="str">
            <v>WPBOOKING/00018/22-23</v>
          </cell>
          <cell r="F27" t="str">
            <v>Mr. HEMANT AGGARWAL</v>
          </cell>
          <cell r="G27" t="str">
            <v>WPFLAP/00013/22-23</v>
          </cell>
          <cell r="H27" t="str">
            <v>On Application of OC</v>
          </cell>
          <cell r="I27">
            <v>0</v>
          </cell>
          <cell r="J27">
            <v>45048</v>
          </cell>
          <cell r="K27">
            <v>46144</v>
          </cell>
          <cell r="L27">
            <v>46164</v>
          </cell>
          <cell r="M27">
            <v>4956508</v>
          </cell>
          <cell r="N27">
            <v>247826</v>
          </cell>
          <cell r="O27">
            <v>5204334</v>
          </cell>
          <cell r="P27"/>
          <cell r="Q27"/>
          <cell r="R27"/>
          <cell r="S27"/>
          <cell r="T27">
            <v>0</v>
          </cell>
          <cell r="U27">
            <v>0</v>
          </cell>
          <cell r="V27">
            <v>0</v>
          </cell>
          <cell r="W27">
            <v>5204334</v>
          </cell>
          <cell r="X27">
            <v>5283</v>
          </cell>
          <cell r="Y27">
            <v>0</v>
          </cell>
          <cell r="Z27">
            <v>0</v>
          </cell>
          <cell r="AA27">
            <v>5283</v>
          </cell>
          <cell r="AB27"/>
          <cell r="AC27"/>
          <cell r="AD27"/>
          <cell r="AE27"/>
          <cell r="AF27" t="str">
            <v>UnRegistered</v>
          </cell>
        </row>
        <row r="28">
          <cell r="B28" t="str">
            <v>R2 217</v>
          </cell>
          <cell r="C28" t="str">
            <v>R2</v>
          </cell>
          <cell r="D28" t="str">
            <v>M3M Capital Walk in M3M Capital Phase-1</v>
          </cell>
          <cell r="E28" t="str">
            <v>WPBOOKING/00019/22-23</v>
          </cell>
          <cell r="F28" t="str">
            <v>Mr. MANMEET VINOD SEHGAL</v>
          </cell>
          <cell r="G28" t="str">
            <v>WPFLAP/00014/22-23</v>
          </cell>
          <cell r="H28" t="str">
            <v>On Application of OC</v>
          </cell>
          <cell r="I28">
            <v>0</v>
          </cell>
          <cell r="J28">
            <v>45042</v>
          </cell>
          <cell r="K28">
            <v>46144</v>
          </cell>
          <cell r="L28">
            <v>46164</v>
          </cell>
          <cell r="M28">
            <v>7649748</v>
          </cell>
          <cell r="N28">
            <v>382488</v>
          </cell>
          <cell r="O28">
            <v>8032236</v>
          </cell>
          <cell r="P28"/>
          <cell r="Q28"/>
          <cell r="R28"/>
          <cell r="S28"/>
          <cell r="T28">
            <v>0</v>
          </cell>
          <cell r="U28">
            <v>0</v>
          </cell>
          <cell r="V28">
            <v>0</v>
          </cell>
          <cell r="W28">
            <v>8032236</v>
          </cell>
          <cell r="X28">
            <v>153.36000000000001</v>
          </cell>
          <cell r="Y28">
            <v>0</v>
          </cell>
          <cell r="Z28">
            <v>0</v>
          </cell>
          <cell r="AA28">
            <v>153.36000000000001</v>
          </cell>
          <cell r="AB28"/>
          <cell r="AC28"/>
          <cell r="AD28"/>
          <cell r="AE28"/>
          <cell r="AF28" t="str">
            <v>UnRegistered</v>
          </cell>
        </row>
        <row r="29">
          <cell r="B29" t="str">
            <v>R4 G 12</v>
          </cell>
          <cell r="C29" t="str">
            <v>R4</v>
          </cell>
          <cell r="D29" t="str">
            <v>M3M Capital Walk in M3M Capital Phase-2</v>
          </cell>
          <cell r="E29" t="str">
            <v>CCWBOOKING/00010/22-23</v>
          </cell>
          <cell r="F29" t="str">
            <v>M/S. RSK BUILTECH LLP</v>
          </cell>
          <cell r="G29" t="str">
            <v>CCWFLAP/00025/22-23</v>
          </cell>
          <cell r="H29" t="str">
            <v>On Application of OC</v>
          </cell>
          <cell r="I29">
            <v>0</v>
          </cell>
          <cell r="J29">
            <v>45358</v>
          </cell>
          <cell r="K29">
            <v>46144</v>
          </cell>
          <cell r="L29">
            <v>46164</v>
          </cell>
          <cell r="M29">
            <v>12834144</v>
          </cell>
          <cell r="N29">
            <v>1540098</v>
          </cell>
          <cell r="O29">
            <v>14374242</v>
          </cell>
          <cell r="P29">
            <v>6900205.3295400003</v>
          </cell>
          <cell r="Q29"/>
          <cell r="R29"/>
          <cell r="S29">
            <v>828024.63954480004</v>
          </cell>
          <cell r="T29">
            <v>7728229.9690848002</v>
          </cell>
          <cell r="U29">
            <v>2</v>
          </cell>
          <cell r="V29">
            <v>0</v>
          </cell>
          <cell r="W29">
            <v>6646010.0309151998</v>
          </cell>
          <cell r="X29">
            <v>17014</v>
          </cell>
          <cell r="Y29">
            <v>0</v>
          </cell>
          <cell r="Z29">
            <v>0</v>
          </cell>
          <cell r="AA29">
            <v>17014</v>
          </cell>
          <cell r="AB29" t="str">
            <v>Not Executed</v>
          </cell>
          <cell r="AC29" t="str">
            <v>No, due to CL not executed but interest is less than 75000</v>
          </cell>
          <cell r="AD29">
            <v>0.43011549042474978</v>
          </cell>
          <cell r="AE29" t="str">
            <v>Above 35%</v>
          </cell>
          <cell r="AF29" t="str">
            <v>UnRegistered</v>
          </cell>
        </row>
        <row r="30">
          <cell r="B30" t="str">
            <v>R6 UG 12A</v>
          </cell>
          <cell r="C30" t="str">
            <v>R6</v>
          </cell>
          <cell r="D30" t="str">
            <v>M3M Capital Walk in M3M Capital Phase-2</v>
          </cell>
          <cell r="E30" t="str">
            <v>CCWBOOKING/00011/22-23</v>
          </cell>
          <cell r="F30" t="str">
            <v>Mr. AMIT SHOKEEN</v>
          </cell>
          <cell r="G30" t="str">
            <v>CCWFLAP/00026/22-23</v>
          </cell>
          <cell r="H30" t="str">
            <v>On Application of OC</v>
          </cell>
          <cell r="I30">
            <v>0</v>
          </cell>
          <cell r="J30">
            <v>44980</v>
          </cell>
          <cell r="K30">
            <v>46144</v>
          </cell>
          <cell r="L30">
            <v>46164</v>
          </cell>
          <cell r="M30">
            <v>7498850</v>
          </cell>
          <cell r="N30">
            <v>899862</v>
          </cell>
          <cell r="O30">
            <v>8398712</v>
          </cell>
          <cell r="P30">
            <v>3177012.6774166673</v>
          </cell>
          <cell r="Q30"/>
          <cell r="R30"/>
          <cell r="S30">
            <v>381241.52129000006</v>
          </cell>
          <cell r="T30">
            <v>3558254.1987066674</v>
          </cell>
          <cell r="U30">
            <v>1500001</v>
          </cell>
          <cell r="V30">
            <v>0</v>
          </cell>
          <cell r="W30">
            <v>3340456.8012933326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str">
            <v>Executed</v>
          </cell>
          <cell r="AC30" t="str">
            <v>Yes</v>
          </cell>
          <cell r="AD30">
            <v>0.21183333888220041</v>
          </cell>
          <cell r="AE30" t="str">
            <v>Less than 35%</v>
          </cell>
          <cell r="AF30" t="str">
            <v>UnRegistered</v>
          </cell>
        </row>
        <row r="31">
          <cell r="B31" t="str">
            <v>R6 UG 02</v>
          </cell>
          <cell r="C31" t="str">
            <v>R6</v>
          </cell>
          <cell r="D31" t="str">
            <v>M3M Capital Walk in M3M Capital Phase-2</v>
          </cell>
          <cell r="E31" t="str">
            <v>CCWBOOKING/00012/22-23</v>
          </cell>
          <cell r="F31" t="str">
            <v>Mr. MANISH SHOKEEN</v>
          </cell>
          <cell r="G31" t="str">
            <v>CCWFLAP/00027/22-23</v>
          </cell>
          <cell r="H31" t="str">
            <v>On Application of OC</v>
          </cell>
          <cell r="I31">
            <v>0</v>
          </cell>
          <cell r="J31">
            <v>44980</v>
          </cell>
          <cell r="K31">
            <v>46144</v>
          </cell>
          <cell r="L31">
            <v>46164</v>
          </cell>
          <cell r="M31">
            <v>6201832</v>
          </cell>
          <cell r="N31">
            <v>744220</v>
          </cell>
          <cell r="O31">
            <v>6946052</v>
          </cell>
          <cell r="P31">
            <v>4051796.4862083332</v>
          </cell>
          <cell r="Q31"/>
          <cell r="R31"/>
          <cell r="S31">
            <v>486215.57834499999</v>
          </cell>
          <cell r="T31">
            <v>4538012.0645533334</v>
          </cell>
          <cell r="U31">
            <v>1500001</v>
          </cell>
          <cell r="V31">
            <v>0</v>
          </cell>
          <cell r="W31">
            <v>908038.93544666655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str">
            <v>Executed</v>
          </cell>
          <cell r="AC31" t="str">
            <v>Yes</v>
          </cell>
          <cell r="AD31">
            <v>0.32666125048828698</v>
          </cell>
          <cell r="AE31" t="str">
            <v>Less than 35%</v>
          </cell>
          <cell r="AF31" t="str">
            <v>UnRegistered</v>
          </cell>
        </row>
        <row r="32">
          <cell r="B32" t="str">
            <v>R1 212A</v>
          </cell>
          <cell r="C32" t="str">
            <v>R1</v>
          </cell>
          <cell r="D32" t="str">
            <v>M3M Capital Walk in M3M Capital Phase-2</v>
          </cell>
          <cell r="E32" t="str">
            <v>CCWBOOKING/00013/22-23</v>
          </cell>
          <cell r="F32" t="str">
            <v>Mr. ADESH KUMAR</v>
          </cell>
          <cell r="G32" t="str">
            <v>CCWFLAP/00028/22-23</v>
          </cell>
          <cell r="H32" t="str">
            <v>On Application of OC</v>
          </cell>
          <cell r="I32">
            <v>0</v>
          </cell>
          <cell r="J32">
            <v>45007</v>
          </cell>
          <cell r="K32">
            <v>46144</v>
          </cell>
          <cell r="L32">
            <v>46164</v>
          </cell>
          <cell r="M32">
            <v>2555150</v>
          </cell>
          <cell r="N32">
            <v>306618</v>
          </cell>
          <cell r="O32">
            <v>2861768</v>
          </cell>
          <cell r="P32">
            <v>654775.79904000007</v>
          </cell>
          <cell r="Q32"/>
          <cell r="R32"/>
          <cell r="S32">
            <v>78573.095884800001</v>
          </cell>
          <cell r="T32">
            <v>733348.89492480003</v>
          </cell>
          <cell r="U32">
            <v>1</v>
          </cell>
          <cell r="V32">
            <v>0</v>
          </cell>
          <cell r="W32">
            <v>2128418.1050752001</v>
          </cell>
          <cell r="X32">
            <v>6961</v>
          </cell>
          <cell r="Y32">
            <v>0</v>
          </cell>
          <cell r="Z32">
            <v>0</v>
          </cell>
          <cell r="AA32">
            <v>6961</v>
          </cell>
          <cell r="AB32" t="str">
            <v>Executed</v>
          </cell>
          <cell r="AC32" t="str">
            <v>Yes</v>
          </cell>
          <cell r="AD32">
            <v>0.11714614015782446</v>
          </cell>
          <cell r="AE32" t="str">
            <v>Less than 35%</v>
          </cell>
          <cell r="AF32" t="str">
            <v>UnRegistered</v>
          </cell>
        </row>
        <row r="33">
          <cell r="B33" t="str">
            <v>R1 216</v>
          </cell>
          <cell r="C33" t="str">
            <v>R1</v>
          </cell>
          <cell r="D33" t="str">
            <v>M3M Capital Walk in M3M Capital Phase-2</v>
          </cell>
          <cell r="E33" t="str">
            <v>CCWBOOKING/00014/22-23</v>
          </cell>
          <cell r="F33" t="str">
            <v>Ms. RITA DEVI</v>
          </cell>
          <cell r="G33" t="str">
            <v>CCWFLAP/00029/22-23</v>
          </cell>
          <cell r="H33" t="str">
            <v>On Application of OC</v>
          </cell>
          <cell r="I33">
            <v>0</v>
          </cell>
          <cell r="J33">
            <v>45005</v>
          </cell>
          <cell r="K33">
            <v>46144</v>
          </cell>
          <cell r="L33">
            <v>46164</v>
          </cell>
          <cell r="M33">
            <v>2017790</v>
          </cell>
          <cell r="N33">
            <v>242134</v>
          </cell>
          <cell r="O33">
            <v>2259924</v>
          </cell>
          <cell r="P33">
            <v>1308299.7424999999</v>
          </cell>
          <cell r="Q33"/>
          <cell r="R33"/>
          <cell r="S33">
            <v>156995.96909999999</v>
          </cell>
          <cell r="T33">
            <v>1465295.7116</v>
          </cell>
          <cell r="U33">
            <v>0</v>
          </cell>
          <cell r="V33">
            <v>0</v>
          </cell>
          <cell r="W33">
            <v>794628.28839999996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>Executed</v>
          </cell>
          <cell r="AC33" t="str">
            <v>Yes</v>
          </cell>
          <cell r="AD33">
            <v>0.25935295762886312</v>
          </cell>
          <cell r="AE33" t="str">
            <v>Less than 35%</v>
          </cell>
          <cell r="AF33" t="str">
            <v>UnRegistered</v>
          </cell>
        </row>
        <row r="34">
          <cell r="B34" t="str">
            <v>R6 UG 12</v>
          </cell>
          <cell r="C34" t="str">
            <v>R6</v>
          </cell>
          <cell r="D34" t="str">
            <v>M3M Capital Walk in M3M Capital Phase-2</v>
          </cell>
          <cell r="E34" t="str">
            <v>CCWBOOKING/00015/22-23</v>
          </cell>
          <cell r="F34" t="str">
            <v>Ms. SUNITA SHARMA</v>
          </cell>
          <cell r="G34" t="str">
            <v>CCWFLAP/00030/22-23</v>
          </cell>
          <cell r="H34" t="str">
            <v>On Application of OC</v>
          </cell>
          <cell r="I34">
            <v>0</v>
          </cell>
          <cell r="J34">
            <v>44986</v>
          </cell>
          <cell r="K34">
            <v>46144</v>
          </cell>
          <cell r="L34">
            <v>46164</v>
          </cell>
          <cell r="M34">
            <v>1255500</v>
          </cell>
          <cell r="N34">
            <v>150660</v>
          </cell>
          <cell r="O34">
            <v>1406160</v>
          </cell>
          <cell r="P34">
            <v>904805.37813750003</v>
          </cell>
          <cell r="Q34"/>
          <cell r="R34"/>
          <cell r="S34">
            <v>108576.6453765</v>
          </cell>
          <cell r="T34">
            <v>1013382.023514</v>
          </cell>
          <cell r="U34">
            <v>1</v>
          </cell>
          <cell r="V34">
            <v>0</v>
          </cell>
          <cell r="W34">
            <v>392776.976486</v>
          </cell>
          <cell r="X34">
            <v>2024</v>
          </cell>
          <cell r="Y34">
            <v>0</v>
          </cell>
          <cell r="Z34">
            <v>0</v>
          </cell>
          <cell r="AA34">
            <v>2024</v>
          </cell>
          <cell r="AB34" t="str">
            <v>Executed</v>
          </cell>
          <cell r="AC34" t="str">
            <v>Yes</v>
          </cell>
          <cell r="AD34">
            <v>0.28826933592592591</v>
          </cell>
          <cell r="AE34" t="str">
            <v>Less than 35%</v>
          </cell>
          <cell r="AF34" t="str">
            <v>UnRegistered</v>
          </cell>
        </row>
        <row r="35">
          <cell r="B35" t="str">
            <v>R6 112A</v>
          </cell>
          <cell r="C35" t="str">
            <v>R6</v>
          </cell>
          <cell r="D35" t="str">
            <v>M3M Capital Walk in M3M Capital Phase-2</v>
          </cell>
          <cell r="E35" t="str">
            <v>cwBOOKING/00001/22-23</v>
          </cell>
          <cell r="F35" t="str">
            <v>Ms. MADHU BALA</v>
          </cell>
          <cell r="G35" t="str">
            <v>cwFLAP/00002/22-23</v>
          </cell>
          <cell r="H35" t="str">
            <v>On Application of OC</v>
          </cell>
          <cell r="I35">
            <v>0</v>
          </cell>
          <cell r="J35">
            <v>45104</v>
          </cell>
          <cell r="K35">
            <v>46144</v>
          </cell>
          <cell r="L35">
            <v>46164</v>
          </cell>
          <cell r="M35">
            <v>4502292</v>
          </cell>
          <cell r="N35">
            <v>540276</v>
          </cell>
          <cell r="O35">
            <v>5042568</v>
          </cell>
          <cell r="P35">
            <v>3297019.1205000002</v>
          </cell>
          <cell r="Q35"/>
          <cell r="R35"/>
          <cell r="S35">
            <v>395642.29446</v>
          </cell>
          <cell r="T35">
            <v>3692661.4149600002</v>
          </cell>
          <cell r="U35">
            <v>77</v>
          </cell>
          <cell r="V35">
            <v>0</v>
          </cell>
          <cell r="W35">
            <v>1349829.5850399998</v>
          </cell>
          <cell r="X35">
            <v>7122.12</v>
          </cell>
          <cell r="Y35">
            <v>0</v>
          </cell>
          <cell r="Z35">
            <v>0</v>
          </cell>
          <cell r="AA35">
            <v>7122.12</v>
          </cell>
          <cell r="AB35" t="str">
            <v>Executed</v>
          </cell>
          <cell r="AC35" t="str">
            <v>Yes</v>
          </cell>
          <cell r="AD35">
            <v>0.36614900517028387</v>
          </cell>
          <cell r="AE35" t="str">
            <v>Above 35%</v>
          </cell>
          <cell r="AF35" t="str">
            <v>UnRegistered</v>
          </cell>
        </row>
        <row r="36">
          <cell r="B36" t="str">
            <v>R3 LG 31</v>
          </cell>
          <cell r="C36" t="str">
            <v>R3</v>
          </cell>
          <cell r="D36" t="str">
            <v>M3M Capital Walk in M3M Capital Phase-2</v>
          </cell>
          <cell r="E36" t="str">
            <v>cwBOOKING/00001/23-24</v>
          </cell>
          <cell r="F36" t="str">
            <v>Ms. MAMTA SHARAN</v>
          </cell>
          <cell r="G36" t="str">
            <v>cwFLAP/00977/22-23</v>
          </cell>
          <cell r="H36" t="str">
            <v>On Application of OC</v>
          </cell>
          <cell r="I36">
            <v>0</v>
          </cell>
          <cell r="J36">
            <v>45110</v>
          </cell>
          <cell r="K36">
            <v>46144</v>
          </cell>
          <cell r="L36">
            <v>46164</v>
          </cell>
          <cell r="M36">
            <v>1746176</v>
          </cell>
          <cell r="N36">
            <v>209542</v>
          </cell>
          <cell r="O36">
            <v>1955718</v>
          </cell>
          <cell r="P36"/>
          <cell r="Q36"/>
          <cell r="R36"/>
          <cell r="S36"/>
          <cell r="T36">
            <v>0</v>
          </cell>
          <cell r="U36">
            <v>0</v>
          </cell>
          <cell r="V36">
            <v>120</v>
          </cell>
          <cell r="W36">
            <v>1955838</v>
          </cell>
          <cell r="X36">
            <v>3248.36</v>
          </cell>
          <cell r="Y36">
            <v>0</v>
          </cell>
          <cell r="Z36">
            <v>0</v>
          </cell>
          <cell r="AA36">
            <v>3248.36</v>
          </cell>
          <cell r="AB36"/>
          <cell r="AC36"/>
          <cell r="AD36"/>
          <cell r="AE36"/>
          <cell r="AF36" t="str">
            <v>UnRegistered</v>
          </cell>
        </row>
        <row r="37">
          <cell r="B37" t="str">
            <v>R5 154</v>
          </cell>
          <cell r="C37" t="str">
            <v>R5</v>
          </cell>
          <cell r="D37" t="str">
            <v>M3M Capital Walk in M3M Capital Phase-2</v>
          </cell>
          <cell r="E37" t="str">
            <v>cwBOOKING/00001/24-25</v>
          </cell>
          <cell r="F37" t="str">
            <v>Mr. Nitesh Sharma</v>
          </cell>
          <cell r="G37" t="str">
            <v>cwFLAP/00208/23-24</v>
          </cell>
          <cell r="H37" t="str">
            <v>On Application of OC</v>
          </cell>
          <cell r="I37">
            <v>0</v>
          </cell>
          <cell r="J37">
            <v>45448</v>
          </cell>
          <cell r="K37">
            <v>46144</v>
          </cell>
          <cell r="L37">
            <v>46164</v>
          </cell>
          <cell r="M37">
            <v>549398</v>
          </cell>
          <cell r="N37">
            <v>65928</v>
          </cell>
          <cell r="O37">
            <v>615326</v>
          </cell>
          <cell r="P37"/>
          <cell r="Q37"/>
          <cell r="R37"/>
          <cell r="S37"/>
          <cell r="T37">
            <v>0</v>
          </cell>
          <cell r="U37">
            <v>40000</v>
          </cell>
          <cell r="V37">
            <v>0</v>
          </cell>
          <cell r="W37">
            <v>575326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/>
          <cell r="AC37"/>
          <cell r="AD37"/>
          <cell r="AE37"/>
          <cell r="AF37" t="str">
            <v>UnRegistered</v>
          </cell>
        </row>
        <row r="38">
          <cell r="B38" t="str">
            <v>R6 126</v>
          </cell>
          <cell r="C38" t="str">
            <v>R6</v>
          </cell>
          <cell r="D38" t="str">
            <v>M3M Capital Walk in M3M Capital Phase-2</v>
          </cell>
          <cell r="E38" t="str">
            <v>cwBOOKING/00002/22-23</v>
          </cell>
          <cell r="F38" t="str">
            <v>Mr. SATISH KUMAR</v>
          </cell>
          <cell r="G38" t="str">
            <v>cwFLAP/00003/22-23</v>
          </cell>
          <cell r="H38" t="str">
            <v>On Application of OC</v>
          </cell>
          <cell r="I38">
            <v>0</v>
          </cell>
          <cell r="J38">
            <v>45267</v>
          </cell>
          <cell r="K38">
            <v>46144</v>
          </cell>
          <cell r="L38">
            <v>46164</v>
          </cell>
          <cell r="M38">
            <v>3474043</v>
          </cell>
          <cell r="N38">
            <v>416886</v>
          </cell>
          <cell r="O38">
            <v>3890929</v>
          </cell>
          <cell r="P38">
            <v>1729158.7596266665</v>
          </cell>
          <cell r="Q38"/>
          <cell r="R38"/>
          <cell r="S38">
            <v>207499.05115519997</v>
          </cell>
          <cell r="T38">
            <v>1936657.8107818665</v>
          </cell>
          <cell r="U38">
            <v>0</v>
          </cell>
          <cell r="V38">
            <v>60499</v>
          </cell>
          <cell r="W38">
            <v>2014770.1892181335</v>
          </cell>
          <cell r="X38">
            <v>39857.24</v>
          </cell>
          <cell r="Y38">
            <v>0</v>
          </cell>
          <cell r="Z38">
            <v>0</v>
          </cell>
          <cell r="AA38">
            <v>39857.24</v>
          </cell>
          <cell r="AB38" t="str">
            <v>Executed</v>
          </cell>
          <cell r="AC38" t="str">
            <v>Yes due to interest less than 75000</v>
          </cell>
          <cell r="AD38">
            <v>0.3541499759680164</v>
          </cell>
          <cell r="AE38" t="str">
            <v>Above 35%</v>
          </cell>
          <cell r="AF38" t="str">
            <v>UnRegistered</v>
          </cell>
        </row>
        <row r="39">
          <cell r="B39" t="str">
            <v>R5 212A</v>
          </cell>
          <cell r="C39" t="str">
            <v>R5</v>
          </cell>
          <cell r="D39" t="str">
            <v>M3M Capital Walk in M3M Capital Phase-2</v>
          </cell>
          <cell r="E39" t="str">
            <v>cwBOOKING/00003/22-23</v>
          </cell>
          <cell r="F39" t="str">
            <v>Mr. HARENDRA KUMAR</v>
          </cell>
          <cell r="G39" t="str">
            <v>CCWFLAP/00004/22-23</v>
          </cell>
          <cell r="H39" t="str">
            <v>On Application of OC</v>
          </cell>
          <cell r="I39">
            <v>0</v>
          </cell>
          <cell r="J39">
            <v>45061</v>
          </cell>
          <cell r="K39">
            <v>46144</v>
          </cell>
          <cell r="L39">
            <v>46164</v>
          </cell>
          <cell r="M39">
            <v>4031214</v>
          </cell>
          <cell r="N39">
            <v>483746</v>
          </cell>
          <cell r="O39">
            <v>4514960</v>
          </cell>
          <cell r="P39">
            <v>1106484.2593749997</v>
          </cell>
          <cell r="Q39"/>
          <cell r="R39"/>
          <cell r="S39">
            <v>132778.11112499997</v>
          </cell>
          <cell r="T39">
            <v>1239262.3704999997</v>
          </cell>
          <cell r="U39">
            <v>0</v>
          </cell>
          <cell r="V39">
            <v>0</v>
          </cell>
          <cell r="W39">
            <v>3275697.6295000003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str">
            <v>Executed</v>
          </cell>
          <cell r="AC39" t="str">
            <v>Yes</v>
          </cell>
          <cell r="AD39">
            <v>0.12547618158300403</v>
          </cell>
          <cell r="AE39" t="str">
            <v>Less than 35%</v>
          </cell>
          <cell r="AF39" t="str">
            <v>UnRegistered</v>
          </cell>
        </row>
        <row r="40">
          <cell r="B40" t="str">
            <v>R1 UG 04</v>
          </cell>
          <cell r="C40" t="str">
            <v>R1</v>
          </cell>
          <cell r="D40" t="str">
            <v>M3M Capital Walk in M3M Capital Phase-2</v>
          </cell>
          <cell r="E40" t="str">
            <v>cwBOOKING/00003/23-24</v>
          </cell>
          <cell r="F40" t="str">
            <v>Mr. MANINDER SINGH</v>
          </cell>
          <cell r="G40" t="str">
            <v>cwFLAP/00993/22-23</v>
          </cell>
          <cell r="H40" t="str">
            <v>On Application of OC</v>
          </cell>
          <cell r="I40">
            <v>0</v>
          </cell>
          <cell r="J40">
            <v>45103</v>
          </cell>
          <cell r="K40">
            <v>46144</v>
          </cell>
          <cell r="L40">
            <v>46164</v>
          </cell>
          <cell r="M40">
            <v>3110498</v>
          </cell>
          <cell r="N40">
            <v>373260</v>
          </cell>
          <cell r="O40">
            <v>3483758</v>
          </cell>
          <cell r="P40"/>
          <cell r="Q40"/>
          <cell r="R40"/>
          <cell r="S40"/>
          <cell r="T40">
            <v>0</v>
          </cell>
          <cell r="U40">
            <v>0.97</v>
          </cell>
          <cell r="V40">
            <v>0</v>
          </cell>
          <cell r="W40">
            <v>3483757.03</v>
          </cell>
          <cell r="X40">
            <v>2724</v>
          </cell>
          <cell r="Y40">
            <v>0</v>
          </cell>
          <cell r="Z40">
            <v>0</v>
          </cell>
          <cell r="AA40">
            <v>2724</v>
          </cell>
          <cell r="AB40"/>
          <cell r="AC40"/>
          <cell r="AD40"/>
          <cell r="AE40"/>
          <cell r="AF40" t="str">
            <v>UnRegistered</v>
          </cell>
        </row>
        <row r="41">
          <cell r="B41" t="str">
            <v>R2 102</v>
          </cell>
          <cell r="C41" t="str">
            <v>R2</v>
          </cell>
          <cell r="D41" t="str">
            <v>M3M Capital Walk in M3M Capital Phase-2</v>
          </cell>
          <cell r="E41" t="str">
            <v>cwBOOKING/00003/24-25</v>
          </cell>
          <cell r="F41" t="str">
            <v>Mr. Sandeep Narula</v>
          </cell>
          <cell r="G41" t="str">
            <v>cwFLAP/00201/23-24</v>
          </cell>
          <cell r="H41" t="str">
            <v>On Application of OC</v>
          </cell>
          <cell r="I41">
            <v>0</v>
          </cell>
          <cell r="J41">
            <v>45421</v>
          </cell>
          <cell r="K41">
            <v>46144</v>
          </cell>
          <cell r="L41">
            <v>46164</v>
          </cell>
          <cell r="M41">
            <v>2919192</v>
          </cell>
          <cell r="N41">
            <v>350304</v>
          </cell>
          <cell r="O41">
            <v>3269496</v>
          </cell>
          <cell r="P41"/>
          <cell r="Q41"/>
          <cell r="R41"/>
          <cell r="S41"/>
          <cell r="T41">
            <v>0</v>
          </cell>
          <cell r="U41">
            <v>66302.89</v>
          </cell>
          <cell r="V41">
            <v>0</v>
          </cell>
          <cell r="W41">
            <v>3203193.11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/>
          <cell r="AC41"/>
          <cell r="AD41"/>
          <cell r="AE41"/>
          <cell r="AF41" t="str">
            <v>UnRegistered</v>
          </cell>
        </row>
        <row r="42">
          <cell r="B42" t="str">
            <v>R4 218</v>
          </cell>
          <cell r="C42" t="str">
            <v>R4</v>
          </cell>
          <cell r="D42" t="str">
            <v>M3M Capital Walk in M3M Capital Phase-2</v>
          </cell>
          <cell r="E42" t="str">
            <v>cwBOOKING/00004/22-23</v>
          </cell>
          <cell r="F42" t="str">
            <v>Mr. MAHENDER SUKHIJA</v>
          </cell>
          <cell r="G42" t="str">
            <v>cwFLAP/00004/22-23</v>
          </cell>
          <cell r="H42" t="str">
            <v>On Application of OC</v>
          </cell>
          <cell r="I42">
            <v>0</v>
          </cell>
          <cell r="J42">
            <v>45173</v>
          </cell>
          <cell r="K42">
            <v>46144</v>
          </cell>
          <cell r="L42">
            <v>46164</v>
          </cell>
          <cell r="M42">
            <v>3587650</v>
          </cell>
          <cell r="N42">
            <v>430518</v>
          </cell>
          <cell r="O42">
            <v>4018168</v>
          </cell>
          <cell r="P42">
            <v>969786.64062499988</v>
          </cell>
          <cell r="Q42"/>
          <cell r="R42"/>
          <cell r="S42">
            <v>116374.39687499998</v>
          </cell>
          <cell r="T42">
            <v>1086161.0374999999</v>
          </cell>
          <cell r="U42">
            <v>0</v>
          </cell>
          <cell r="V42">
            <v>0</v>
          </cell>
          <cell r="W42">
            <v>2932006.9625000004</v>
          </cell>
          <cell r="X42">
            <v>2228</v>
          </cell>
          <cell r="Y42">
            <v>0</v>
          </cell>
          <cell r="Z42">
            <v>0</v>
          </cell>
          <cell r="AA42">
            <v>2228</v>
          </cell>
          <cell r="AB42" t="str">
            <v>Executed</v>
          </cell>
          <cell r="AC42" t="str">
            <v>Yes</v>
          </cell>
          <cell r="AD42">
            <v>0.1235714074835399</v>
          </cell>
          <cell r="AE42" t="str">
            <v>Less than 35%</v>
          </cell>
          <cell r="AF42" t="str">
            <v>UnRegistered</v>
          </cell>
        </row>
        <row r="43">
          <cell r="B43" t="str">
            <v>R4 LG 14</v>
          </cell>
          <cell r="C43" t="str">
            <v>R4</v>
          </cell>
          <cell r="D43" t="str">
            <v>M3M Capital Walk in M3M Capital Phase-2</v>
          </cell>
          <cell r="E43" t="str">
            <v>cwBOOKING/00004/23-24</v>
          </cell>
          <cell r="F43" t="str">
            <v>Mr. PRATEEK SHARMA</v>
          </cell>
          <cell r="G43" t="str">
            <v>cwFLAP/00789/22-23</v>
          </cell>
          <cell r="H43" t="str">
            <v>On Application of OC</v>
          </cell>
          <cell r="I43">
            <v>0</v>
          </cell>
          <cell r="J43">
            <v>45041</v>
          </cell>
          <cell r="K43">
            <v>46144</v>
          </cell>
          <cell r="L43">
            <v>46164</v>
          </cell>
          <cell r="M43">
            <v>5972626</v>
          </cell>
          <cell r="N43">
            <v>716716</v>
          </cell>
          <cell r="O43">
            <v>6689342</v>
          </cell>
          <cell r="P43"/>
          <cell r="Q43"/>
          <cell r="R43"/>
          <cell r="S43"/>
          <cell r="T43">
            <v>0</v>
          </cell>
          <cell r="U43">
            <v>0</v>
          </cell>
          <cell r="V43">
            <v>0</v>
          </cell>
          <cell r="W43">
            <v>6689342</v>
          </cell>
          <cell r="X43">
            <v>40957.120000000003</v>
          </cell>
          <cell r="Y43">
            <v>10956.63</v>
          </cell>
          <cell r="Z43">
            <v>30000.49</v>
          </cell>
          <cell r="AA43">
            <v>0</v>
          </cell>
          <cell r="AB43"/>
          <cell r="AC43"/>
          <cell r="AD43"/>
          <cell r="AE43"/>
          <cell r="AF43" t="str">
            <v>UnRegistered</v>
          </cell>
        </row>
        <row r="44">
          <cell r="B44" t="str">
            <v>R4 LG 06</v>
          </cell>
          <cell r="C44" t="str">
            <v>R4</v>
          </cell>
          <cell r="D44" t="str">
            <v>M3M Capital Walk in M3M Capital Phase-2</v>
          </cell>
          <cell r="E44" t="str">
            <v>cwBOOKING/00005/22-23</v>
          </cell>
          <cell r="F44" t="str">
            <v>Ms. SARITA SINGH</v>
          </cell>
          <cell r="G44" t="str">
            <v>cwFLAP/00001/22-23</v>
          </cell>
          <cell r="H44" t="str">
            <v>On Application of OC</v>
          </cell>
          <cell r="I44">
            <v>0</v>
          </cell>
          <cell r="J44">
            <v>45512</v>
          </cell>
          <cell r="K44">
            <v>46144</v>
          </cell>
          <cell r="L44">
            <v>46164</v>
          </cell>
          <cell r="M44">
            <v>5644760</v>
          </cell>
          <cell r="N44">
            <v>677372</v>
          </cell>
          <cell r="O44">
            <v>6322132</v>
          </cell>
          <cell r="P44">
            <v>923919.62320000003</v>
          </cell>
          <cell r="Q44"/>
          <cell r="R44"/>
          <cell r="S44">
            <v>110870.354784</v>
          </cell>
          <cell r="T44">
            <v>1034789.977984</v>
          </cell>
          <cell r="U44">
            <v>0</v>
          </cell>
          <cell r="V44">
            <v>0</v>
          </cell>
          <cell r="W44">
            <v>5287342.022016</v>
          </cell>
          <cell r="X44">
            <v>2073.1999999999998</v>
          </cell>
          <cell r="Y44">
            <v>2073.1999999999998</v>
          </cell>
          <cell r="Z44">
            <v>0</v>
          </cell>
          <cell r="AA44">
            <v>0</v>
          </cell>
          <cell r="AB44" t="str">
            <v>Executed</v>
          </cell>
          <cell r="AC44" t="str">
            <v>Yes</v>
          </cell>
          <cell r="AD44">
            <v>8.876607425094965E-2</v>
          </cell>
          <cell r="AE44" t="str">
            <v>Less than 35%</v>
          </cell>
          <cell r="AF44" t="str">
            <v>UnRegistered</v>
          </cell>
        </row>
        <row r="45">
          <cell r="B45" t="str">
            <v>R5 G 11</v>
          </cell>
          <cell r="C45" t="str">
            <v>R5</v>
          </cell>
          <cell r="D45" t="str">
            <v>M3M Capital Walk in M3M Capital Phase-2</v>
          </cell>
          <cell r="E45" t="str">
            <v>cwBOOKING/00005/23-24</v>
          </cell>
          <cell r="F45" t="str">
            <v>Mr. PRADEEP KUMAR</v>
          </cell>
          <cell r="G45" t="str">
            <v>cwFLAP/00851/22-23</v>
          </cell>
          <cell r="H45" t="str">
            <v>On Application of OC</v>
          </cell>
          <cell r="I45">
            <v>0</v>
          </cell>
          <cell r="J45">
            <v>45072</v>
          </cell>
          <cell r="K45">
            <v>46144</v>
          </cell>
          <cell r="L45">
            <v>46164</v>
          </cell>
          <cell r="M45">
            <v>27337606</v>
          </cell>
          <cell r="N45">
            <v>3280512</v>
          </cell>
          <cell r="O45">
            <v>30618118</v>
          </cell>
          <cell r="P45"/>
          <cell r="Q45"/>
          <cell r="R45"/>
          <cell r="S45"/>
          <cell r="T45">
            <v>0</v>
          </cell>
          <cell r="U45">
            <v>0</v>
          </cell>
          <cell r="V45">
            <v>446.5</v>
          </cell>
          <cell r="W45">
            <v>30618564.5</v>
          </cell>
          <cell r="X45">
            <v>279.2</v>
          </cell>
          <cell r="Y45">
            <v>0</v>
          </cell>
          <cell r="Z45">
            <v>0</v>
          </cell>
          <cell r="AA45">
            <v>279.2</v>
          </cell>
          <cell r="AB45"/>
          <cell r="AC45"/>
          <cell r="AD45"/>
          <cell r="AE45"/>
          <cell r="AF45" t="str">
            <v>UnRegistered</v>
          </cell>
        </row>
        <row r="46">
          <cell r="B46" t="str">
            <v>R1 LG 02</v>
          </cell>
          <cell r="C46" t="str">
            <v>R1</v>
          </cell>
          <cell r="D46" t="str">
            <v>M3M Capital Walk in M3M Capital Phase-2</v>
          </cell>
          <cell r="E46" t="str">
            <v>cwBOOKING/00005/24-25</v>
          </cell>
          <cell r="F46" t="str">
            <v>Ms. Upasna Sohlot</v>
          </cell>
          <cell r="G46" t="str">
            <v>cwFLAP/00222/23-24</v>
          </cell>
          <cell r="H46" t="str">
            <v>On Application of OC</v>
          </cell>
          <cell r="I46">
            <v>0</v>
          </cell>
          <cell r="J46">
            <v>45455</v>
          </cell>
          <cell r="K46">
            <v>46144</v>
          </cell>
          <cell r="L46">
            <v>46164</v>
          </cell>
          <cell r="M46">
            <v>3918096</v>
          </cell>
          <cell r="N46">
            <v>470172</v>
          </cell>
          <cell r="O46">
            <v>4388268</v>
          </cell>
          <cell r="P46"/>
          <cell r="Q46"/>
          <cell r="R46"/>
          <cell r="S46"/>
          <cell r="T46">
            <v>0</v>
          </cell>
          <cell r="U46">
            <v>0</v>
          </cell>
          <cell r="V46">
            <v>1</v>
          </cell>
          <cell r="W46">
            <v>4388269</v>
          </cell>
          <cell r="X46">
            <v>5548</v>
          </cell>
          <cell r="Y46">
            <v>0</v>
          </cell>
          <cell r="Z46">
            <v>0</v>
          </cell>
          <cell r="AA46">
            <v>5548</v>
          </cell>
          <cell r="AB46"/>
          <cell r="AC46"/>
          <cell r="AD46"/>
          <cell r="AE46"/>
          <cell r="AF46" t="str">
            <v>UnRegistered</v>
          </cell>
        </row>
        <row r="47">
          <cell r="B47" t="str">
            <v>R6 LG 20</v>
          </cell>
          <cell r="C47" t="str">
            <v>R6</v>
          </cell>
          <cell r="D47" t="str">
            <v>M3M Capital Walk in M3M Capital Phase-2</v>
          </cell>
          <cell r="E47" t="str">
            <v>cwBOOKING/00006/22-23</v>
          </cell>
          <cell r="F47" t="str">
            <v>Mr. JASBIR SINGH LOYAL</v>
          </cell>
          <cell r="G47" t="str">
            <v>cwFLAP/00008/22-23</v>
          </cell>
          <cell r="H47" t="str">
            <v>On Application of OC</v>
          </cell>
          <cell r="I47">
            <v>0</v>
          </cell>
          <cell r="J47">
            <v>45314</v>
          </cell>
          <cell r="K47">
            <v>46144</v>
          </cell>
          <cell r="L47">
            <v>46164</v>
          </cell>
          <cell r="M47">
            <v>11005666</v>
          </cell>
          <cell r="N47">
            <v>1320680</v>
          </cell>
          <cell r="O47">
            <v>12326346</v>
          </cell>
          <cell r="P47">
            <v>3520031.2594333333</v>
          </cell>
          <cell r="Q47"/>
          <cell r="R47"/>
          <cell r="S47">
            <v>422403.751132</v>
          </cell>
          <cell r="T47">
            <v>3942435.0105653331</v>
          </cell>
          <cell r="U47">
            <v>1</v>
          </cell>
          <cell r="V47">
            <v>0</v>
          </cell>
          <cell r="W47">
            <v>8383909.9894346669</v>
          </cell>
          <cell r="X47">
            <v>36538</v>
          </cell>
          <cell r="Y47">
            <v>36538</v>
          </cell>
          <cell r="Z47">
            <v>0</v>
          </cell>
          <cell r="AA47">
            <v>0</v>
          </cell>
          <cell r="AB47" t="str">
            <v>Executed</v>
          </cell>
          <cell r="AC47" t="str">
            <v>Yes</v>
          </cell>
          <cell r="AD47">
            <v>0.19904200830337346</v>
          </cell>
          <cell r="AE47" t="str">
            <v>Less than 35%</v>
          </cell>
          <cell r="AF47" t="str">
            <v>UnRegistered</v>
          </cell>
        </row>
        <row r="48">
          <cell r="B48" t="str">
            <v>R1 132</v>
          </cell>
          <cell r="C48" t="str">
            <v>R1</v>
          </cell>
          <cell r="D48" t="str">
            <v>M3M Capital Walk in M3M Capital Phase-2</v>
          </cell>
          <cell r="E48" t="str">
            <v>cwBOOKING/00007/23-24</v>
          </cell>
          <cell r="F48" t="str">
            <v>Mr. JITENDER MISHRA</v>
          </cell>
          <cell r="G48" t="str">
            <v>cwFLAP/00686/22-23</v>
          </cell>
          <cell r="H48" t="str">
            <v>On Application of OC</v>
          </cell>
          <cell r="I48">
            <v>0</v>
          </cell>
          <cell r="J48">
            <v>45293</v>
          </cell>
          <cell r="K48">
            <v>46144</v>
          </cell>
          <cell r="L48">
            <v>46164</v>
          </cell>
          <cell r="M48">
            <v>5803883</v>
          </cell>
          <cell r="N48">
            <v>696466</v>
          </cell>
          <cell r="O48">
            <v>6500349</v>
          </cell>
          <cell r="P48"/>
          <cell r="Q48"/>
          <cell r="R48"/>
          <cell r="S48"/>
          <cell r="T48">
            <v>0</v>
          </cell>
          <cell r="U48">
            <v>0</v>
          </cell>
          <cell r="V48">
            <v>26844</v>
          </cell>
          <cell r="W48">
            <v>6527193</v>
          </cell>
          <cell r="X48">
            <v>23816</v>
          </cell>
          <cell r="Y48">
            <v>0</v>
          </cell>
          <cell r="Z48">
            <v>0</v>
          </cell>
          <cell r="AA48">
            <v>23816</v>
          </cell>
          <cell r="AB48"/>
          <cell r="AC48"/>
          <cell r="AD48"/>
          <cell r="AE48"/>
          <cell r="AF48" t="str">
            <v>UnRegistered</v>
          </cell>
        </row>
        <row r="49">
          <cell r="B49" t="str">
            <v>R1 UG 29</v>
          </cell>
          <cell r="C49" t="str">
            <v>R1</v>
          </cell>
          <cell r="D49" t="str">
            <v>M3M Capital Walk in M3M Capital Phase-2</v>
          </cell>
          <cell r="E49" t="str">
            <v>cwBOOKING/00007/24-25</v>
          </cell>
          <cell r="F49" t="str">
            <v>Mr. Shiv Shankar</v>
          </cell>
          <cell r="G49" t="str">
            <v>cwFLAP/00216/23-24</v>
          </cell>
          <cell r="H49" t="str">
            <v>On Application of OC</v>
          </cell>
          <cell r="I49">
            <v>0</v>
          </cell>
          <cell r="J49">
            <v>45483</v>
          </cell>
          <cell r="K49">
            <v>46144</v>
          </cell>
          <cell r="L49">
            <v>46164</v>
          </cell>
          <cell r="M49">
            <v>4621553</v>
          </cell>
          <cell r="N49">
            <v>554586</v>
          </cell>
          <cell r="O49">
            <v>5176139</v>
          </cell>
          <cell r="P49"/>
          <cell r="Q49"/>
          <cell r="R49"/>
          <cell r="S49"/>
          <cell r="T49">
            <v>0</v>
          </cell>
          <cell r="U49">
            <v>3</v>
          </cell>
          <cell r="V49">
            <v>1</v>
          </cell>
          <cell r="W49">
            <v>5176137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/>
          <cell r="AC49"/>
          <cell r="AD49"/>
          <cell r="AE49"/>
          <cell r="AF49" t="str">
            <v>UnRegistered</v>
          </cell>
        </row>
        <row r="50">
          <cell r="B50" t="str">
            <v>R3 LG 37</v>
          </cell>
          <cell r="C50" t="str">
            <v>R3</v>
          </cell>
          <cell r="D50" t="str">
            <v>M3M Capital Walk in M3M Capital Phase-2</v>
          </cell>
          <cell r="E50" t="str">
            <v>cwBOOKING/00008/23-24</v>
          </cell>
          <cell r="F50" t="str">
            <v>Ms. PREETI NAIR M</v>
          </cell>
          <cell r="G50" t="str">
            <v>cwFLAP/00817/22-23</v>
          </cell>
          <cell r="H50" t="str">
            <v>On Application of OC</v>
          </cell>
          <cell r="I50">
            <v>0</v>
          </cell>
          <cell r="J50">
            <v>45245</v>
          </cell>
          <cell r="K50">
            <v>46144</v>
          </cell>
          <cell r="L50">
            <v>46164</v>
          </cell>
          <cell r="M50">
            <v>1870510</v>
          </cell>
          <cell r="N50">
            <v>224462</v>
          </cell>
          <cell r="O50">
            <v>2094972</v>
          </cell>
          <cell r="P50"/>
          <cell r="Q50"/>
          <cell r="R50"/>
          <cell r="S50"/>
          <cell r="T50">
            <v>0</v>
          </cell>
          <cell r="U50">
            <v>1</v>
          </cell>
          <cell r="V50">
            <v>0</v>
          </cell>
          <cell r="W50">
            <v>2094971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/>
          <cell r="AC50"/>
          <cell r="AD50"/>
          <cell r="AE50"/>
          <cell r="AF50" t="str">
            <v>UnRegistered</v>
          </cell>
        </row>
        <row r="51">
          <cell r="B51" t="str">
            <v>R6 124</v>
          </cell>
          <cell r="C51" t="str">
            <v>R6</v>
          </cell>
          <cell r="D51" t="str">
            <v>M3M Capital Walk in M3M Capital Phase-2</v>
          </cell>
          <cell r="E51" t="str">
            <v>cwBOOKING/00009/22-23</v>
          </cell>
          <cell r="F51" t="str">
            <v>Mr. SAURABH ARORA</v>
          </cell>
          <cell r="G51" t="str">
            <v>CCWFLAP/00013/22-23</v>
          </cell>
          <cell r="H51" t="str">
            <v>On Application of OC</v>
          </cell>
          <cell r="I51">
            <v>0</v>
          </cell>
          <cell r="J51">
            <v>45167</v>
          </cell>
          <cell r="K51">
            <v>46144</v>
          </cell>
          <cell r="L51">
            <v>46164</v>
          </cell>
          <cell r="M51">
            <v>4168652</v>
          </cell>
          <cell r="N51">
            <v>500238</v>
          </cell>
          <cell r="O51">
            <v>4668890</v>
          </cell>
          <cell r="P51"/>
          <cell r="Q51"/>
          <cell r="R51"/>
          <cell r="S51"/>
          <cell r="T51">
            <v>0</v>
          </cell>
          <cell r="U51">
            <v>1</v>
          </cell>
          <cell r="V51">
            <v>0</v>
          </cell>
          <cell r="W51">
            <v>4668889</v>
          </cell>
          <cell r="X51">
            <v>3453</v>
          </cell>
          <cell r="Y51">
            <v>3453</v>
          </cell>
          <cell r="Z51">
            <v>0</v>
          </cell>
          <cell r="AA51">
            <v>0</v>
          </cell>
          <cell r="AB51"/>
          <cell r="AC51"/>
          <cell r="AD51"/>
          <cell r="AE51"/>
          <cell r="AF51" t="str">
            <v>UnRegistered</v>
          </cell>
        </row>
        <row r="52">
          <cell r="B52" t="str">
            <v>R6 UG 01</v>
          </cell>
          <cell r="C52" t="str">
            <v>R6</v>
          </cell>
          <cell r="D52" t="str">
            <v>M3M Capital Walk in M3M Capital Phase-2</v>
          </cell>
          <cell r="E52" t="str">
            <v>cwBOOKING/00009/23-24</v>
          </cell>
          <cell r="F52" t="str">
            <v>Mr. SAURAV GUPTA</v>
          </cell>
          <cell r="G52" t="str">
            <v>cwFLAP/01022/22-23</v>
          </cell>
          <cell r="H52" t="str">
            <v>On Application of OC</v>
          </cell>
          <cell r="I52">
            <v>0</v>
          </cell>
          <cell r="J52">
            <v>45072</v>
          </cell>
          <cell r="K52">
            <v>46144</v>
          </cell>
          <cell r="L52">
            <v>46164</v>
          </cell>
          <cell r="M52">
            <v>6031968</v>
          </cell>
          <cell r="N52">
            <v>723836</v>
          </cell>
          <cell r="O52">
            <v>6755804</v>
          </cell>
          <cell r="P52"/>
          <cell r="Q52"/>
          <cell r="R52"/>
          <cell r="S52"/>
          <cell r="T52">
            <v>0</v>
          </cell>
          <cell r="U52">
            <v>0</v>
          </cell>
          <cell r="V52">
            <v>0</v>
          </cell>
          <cell r="W52">
            <v>6755804</v>
          </cell>
          <cell r="X52">
            <v>3679</v>
          </cell>
          <cell r="Y52">
            <v>0</v>
          </cell>
          <cell r="Z52">
            <v>0</v>
          </cell>
          <cell r="AA52">
            <v>3679</v>
          </cell>
          <cell r="AB52"/>
          <cell r="AC52"/>
          <cell r="AD52"/>
          <cell r="AE52"/>
          <cell r="AF52" t="str">
            <v>UnRegistered</v>
          </cell>
        </row>
        <row r="53">
          <cell r="B53" t="str">
            <v>R3 LG 02</v>
          </cell>
          <cell r="C53" t="str">
            <v>R3</v>
          </cell>
          <cell r="D53" t="str">
            <v>M3M Capital Walk in M3M Capital Phase-2</v>
          </cell>
          <cell r="E53" t="str">
            <v>cwBOOKING/00009/25-26</v>
          </cell>
          <cell r="F53" t="str">
            <v>Mr. Sanjay Gupta</v>
          </cell>
          <cell r="G53" t="str">
            <v>cwFLAP/00007/24-25</v>
          </cell>
          <cell r="H53" t="str">
            <v>On Application of OC</v>
          </cell>
          <cell r="I53">
            <v>0</v>
          </cell>
          <cell r="J53">
            <v>45909</v>
          </cell>
          <cell r="K53">
            <v>46144</v>
          </cell>
          <cell r="L53">
            <v>46164</v>
          </cell>
          <cell r="M53">
            <v>10134915</v>
          </cell>
          <cell r="N53">
            <v>1216190</v>
          </cell>
          <cell r="O53">
            <v>11351105</v>
          </cell>
          <cell r="P53"/>
          <cell r="Q53"/>
          <cell r="R53"/>
          <cell r="S53"/>
          <cell r="T53">
            <v>0</v>
          </cell>
          <cell r="U53">
            <v>12670.65</v>
          </cell>
          <cell r="V53">
            <v>0</v>
          </cell>
          <cell r="W53">
            <v>11338434.35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/>
          <cell r="AC53"/>
          <cell r="AD53"/>
          <cell r="AE53"/>
          <cell r="AF53" t="str">
            <v>UnRegistered</v>
          </cell>
        </row>
        <row r="54">
          <cell r="B54" t="str">
            <v>R6 LG 27</v>
          </cell>
          <cell r="C54" t="str">
            <v>R6</v>
          </cell>
          <cell r="D54" t="str">
            <v>M3M Capital Walk in M3M Capital Phase-2</v>
          </cell>
          <cell r="E54" t="str">
            <v>cwBOOKING/00010/22-23</v>
          </cell>
          <cell r="F54" t="str">
            <v>Mr. Rakesh Kumar</v>
          </cell>
          <cell r="G54" t="str">
            <v>cwFLAP/00019/22-23</v>
          </cell>
          <cell r="H54" t="str">
            <v>On Application of OC</v>
          </cell>
          <cell r="I54">
            <v>0</v>
          </cell>
          <cell r="J54">
            <v>45236</v>
          </cell>
          <cell r="K54">
            <v>46144</v>
          </cell>
          <cell r="L54">
            <v>46164</v>
          </cell>
          <cell r="M54">
            <v>7543101</v>
          </cell>
          <cell r="N54">
            <v>905172</v>
          </cell>
          <cell r="O54">
            <v>8448273</v>
          </cell>
          <cell r="P54">
            <v>2768615.6509333337</v>
          </cell>
          <cell r="Q54"/>
          <cell r="R54"/>
          <cell r="S54">
            <v>332233.87811200001</v>
          </cell>
          <cell r="T54">
            <v>3100849.5290453336</v>
          </cell>
          <cell r="U54">
            <v>0</v>
          </cell>
          <cell r="V54">
            <v>0</v>
          </cell>
          <cell r="W54">
            <v>5347423.4709546659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 t="str">
            <v>Executed</v>
          </cell>
          <cell r="AC54" t="str">
            <v>Yes</v>
          </cell>
          <cell r="AD54">
            <v>0.24377163354536968</v>
          </cell>
          <cell r="AE54" t="str">
            <v>Less than 35%</v>
          </cell>
          <cell r="AF54" t="str">
            <v>UnRegistered</v>
          </cell>
        </row>
        <row r="55">
          <cell r="B55" t="str">
            <v>R6 218</v>
          </cell>
          <cell r="C55" t="str">
            <v>R6</v>
          </cell>
          <cell r="D55" t="str">
            <v>M3M Capital Walk in M3M Capital Phase-2</v>
          </cell>
          <cell r="E55" t="str">
            <v>cwBOOKING/00010/23-24</v>
          </cell>
          <cell r="F55" t="str">
            <v>Ms. CHAVI AGGARWAL</v>
          </cell>
          <cell r="G55" t="str">
            <v>cwFLAP/00592/22-23</v>
          </cell>
          <cell r="H55" t="str">
            <v>On Application of OC</v>
          </cell>
          <cell r="I55">
            <v>0</v>
          </cell>
          <cell r="J55">
            <v>45077</v>
          </cell>
          <cell r="K55">
            <v>46144</v>
          </cell>
          <cell r="L55">
            <v>46164</v>
          </cell>
          <cell r="M55">
            <v>3770489</v>
          </cell>
          <cell r="N55">
            <v>452458</v>
          </cell>
          <cell r="O55">
            <v>4222947</v>
          </cell>
          <cell r="P55"/>
          <cell r="Q55"/>
          <cell r="R55"/>
          <cell r="S55"/>
          <cell r="T55">
            <v>0</v>
          </cell>
          <cell r="U55">
            <v>0</v>
          </cell>
          <cell r="V55">
            <v>0</v>
          </cell>
          <cell r="W55">
            <v>4222947</v>
          </cell>
          <cell r="X55">
            <v>3913</v>
          </cell>
          <cell r="Y55">
            <v>0</v>
          </cell>
          <cell r="Z55">
            <v>0</v>
          </cell>
          <cell r="AA55">
            <v>3913</v>
          </cell>
          <cell r="AB55"/>
          <cell r="AC55"/>
          <cell r="AD55"/>
          <cell r="AE55"/>
          <cell r="AF55" t="str">
            <v>UnRegistered</v>
          </cell>
        </row>
        <row r="56">
          <cell r="B56" t="str">
            <v>R2 105</v>
          </cell>
          <cell r="C56" t="str">
            <v>R2</v>
          </cell>
          <cell r="D56" t="str">
            <v>M3M Capital Walk in M3M Capital Phase-2</v>
          </cell>
          <cell r="E56" t="str">
            <v>cwBOOKING/00010/24-25</v>
          </cell>
          <cell r="F56" t="str">
            <v>Mr. Sohan Singh Kadian</v>
          </cell>
          <cell r="G56" t="str">
            <v>cwFLAP/00202/23-24</v>
          </cell>
          <cell r="H56" t="str">
            <v>On Application of OC</v>
          </cell>
          <cell r="I56">
            <v>0</v>
          </cell>
          <cell r="J56">
            <v>45469</v>
          </cell>
          <cell r="K56">
            <v>46144</v>
          </cell>
          <cell r="L56">
            <v>46164</v>
          </cell>
          <cell r="M56">
            <v>5523240</v>
          </cell>
          <cell r="N56">
            <v>662788</v>
          </cell>
          <cell r="O56">
            <v>6186028</v>
          </cell>
          <cell r="P56"/>
          <cell r="Q56"/>
          <cell r="R56"/>
          <cell r="S56"/>
          <cell r="T56">
            <v>0</v>
          </cell>
          <cell r="U56">
            <v>0</v>
          </cell>
          <cell r="V56">
            <v>1</v>
          </cell>
          <cell r="W56">
            <v>6186029</v>
          </cell>
          <cell r="X56">
            <v>4426</v>
          </cell>
          <cell r="Y56">
            <v>0</v>
          </cell>
          <cell r="Z56">
            <v>0</v>
          </cell>
          <cell r="AA56">
            <v>4426</v>
          </cell>
          <cell r="AB56"/>
          <cell r="AC56"/>
          <cell r="AD56"/>
          <cell r="AE56"/>
          <cell r="AF56" t="str">
            <v>UnRegistered</v>
          </cell>
        </row>
        <row r="57">
          <cell r="B57" t="str">
            <v>R6 212</v>
          </cell>
          <cell r="C57" t="str">
            <v>R6</v>
          </cell>
          <cell r="D57" t="str">
            <v>M3M Capital Walk in M3M Capital Phase-2</v>
          </cell>
          <cell r="E57" t="str">
            <v>cwBOOKING/00011/22-23</v>
          </cell>
          <cell r="F57" t="str">
            <v>Ms. SAVITA</v>
          </cell>
          <cell r="G57" t="str">
            <v>cwFLAP/00023/22-23</v>
          </cell>
          <cell r="H57" t="str">
            <v>On Application of OC</v>
          </cell>
          <cell r="I57">
            <v>0</v>
          </cell>
          <cell r="J57">
            <v>45051</v>
          </cell>
          <cell r="K57">
            <v>46144</v>
          </cell>
          <cell r="L57">
            <v>46164</v>
          </cell>
          <cell r="M57">
            <v>1710619</v>
          </cell>
          <cell r="N57">
            <v>205274</v>
          </cell>
          <cell r="O57">
            <v>1915893</v>
          </cell>
          <cell r="P57">
            <v>1299041.4375</v>
          </cell>
          <cell r="Q57"/>
          <cell r="R57"/>
          <cell r="S57">
            <v>155884.9725</v>
          </cell>
          <cell r="T57">
            <v>1454926.41</v>
          </cell>
          <cell r="U57">
            <v>1</v>
          </cell>
          <cell r="V57">
            <v>0</v>
          </cell>
          <cell r="W57">
            <v>460965.59000000008</v>
          </cell>
          <cell r="X57">
            <v>2277</v>
          </cell>
          <cell r="Y57">
            <v>0</v>
          </cell>
          <cell r="Z57">
            <v>0</v>
          </cell>
          <cell r="AA57">
            <v>2277</v>
          </cell>
          <cell r="AB57" t="str">
            <v>Executed</v>
          </cell>
          <cell r="AC57" t="str">
            <v>Yes</v>
          </cell>
          <cell r="AD57">
            <v>0.45563942911598659</v>
          </cell>
          <cell r="AE57" t="str">
            <v>Above 35%</v>
          </cell>
          <cell r="AF57" t="str">
            <v>UnRegistered</v>
          </cell>
        </row>
        <row r="58">
          <cell r="B58" t="str">
            <v>R4 235</v>
          </cell>
          <cell r="C58" t="str">
            <v>R4</v>
          </cell>
          <cell r="D58" t="str">
            <v>M3M Capital Walk in M3M Capital Phase-2</v>
          </cell>
          <cell r="E58" t="str">
            <v>cwBOOKING/00011/23-24</v>
          </cell>
          <cell r="F58" t="str">
            <v>Mr. SATISH CHANDER SAROHA</v>
          </cell>
          <cell r="G58" t="str">
            <v>cwFLAP/00521/22-23</v>
          </cell>
          <cell r="H58" t="str">
            <v>On Application of OC</v>
          </cell>
          <cell r="I58">
            <v>0</v>
          </cell>
          <cell r="J58">
            <v>45302</v>
          </cell>
          <cell r="K58">
            <v>46144</v>
          </cell>
          <cell r="L58">
            <v>46164</v>
          </cell>
          <cell r="M58">
            <v>3243282</v>
          </cell>
          <cell r="N58">
            <v>389194</v>
          </cell>
          <cell r="O58">
            <v>3632476</v>
          </cell>
          <cell r="P58">
            <v>1106828.4149999998</v>
          </cell>
          <cell r="Q58"/>
          <cell r="R58"/>
          <cell r="S58">
            <v>132819.40979999996</v>
          </cell>
          <cell r="T58">
            <v>1239647.8247999998</v>
          </cell>
          <cell r="U58">
            <v>0</v>
          </cell>
          <cell r="V58">
            <v>0</v>
          </cell>
          <cell r="W58">
            <v>2392828.1752000004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 t="str">
            <v>Executed</v>
          </cell>
          <cell r="AC58" t="str">
            <v>Yes</v>
          </cell>
          <cell r="AD58">
            <v>0.1992800129504505</v>
          </cell>
          <cell r="AE58" t="str">
            <v>Less than 35%</v>
          </cell>
          <cell r="AF58" t="str">
            <v>UnRegistered</v>
          </cell>
        </row>
        <row r="59">
          <cell r="B59" t="str">
            <v>R4 K 301</v>
          </cell>
          <cell r="C59" t="str">
            <v>R4</v>
          </cell>
          <cell r="D59" t="str">
            <v>M3M Capital Walk in M3M Capital Phase-2</v>
          </cell>
          <cell r="E59" t="str">
            <v>cwBOOKING/00012/23-24</v>
          </cell>
          <cell r="F59" t="str">
            <v>Mr. Vinod Kumar Bapna</v>
          </cell>
          <cell r="G59" t="str">
            <v>cwFLAP/00779/22-23</v>
          </cell>
          <cell r="H59" t="str">
            <v>On Application of OC</v>
          </cell>
          <cell r="I59">
            <v>0</v>
          </cell>
          <cell r="J59">
            <v>45062</v>
          </cell>
          <cell r="K59">
            <v>46144</v>
          </cell>
          <cell r="L59">
            <v>46164</v>
          </cell>
          <cell r="M59">
            <v>7586215</v>
          </cell>
          <cell r="N59">
            <v>910346</v>
          </cell>
          <cell r="O59">
            <v>8496561</v>
          </cell>
          <cell r="P59"/>
          <cell r="Q59"/>
          <cell r="R59"/>
          <cell r="S59"/>
          <cell r="T59">
            <v>0</v>
          </cell>
          <cell r="U59">
            <v>6328</v>
          </cell>
          <cell r="V59">
            <v>0</v>
          </cell>
          <cell r="W59">
            <v>8490233</v>
          </cell>
          <cell r="X59">
            <v>8861</v>
          </cell>
          <cell r="Y59">
            <v>8861</v>
          </cell>
          <cell r="Z59">
            <v>0</v>
          </cell>
          <cell r="AA59">
            <v>0</v>
          </cell>
          <cell r="AB59"/>
          <cell r="AC59"/>
          <cell r="AD59"/>
          <cell r="AE59"/>
          <cell r="AF59" t="str">
            <v>UnRegistered</v>
          </cell>
        </row>
        <row r="60">
          <cell r="B60" t="str">
            <v>R4 221</v>
          </cell>
          <cell r="C60" t="str">
            <v>R4</v>
          </cell>
          <cell r="D60" t="str">
            <v>M3M Capital Walk in M3M Capital Phase-2</v>
          </cell>
          <cell r="E60" t="str">
            <v>cwBOOKING/00013/22-23</v>
          </cell>
          <cell r="F60" t="str">
            <v>Mr. SURAJ BHAN</v>
          </cell>
          <cell r="G60" t="str">
            <v>cwFLAP/00024/22-23</v>
          </cell>
          <cell r="H60" t="str">
            <v>On Application of OC</v>
          </cell>
          <cell r="I60">
            <v>0</v>
          </cell>
          <cell r="J60">
            <v>45250</v>
          </cell>
          <cell r="K60">
            <v>46144</v>
          </cell>
          <cell r="L60">
            <v>46164</v>
          </cell>
          <cell r="M60">
            <v>5039018</v>
          </cell>
          <cell r="N60">
            <v>604682</v>
          </cell>
          <cell r="O60">
            <v>5643700</v>
          </cell>
          <cell r="P60">
            <v>812961.48999999987</v>
          </cell>
          <cell r="Q60"/>
          <cell r="R60"/>
          <cell r="S60">
            <v>97555.378799999977</v>
          </cell>
          <cell r="T60">
            <v>910516.86879999982</v>
          </cell>
          <cell r="U60">
            <v>0</v>
          </cell>
          <cell r="V60">
            <v>0</v>
          </cell>
          <cell r="W60">
            <v>4733183.1312000006</v>
          </cell>
          <cell r="X60">
            <v>4783</v>
          </cell>
          <cell r="Y60">
            <v>0</v>
          </cell>
          <cell r="Z60">
            <v>0</v>
          </cell>
          <cell r="AA60">
            <v>4783</v>
          </cell>
          <cell r="AB60" t="str">
            <v>Executed</v>
          </cell>
          <cell r="AC60" t="str">
            <v>Yes</v>
          </cell>
          <cell r="AD60">
            <v>8.9629623277085735E-2</v>
          </cell>
          <cell r="AE60" t="str">
            <v>Less than 35%</v>
          </cell>
          <cell r="AF60" t="str">
            <v>UnRegistered</v>
          </cell>
        </row>
        <row r="61">
          <cell r="B61" t="str">
            <v>R5 K 304</v>
          </cell>
          <cell r="C61" t="str">
            <v>R5</v>
          </cell>
          <cell r="D61" t="str">
            <v>M3M Capital Walk in M3M Capital Phase-2</v>
          </cell>
          <cell r="E61" t="str">
            <v>cwBOOKING/00013/23-24</v>
          </cell>
          <cell r="F61" t="str">
            <v>Mr. AMIT KHANDELWAL</v>
          </cell>
          <cell r="G61" t="str">
            <v>cwFLAP/00210/22-23</v>
          </cell>
          <cell r="H61" t="str">
            <v>On Application of OC</v>
          </cell>
          <cell r="I61">
            <v>0</v>
          </cell>
          <cell r="J61">
            <v>45159</v>
          </cell>
          <cell r="K61">
            <v>46144</v>
          </cell>
          <cell r="L61">
            <v>46164</v>
          </cell>
          <cell r="M61">
            <v>7586217</v>
          </cell>
          <cell r="N61">
            <v>910346</v>
          </cell>
          <cell r="O61">
            <v>8496563</v>
          </cell>
          <cell r="P61"/>
          <cell r="Q61"/>
          <cell r="R61"/>
          <cell r="S61"/>
          <cell r="T61">
            <v>0</v>
          </cell>
          <cell r="U61">
            <v>0</v>
          </cell>
          <cell r="V61">
            <v>0</v>
          </cell>
          <cell r="W61">
            <v>8496563</v>
          </cell>
          <cell r="X61">
            <v>843</v>
          </cell>
          <cell r="Y61">
            <v>0</v>
          </cell>
          <cell r="Z61">
            <v>0</v>
          </cell>
          <cell r="AA61">
            <v>843</v>
          </cell>
          <cell r="AB61"/>
          <cell r="AC61"/>
          <cell r="AD61"/>
          <cell r="AE61"/>
          <cell r="AF61" t="str">
            <v>07APMPK5450R1Z5</v>
          </cell>
        </row>
        <row r="62">
          <cell r="B62" t="str">
            <v>R3 UG 29</v>
          </cell>
          <cell r="C62" t="str">
            <v>R3</v>
          </cell>
          <cell r="D62" t="str">
            <v>M3M Capital Walk in M3M Capital Phase-2</v>
          </cell>
          <cell r="E62" t="str">
            <v>cwBOOKING/00014/23-24</v>
          </cell>
          <cell r="F62" t="str">
            <v>Mr. PRABHDEEP SINGH</v>
          </cell>
          <cell r="G62" t="str">
            <v>cwFLAP/00661/22-23</v>
          </cell>
          <cell r="H62" t="str">
            <v>On Application of OC</v>
          </cell>
          <cell r="I62">
            <v>0</v>
          </cell>
          <cell r="J62">
            <v>45337</v>
          </cell>
          <cell r="K62">
            <v>46144</v>
          </cell>
          <cell r="L62">
            <v>46164</v>
          </cell>
          <cell r="M62">
            <v>5399903</v>
          </cell>
          <cell r="N62">
            <v>647988</v>
          </cell>
          <cell r="O62">
            <v>6047891</v>
          </cell>
          <cell r="P62"/>
          <cell r="Q62"/>
          <cell r="R62"/>
          <cell r="S62"/>
          <cell r="T62">
            <v>0</v>
          </cell>
          <cell r="U62">
            <v>27</v>
          </cell>
          <cell r="V62">
            <v>0</v>
          </cell>
          <cell r="W62">
            <v>6047864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/>
          <cell r="AC62"/>
          <cell r="AD62"/>
          <cell r="AE62"/>
          <cell r="AF62" t="str">
            <v>UnRegistered</v>
          </cell>
        </row>
        <row r="63">
          <cell r="B63" t="str">
            <v>R5 156</v>
          </cell>
          <cell r="C63" t="str">
            <v>R5</v>
          </cell>
          <cell r="D63" t="str">
            <v>M3M Capital Walk in M3M Capital Phase-2</v>
          </cell>
          <cell r="E63" t="str">
            <v>cwBOOKING/00015/22-23</v>
          </cell>
          <cell r="F63" t="str">
            <v>Mr. APOORVA GAUR</v>
          </cell>
          <cell r="G63" t="str">
            <v>cwFLAP/00018/22-23</v>
          </cell>
          <cell r="H63" t="str">
            <v>On Application of OC</v>
          </cell>
          <cell r="I63">
            <v>0</v>
          </cell>
          <cell r="J63">
            <v>45330</v>
          </cell>
          <cell r="K63">
            <v>46144</v>
          </cell>
          <cell r="L63">
            <v>46164</v>
          </cell>
          <cell r="M63">
            <v>1320892</v>
          </cell>
          <cell r="N63">
            <v>158508</v>
          </cell>
          <cell r="O63">
            <v>1479400</v>
          </cell>
          <cell r="P63"/>
          <cell r="Q63"/>
          <cell r="R63"/>
          <cell r="S63">
            <v>0</v>
          </cell>
          <cell r="T63">
            <v>0</v>
          </cell>
          <cell r="U63">
            <v>0</v>
          </cell>
          <cell r="V63">
            <v>560000</v>
          </cell>
          <cell r="W63">
            <v>2039400</v>
          </cell>
          <cell r="X63">
            <v>245591</v>
          </cell>
          <cell r="Y63">
            <v>0</v>
          </cell>
          <cell r="Z63">
            <v>0</v>
          </cell>
          <cell r="AA63">
            <v>245591</v>
          </cell>
          <cell r="AB63"/>
          <cell r="AC63"/>
          <cell r="AD63">
            <v>0</v>
          </cell>
          <cell r="AE63" t="str">
            <v>Less than 35%</v>
          </cell>
          <cell r="AF63" t="str">
            <v>UnRegistered</v>
          </cell>
        </row>
        <row r="64">
          <cell r="B64" t="str">
            <v>R5 LG 44</v>
          </cell>
          <cell r="C64" t="str">
            <v>R5</v>
          </cell>
          <cell r="D64" t="str">
            <v>M3M Capital Walk in M3M Capital Phase-2</v>
          </cell>
          <cell r="E64" t="str">
            <v>cwBOOKING/00016/22-23</v>
          </cell>
          <cell r="F64" t="str">
            <v>Mr. NITIN THOLIYA</v>
          </cell>
          <cell r="G64" t="str">
            <v>cwFLAP/00025/22-23</v>
          </cell>
          <cell r="H64" t="str">
            <v>On Application of OC</v>
          </cell>
          <cell r="I64">
            <v>0</v>
          </cell>
          <cell r="J64">
            <v>45092</v>
          </cell>
          <cell r="K64">
            <v>46144</v>
          </cell>
          <cell r="L64">
            <v>46164</v>
          </cell>
          <cell r="M64">
            <v>2792637</v>
          </cell>
          <cell r="N64">
            <v>335116</v>
          </cell>
          <cell r="O64">
            <v>3127753</v>
          </cell>
          <cell r="P64">
            <v>1880375.58</v>
          </cell>
          <cell r="Q64"/>
          <cell r="R64"/>
          <cell r="S64">
            <v>225645.06959999999</v>
          </cell>
          <cell r="T64">
            <v>2106020.6496000001</v>
          </cell>
          <cell r="U64">
            <v>0</v>
          </cell>
          <cell r="V64">
            <v>0</v>
          </cell>
          <cell r="W64">
            <v>1021732.3503999999</v>
          </cell>
          <cell r="X64">
            <v>9040</v>
          </cell>
          <cell r="Y64">
            <v>0</v>
          </cell>
          <cell r="Z64">
            <v>0</v>
          </cell>
          <cell r="AA64">
            <v>9040</v>
          </cell>
          <cell r="AB64" t="str">
            <v>Executed</v>
          </cell>
          <cell r="AC64" t="str">
            <v>Yes</v>
          </cell>
          <cell r="AD64">
            <v>0.26933328511129712</v>
          </cell>
          <cell r="AE64" t="str">
            <v>Less than 35%</v>
          </cell>
          <cell r="AF64" t="str">
            <v>UnRegistered</v>
          </cell>
        </row>
        <row r="65">
          <cell r="B65" t="str">
            <v>R1 128</v>
          </cell>
          <cell r="C65" t="str">
            <v>R1</v>
          </cell>
          <cell r="D65" t="str">
            <v>M3M Capital Walk in M3M Capital Phase-2</v>
          </cell>
          <cell r="E65" t="str">
            <v>cwBOOKING/00016/23-24</v>
          </cell>
          <cell r="F65" t="str">
            <v>Mr. DEEPAK</v>
          </cell>
          <cell r="G65" t="str">
            <v>cwFLAP/00702/22-23</v>
          </cell>
          <cell r="H65" t="str">
            <v>On Application of OC</v>
          </cell>
          <cell r="I65">
            <v>0</v>
          </cell>
          <cell r="J65">
            <v>45054</v>
          </cell>
          <cell r="K65">
            <v>46144</v>
          </cell>
          <cell r="L65">
            <v>46164</v>
          </cell>
          <cell r="M65">
            <v>5711402</v>
          </cell>
          <cell r="N65">
            <v>685368</v>
          </cell>
          <cell r="O65">
            <v>6396770</v>
          </cell>
          <cell r="P65"/>
          <cell r="Q65"/>
          <cell r="R65"/>
          <cell r="S65"/>
          <cell r="T65">
            <v>0</v>
          </cell>
          <cell r="U65">
            <v>2</v>
          </cell>
          <cell r="V65">
            <v>0</v>
          </cell>
          <cell r="W65">
            <v>6396768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/>
          <cell r="AC65"/>
          <cell r="AD65"/>
          <cell r="AE65"/>
          <cell r="AF65" t="str">
            <v>UnRegistered</v>
          </cell>
        </row>
        <row r="66">
          <cell r="B66" t="str">
            <v>R5 K 217</v>
          </cell>
          <cell r="C66" t="str">
            <v>R5</v>
          </cell>
          <cell r="D66" t="str">
            <v>M3M Capital Walk in M3M Capital Phase-2</v>
          </cell>
          <cell r="E66" t="str">
            <v>cwBOOKING/00017/22-23</v>
          </cell>
          <cell r="F66" t="str">
            <v>Mr. SUMIT MALIK</v>
          </cell>
          <cell r="G66" t="str">
            <v>cwFLAP/00027/22-23</v>
          </cell>
          <cell r="H66" t="str">
            <v>On Application of OC</v>
          </cell>
          <cell r="I66">
            <v>0</v>
          </cell>
          <cell r="J66">
            <v>45448</v>
          </cell>
          <cell r="K66">
            <v>46144</v>
          </cell>
          <cell r="L66">
            <v>46164</v>
          </cell>
          <cell r="M66">
            <v>4120456</v>
          </cell>
          <cell r="N66">
            <v>494454</v>
          </cell>
          <cell r="O66">
            <v>4614910</v>
          </cell>
          <cell r="P66">
            <v>1081610.7119999998</v>
          </cell>
          <cell r="Q66"/>
          <cell r="R66"/>
          <cell r="S66">
            <v>129793.28543999998</v>
          </cell>
          <cell r="T66">
            <v>1211403.9974399998</v>
          </cell>
          <cell r="U66">
            <v>0</v>
          </cell>
          <cell r="V66">
            <v>0</v>
          </cell>
          <cell r="W66">
            <v>3403506.0025599999</v>
          </cell>
          <cell r="X66">
            <v>9077</v>
          </cell>
          <cell r="Y66">
            <v>0</v>
          </cell>
          <cell r="Z66">
            <v>0</v>
          </cell>
          <cell r="AA66">
            <v>9077</v>
          </cell>
          <cell r="AB66" t="str">
            <v>Executed</v>
          </cell>
          <cell r="AC66" t="str">
            <v>Yes</v>
          </cell>
          <cell r="AD66">
            <v>0.11999963521182232</v>
          </cell>
          <cell r="AE66" t="str">
            <v>Less than 35%</v>
          </cell>
          <cell r="AF66" t="str">
            <v>UnRegistered</v>
          </cell>
        </row>
        <row r="67">
          <cell r="B67" t="str">
            <v>R6 LG 18</v>
          </cell>
          <cell r="C67" t="str">
            <v>R6</v>
          </cell>
          <cell r="D67" t="str">
            <v>M3M Capital Walk in M3M Capital Phase-2</v>
          </cell>
          <cell r="E67" t="str">
            <v>cwBOOKING/00017/23-24</v>
          </cell>
          <cell r="F67" t="str">
            <v>M/S. A. K. BAKSHI &amp; SON (HUF)</v>
          </cell>
          <cell r="G67" t="str">
            <v>cwFLAP/00594/22-23</v>
          </cell>
          <cell r="H67" t="str">
            <v>On Application of OC</v>
          </cell>
          <cell r="I67">
            <v>0</v>
          </cell>
          <cell r="J67">
            <v>45258</v>
          </cell>
          <cell r="K67">
            <v>46144</v>
          </cell>
          <cell r="L67">
            <v>46164</v>
          </cell>
          <cell r="M67">
            <v>9213696</v>
          </cell>
          <cell r="N67">
            <v>1105644</v>
          </cell>
          <cell r="O67">
            <v>10319340</v>
          </cell>
          <cell r="P67"/>
          <cell r="Q67"/>
          <cell r="R67"/>
          <cell r="S67"/>
          <cell r="T67">
            <v>0</v>
          </cell>
          <cell r="U67">
            <v>0</v>
          </cell>
          <cell r="V67">
            <v>1382174</v>
          </cell>
          <cell r="W67">
            <v>11701514</v>
          </cell>
          <cell r="X67">
            <v>492342</v>
          </cell>
          <cell r="Y67">
            <v>0</v>
          </cell>
          <cell r="Z67">
            <v>0</v>
          </cell>
          <cell r="AA67">
            <v>492342</v>
          </cell>
          <cell r="AB67"/>
          <cell r="AC67"/>
          <cell r="AD67"/>
          <cell r="AE67"/>
          <cell r="AF67" t="str">
            <v>UnRegistered</v>
          </cell>
        </row>
        <row r="68">
          <cell r="B68" t="str">
            <v>R1 140</v>
          </cell>
          <cell r="C68" t="str">
            <v>R1</v>
          </cell>
          <cell r="D68" t="str">
            <v>M3M Capital Walk in M3M Capital Phase-2</v>
          </cell>
          <cell r="E68" t="str">
            <v>cwBOOKING/00018/23-24</v>
          </cell>
          <cell r="F68" t="str">
            <v>Mr. AMIT TOMAR</v>
          </cell>
          <cell r="G68" t="str">
            <v>cwFLAP/00599/22-23</v>
          </cell>
          <cell r="H68" t="str">
            <v>On Application of OC</v>
          </cell>
          <cell r="I68">
            <v>0</v>
          </cell>
          <cell r="J68">
            <v>45247</v>
          </cell>
          <cell r="K68">
            <v>46144</v>
          </cell>
          <cell r="L68">
            <v>46164</v>
          </cell>
          <cell r="M68">
            <v>6380012</v>
          </cell>
          <cell r="N68">
            <v>765602</v>
          </cell>
          <cell r="O68">
            <v>7145614</v>
          </cell>
          <cell r="P68"/>
          <cell r="Q68"/>
          <cell r="R68"/>
          <cell r="S68"/>
          <cell r="T68">
            <v>0</v>
          </cell>
          <cell r="U68">
            <v>0</v>
          </cell>
          <cell r="V68">
            <v>0</v>
          </cell>
          <cell r="W68">
            <v>7145614</v>
          </cell>
          <cell r="X68">
            <v>335</v>
          </cell>
          <cell r="Y68">
            <v>0</v>
          </cell>
          <cell r="Z68">
            <v>0</v>
          </cell>
          <cell r="AA68">
            <v>335</v>
          </cell>
          <cell r="AB68"/>
          <cell r="AC68"/>
          <cell r="AD68"/>
          <cell r="AE68"/>
          <cell r="AF68" t="str">
            <v>UnRegistered</v>
          </cell>
        </row>
        <row r="69">
          <cell r="B69" t="str">
            <v>R4 241</v>
          </cell>
          <cell r="C69" t="str">
            <v>R4</v>
          </cell>
          <cell r="D69" t="str">
            <v>M3M Capital Walk in M3M Capital Phase-2</v>
          </cell>
          <cell r="E69" t="str">
            <v>cwBOOKING/00019/22-23</v>
          </cell>
          <cell r="F69" t="str">
            <v>Mr. PRATAP SINGH</v>
          </cell>
          <cell r="G69" t="str">
            <v>CCWFLAP/00009/22-23</v>
          </cell>
          <cell r="H69" t="str">
            <v>On Application of OC</v>
          </cell>
          <cell r="I69">
            <v>0</v>
          </cell>
          <cell r="J69">
            <v>45082</v>
          </cell>
          <cell r="K69">
            <v>46144</v>
          </cell>
          <cell r="L69">
            <v>46164</v>
          </cell>
          <cell r="M69">
            <v>3818712</v>
          </cell>
          <cell r="N69">
            <v>458246</v>
          </cell>
          <cell r="O69">
            <v>4276958</v>
          </cell>
          <cell r="P69">
            <v>444488.2365</v>
          </cell>
          <cell r="Q69"/>
          <cell r="R69"/>
          <cell r="S69">
            <v>53338.588380000001</v>
          </cell>
          <cell r="T69">
            <v>497826.82487999997</v>
          </cell>
          <cell r="U69">
            <v>0</v>
          </cell>
          <cell r="V69">
            <v>9765</v>
          </cell>
          <cell r="W69">
            <v>3788896.1751199998</v>
          </cell>
          <cell r="X69">
            <v>6002</v>
          </cell>
          <cell r="Y69">
            <v>0</v>
          </cell>
          <cell r="Z69">
            <v>0</v>
          </cell>
          <cell r="AA69">
            <v>6002</v>
          </cell>
          <cell r="AB69" t="str">
            <v>Executed</v>
          </cell>
          <cell r="AC69" t="str">
            <v>Yes</v>
          </cell>
          <cell r="AD69">
            <v>6.3613497254276077E-2</v>
          </cell>
          <cell r="AE69" t="str">
            <v>Less than 35%</v>
          </cell>
          <cell r="AF69" t="str">
            <v>UnRegistered</v>
          </cell>
        </row>
        <row r="70">
          <cell r="B70" t="str">
            <v>R4 229</v>
          </cell>
          <cell r="C70" t="str">
            <v>R4</v>
          </cell>
          <cell r="D70" t="str">
            <v>M3M Capital Walk in M3M Capital Phase-2</v>
          </cell>
          <cell r="E70" t="str">
            <v>cwBOOKING/00020/22-23</v>
          </cell>
          <cell r="F70" t="str">
            <v>Ms. MEENA DEVI</v>
          </cell>
          <cell r="G70" t="str">
            <v>cwFLAP/00028/22-23</v>
          </cell>
          <cell r="H70" t="str">
            <v>On Application of OC</v>
          </cell>
          <cell r="I70">
            <v>0</v>
          </cell>
          <cell r="J70">
            <v>44958</v>
          </cell>
          <cell r="K70">
            <v>46144</v>
          </cell>
          <cell r="L70">
            <v>46164</v>
          </cell>
          <cell r="M70">
            <v>3222135</v>
          </cell>
          <cell r="N70">
            <v>386656</v>
          </cell>
          <cell r="O70">
            <v>3608791</v>
          </cell>
          <cell r="P70">
            <v>881064.71250000002</v>
          </cell>
          <cell r="Q70"/>
          <cell r="R70"/>
          <cell r="S70">
            <v>105727.76549999999</v>
          </cell>
          <cell r="T70">
            <v>986792.478</v>
          </cell>
          <cell r="U70">
            <v>0</v>
          </cell>
          <cell r="V70">
            <v>0</v>
          </cell>
          <cell r="W70">
            <v>2621998.5219999999</v>
          </cell>
          <cell r="X70">
            <v>788</v>
          </cell>
          <cell r="Y70">
            <v>0</v>
          </cell>
          <cell r="Z70">
            <v>0</v>
          </cell>
          <cell r="AA70">
            <v>788</v>
          </cell>
          <cell r="AB70" t="str">
            <v>Executed</v>
          </cell>
          <cell r="AC70" t="str">
            <v>Yes</v>
          </cell>
          <cell r="AD70">
            <v>0.12500178649537186</v>
          </cell>
          <cell r="AE70" t="str">
            <v>Less than 35%</v>
          </cell>
          <cell r="AF70" t="str">
            <v>UnRegistered</v>
          </cell>
        </row>
        <row r="71">
          <cell r="B71" t="str">
            <v>R1 218</v>
          </cell>
          <cell r="C71" t="str">
            <v>R1</v>
          </cell>
          <cell r="D71" t="str">
            <v>M3M Capital Walk in M3M Capital Phase-2</v>
          </cell>
          <cell r="E71" t="str">
            <v>cwBOOKING/00021/22-23</v>
          </cell>
          <cell r="F71" t="str">
            <v>Ms. USHA DEVI</v>
          </cell>
          <cell r="G71" t="str">
            <v>cwFLAP/00044/22-23</v>
          </cell>
          <cell r="H71" t="str">
            <v>On Application of OC</v>
          </cell>
          <cell r="I71">
            <v>0</v>
          </cell>
          <cell r="J71">
            <v>44967</v>
          </cell>
          <cell r="K71">
            <v>46144</v>
          </cell>
          <cell r="L71">
            <v>46164</v>
          </cell>
          <cell r="M71">
            <v>2064136</v>
          </cell>
          <cell r="N71">
            <v>247696</v>
          </cell>
          <cell r="O71">
            <v>2311832</v>
          </cell>
          <cell r="P71"/>
          <cell r="Q71"/>
          <cell r="R71"/>
          <cell r="S71"/>
          <cell r="T71">
            <v>0</v>
          </cell>
          <cell r="U71">
            <v>0</v>
          </cell>
          <cell r="V71">
            <v>0</v>
          </cell>
          <cell r="W71">
            <v>2311832</v>
          </cell>
          <cell r="X71">
            <v>32380</v>
          </cell>
          <cell r="Y71">
            <v>0</v>
          </cell>
          <cell r="Z71">
            <v>0</v>
          </cell>
          <cell r="AA71">
            <v>32380</v>
          </cell>
          <cell r="AB71"/>
          <cell r="AC71"/>
          <cell r="AD71"/>
          <cell r="AE71"/>
          <cell r="AF71" t="str">
            <v>UnRegistered</v>
          </cell>
        </row>
        <row r="72">
          <cell r="B72" t="str">
            <v>R5 K 303</v>
          </cell>
          <cell r="C72" t="str">
            <v>R5</v>
          </cell>
          <cell r="D72" t="str">
            <v>M3M Capital Walk in M3M Capital Phase-2</v>
          </cell>
          <cell r="E72" t="str">
            <v>cwBOOKING/00021/23-24</v>
          </cell>
          <cell r="F72" t="str">
            <v>M/S. K5 INVESTMENT PVT. LTD.</v>
          </cell>
          <cell r="G72" t="str">
            <v>cwFLAP/00259/22-23</v>
          </cell>
          <cell r="H72" t="str">
            <v>On Application of OC</v>
          </cell>
          <cell r="I72">
            <v>0</v>
          </cell>
          <cell r="J72">
            <v>45159</v>
          </cell>
          <cell r="K72">
            <v>46144</v>
          </cell>
          <cell r="L72">
            <v>46164</v>
          </cell>
          <cell r="M72">
            <v>7586217</v>
          </cell>
          <cell r="N72">
            <v>910346</v>
          </cell>
          <cell r="O72">
            <v>8496563</v>
          </cell>
          <cell r="P72"/>
          <cell r="Q72"/>
          <cell r="R72"/>
          <cell r="S72"/>
          <cell r="T72">
            <v>0</v>
          </cell>
          <cell r="U72">
            <v>0</v>
          </cell>
          <cell r="V72">
            <v>0</v>
          </cell>
          <cell r="W72">
            <v>8496563</v>
          </cell>
          <cell r="X72">
            <v>843</v>
          </cell>
          <cell r="Y72">
            <v>0</v>
          </cell>
          <cell r="Z72">
            <v>0</v>
          </cell>
          <cell r="AA72">
            <v>843</v>
          </cell>
          <cell r="AB72"/>
          <cell r="AC72"/>
          <cell r="AD72"/>
          <cell r="AE72"/>
          <cell r="AF72" t="str">
            <v>UnRegistered</v>
          </cell>
        </row>
        <row r="73">
          <cell r="B73" t="str">
            <v>R5 LG 15</v>
          </cell>
          <cell r="C73" t="str">
            <v>R5</v>
          </cell>
          <cell r="D73" t="str">
            <v>M3M Capital Walk in M3M Capital Phase-2</v>
          </cell>
          <cell r="E73" t="str">
            <v>cwBOOKING/00022/22-23</v>
          </cell>
          <cell r="F73" t="str">
            <v>Mr. ANISH MALHOTRA</v>
          </cell>
          <cell r="G73" t="str">
            <v>CCWFLAP/00007/22-23</v>
          </cell>
          <cell r="H73" t="str">
            <v>On Application of OC</v>
          </cell>
          <cell r="I73">
            <v>0</v>
          </cell>
          <cell r="J73">
            <v>44986</v>
          </cell>
          <cell r="K73">
            <v>46144</v>
          </cell>
          <cell r="L73">
            <v>46164</v>
          </cell>
          <cell r="M73">
            <v>3911523</v>
          </cell>
          <cell r="N73">
            <v>469382</v>
          </cell>
          <cell r="O73">
            <v>4380905</v>
          </cell>
          <cell r="P73">
            <v>1974596.5067733331</v>
          </cell>
          <cell r="Q73"/>
          <cell r="R73"/>
          <cell r="S73">
            <v>236951.58081279995</v>
          </cell>
          <cell r="T73">
            <v>2211548.0875861328</v>
          </cell>
          <cell r="U73">
            <v>0</v>
          </cell>
          <cell r="V73">
            <v>0</v>
          </cell>
          <cell r="W73">
            <v>2169356.9124138672</v>
          </cell>
          <cell r="X73">
            <v>1458.48</v>
          </cell>
          <cell r="Y73">
            <v>0</v>
          </cell>
          <cell r="Z73">
            <v>0</v>
          </cell>
          <cell r="AA73">
            <v>1458.48</v>
          </cell>
          <cell r="AB73" t="str">
            <v>Executed</v>
          </cell>
          <cell r="AC73" t="str">
            <v>Yes</v>
          </cell>
          <cell r="AD73">
            <v>0.24788357398602051</v>
          </cell>
          <cell r="AE73" t="str">
            <v>Less than 35%</v>
          </cell>
          <cell r="AF73" t="str">
            <v>UnRegistered</v>
          </cell>
        </row>
        <row r="74">
          <cell r="B74" t="str">
            <v>R5 214</v>
          </cell>
          <cell r="C74" t="str">
            <v>R5</v>
          </cell>
          <cell r="D74" t="str">
            <v>M3M Capital Walk in M3M Capital Phase-2</v>
          </cell>
          <cell r="E74" t="str">
            <v>cwBOOKING/00022/23-24</v>
          </cell>
          <cell r="F74" t="str">
            <v>Mr. MANI RAM</v>
          </cell>
          <cell r="G74" t="str">
            <v>cwFLAP/00555/22-23</v>
          </cell>
          <cell r="H74" t="str">
            <v>On Application of OC</v>
          </cell>
          <cell r="I74">
            <v>0</v>
          </cell>
          <cell r="J74">
            <v>45075</v>
          </cell>
          <cell r="K74">
            <v>46144</v>
          </cell>
          <cell r="L74">
            <v>46164</v>
          </cell>
          <cell r="M74">
            <v>3091902</v>
          </cell>
          <cell r="N74">
            <v>371028</v>
          </cell>
          <cell r="O74">
            <v>3462930</v>
          </cell>
          <cell r="P74"/>
          <cell r="Q74"/>
          <cell r="R74"/>
          <cell r="S74"/>
          <cell r="T74">
            <v>0</v>
          </cell>
          <cell r="U74">
            <v>0</v>
          </cell>
          <cell r="V74">
            <v>0</v>
          </cell>
          <cell r="W74">
            <v>3462930</v>
          </cell>
          <cell r="X74">
            <v>5105.72</v>
          </cell>
          <cell r="Y74">
            <v>0</v>
          </cell>
          <cell r="Z74">
            <v>1</v>
          </cell>
          <cell r="AA74">
            <v>5104.72</v>
          </cell>
          <cell r="AB74"/>
          <cell r="AC74"/>
          <cell r="AD74"/>
          <cell r="AE74"/>
          <cell r="AF74" t="str">
            <v>UnRegistered</v>
          </cell>
        </row>
        <row r="75">
          <cell r="B75" t="str">
            <v>R5 LG 14</v>
          </cell>
          <cell r="C75" t="str">
            <v>R5</v>
          </cell>
          <cell r="D75" t="str">
            <v>M3M Capital Walk in M3M Capital Phase-2</v>
          </cell>
          <cell r="E75" t="str">
            <v>cwBOOKING/00023/22-23</v>
          </cell>
          <cell r="F75" t="str">
            <v>Ms. MARY MURMU</v>
          </cell>
          <cell r="G75" t="str">
            <v>CCWFLAP/00008/22-23</v>
          </cell>
          <cell r="H75" t="str">
            <v>On Application of OC</v>
          </cell>
          <cell r="I75">
            <v>0</v>
          </cell>
          <cell r="J75">
            <v>44986</v>
          </cell>
          <cell r="K75">
            <v>46144</v>
          </cell>
          <cell r="L75">
            <v>46164</v>
          </cell>
          <cell r="M75">
            <v>4905800</v>
          </cell>
          <cell r="N75">
            <v>588696</v>
          </cell>
          <cell r="O75">
            <v>5494496</v>
          </cell>
          <cell r="P75">
            <v>2041384.72416</v>
          </cell>
          <cell r="Q75"/>
          <cell r="R75"/>
          <cell r="S75">
            <v>244966.16689919998</v>
          </cell>
          <cell r="T75">
            <v>2286350.8910591998</v>
          </cell>
          <cell r="U75">
            <v>0</v>
          </cell>
          <cell r="V75">
            <v>0</v>
          </cell>
          <cell r="W75">
            <v>3208145.1089408002</v>
          </cell>
          <cell r="X75">
            <v>7174.24</v>
          </cell>
          <cell r="Y75">
            <v>0</v>
          </cell>
          <cell r="Z75">
            <v>0</v>
          </cell>
          <cell r="AA75">
            <v>7174.24</v>
          </cell>
          <cell r="AB75" t="str">
            <v>Executed</v>
          </cell>
          <cell r="AC75" t="str">
            <v>Yes</v>
          </cell>
          <cell r="AD75">
            <v>0.18216679814970521</v>
          </cell>
          <cell r="AE75" t="str">
            <v>Less than 35%</v>
          </cell>
          <cell r="AF75" t="str">
            <v>UnRegistered</v>
          </cell>
        </row>
        <row r="76">
          <cell r="B76" t="str">
            <v>R5 UG 19</v>
          </cell>
          <cell r="C76" t="str">
            <v>R5</v>
          </cell>
          <cell r="D76" t="str">
            <v>M3M Capital Walk in M3M Capital Phase-2</v>
          </cell>
          <cell r="E76" t="str">
            <v>cwBOOKING/00023/23-24</v>
          </cell>
          <cell r="F76" t="str">
            <v>Ms. MONICA MALIK</v>
          </cell>
          <cell r="G76" t="str">
            <v>cwFLAP/01034/22-23</v>
          </cell>
          <cell r="H76" t="str">
            <v>On Application of OC</v>
          </cell>
          <cell r="I76">
            <v>0</v>
          </cell>
          <cell r="J76">
            <v>45413</v>
          </cell>
          <cell r="K76">
            <v>46144</v>
          </cell>
          <cell r="L76">
            <v>46164</v>
          </cell>
          <cell r="M76">
            <v>3665240</v>
          </cell>
          <cell r="N76">
            <v>439828</v>
          </cell>
          <cell r="O76">
            <v>4105068</v>
          </cell>
          <cell r="P76"/>
          <cell r="Q76"/>
          <cell r="R76"/>
          <cell r="S76"/>
          <cell r="T76">
            <v>0</v>
          </cell>
          <cell r="U76">
            <v>500000</v>
          </cell>
          <cell r="V76">
            <v>0</v>
          </cell>
          <cell r="W76">
            <v>3605068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/>
          <cell r="AC76"/>
          <cell r="AD76"/>
          <cell r="AE76"/>
          <cell r="AF76" t="str">
            <v>UnRegistered</v>
          </cell>
        </row>
        <row r="77">
          <cell r="B77" t="str">
            <v>R3 LG 87</v>
          </cell>
          <cell r="C77" t="str">
            <v>R3</v>
          </cell>
          <cell r="D77" t="str">
            <v>M3M Capital Walk in M3M Capital Phase-2</v>
          </cell>
          <cell r="E77" t="str">
            <v>cwBOOKING/00024/23-24</v>
          </cell>
          <cell r="F77" t="str">
            <v>Mr. HARISH KUMAR KOCHAR</v>
          </cell>
          <cell r="G77" t="str">
            <v>cwFLAP/01014/22-23</v>
          </cell>
          <cell r="H77" t="str">
            <v>On Application of OC</v>
          </cell>
          <cell r="I77">
            <v>0</v>
          </cell>
          <cell r="J77">
            <v>45043</v>
          </cell>
          <cell r="K77">
            <v>46144</v>
          </cell>
          <cell r="L77">
            <v>46164</v>
          </cell>
          <cell r="M77">
            <v>4546350</v>
          </cell>
          <cell r="N77">
            <v>545562</v>
          </cell>
          <cell r="O77">
            <v>5091912</v>
          </cell>
          <cell r="P77"/>
          <cell r="Q77"/>
          <cell r="R77"/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5091912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/>
          <cell r="AC77"/>
          <cell r="AD77">
            <v>0</v>
          </cell>
          <cell r="AE77" t="str">
            <v>Less than 35%</v>
          </cell>
          <cell r="AF77" t="str">
            <v>UnRegistered</v>
          </cell>
        </row>
        <row r="78">
          <cell r="B78" t="str">
            <v>R4 228</v>
          </cell>
          <cell r="C78" t="str">
            <v>R4</v>
          </cell>
          <cell r="D78" t="str">
            <v>M3M Capital Walk in M3M Capital Phase-2</v>
          </cell>
          <cell r="E78" t="str">
            <v>cwBOOKING/00025/22-23</v>
          </cell>
          <cell r="F78" t="str">
            <v>Ms. SAVITA SINGHAL</v>
          </cell>
          <cell r="G78" t="str">
            <v>cwFLAP/00047/22-23</v>
          </cell>
          <cell r="H78" t="str">
            <v>On Application of OC</v>
          </cell>
          <cell r="I78">
            <v>0</v>
          </cell>
          <cell r="J78">
            <v>45022</v>
          </cell>
          <cell r="K78">
            <v>46144</v>
          </cell>
          <cell r="L78">
            <v>46164</v>
          </cell>
          <cell r="M78">
            <v>1407146</v>
          </cell>
          <cell r="N78">
            <v>168858</v>
          </cell>
          <cell r="O78">
            <v>1576004</v>
          </cell>
          <cell r="P78">
            <v>1008292.9919466669</v>
          </cell>
          <cell r="Q78"/>
          <cell r="R78"/>
          <cell r="S78">
            <v>120995.15903360002</v>
          </cell>
          <cell r="T78">
            <v>1129288.150980267</v>
          </cell>
          <cell r="U78">
            <v>4</v>
          </cell>
          <cell r="V78">
            <v>0</v>
          </cell>
          <cell r="W78">
            <v>446711.84901973302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str">
            <v>Executed</v>
          </cell>
          <cell r="AC78" t="str">
            <v>Yes</v>
          </cell>
          <cell r="AD78">
            <v>0.2866208488919606</v>
          </cell>
          <cell r="AE78" t="str">
            <v>Less than 35%</v>
          </cell>
          <cell r="AF78" t="str">
            <v>UnRegistered</v>
          </cell>
        </row>
        <row r="79">
          <cell r="B79" t="str">
            <v>R1 UG 02</v>
          </cell>
          <cell r="C79" t="str">
            <v>R1</v>
          </cell>
          <cell r="D79" t="str">
            <v>M3M Capital Walk in M3M Capital Phase-2</v>
          </cell>
          <cell r="E79" t="str">
            <v>cwBOOKING/00025/23-24</v>
          </cell>
          <cell r="F79" t="str">
            <v>Mr. ASHISH PATIAL</v>
          </cell>
          <cell r="G79" t="str">
            <v>cwFLAP/01046/22-23</v>
          </cell>
          <cell r="H79" t="str">
            <v>On Application of OC</v>
          </cell>
          <cell r="I79">
            <v>0</v>
          </cell>
          <cell r="J79">
            <v>45147</v>
          </cell>
          <cell r="K79">
            <v>46144</v>
          </cell>
          <cell r="L79">
            <v>46164</v>
          </cell>
          <cell r="M79">
            <v>5441980</v>
          </cell>
          <cell r="N79">
            <v>653038</v>
          </cell>
          <cell r="O79">
            <v>6095018</v>
          </cell>
          <cell r="P79"/>
          <cell r="Q79"/>
          <cell r="R79"/>
          <cell r="S79"/>
          <cell r="T79">
            <v>0</v>
          </cell>
          <cell r="U79">
            <v>0</v>
          </cell>
          <cell r="V79">
            <v>10000</v>
          </cell>
          <cell r="W79">
            <v>6105018</v>
          </cell>
          <cell r="X79">
            <v>3741</v>
          </cell>
          <cell r="Y79">
            <v>0</v>
          </cell>
          <cell r="Z79">
            <v>0</v>
          </cell>
          <cell r="AA79">
            <v>3741</v>
          </cell>
          <cell r="AB79"/>
          <cell r="AC79"/>
          <cell r="AD79"/>
          <cell r="AE79"/>
          <cell r="AF79" t="str">
            <v>UnRegistered</v>
          </cell>
        </row>
        <row r="80">
          <cell r="B80" t="str">
            <v>R6 226</v>
          </cell>
          <cell r="C80" t="str">
            <v>R6</v>
          </cell>
          <cell r="D80" t="str">
            <v>M3M Capital Walk in M3M Capital Phase-2</v>
          </cell>
          <cell r="E80" t="str">
            <v>cwBOOKING/00027/22-23</v>
          </cell>
          <cell r="F80" t="str">
            <v>Ms. RAJESH KUMARI RATHEE</v>
          </cell>
          <cell r="G80" t="str">
            <v>cwFLAP/00049/22-23</v>
          </cell>
          <cell r="H80" t="str">
            <v>On Application of OC</v>
          </cell>
          <cell r="I80">
            <v>0</v>
          </cell>
          <cell r="J80">
            <v>44987</v>
          </cell>
          <cell r="K80">
            <v>46144</v>
          </cell>
          <cell r="L80">
            <v>46164</v>
          </cell>
          <cell r="M80">
            <v>2294747</v>
          </cell>
          <cell r="N80">
            <v>275370</v>
          </cell>
          <cell r="O80">
            <v>2570117</v>
          </cell>
          <cell r="P80">
            <v>545046.68287999998</v>
          </cell>
          <cell r="Q80"/>
          <cell r="R80"/>
          <cell r="S80">
            <v>65405.601945599992</v>
          </cell>
          <cell r="T80">
            <v>610452.28482559999</v>
          </cell>
          <cell r="U80">
            <v>23043</v>
          </cell>
          <cell r="V80">
            <v>0</v>
          </cell>
          <cell r="W80">
            <v>1936621.7151744</v>
          </cell>
          <cell r="X80">
            <v>27091</v>
          </cell>
          <cell r="Y80">
            <v>0</v>
          </cell>
          <cell r="Z80">
            <v>4048</v>
          </cell>
          <cell r="AA80">
            <v>23043</v>
          </cell>
          <cell r="AB80" t="str">
            <v>Executed</v>
          </cell>
          <cell r="AC80" t="str">
            <v>Yes due to interest less than 75000</v>
          </cell>
          <cell r="AD80">
            <v>0.10857754693844301</v>
          </cell>
          <cell r="AE80" t="str">
            <v>Less than 35%</v>
          </cell>
          <cell r="AF80" t="str">
            <v>UnRegistered</v>
          </cell>
        </row>
        <row r="81">
          <cell r="B81" t="str">
            <v>R1 102</v>
          </cell>
          <cell r="C81" t="str">
            <v>R1</v>
          </cell>
          <cell r="D81" t="str">
            <v>M3M Capital Walk in M3M Capital Phase-2</v>
          </cell>
          <cell r="E81" t="str">
            <v>cwBOOKING/00027/23-24</v>
          </cell>
          <cell r="F81" t="str">
            <v>Mr. JAGDISH LAL</v>
          </cell>
          <cell r="G81" t="str">
            <v>cwFLAP/00999/22-23</v>
          </cell>
          <cell r="H81" t="str">
            <v>On Application of OC</v>
          </cell>
          <cell r="I81">
            <v>0</v>
          </cell>
          <cell r="J81">
            <v>45163</v>
          </cell>
          <cell r="K81">
            <v>46144</v>
          </cell>
          <cell r="L81">
            <v>46164</v>
          </cell>
          <cell r="M81">
            <v>4659799</v>
          </cell>
          <cell r="N81">
            <v>559176</v>
          </cell>
          <cell r="O81">
            <v>5218975</v>
          </cell>
          <cell r="P81"/>
          <cell r="Q81"/>
          <cell r="R81"/>
          <cell r="S81"/>
          <cell r="T81">
            <v>0</v>
          </cell>
          <cell r="U81">
            <v>0</v>
          </cell>
          <cell r="V81">
            <v>0</v>
          </cell>
          <cell r="W81">
            <v>5218975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/>
          <cell r="AC81"/>
          <cell r="AD81"/>
          <cell r="AE81"/>
          <cell r="AF81" t="str">
            <v>UnRegistered</v>
          </cell>
        </row>
        <row r="82">
          <cell r="B82" t="str">
            <v>R1 106</v>
          </cell>
          <cell r="C82" t="str">
            <v>R1</v>
          </cell>
          <cell r="D82" t="str">
            <v>M3M Capital Walk in M3M Capital Phase-2</v>
          </cell>
          <cell r="E82" t="str">
            <v>cwBOOKING/00028/23-24</v>
          </cell>
          <cell r="F82" t="str">
            <v>Mr. NIRDOSH KUMAR</v>
          </cell>
          <cell r="G82" t="str">
            <v>cwFLAP/00545/22-23</v>
          </cell>
          <cell r="H82" t="str">
            <v>On Application of OC</v>
          </cell>
          <cell r="I82">
            <v>0</v>
          </cell>
          <cell r="J82">
            <v>45378</v>
          </cell>
          <cell r="K82">
            <v>46144</v>
          </cell>
          <cell r="L82">
            <v>46164</v>
          </cell>
          <cell r="M82">
            <v>4319683</v>
          </cell>
          <cell r="N82">
            <v>518362</v>
          </cell>
          <cell r="O82">
            <v>4838045</v>
          </cell>
          <cell r="P82"/>
          <cell r="Q82"/>
          <cell r="R82"/>
          <cell r="S82"/>
          <cell r="T82">
            <v>0</v>
          </cell>
          <cell r="U82">
            <v>0</v>
          </cell>
          <cell r="V82">
            <v>0</v>
          </cell>
          <cell r="W82">
            <v>4838045</v>
          </cell>
          <cell r="X82">
            <v>1068</v>
          </cell>
          <cell r="Y82">
            <v>0</v>
          </cell>
          <cell r="Z82">
            <v>0</v>
          </cell>
          <cell r="AA82">
            <v>1068</v>
          </cell>
          <cell r="AB82"/>
          <cell r="AC82"/>
          <cell r="AD82"/>
          <cell r="AE82"/>
          <cell r="AF82" t="str">
            <v>UnRegistered</v>
          </cell>
        </row>
        <row r="83">
          <cell r="B83" t="str">
            <v>R6 119</v>
          </cell>
          <cell r="C83" t="str">
            <v>R6</v>
          </cell>
          <cell r="D83" t="str">
            <v>M3M Capital Walk in M3M Capital Phase-2</v>
          </cell>
          <cell r="E83" t="str">
            <v>cwBOOKING/00029/23-24</v>
          </cell>
          <cell r="F83" t="str">
            <v>Ms. SEEMA GUPTA</v>
          </cell>
          <cell r="G83" t="str">
            <v>cwFLAP/00602/22-23</v>
          </cell>
          <cell r="H83" t="str">
            <v>On Application of OC</v>
          </cell>
          <cell r="I83">
            <v>0</v>
          </cell>
          <cell r="J83">
            <v>45246</v>
          </cell>
          <cell r="K83">
            <v>46144</v>
          </cell>
          <cell r="L83">
            <v>46164</v>
          </cell>
          <cell r="M83">
            <v>6270222</v>
          </cell>
          <cell r="N83">
            <v>752426</v>
          </cell>
          <cell r="O83">
            <v>7022648</v>
          </cell>
          <cell r="P83"/>
          <cell r="Q83"/>
          <cell r="R83"/>
          <cell r="S83"/>
          <cell r="T83">
            <v>0</v>
          </cell>
          <cell r="U83">
            <v>10101</v>
          </cell>
          <cell r="V83">
            <v>0</v>
          </cell>
          <cell r="W83">
            <v>7012547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/>
          <cell r="AC83"/>
          <cell r="AD83"/>
          <cell r="AE83"/>
          <cell r="AF83" t="str">
            <v>UnRegistered</v>
          </cell>
        </row>
        <row r="84">
          <cell r="B84" t="str">
            <v>R6 112</v>
          </cell>
          <cell r="C84" t="str">
            <v>R6</v>
          </cell>
          <cell r="D84" t="str">
            <v>M3M Capital Walk in M3M Capital Phase-2</v>
          </cell>
          <cell r="E84" t="str">
            <v>cwBOOKING/00030/22-23</v>
          </cell>
          <cell r="F84" t="str">
            <v>Ms. KUSAM</v>
          </cell>
          <cell r="G84" t="str">
            <v>cwFLAP/00054/22-23</v>
          </cell>
          <cell r="H84" t="str">
            <v>On Application of OC</v>
          </cell>
          <cell r="I84">
            <v>0</v>
          </cell>
          <cell r="J84">
            <v>44980</v>
          </cell>
          <cell r="K84">
            <v>46144</v>
          </cell>
          <cell r="L84">
            <v>46164</v>
          </cell>
          <cell r="M84">
            <v>2943480</v>
          </cell>
          <cell r="N84">
            <v>353218</v>
          </cell>
          <cell r="O84">
            <v>3296698</v>
          </cell>
          <cell r="P84">
            <v>806382.65625</v>
          </cell>
          <cell r="Q84"/>
          <cell r="R84"/>
          <cell r="S84">
            <v>96765.918749999997</v>
          </cell>
          <cell r="T84">
            <v>903148.57499999995</v>
          </cell>
          <cell r="U84">
            <v>1</v>
          </cell>
          <cell r="V84">
            <v>0</v>
          </cell>
          <cell r="W84">
            <v>2393548.4249999998</v>
          </cell>
          <cell r="X84">
            <v>156</v>
          </cell>
          <cell r="Y84">
            <v>0</v>
          </cell>
          <cell r="Z84">
            <v>0</v>
          </cell>
          <cell r="AA84">
            <v>156</v>
          </cell>
          <cell r="AB84" t="str">
            <v>Executed</v>
          </cell>
          <cell r="AC84" t="str">
            <v>Yes</v>
          </cell>
          <cell r="AD84">
            <v>0.12523808655481772</v>
          </cell>
          <cell r="AE84" t="str">
            <v>Less than 35%</v>
          </cell>
          <cell r="AF84" t="str">
            <v>UnRegistered</v>
          </cell>
        </row>
        <row r="85">
          <cell r="B85" t="str">
            <v>R6 118</v>
          </cell>
          <cell r="C85" t="str">
            <v>R6</v>
          </cell>
          <cell r="D85" t="str">
            <v>M3M Capital Walk in M3M Capital Phase-2</v>
          </cell>
          <cell r="E85" t="str">
            <v>cwBOOKING/00030/23-24</v>
          </cell>
          <cell r="F85" t="str">
            <v>Mr. MANOJ KUMAR GUPTA</v>
          </cell>
          <cell r="G85" t="str">
            <v>cwFLAP/00601/22-23</v>
          </cell>
          <cell r="H85" t="str">
            <v>On Application of OC</v>
          </cell>
          <cell r="I85">
            <v>0</v>
          </cell>
          <cell r="J85">
            <v>45246</v>
          </cell>
          <cell r="K85">
            <v>46144</v>
          </cell>
          <cell r="L85">
            <v>46164</v>
          </cell>
          <cell r="M85">
            <v>5913982</v>
          </cell>
          <cell r="N85">
            <v>709678</v>
          </cell>
          <cell r="O85">
            <v>6623660</v>
          </cell>
          <cell r="P85"/>
          <cell r="Q85"/>
          <cell r="R85"/>
          <cell r="S85"/>
          <cell r="T85">
            <v>0</v>
          </cell>
          <cell r="U85">
            <v>10101</v>
          </cell>
          <cell r="V85">
            <v>0</v>
          </cell>
          <cell r="W85">
            <v>6613559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/>
          <cell r="AC85"/>
          <cell r="AD85"/>
          <cell r="AE85"/>
          <cell r="AF85" t="str">
            <v>UnRegistered</v>
          </cell>
        </row>
        <row r="86">
          <cell r="B86" t="str">
            <v>R5 215</v>
          </cell>
          <cell r="C86" t="str">
            <v>R5</v>
          </cell>
          <cell r="D86" t="str">
            <v>M3M Capital Walk in M3M Capital Phase-2</v>
          </cell>
          <cell r="E86" t="str">
            <v>cwBOOKING/00032/22-23</v>
          </cell>
          <cell r="F86" t="str">
            <v>Mr. SUNDEEP GUPTA</v>
          </cell>
          <cell r="G86" t="str">
            <v>cwFLAP/00060/22-23</v>
          </cell>
          <cell r="H86" t="str">
            <v>On Application of OC</v>
          </cell>
          <cell r="I86">
            <v>0</v>
          </cell>
          <cell r="J86">
            <v>45307</v>
          </cell>
          <cell r="K86">
            <v>46144</v>
          </cell>
          <cell r="L86">
            <v>46164</v>
          </cell>
          <cell r="M86">
            <v>4647047</v>
          </cell>
          <cell r="N86">
            <v>557646</v>
          </cell>
          <cell r="O86">
            <v>5204693</v>
          </cell>
          <cell r="P86">
            <v>909143.97585000005</v>
          </cell>
          <cell r="Q86"/>
          <cell r="R86"/>
          <cell r="S86">
            <v>109097.27710200001</v>
          </cell>
          <cell r="T86">
            <v>0</v>
          </cell>
          <cell r="U86">
            <v>0</v>
          </cell>
          <cell r="V86">
            <v>0</v>
          </cell>
          <cell r="W86">
            <v>5204693</v>
          </cell>
          <cell r="X86">
            <v>31763</v>
          </cell>
          <cell r="Y86">
            <v>31763</v>
          </cell>
          <cell r="Z86">
            <v>0</v>
          </cell>
          <cell r="AA86">
            <v>0</v>
          </cell>
          <cell r="AB86"/>
          <cell r="AC86"/>
          <cell r="AD86">
            <v>8.935517373769869E-2</v>
          </cell>
          <cell r="AE86" t="str">
            <v>Less than 35%</v>
          </cell>
          <cell r="AF86" t="str">
            <v>UnRegistered</v>
          </cell>
        </row>
        <row r="87">
          <cell r="B87" t="str">
            <v>R3 LG 36</v>
          </cell>
          <cell r="C87" t="str">
            <v>R3</v>
          </cell>
          <cell r="D87" t="str">
            <v>M3M Capital Walk in M3M Capital Phase-2</v>
          </cell>
          <cell r="E87" t="str">
            <v>cwBOOKING/00032/23-24</v>
          </cell>
          <cell r="F87" t="str">
            <v>Ms. RAJNEESH KAUR KOHLI</v>
          </cell>
          <cell r="G87" t="str">
            <v>cwFLAP/00909/22-23</v>
          </cell>
          <cell r="H87" t="str">
            <v>On Application of OC</v>
          </cell>
          <cell r="I87">
            <v>0</v>
          </cell>
          <cell r="J87">
            <v>45163</v>
          </cell>
          <cell r="K87">
            <v>46144</v>
          </cell>
          <cell r="L87">
            <v>46164</v>
          </cell>
          <cell r="M87">
            <v>1480540</v>
          </cell>
          <cell r="N87">
            <v>177664</v>
          </cell>
          <cell r="O87">
            <v>1658204</v>
          </cell>
          <cell r="P87"/>
          <cell r="Q87"/>
          <cell r="R87"/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1658204</v>
          </cell>
          <cell r="X87">
            <v>265.08</v>
          </cell>
          <cell r="Y87">
            <v>265.08</v>
          </cell>
          <cell r="Z87">
            <v>0</v>
          </cell>
          <cell r="AA87">
            <v>0</v>
          </cell>
          <cell r="AB87"/>
          <cell r="AC87"/>
          <cell r="AD87">
            <v>0</v>
          </cell>
          <cell r="AE87" t="str">
            <v>Less than 35%</v>
          </cell>
          <cell r="AF87" t="str">
            <v>UnRegistered</v>
          </cell>
        </row>
        <row r="88">
          <cell r="B88" t="str">
            <v>R3 LG 30</v>
          </cell>
          <cell r="C88" t="str">
            <v>R3</v>
          </cell>
          <cell r="D88" t="str">
            <v>M3M Capital Walk in M3M Capital Phase-2</v>
          </cell>
          <cell r="E88" t="str">
            <v>cwBOOKING/00033/23-24</v>
          </cell>
          <cell r="F88" t="str">
            <v>Mr. SATINDER PAL SINGH KOHLI</v>
          </cell>
          <cell r="G88" t="str">
            <v>cwFLAP/00908/22-23</v>
          </cell>
          <cell r="H88" t="str">
            <v>On Application of OC</v>
          </cell>
          <cell r="I88">
            <v>0</v>
          </cell>
          <cell r="J88">
            <v>45163</v>
          </cell>
          <cell r="K88">
            <v>46144</v>
          </cell>
          <cell r="L88">
            <v>46164</v>
          </cell>
          <cell r="M88">
            <v>1480540</v>
          </cell>
          <cell r="N88">
            <v>177664</v>
          </cell>
          <cell r="O88">
            <v>1658204</v>
          </cell>
          <cell r="P88"/>
          <cell r="Q88"/>
          <cell r="R88"/>
          <cell r="S88">
            <v>0</v>
          </cell>
          <cell r="T88">
            <v>0</v>
          </cell>
          <cell r="U88">
            <v>41.8</v>
          </cell>
          <cell r="V88">
            <v>0</v>
          </cell>
          <cell r="W88">
            <v>1658162.2</v>
          </cell>
          <cell r="X88">
            <v>1408.2</v>
          </cell>
          <cell r="Y88">
            <v>0</v>
          </cell>
          <cell r="Z88">
            <v>1408.2</v>
          </cell>
          <cell r="AA88">
            <v>0</v>
          </cell>
          <cell r="AB88"/>
          <cell r="AC88"/>
          <cell r="AD88">
            <v>0</v>
          </cell>
          <cell r="AE88" t="str">
            <v>Less than 35%</v>
          </cell>
          <cell r="AF88" t="str">
            <v>UnRegistered</v>
          </cell>
        </row>
        <row r="89">
          <cell r="B89" t="str">
            <v>R4 LG 07</v>
          </cell>
          <cell r="C89" t="str">
            <v>R4</v>
          </cell>
          <cell r="D89" t="str">
            <v>M3M Capital Walk in M3M Capital Phase-2</v>
          </cell>
          <cell r="E89" t="str">
            <v>cwBOOKING/00034/22-23</v>
          </cell>
          <cell r="F89" t="str">
            <v>Mr. AMIT KUMAR SINGH</v>
          </cell>
          <cell r="G89" t="str">
            <v>cwFLAP/00062/22-23</v>
          </cell>
          <cell r="H89" t="str">
            <v>On Application of OC</v>
          </cell>
          <cell r="I89">
            <v>0</v>
          </cell>
          <cell r="J89">
            <v>45286</v>
          </cell>
          <cell r="K89">
            <v>46144</v>
          </cell>
          <cell r="L89">
            <v>46164</v>
          </cell>
          <cell r="M89">
            <v>2944051</v>
          </cell>
          <cell r="N89">
            <v>353286</v>
          </cell>
          <cell r="O89">
            <v>3297337</v>
          </cell>
          <cell r="P89">
            <v>801957.52382666664</v>
          </cell>
          <cell r="Q89"/>
          <cell r="R89"/>
          <cell r="S89">
            <v>96234.902859199996</v>
          </cell>
          <cell r="T89">
            <v>898192.42668586667</v>
          </cell>
          <cell r="U89">
            <v>0</v>
          </cell>
          <cell r="V89">
            <v>0</v>
          </cell>
          <cell r="W89">
            <v>2399144.5733141331</v>
          </cell>
          <cell r="X89">
            <v>5929</v>
          </cell>
          <cell r="Y89">
            <v>0</v>
          </cell>
          <cell r="Z89">
            <v>0</v>
          </cell>
          <cell r="AA89">
            <v>5929</v>
          </cell>
          <cell r="AB89" t="str">
            <v>Executed</v>
          </cell>
          <cell r="AC89" t="str">
            <v>Yes</v>
          </cell>
          <cell r="AD89">
            <v>0.13750984242970193</v>
          </cell>
          <cell r="AE89" t="str">
            <v>Less than 35%</v>
          </cell>
          <cell r="AF89" t="str">
            <v>UnRegistered</v>
          </cell>
        </row>
        <row r="90">
          <cell r="B90" t="str">
            <v>R4 UG 06</v>
          </cell>
          <cell r="C90" t="str">
            <v>R4</v>
          </cell>
          <cell r="D90" t="str">
            <v>M3M Capital Walk in M3M Capital Phase-2</v>
          </cell>
          <cell r="E90" t="str">
            <v>cwBOOKING/00035/22-23</v>
          </cell>
          <cell r="F90" t="str">
            <v>Mr. AMIT KUMAR SINGH</v>
          </cell>
          <cell r="G90" t="str">
            <v>cwFLAP/00063/22-23</v>
          </cell>
          <cell r="H90" t="str">
            <v>On Application of OC</v>
          </cell>
          <cell r="I90">
            <v>0</v>
          </cell>
          <cell r="J90">
            <v>45286</v>
          </cell>
          <cell r="K90">
            <v>46144</v>
          </cell>
          <cell r="L90">
            <v>46164</v>
          </cell>
          <cell r="M90">
            <v>1938666</v>
          </cell>
          <cell r="N90">
            <v>232640</v>
          </cell>
          <cell r="O90">
            <v>2171306</v>
          </cell>
          <cell r="P90">
            <v>530126.09814666666</v>
          </cell>
          <cell r="Q90"/>
          <cell r="R90"/>
          <cell r="S90">
            <v>63615.1317776</v>
          </cell>
          <cell r="T90">
            <v>593741.22992426669</v>
          </cell>
          <cell r="U90">
            <v>0</v>
          </cell>
          <cell r="V90">
            <v>0</v>
          </cell>
          <cell r="W90">
            <v>1577564.7700757333</v>
          </cell>
          <cell r="X90">
            <v>5706</v>
          </cell>
          <cell r="Y90">
            <v>0</v>
          </cell>
          <cell r="Z90">
            <v>0</v>
          </cell>
          <cell r="AA90">
            <v>5706</v>
          </cell>
          <cell r="AB90" t="str">
            <v>Executed</v>
          </cell>
          <cell r="AC90" t="str">
            <v>Yes</v>
          </cell>
          <cell r="AD90">
            <v>0.13723513630204764</v>
          </cell>
          <cell r="AE90" t="str">
            <v>Less than 35%</v>
          </cell>
          <cell r="AF90" t="str">
            <v>UnRegistered</v>
          </cell>
        </row>
        <row r="91">
          <cell r="B91" t="str">
            <v>R1 227</v>
          </cell>
          <cell r="C91" t="str">
            <v>R1</v>
          </cell>
          <cell r="D91" t="str">
            <v>M3M Capital Walk in M3M Capital Phase-2</v>
          </cell>
          <cell r="E91" t="str">
            <v>cwBOOKING/00035/23-24</v>
          </cell>
          <cell r="F91" t="str">
            <v>Ms. CHHAYA</v>
          </cell>
          <cell r="G91" t="str">
            <v>cwFLAP/00690/22-23</v>
          </cell>
          <cell r="H91" t="str">
            <v>On Application of OC</v>
          </cell>
          <cell r="I91">
            <v>0</v>
          </cell>
          <cell r="J91">
            <v>45100</v>
          </cell>
          <cell r="K91">
            <v>46144</v>
          </cell>
          <cell r="L91">
            <v>46164</v>
          </cell>
          <cell r="M91">
            <v>4949388</v>
          </cell>
          <cell r="N91">
            <v>593926</v>
          </cell>
          <cell r="O91">
            <v>5543314</v>
          </cell>
          <cell r="P91"/>
          <cell r="Q91"/>
          <cell r="R91"/>
          <cell r="S91"/>
          <cell r="T91">
            <v>0</v>
          </cell>
          <cell r="U91">
            <v>0</v>
          </cell>
          <cell r="V91">
            <v>0</v>
          </cell>
          <cell r="W91">
            <v>5543314</v>
          </cell>
          <cell r="X91">
            <v>2333.92</v>
          </cell>
          <cell r="Y91">
            <v>0</v>
          </cell>
          <cell r="Z91">
            <v>0</v>
          </cell>
          <cell r="AA91">
            <v>2333.92</v>
          </cell>
          <cell r="AB91"/>
          <cell r="AC91"/>
          <cell r="AD91"/>
          <cell r="AE91"/>
          <cell r="AF91" t="str">
            <v>UnRegistered</v>
          </cell>
        </row>
        <row r="92">
          <cell r="B92" t="str">
            <v>R6 UG 27</v>
          </cell>
          <cell r="C92" t="str">
            <v>R6</v>
          </cell>
          <cell r="D92" t="str">
            <v>M3M Capital Walk in M3M Capital Phase-2</v>
          </cell>
          <cell r="E92" t="str">
            <v>cwBOOKING/00036/22-23</v>
          </cell>
          <cell r="F92" t="str">
            <v>Mr. AMIT KUMAR SINGH</v>
          </cell>
          <cell r="G92" t="str">
            <v>cwFLAP/00064/22-23</v>
          </cell>
          <cell r="H92" t="str">
            <v>On Application of OC</v>
          </cell>
          <cell r="I92">
            <v>0</v>
          </cell>
          <cell r="J92">
            <v>45286</v>
          </cell>
          <cell r="K92">
            <v>46144</v>
          </cell>
          <cell r="L92">
            <v>46164</v>
          </cell>
          <cell r="M92">
            <v>4124461</v>
          </cell>
          <cell r="N92">
            <v>494936</v>
          </cell>
          <cell r="O92">
            <v>4619397</v>
          </cell>
          <cell r="P92">
            <v>1102021.8667199998</v>
          </cell>
          <cell r="Q92"/>
          <cell r="R92"/>
          <cell r="S92">
            <v>132242.62400639997</v>
          </cell>
          <cell r="T92">
            <v>1234264.4907263997</v>
          </cell>
          <cell r="U92">
            <v>0</v>
          </cell>
          <cell r="V92">
            <v>0</v>
          </cell>
          <cell r="W92">
            <v>3385132.5092736003</v>
          </cell>
          <cell r="X92">
            <v>7517</v>
          </cell>
          <cell r="Y92">
            <v>0</v>
          </cell>
          <cell r="Z92">
            <v>0</v>
          </cell>
          <cell r="AA92">
            <v>7517</v>
          </cell>
          <cell r="AB92" t="str">
            <v>Executed</v>
          </cell>
          <cell r="AC92" t="str">
            <v>Yes</v>
          </cell>
          <cell r="AD92">
            <v>0.13492421876065755</v>
          </cell>
          <cell r="AE92" t="str">
            <v>Less than 35%</v>
          </cell>
          <cell r="AF92" t="str">
            <v>UnRegistered</v>
          </cell>
        </row>
        <row r="93">
          <cell r="B93" t="str">
            <v>R1 158</v>
          </cell>
          <cell r="C93" t="str">
            <v>R1</v>
          </cell>
          <cell r="D93" t="str">
            <v>M3M Capital Walk in M3M Capital Phase-2</v>
          </cell>
          <cell r="E93" t="str">
            <v>cwBOOKING/00036/23-24</v>
          </cell>
          <cell r="F93" t="str">
            <v>Ms. SUGANDHA AGGARWAL</v>
          </cell>
          <cell r="G93" t="str">
            <v>cwFLAP/01050/22-23</v>
          </cell>
          <cell r="H93" t="str">
            <v>On Application of OC</v>
          </cell>
          <cell r="I93">
            <v>0</v>
          </cell>
          <cell r="J93">
            <v>45232</v>
          </cell>
          <cell r="K93">
            <v>46144</v>
          </cell>
          <cell r="L93">
            <v>46164</v>
          </cell>
          <cell r="M93">
            <v>4151727</v>
          </cell>
          <cell r="N93">
            <v>498208</v>
          </cell>
          <cell r="O93">
            <v>4649935</v>
          </cell>
          <cell r="P93"/>
          <cell r="Q93"/>
          <cell r="R93"/>
          <cell r="S93"/>
          <cell r="T93">
            <v>0</v>
          </cell>
          <cell r="U93">
            <v>0</v>
          </cell>
          <cell r="V93">
            <v>0</v>
          </cell>
          <cell r="W93">
            <v>4649935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/>
          <cell r="AC93"/>
          <cell r="AD93"/>
          <cell r="AE93"/>
          <cell r="AF93" t="str">
            <v>UnRegistered</v>
          </cell>
        </row>
        <row r="94">
          <cell r="B94" t="str">
            <v>R1 250</v>
          </cell>
          <cell r="C94" t="str">
            <v>R1</v>
          </cell>
          <cell r="D94" t="str">
            <v>M3M Capital Walk in M3M Capital Phase-2</v>
          </cell>
          <cell r="E94" t="str">
            <v>cwBOOKING/00037/22-23</v>
          </cell>
          <cell r="F94" t="str">
            <v>Ms. DARSHNA</v>
          </cell>
          <cell r="G94" t="str">
            <v>cwFLAP/00065/22-23</v>
          </cell>
          <cell r="H94" t="str">
            <v>On Application of OC</v>
          </cell>
          <cell r="I94">
            <v>0</v>
          </cell>
          <cell r="J94">
            <v>44995</v>
          </cell>
          <cell r="K94">
            <v>46144</v>
          </cell>
          <cell r="L94">
            <v>46164</v>
          </cell>
          <cell r="M94">
            <v>2270654</v>
          </cell>
          <cell r="N94">
            <v>272478</v>
          </cell>
          <cell r="O94">
            <v>2543132</v>
          </cell>
          <cell r="P94"/>
          <cell r="Q94"/>
          <cell r="R94"/>
          <cell r="S94"/>
          <cell r="T94">
            <v>0</v>
          </cell>
          <cell r="U94">
            <v>0</v>
          </cell>
          <cell r="V94">
            <v>0</v>
          </cell>
          <cell r="W94">
            <v>2543132</v>
          </cell>
          <cell r="X94">
            <v>6195</v>
          </cell>
          <cell r="Y94">
            <v>0</v>
          </cell>
          <cell r="Z94">
            <v>0</v>
          </cell>
          <cell r="AA94">
            <v>6195</v>
          </cell>
          <cell r="AB94"/>
          <cell r="AC94"/>
          <cell r="AD94"/>
          <cell r="AE94"/>
          <cell r="AF94" t="str">
            <v>UnRegistered</v>
          </cell>
        </row>
        <row r="95">
          <cell r="B95" t="str">
            <v>R3 LG 15</v>
          </cell>
          <cell r="C95" t="str">
            <v>R3</v>
          </cell>
          <cell r="D95" t="str">
            <v>M3M Capital Walk in M3M Capital Phase-2</v>
          </cell>
          <cell r="E95" t="str">
            <v>cwBOOKING/00037/23-24</v>
          </cell>
          <cell r="F95" t="str">
            <v>Ms. SUDESH</v>
          </cell>
          <cell r="G95" t="str">
            <v>cwFLAP/00947/22-23</v>
          </cell>
          <cell r="H95" t="str">
            <v>On Application of OC</v>
          </cell>
          <cell r="I95">
            <v>0</v>
          </cell>
          <cell r="J95">
            <v>45267</v>
          </cell>
          <cell r="K95">
            <v>46144</v>
          </cell>
          <cell r="L95">
            <v>46164</v>
          </cell>
          <cell r="M95">
            <v>4982049</v>
          </cell>
          <cell r="N95">
            <v>597846</v>
          </cell>
          <cell r="O95">
            <v>5579895</v>
          </cell>
          <cell r="P95"/>
          <cell r="Q95"/>
          <cell r="R95"/>
          <cell r="S95"/>
          <cell r="T95">
            <v>0</v>
          </cell>
          <cell r="U95">
            <v>0</v>
          </cell>
          <cell r="V95">
            <v>0</v>
          </cell>
          <cell r="W95">
            <v>5579895</v>
          </cell>
          <cell r="X95">
            <v>13105</v>
          </cell>
          <cell r="Y95">
            <v>0</v>
          </cell>
          <cell r="Z95">
            <v>0</v>
          </cell>
          <cell r="AA95">
            <v>13105</v>
          </cell>
          <cell r="AB95"/>
          <cell r="AC95"/>
          <cell r="AD95"/>
          <cell r="AE95"/>
          <cell r="AF95" t="str">
            <v>UnRegistered</v>
          </cell>
        </row>
        <row r="96">
          <cell r="B96" t="str">
            <v>R6 UG 18</v>
          </cell>
          <cell r="C96" t="str">
            <v>R6</v>
          </cell>
          <cell r="D96" t="str">
            <v>M3M Capital Walk in M3M Capital Phase-2</v>
          </cell>
          <cell r="E96" t="str">
            <v>cwBOOKING/00038/22-23</v>
          </cell>
          <cell r="F96" t="str">
            <v>Ms. JYOTI KAPOOR</v>
          </cell>
          <cell r="G96" t="str">
            <v>cwFLAP/00075/22-23</v>
          </cell>
          <cell r="H96" t="str">
            <v>On Application of OC</v>
          </cell>
          <cell r="I96">
            <v>0</v>
          </cell>
          <cell r="J96">
            <v>45048</v>
          </cell>
          <cell r="K96">
            <v>46144</v>
          </cell>
          <cell r="L96">
            <v>46164</v>
          </cell>
          <cell r="M96">
            <v>8581535</v>
          </cell>
          <cell r="N96">
            <v>1029784</v>
          </cell>
          <cell r="O96">
            <v>9611319</v>
          </cell>
          <cell r="P96">
            <v>4593835.7010000004</v>
          </cell>
          <cell r="Q96">
            <v>1582308</v>
          </cell>
          <cell r="R96"/>
          <cell r="S96">
            <v>741137.24412000005</v>
          </cell>
          <cell r="T96">
            <v>6917280.9451200003</v>
          </cell>
          <cell r="U96">
            <v>2400000</v>
          </cell>
          <cell r="V96">
            <v>0</v>
          </cell>
          <cell r="W96">
            <v>294038.05487999972</v>
          </cell>
          <cell r="X96">
            <v>10773</v>
          </cell>
          <cell r="Y96">
            <v>0</v>
          </cell>
          <cell r="Z96">
            <v>0</v>
          </cell>
          <cell r="AA96">
            <v>10773</v>
          </cell>
          <cell r="AB96" t="str">
            <v>Executed</v>
          </cell>
          <cell r="AC96" t="str">
            <v>Yes due to interest less than 75000</v>
          </cell>
          <cell r="AD96">
            <v>0.31615723382751404</v>
          </cell>
          <cell r="AE96" t="str">
            <v>Less than 35%</v>
          </cell>
          <cell r="AF96" t="str">
            <v>UnRegistered</v>
          </cell>
        </row>
        <row r="97">
          <cell r="B97" t="str">
            <v>R4 220</v>
          </cell>
          <cell r="C97" t="str">
            <v>R4</v>
          </cell>
          <cell r="D97" t="str">
            <v>M3M Capital Walk in M3M Capital Phase-2</v>
          </cell>
          <cell r="E97" t="str">
            <v>cwBOOKING/00039/22-23</v>
          </cell>
          <cell r="F97" t="str">
            <v>Mr. DIWAKAR KUMAR</v>
          </cell>
          <cell r="G97" t="str">
            <v>cwFLAP/00076/22-23</v>
          </cell>
          <cell r="H97" t="str">
            <v>On Application of OC</v>
          </cell>
          <cell r="I97">
            <v>0</v>
          </cell>
          <cell r="J97">
            <v>45314</v>
          </cell>
          <cell r="K97">
            <v>46144</v>
          </cell>
          <cell r="L97">
            <v>46164</v>
          </cell>
          <cell r="M97">
            <v>3749324</v>
          </cell>
          <cell r="N97">
            <v>449918</v>
          </cell>
          <cell r="O97">
            <v>4199242</v>
          </cell>
          <cell r="P97"/>
          <cell r="Q97"/>
          <cell r="R97"/>
          <cell r="S97"/>
          <cell r="T97">
            <v>0</v>
          </cell>
          <cell r="U97">
            <v>1</v>
          </cell>
          <cell r="V97">
            <v>0</v>
          </cell>
          <cell r="W97">
            <v>4199241</v>
          </cell>
          <cell r="X97">
            <v>127.24</v>
          </cell>
          <cell r="Y97">
            <v>0</v>
          </cell>
          <cell r="Z97">
            <v>0</v>
          </cell>
          <cell r="AA97">
            <v>127.24</v>
          </cell>
          <cell r="AB97"/>
          <cell r="AC97"/>
          <cell r="AD97"/>
          <cell r="AE97"/>
          <cell r="AF97" t="str">
            <v>UnRegistered</v>
          </cell>
        </row>
        <row r="98">
          <cell r="B98" t="str">
            <v>R6 UG 28</v>
          </cell>
          <cell r="C98" t="str">
            <v>R6</v>
          </cell>
          <cell r="D98" t="str">
            <v>M3M Capital Walk in M3M Capital Phase-2</v>
          </cell>
          <cell r="E98" t="str">
            <v>cwBOOKING/00040/22-23</v>
          </cell>
          <cell r="F98" t="str">
            <v>Mr. SUNIL SINGH NEGI</v>
          </cell>
          <cell r="G98" t="str">
            <v>cwFLAP/00077/22-23</v>
          </cell>
          <cell r="H98" t="str">
            <v>On Application of OC</v>
          </cell>
          <cell r="I98">
            <v>0</v>
          </cell>
          <cell r="J98">
            <v>45033</v>
          </cell>
          <cell r="K98">
            <v>46144</v>
          </cell>
          <cell r="L98">
            <v>46164</v>
          </cell>
          <cell r="M98">
            <v>10765721</v>
          </cell>
          <cell r="N98">
            <v>1291886</v>
          </cell>
          <cell r="O98">
            <v>12057607</v>
          </cell>
          <cell r="P98">
            <v>3052532.1356199994</v>
          </cell>
          <cell r="Q98"/>
          <cell r="R98"/>
          <cell r="S98">
            <v>366303.85627439991</v>
          </cell>
          <cell r="T98">
            <v>3418835.9918943993</v>
          </cell>
          <cell r="U98">
            <v>1827048</v>
          </cell>
          <cell r="V98">
            <v>0</v>
          </cell>
          <cell r="W98">
            <v>6811723.0081056003</v>
          </cell>
          <cell r="X98">
            <v>2694</v>
          </cell>
          <cell r="Y98">
            <v>0</v>
          </cell>
          <cell r="Z98">
            <v>0</v>
          </cell>
          <cell r="AA98">
            <v>2694</v>
          </cell>
          <cell r="AB98" t="str">
            <v>Executed</v>
          </cell>
          <cell r="AC98" t="str">
            <v>Yes</v>
          </cell>
          <cell r="AD98">
            <v>0.13367151980878619</v>
          </cell>
          <cell r="AE98" t="str">
            <v>Less than 35%</v>
          </cell>
          <cell r="AF98" t="str">
            <v>UnRegistered</v>
          </cell>
        </row>
        <row r="99">
          <cell r="B99" t="str">
            <v>R3 LG 58</v>
          </cell>
          <cell r="C99" t="str">
            <v>R3</v>
          </cell>
          <cell r="D99" t="str">
            <v>M3M Capital Walk in M3M Capital Phase-2</v>
          </cell>
          <cell r="E99" t="str">
            <v>cwBOOKING/00040/23-24</v>
          </cell>
          <cell r="F99" t="str">
            <v>Ms. SHARMISTA KOYAL</v>
          </cell>
          <cell r="G99" t="str">
            <v>cwFLAP/00972/22-23</v>
          </cell>
          <cell r="H99" t="str">
            <v>On Application of OC</v>
          </cell>
          <cell r="I99">
            <v>0</v>
          </cell>
          <cell r="J99">
            <v>45096</v>
          </cell>
          <cell r="K99">
            <v>46144</v>
          </cell>
          <cell r="L99">
            <v>46164</v>
          </cell>
          <cell r="M99">
            <v>2168564</v>
          </cell>
          <cell r="N99">
            <v>260228</v>
          </cell>
          <cell r="O99">
            <v>2428792</v>
          </cell>
          <cell r="P99"/>
          <cell r="Q99"/>
          <cell r="R99"/>
          <cell r="S99"/>
          <cell r="T99">
            <v>0</v>
          </cell>
          <cell r="U99">
            <v>2257</v>
          </cell>
          <cell r="V99">
            <v>1</v>
          </cell>
          <cell r="W99">
            <v>2426536</v>
          </cell>
          <cell r="X99">
            <v>814</v>
          </cell>
          <cell r="Y99">
            <v>0</v>
          </cell>
          <cell r="Z99">
            <v>0</v>
          </cell>
          <cell r="AA99">
            <v>814</v>
          </cell>
          <cell r="AB99"/>
          <cell r="AC99"/>
          <cell r="AD99"/>
          <cell r="AE99"/>
          <cell r="AF99" t="str">
            <v>UnRegistered</v>
          </cell>
        </row>
        <row r="100">
          <cell r="B100" t="str">
            <v>R4 UG 04</v>
          </cell>
          <cell r="C100" t="str">
            <v>R4</v>
          </cell>
          <cell r="D100" t="str">
            <v>M3M Capital Walk in M3M Capital Phase-2</v>
          </cell>
          <cell r="E100" t="str">
            <v>cwBOOKING/00041/22-23</v>
          </cell>
          <cell r="F100" t="str">
            <v>Mr. SANJAY DEHRAN</v>
          </cell>
          <cell r="G100" t="str">
            <v>cwFLAP/00078/22-23</v>
          </cell>
          <cell r="H100" t="str">
            <v>On Application of OC</v>
          </cell>
          <cell r="I100">
            <v>0</v>
          </cell>
          <cell r="J100">
            <v>45316</v>
          </cell>
          <cell r="K100">
            <v>46144</v>
          </cell>
          <cell r="L100">
            <v>46164</v>
          </cell>
          <cell r="M100">
            <v>6638396</v>
          </cell>
          <cell r="N100">
            <v>796608</v>
          </cell>
          <cell r="O100">
            <v>7435004</v>
          </cell>
          <cell r="P100"/>
          <cell r="Q100"/>
          <cell r="R100"/>
          <cell r="S100"/>
          <cell r="T100">
            <v>0</v>
          </cell>
          <cell r="U100">
            <v>0</v>
          </cell>
          <cell r="V100">
            <v>0</v>
          </cell>
          <cell r="W100">
            <v>7435004</v>
          </cell>
          <cell r="X100">
            <v>5087</v>
          </cell>
          <cell r="Y100">
            <v>0</v>
          </cell>
          <cell r="Z100">
            <v>0</v>
          </cell>
          <cell r="AA100">
            <v>5087</v>
          </cell>
          <cell r="AB100"/>
          <cell r="AC100"/>
          <cell r="AD100"/>
          <cell r="AE100"/>
          <cell r="AF100" t="str">
            <v>UnRegistered</v>
          </cell>
        </row>
        <row r="101">
          <cell r="B101" t="str">
            <v>R5 175</v>
          </cell>
          <cell r="C101" t="str">
            <v>R5</v>
          </cell>
          <cell r="D101" t="str">
            <v>M3M Capital Walk in M3M Capital Phase-2</v>
          </cell>
          <cell r="E101" t="str">
            <v>cwBOOKING/00041/23-24</v>
          </cell>
          <cell r="F101" t="str">
            <v>Ms. GEETA MANI</v>
          </cell>
          <cell r="G101" t="str">
            <v>cwFLAP/01055/22-23</v>
          </cell>
          <cell r="H101" t="str">
            <v>On Application of OC</v>
          </cell>
          <cell r="I101">
            <v>0</v>
          </cell>
          <cell r="J101">
            <v>45623</v>
          </cell>
          <cell r="K101">
            <v>46144</v>
          </cell>
          <cell r="L101">
            <v>46164</v>
          </cell>
          <cell r="M101">
            <v>4407370</v>
          </cell>
          <cell r="N101">
            <v>528884</v>
          </cell>
          <cell r="O101">
            <v>4936254</v>
          </cell>
          <cell r="P101">
            <v>128513.9375</v>
          </cell>
          <cell r="Q101"/>
          <cell r="R101"/>
          <cell r="S101">
            <v>15421.672499999999</v>
          </cell>
          <cell r="T101">
            <v>143935.60999999999</v>
          </cell>
          <cell r="U101">
            <v>0</v>
          </cell>
          <cell r="V101">
            <v>22089</v>
          </cell>
          <cell r="W101">
            <v>4814407.3899999997</v>
          </cell>
          <cell r="X101">
            <v>7973</v>
          </cell>
          <cell r="Y101">
            <v>0</v>
          </cell>
          <cell r="Z101">
            <v>0</v>
          </cell>
          <cell r="AA101">
            <v>7973</v>
          </cell>
          <cell r="AB101" t="str">
            <v>Executed</v>
          </cell>
          <cell r="AC101" t="str">
            <v>Yes</v>
          </cell>
          <cell r="AD101">
            <v>1.7481737986009323E-2</v>
          </cell>
          <cell r="AE101" t="str">
            <v>Less than 35%</v>
          </cell>
          <cell r="AF101" t="str">
            <v>UnRegistered</v>
          </cell>
        </row>
        <row r="102">
          <cell r="B102" t="str">
            <v>R3 LG 57</v>
          </cell>
          <cell r="C102" t="str">
            <v>R3</v>
          </cell>
          <cell r="D102" t="str">
            <v>M3M Capital Walk in M3M Capital Phase-2</v>
          </cell>
          <cell r="E102" t="str">
            <v>cwBOOKING/00042/23-24</v>
          </cell>
          <cell r="F102" t="str">
            <v>Mr. ISHWAR SINGH</v>
          </cell>
          <cell r="G102" t="str">
            <v>cwFLAP/01006/22-23</v>
          </cell>
          <cell r="H102" t="str">
            <v>On Application of OC</v>
          </cell>
          <cell r="I102">
            <v>0</v>
          </cell>
          <cell r="J102">
            <v>45272</v>
          </cell>
          <cell r="K102">
            <v>46144</v>
          </cell>
          <cell r="L102">
            <v>46164</v>
          </cell>
          <cell r="M102">
            <v>2497772</v>
          </cell>
          <cell r="N102">
            <v>299732</v>
          </cell>
          <cell r="O102">
            <v>2797504</v>
          </cell>
          <cell r="P102"/>
          <cell r="Q102"/>
          <cell r="R102"/>
          <cell r="S102"/>
          <cell r="T102">
            <v>0</v>
          </cell>
          <cell r="U102">
            <v>0</v>
          </cell>
          <cell r="V102">
            <v>0</v>
          </cell>
          <cell r="W102">
            <v>2797504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/>
          <cell r="AC102"/>
          <cell r="AD102"/>
          <cell r="AE102"/>
          <cell r="AF102" t="str">
            <v>UnRegistered</v>
          </cell>
        </row>
        <row r="103">
          <cell r="B103" t="str">
            <v>R5 LG 39</v>
          </cell>
          <cell r="C103" t="str">
            <v>R5</v>
          </cell>
          <cell r="D103" t="str">
            <v>M3M Capital Walk in M3M Capital Phase-2</v>
          </cell>
          <cell r="E103" t="str">
            <v>cwBOOKING/00043/23-24</v>
          </cell>
          <cell r="F103" t="str">
            <v>Mr. ANIL KUMAR</v>
          </cell>
          <cell r="G103" t="str">
            <v>cwFLAP/00907/22-23</v>
          </cell>
          <cell r="H103" t="str">
            <v>On Application of OC</v>
          </cell>
          <cell r="I103">
            <v>0</v>
          </cell>
          <cell r="J103">
            <v>45058</v>
          </cell>
          <cell r="K103">
            <v>46144</v>
          </cell>
          <cell r="L103">
            <v>46164</v>
          </cell>
          <cell r="M103">
            <v>3236192</v>
          </cell>
          <cell r="N103">
            <v>388344</v>
          </cell>
          <cell r="O103">
            <v>3624536</v>
          </cell>
          <cell r="P103"/>
          <cell r="Q103"/>
          <cell r="R103"/>
          <cell r="S103"/>
          <cell r="T103">
            <v>0</v>
          </cell>
          <cell r="U103">
            <v>0</v>
          </cell>
          <cell r="V103">
            <v>0</v>
          </cell>
          <cell r="W103">
            <v>3624536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/>
          <cell r="AC103"/>
          <cell r="AD103"/>
          <cell r="AE103"/>
          <cell r="AF103" t="str">
            <v>UnRegistered</v>
          </cell>
        </row>
        <row r="104">
          <cell r="B104" t="str">
            <v>R4 244</v>
          </cell>
          <cell r="C104" t="str">
            <v>R4</v>
          </cell>
          <cell r="D104" t="str">
            <v>M3M Capital Walk in M3M Capital Phase-2</v>
          </cell>
          <cell r="E104" t="str">
            <v>cwBOOKING/00044/22-23</v>
          </cell>
          <cell r="F104" t="str">
            <v>Mr. BADRI NATH RAI</v>
          </cell>
          <cell r="G104" t="str">
            <v>cwFLAP/00083/22-23</v>
          </cell>
          <cell r="H104" t="str">
            <v>On Application of OC</v>
          </cell>
          <cell r="I104">
            <v>0</v>
          </cell>
          <cell r="J104">
            <v>45302</v>
          </cell>
          <cell r="K104">
            <v>46144</v>
          </cell>
          <cell r="L104">
            <v>46164</v>
          </cell>
          <cell r="M104">
            <v>1129093</v>
          </cell>
          <cell r="N104">
            <v>135492</v>
          </cell>
          <cell r="O104">
            <v>1264585</v>
          </cell>
          <cell r="P104">
            <v>583110.07832000009</v>
          </cell>
          <cell r="Q104"/>
          <cell r="R104"/>
          <cell r="S104">
            <v>69973.209398400009</v>
          </cell>
          <cell r="T104">
            <v>653083.28771840013</v>
          </cell>
          <cell r="U104">
            <v>0</v>
          </cell>
          <cell r="V104">
            <v>0</v>
          </cell>
          <cell r="W104">
            <v>611501.71228159987</v>
          </cell>
          <cell r="X104">
            <v>6462</v>
          </cell>
          <cell r="Y104">
            <v>0</v>
          </cell>
          <cell r="Z104">
            <v>0</v>
          </cell>
          <cell r="AA104">
            <v>6462</v>
          </cell>
          <cell r="AB104" t="str">
            <v>Executed</v>
          </cell>
          <cell r="AC104" t="str">
            <v>Yes</v>
          </cell>
          <cell r="AD104">
            <v>0.17703157475076431</v>
          </cell>
          <cell r="AE104" t="str">
            <v>Less than 35%</v>
          </cell>
          <cell r="AF104" t="str">
            <v>UnRegistered</v>
          </cell>
        </row>
        <row r="105">
          <cell r="B105" t="str">
            <v>R1 126</v>
          </cell>
          <cell r="C105" t="str">
            <v>R1</v>
          </cell>
          <cell r="D105" t="str">
            <v>M3M Capital Walk in M3M Capital Phase-2</v>
          </cell>
          <cell r="E105" t="str">
            <v>cwBOOKING/00045/23-24</v>
          </cell>
          <cell r="F105" t="str">
            <v>Mr. ISHANT CHOUDHRY</v>
          </cell>
          <cell r="G105" t="str">
            <v>cwFLAP/01057/22-23</v>
          </cell>
          <cell r="H105" t="str">
            <v>On Application of OC</v>
          </cell>
          <cell r="I105">
            <v>0</v>
          </cell>
          <cell r="J105">
            <v>45275</v>
          </cell>
          <cell r="K105">
            <v>46144</v>
          </cell>
          <cell r="L105">
            <v>46164</v>
          </cell>
          <cell r="M105">
            <v>7087549</v>
          </cell>
          <cell r="N105">
            <v>850506</v>
          </cell>
          <cell r="O105">
            <v>7938055</v>
          </cell>
          <cell r="P105"/>
          <cell r="Q105"/>
          <cell r="R105"/>
          <cell r="S105"/>
          <cell r="T105">
            <v>0</v>
          </cell>
          <cell r="U105">
            <v>47250.32</v>
          </cell>
          <cell r="V105">
            <v>0</v>
          </cell>
          <cell r="W105">
            <v>7890804.6799999997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/>
          <cell r="AC105"/>
          <cell r="AD105"/>
          <cell r="AE105"/>
          <cell r="AF105" t="str">
            <v>UnRegistered</v>
          </cell>
        </row>
        <row r="106">
          <cell r="B106" t="str">
            <v>R4 LG 19</v>
          </cell>
          <cell r="C106" t="str">
            <v>R4</v>
          </cell>
          <cell r="D106" t="str">
            <v>M3M Capital Walk in M3M Capital Phase-2</v>
          </cell>
          <cell r="E106" t="str">
            <v>cwBOOKING/00046/22-23</v>
          </cell>
          <cell r="F106" t="str">
            <v>Mr. RAJINDER SINGH YADAV</v>
          </cell>
          <cell r="G106" t="str">
            <v>CCWFLAP/00011/22-23</v>
          </cell>
          <cell r="H106" t="str">
            <v>On Application of OC</v>
          </cell>
          <cell r="I106">
            <v>0</v>
          </cell>
          <cell r="J106">
            <v>45518</v>
          </cell>
          <cell r="K106">
            <v>46144</v>
          </cell>
          <cell r="L106">
            <v>46164</v>
          </cell>
          <cell r="M106">
            <v>3436554</v>
          </cell>
          <cell r="N106">
            <v>412386</v>
          </cell>
          <cell r="O106">
            <v>3848940</v>
          </cell>
          <cell r="P106">
            <v>2508161.5679999995</v>
          </cell>
          <cell r="Q106"/>
          <cell r="R106"/>
          <cell r="S106">
            <v>300979.38815999991</v>
          </cell>
          <cell r="T106">
            <v>2809140.9561599996</v>
          </cell>
          <cell r="U106">
            <v>99990</v>
          </cell>
          <cell r="V106">
            <v>0</v>
          </cell>
          <cell r="W106">
            <v>939809.04384000041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 t="str">
            <v>Not Executed</v>
          </cell>
          <cell r="AC106" t="str">
            <v>No as CL is not Executed</v>
          </cell>
          <cell r="AD106">
            <v>0.29192731636027608</v>
          </cell>
          <cell r="AE106" t="str">
            <v>Less than 35%</v>
          </cell>
          <cell r="AF106" t="str">
            <v>UnRegistered</v>
          </cell>
        </row>
        <row r="107">
          <cell r="B107" t="str">
            <v>R3 UG 33</v>
          </cell>
          <cell r="C107" t="str">
            <v>R3</v>
          </cell>
          <cell r="D107" t="str">
            <v>M3M Capital Walk in M3M Capital Phase-2</v>
          </cell>
          <cell r="E107" t="str">
            <v>cwBOOKING/00046/23-24</v>
          </cell>
          <cell r="F107" t="str">
            <v>Ms. GEETA GUPTA</v>
          </cell>
          <cell r="G107" t="str">
            <v>cwFLAP/00939/22-23</v>
          </cell>
          <cell r="H107" t="str">
            <v>On Application of OC</v>
          </cell>
          <cell r="I107">
            <v>0</v>
          </cell>
          <cell r="J107">
            <v>45078</v>
          </cell>
          <cell r="K107">
            <v>46144</v>
          </cell>
          <cell r="L107">
            <v>46164</v>
          </cell>
          <cell r="M107">
            <v>6441813</v>
          </cell>
          <cell r="N107">
            <v>773018</v>
          </cell>
          <cell r="O107">
            <v>7214831</v>
          </cell>
          <cell r="P107"/>
          <cell r="Q107"/>
          <cell r="R107"/>
          <cell r="S107"/>
          <cell r="T107">
            <v>0</v>
          </cell>
          <cell r="U107">
            <v>0</v>
          </cell>
          <cell r="V107">
            <v>0</v>
          </cell>
          <cell r="W107">
            <v>7214831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/>
          <cell r="AC107"/>
          <cell r="AD107"/>
          <cell r="AE107"/>
          <cell r="AF107" t="str">
            <v>UnRegistered</v>
          </cell>
        </row>
        <row r="108">
          <cell r="B108" t="str">
            <v>R3 LG 96</v>
          </cell>
          <cell r="C108" t="str">
            <v>R3</v>
          </cell>
          <cell r="D108" t="str">
            <v>M3M Capital Walk in M3M Capital Phase-2</v>
          </cell>
          <cell r="E108" t="str">
            <v>cwBOOKING/00047/23-24</v>
          </cell>
          <cell r="F108" t="str">
            <v>Ms. SEEMA KANSAL</v>
          </cell>
          <cell r="G108" t="str">
            <v>cwFLAP/01054/22-23</v>
          </cell>
          <cell r="H108" t="str">
            <v>On Application of OC</v>
          </cell>
          <cell r="I108">
            <v>0</v>
          </cell>
          <cell r="J108">
            <v>45240</v>
          </cell>
          <cell r="K108">
            <v>46144</v>
          </cell>
          <cell r="L108">
            <v>46164</v>
          </cell>
          <cell r="M108">
            <v>4677590</v>
          </cell>
          <cell r="N108">
            <v>561310</v>
          </cell>
          <cell r="O108">
            <v>5238900</v>
          </cell>
          <cell r="P108"/>
          <cell r="Q108"/>
          <cell r="R108"/>
          <cell r="S108"/>
          <cell r="T108">
            <v>0</v>
          </cell>
          <cell r="U108">
            <v>0</v>
          </cell>
          <cell r="V108">
            <v>0.94999999995343387</v>
          </cell>
          <cell r="W108">
            <v>5238900.95</v>
          </cell>
          <cell r="X108">
            <v>341</v>
          </cell>
          <cell r="Y108">
            <v>0</v>
          </cell>
          <cell r="Z108">
            <v>0</v>
          </cell>
          <cell r="AA108">
            <v>341</v>
          </cell>
          <cell r="AB108"/>
          <cell r="AC108"/>
          <cell r="AD108"/>
          <cell r="AE108"/>
          <cell r="AF108" t="str">
            <v>UnRegistered</v>
          </cell>
        </row>
        <row r="109">
          <cell r="B109" t="str">
            <v>R4 145</v>
          </cell>
          <cell r="C109" t="str">
            <v>R4</v>
          </cell>
          <cell r="D109" t="str">
            <v>M3M Capital Walk in M3M Capital Phase-2</v>
          </cell>
          <cell r="E109" t="str">
            <v>cwBOOKING/00048/22-23</v>
          </cell>
          <cell r="F109" t="str">
            <v>Ms. SWETA KUMARI</v>
          </cell>
          <cell r="G109" t="str">
            <v>cwFLAP/00088/22-23</v>
          </cell>
          <cell r="H109" t="str">
            <v>On Application of OC</v>
          </cell>
          <cell r="I109">
            <v>0</v>
          </cell>
          <cell r="J109">
            <v>45000</v>
          </cell>
          <cell r="K109">
            <v>46144</v>
          </cell>
          <cell r="L109">
            <v>46164</v>
          </cell>
          <cell r="M109">
            <v>2619504</v>
          </cell>
          <cell r="N109">
            <v>314340</v>
          </cell>
          <cell r="O109">
            <v>2933844</v>
          </cell>
          <cell r="P109">
            <v>732838.26016000006</v>
          </cell>
          <cell r="Q109"/>
          <cell r="R109"/>
          <cell r="S109">
            <v>87940.591219200011</v>
          </cell>
          <cell r="T109">
            <v>820778.85137920012</v>
          </cell>
          <cell r="U109">
            <v>0</v>
          </cell>
          <cell r="V109">
            <v>2</v>
          </cell>
          <cell r="W109">
            <v>2113067.1486208001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 t="str">
            <v>Executed</v>
          </cell>
          <cell r="AC109" t="str">
            <v>Yes</v>
          </cell>
          <cell r="AD109">
            <v>0.16785729694516024</v>
          </cell>
          <cell r="AE109" t="str">
            <v>Less than 35%</v>
          </cell>
          <cell r="AF109" t="str">
            <v>UnRegistered</v>
          </cell>
        </row>
        <row r="110">
          <cell r="B110" t="str">
            <v>R2 205</v>
          </cell>
          <cell r="C110" t="str">
            <v>R2</v>
          </cell>
          <cell r="D110" t="str">
            <v>M3M Capital Walk in M3M Capital Phase-2</v>
          </cell>
          <cell r="E110" t="str">
            <v>cwBOOKING/00048/23-24</v>
          </cell>
          <cell r="F110" t="str">
            <v>Ms. GEETA VIJ</v>
          </cell>
          <cell r="G110" t="str">
            <v>cwFLAP/00630/22-23</v>
          </cell>
          <cell r="H110" t="str">
            <v>On Application of OC</v>
          </cell>
          <cell r="I110">
            <v>0</v>
          </cell>
          <cell r="J110">
            <v>45063</v>
          </cell>
          <cell r="K110">
            <v>46144</v>
          </cell>
          <cell r="L110">
            <v>46164</v>
          </cell>
          <cell r="M110">
            <v>6357020</v>
          </cell>
          <cell r="N110">
            <v>762842</v>
          </cell>
          <cell r="O110">
            <v>7119862</v>
          </cell>
          <cell r="P110"/>
          <cell r="Q110"/>
          <cell r="R110"/>
          <cell r="S110"/>
          <cell r="T110">
            <v>0</v>
          </cell>
          <cell r="U110">
            <v>0</v>
          </cell>
          <cell r="V110">
            <v>0</v>
          </cell>
          <cell r="W110">
            <v>7119862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/>
          <cell r="AC110"/>
          <cell r="AD110"/>
          <cell r="AE110"/>
          <cell r="AF110" t="str">
            <v>UnRegistered</v>
          </cell>
        </row>
        <row r="111">
          <cell r="B111" t="str">
            <v>R4 144</v>
          </cell>
          <cell r="C111" t="str">
            <v>R4</v>
          </cell>
          <cell r="D111" t="str">
            <v>M3M Capital Walk in M3M Capital Phase-2</v>
          </cell>
          <cell r="E111" t="str">
            <v>cwBOOKING/00049/22-23</v>
          </cell>
          <cell r="F111" t="str">
            <v>Mr. RAMESH KUMAR SINGH</v>
          </cell>
          <cell r="G111" t="str">
            <v>cwFLAP/00089/22-23</v>
          </cell>
          <cell r="H111" t="str">
            <v>On Application of OC</v>
          </cell>
          <cell r="I111">
            <v>0</v>
          </cell>
          <cell r="J111">
            <v>44967</v>
          </cell>
          <cell r="K111">
            <v>46144</v>
          </cell>
          <cell r="L111">
            <v>46164</v>
          </cell>
          <cell r="M111">
            <v>2619504</v>
          </cell>
          <cell r="N111">
            <v>314340</v>
          </cell>
          <cell r="O111">
            <v>2933844</v>
          </cell>
          <cell r="P111">
            <v>731471.0246</v>
          </cell>
          <cell r="Q111"/>
          <cell r="R111"/>
          <cell r="S111">
            <v>87776.522951999999</v>
          </cell>
          <cell r="T111">
            <v>819247.54755200003</v>
          </cell>
          <cell r="U111">
            <v>0</v>
          </cell>
          <cell r="V111">
            <v>2</v>
          </cell>
          <cell r="W111">
            <v>2114598.4524480002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 t="str">
            <v>Executed</v>
          </cell>
          <cell r="AC111" t="str">
            <v>Yes</v>
          </cell>
          <cell r="AD111">
            <v>0.16754412554936438</v>
          </cell>
          <cell r="AE111" t="str">
            <v>Less than 35%</v>
          </cell>
          <cell r="AF111" t="str">
            <v>UnRegistered</v>
          </cell>
        </row>
        <row r="112">
          <cell r="B112" t="str">
            <v>R5 UG 21</v>
          </cell>
          <cell r="C112" t="str">
            <v>R5</v>
          </cell>
          <cell r="D112" t="str">
            <v>M3M Capital Walk in M3M Capital Phase-2</v>
          </cell>
          <cell r="E112" t="str">
            <v>cwBOOKING/00049/23-24</v>
          </cell>
          <cell r="F112" t="str">
            <v>Mr. SURENDER MADAN</v>
          </cell>
          <cell r="G112" t="str">
            <v>cwFLAP/01031/22-23</v>
          </cell>
          <cell r="H112" t="str">
            <v>On Application of OC</v>
          </cell>
          <cell r="I112">
            <v>0</v>
          </cell>
          <cell r="J112">
            <v>45064</v>
          </cell>
          <cell r="K112">
            <v>46144</v>
          </cell>
          <cell r="L112">
            <v>46164</v>
          </cell>
          <cell r="M112">
            <v>5597179</v>
          </cell>
          <cell r="N112">
            <v>671662</v>
          </cell>
          <cell r="O112">
            <v>6268841</v>
          </cell>
          <cell r="P112">
            <v>127813.17120000001</v>
          </cell>
          <cell r="Q112"/>
          <cell r="R112"/>
          <cell r="S112">
            <v>15337.580544</v>
          </cell>
          <cell r="T112">
            <v>143150.75174400001</v>
          </cell>
          <cell r="U112">
            <v>1</v>
          </cell>
          <cell r="V112">
            <v>1</v>
          </cell>
          <cell r="W112">
            <v>6125690.2482559998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 t="str">
            <v>Executed</v>
          </cell>
          <cell r="AC112" t="str">
            <v>Yes</v>
          </cell>
          <cell r="AD112">
            <v>1.5100250447018864E-2</v>
          </cell>
          <cell r="AE112" t="str">
            <v>Less than 35%</v>
          </cell>
          <cell r="AF112" t="str">
            <v>UnRegistered</v>
          </cell>
        </row>
        <row r="113">
          <cell r="B113" t="str">
            <v>R2 208</v>
          </cell>
          <cell r="C113" t="str">
            <v>R2</v>
          </cell>
          <cell r="D113" t="str">
            <v>M3M Capital Walk in M3M Capital Phase-2</v>
          </cell>
          <cell r="E113" t="str">
            <v>cwBOOKING/00050/23-24</v>
          </cell>
          <cell r="F113" t="str">
            <v>Ms. JASMINE SHARMA</v>
          </cell>
          <cell r="G113" t="str">
            <v>cwFLAP/00767/22-23</v>
          </cell>
          <cell r="H113" t="str">
            <v>On Application of OC</v>
          </cell>
          <cell r="I113">
            <v>0</v>
          </cell>
          <cell r="J113">
            <v>45448</v>
          </cell>
          <cell r="K113">
            <v>46144</v>
          </cell>
          <cell r="L113">
            <v>46164</v>
          </cell>
          <cell r="M113">
            <v>6203283</v>
          </cell>
          <cell r="N113">
            <v>744394</v>
          </cell>
          <cell r="O113">
            <v>6947677</v>
          </cell>
          <cell r="P113"/>
          <cell r="Q113"/>
          <cell r="R113"/>
          <cell r="S113"/>
          <cell r="T113">
            <v>0</v>
          </cell>
          <cell r="U113">
            <v>0</v>
          </cell>
          <cell r="V113">
            <v>0</v>
          </cell>
          <cell r="W113">
            <v>6947677</v>
          </cell>
          <cell r="X113">
            <v>18608</v>
          </cell>
          <cell r="Y113">
            <v>0</v>
          </cell>
          <cell r="Z113">
            <v>0</v>
          </cell>
          <cell r="AA113">
            <v>18608</v>
          </cell>
          <cell r="AB113"/>
          <cell r="AC113"/>
          <cell r="AD113"/>
          <cell r="AE113"/>
          <cell r="AF113" t="str">
            <v>UnRegistered</v>
          </cell>
        </row>
        <row r="114">
          <cell r="B114" t="str">
            <v>R5 K 203</v>
          </cell>
          <cell r="C114" t="str">
            <v>R5</v>
          </cell>
          <cell r="D114" t="str">
            <v>M3M Capital Walk in M3M Capital Phase-2</v>
          </cell>
          <cell r="E114" t="str">
            <v>cwBOOKING/00051/22-23</v>
          </cell>
          <cell r="F114" t="str">
            <v>Ms. GEETA RANI</v>
          </cell>
          <cell r="G114" t="str">
            <v>cwFLAP/00095/22-23</v>
          </cell>
          <cell r="H114" t="str">
            <v>On Application of OC</v>
          </cell>
          <cell r="I114">
            <v>0</v>
          </cell>
          <cell r="J114">
            <v>44987</v>
          </cell>
          <cell r="K114">
            <v>46144</v>
          </cell>
          <cell r="L114">
            <v>46164</v>
          </cell>
          <cell r="M114">
            <v>5356295</v>
          </cell>
          <cell r="N114">
            <v>642756</v>
          </cell>
          <cell r="O114">
            <v>5999051</v>
          </cell>
          <cell r="P114">
            <v>936476.26041666663</v>
          </cell>
          <cell r="Q114"/>
          <cell r="R114"/>
          <cell r="S114">
            <v>112377.15125</v>
          </cell>
          <cell r="T114">
            <v>1048853.4116666666</v>
          </cell>
          <cell r="U114">
            <v>147</v>
          </cell>
          <cell r="V114">
            <v>0</v>
          </cell>
          <cell r="W114">
            <v>4950050.5883333329</v>
          </cell>
          <cell r="X114">
            <v>7532</v>
          </cell>
          <cell r="Y114">
            <v>0</v>
          </cell>
          <cell r="Z114">
            <v>0</v>
          </cell>
          <cell r="AA114">
            <v>7532</v>
          </cell>
          <cell r="AB114" t="str">
            <v>Executed</v>
          </cell>
          <cell r="AC114" t="str">
            <v>Yes</v>
          </cell>
          <cell r="AD114">
            <v>9.9074053485425542E-2</v>
          </cell>
          <cell r="AE114" t="str">
            <v>Less than 35%</v>
          </cell>
          <cell r="AF114" t="str">
            <v>UnRegistered</v>
          </cell>
        </row>
        <row r="115">
          <cell r="B115" t="str">
            <v>R4 LG 01</v>
          </cell>
          <cell r="C115" t="str">
            <v>R4</v>
          </cell>
          <cell r="D115" t="str">
            <v>M3M Capital Walk in M3M Capital Phase-2</v>
          </cell>
          <cell r="E115" t="str">
            <v>cwBOOKING/00051/23-24</v>
          </cell>
          <cell r="F115" t="str">
            <v>Ms. AARTI AGGARWAL</v>
          </cell>
          <cell r="G115" t="str">
            <v>cwFLAP/00844/22-23</v>
          </cell>
          <cell r="H115" t="str">
            <v>On Application of OC</v>
          </cell>
          <cell r="I115">
            <v>0</v>
          </cell>
          <cell r="J115">
            <v>45170</v>
          </cell>
          <cell r="K115">
            <v>46144</v>
          </cell>
          <cell r="L115">
            <v>46164</v>
          </cell>
          <cell r="M115">
            <v>9359900</v>
          </cell>
          <cell r="N115">
            <v>1123188</v>
          </cell>
          <cell r="O115">
            <v>10483088</v>
          </cell>
          <cell r="P115"/>
          <cell r="Q115"/>
          <cell r="R115"/>
          <cell r="S115"/>
          <cell r="T115">
            <v>0</v>
          </cell>
          <cell r="U115">
            <v>0</v>
          </cell>
          <cell r="V115">
            <v>0</v>
          </cell>
          <cell r="W115">
            <v>10483088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/>
          <cell r="AC115"/>
          <cell r="AD115"/>
          <cell r="AE115"/>
          <cell r="AF115" t="str">
            <v>UnRegistered</v>
          </cell>
        </row>
        <row r="116">
          <cell r="B116" t="str">
            <v>R5 211</v>
          </cell>
          <cell r="C116" t="str">
            <v>R5</v>
          </cell>
          <cell r="D116" t="str">
            <v>M3M Capital Walk in M3M Capital Phase-2</v>
          </cell>
          <cell r="E116" t="str">
            <v>cwBOOKING/00052/22-23</v>
          </cell>
          <cell r="F116" t="str">
            <v>Mr. AMIT KUMAR SINGH</v>
          </cell>
          <cell r="G116" t="str">
            <v>cwFLAP/00096/22-23</v>
          </cell>
          <cell r="H116" t="str">
            <v>On Application of OC</v>
          </cell>
          <cell r="I116">
            <v>0</v>
          </cell>
          <cell r="J116">
            <v>45286</v>
          </cell>
          <cell r="K116">
            <v>46144</v>
          </cell>
          <cell r="L116">
            <v>46164</v>
          </cell>
          <cell r="M116">
            <v>4251799</v>
          </cell>
          <cell r="N116">
            <v>510216</v>
          </cell>
          <cell r="O116">
            <v>4762015</v>
          </cell>
          <cell r="P116">
            <v>1075558.1654999999</v>
          </cell>
          <cell r="Q116"/>
          <cell r="R116"/>
          <cell r="S116">
            <v>129066.97985999998</v>
          </cell>
          <cell r="T116">
            <v>1204625.14536</v>
          </cell>
          <cell r="U116">
            <v>0</v>
          </cell>
          <cell r="V116">
            <v>0</v>
          </cell>
          <cell r="W116">
            <v>3557389.85464</v>
          </cell>
          <cell r="X116">
            <v>6252</v>
          </cell>
          <cell r="Y116">
            <v>0</v>
          </cell>
          <cell r="Z116">
            <v>0</v>
          </cell>
          <cell r="AA116">
            <v>6252</v>
          </cell>
          <cell r="AB116" t="str">
            <v>Executed</v>
          </cell>
          <cell r="AC116" t="str">
            <v>Yes</v>
          </cell>
          <cell r="AD116">
            <v>0.13442273196057478</v>
          </cell>
          <cell r="AE116" t="str">
            <v>Less than 35%</v>
          </cell>
          <cell r="AF116" t="str">
            <v>UnRegistered</v>
          </cell>
        </row>
        <row r="117">
          <cell r="B117" t="str">
            <v>R1 G 19</v>
          </cell>
          <cell r="C117" t="str">
            <v>R1</v>
          </cell>
          <cell r="D117" t="str">
            <v>M3M Capital Walk in M3M Capital Phase-2</v>
          </cell>
          <cell r="E117" t="str">
            <v>cwBOOKING/00052/23-24</v>
          </cell>
          <cell r="F117" t="str">
            <v>Mr. HARSHIT GOYAL</v>
          </cell>
          <cell r="G117" t="str">
            <v>cwFLAP/01063/22-23</v>
          </cell>
          <cell r="H117" t="str">
            <v>On Application of OC</v>
          </cell>
          <cell r="I117">
            <v>0</v>
          </cell>
          <cell r="J117">
            <v>45532</v>
          </cell>
          <cell r="K117">
            <v>46144</v>
          </cell>
          <cell r="L117">
            <v>46164</v>
          </cell>
          <cell r="M117">
            <v>5699550</v>
          </cell>
          <cell r="N117">
            <v>683946</v>
          </cell>
          <cell r="O117">
            <v>6383496</v>
          </cell>
          <cell r="P117"/>
          <cell r="Q117"/>
          <cell r="R117"/>
          <cell r="S117"/>
          <cell r="T117">
            <v>0</v>
          </cell>
          <cell r="U117">
            <v>0</v>
          </cell>
          <cell r="V117">
            <v>151073</v>
          </cell>
          <cell r="W117">
            <v>6534569</v>
          </cell>
          <cell r="X117">
            <v>1101678</v>
          </cell>
          <cell r="Y117">
            <v>0</v>
          </cell>
          <cell r="Z117">
            <v>669183</v>
          </cell>
          <cell r="AA117">
            <v>432495</v>
          </cell>
          <cell r="AB117"/>
          <cell r="AC117"/>
          <cell r="AD117"/>
          <cell r="AE117"/>
          <cell r="AF117" t="str">
            <v>UnRegistered</v>
          </cell>
        </row>
        <row r="118">
          <cell r="B118" t="str">
            <v>R6 103</v>
          </cell>
          <cell r="C118" t="str">
            <v>R6</v>
          </cell>
          <cell r="D118" t="str">
            <v>M3M Capital Walk in M3M Capital Phase-2</v>
          </cell>
          <cell r="E118" t="str">
            <v>cwBOOKING/00053/22-23</v>
          </cell>
          <cell r="F118" t="str">
            <v>Mr. SANJEEV KHARBANDA</v>
          </cell>
          <cell r="G118" t="str">
            <v>cwFLAP/00100/22-23</v>
          </cell>
          <cell r="H118" t="str">
            <v>On Application of OC</v>
          </cell>
          <cell r="I118">
            <v>0</v>
          </cell>
          <cell r="J118">
            <v>44995</v>
          </cell>
          <cell r="K118">
            <v>46144</v>
          </cell>
          <cell r="L118">
            <v>46164</v>
          </cell>
          <cell r="M118">
            <v>7929333</v>
          </cell>
          <cell r="N118">
            <v>951520</v>
          </cell>
          <cell r="O118">
            <v>8880853</v>
          </cell>
          <cell r="P118"/>
          <cell r="Q118"/>
          <cell r="R118"/>
          <cell r="S118"/>
          <cell r="T118">
            <v>0</v>
          </cell>
          <cell r="U118">
            <v>0</v>
          </cell>
          <cell r="V118">
            <v>0</v>
          </cell>
          <cell r="W118">
            <v>8880853</v>
          </cell>
          <cell r="X118">
            <v>1734</v>
          </cell>
          <cell r="Y118">
            <v>0</v>
          </cell>
          <cell r="Z118">
            <v>0</v>
          </cell>
          <cell r="AA118">
            <v>1734</v>
          </cell>
          <cell r="AB118"/>
          <cell r="AC118"/>
          <cell r="AD118"/>
          <cell r="AE118"/>
          <cell r="AF118" t="str">
            <v>UnRegistered</v>
          </cell>
        </row>
        <row r="119">
          <cell r="B119" t="str">
            <v>R1 UG 18</v>
          </cell>
          <cell r="C119" t="str">
            <v>R1</v>
          </cell>
          <cell r="D119" t="str">
            <v>M3M Capital Walk in M3M Capital Phase-2</v>
          </cell>
          <cell r="E119" t="str">
            <v>cwBOOKING/00053/23-24</v>
          </cell>
          <cell r="F119" t="str">
            <v>Mr. KANCHAN KALRA</v>
          </cell>
          <cell r="G119" t="str">
            <v>cwFLAP/00957/22-23</v>
          </cell>
          <cell r="H119" t="str">
            <v>On Application of OC</v>
          </cell>
          <cell r="I119">
            <v>0</v>
          </cell>
          <cell r="J119">
            <v>45323</v>
          </cell>
          <cell r="K119">
            <v>46144</v>
          </cell>
          <cell r="L119">
            <v>46164</v>
          </cell>
          <cell r="M119">
            <v>7090031</v>
          </cell>
          <cell r="N119">
            <v>850804</v>
          </cell>
          <cell r="O119">
            <v>7940835</v>
          </cell>
          <cell r="P119"/>
          <cell r="Q119"/>
          <cell r="R119"/>
          <cell r="S119"/>
          <cell r="T119">
            <v>0</v>
          </cell>
          <cell r="U119">
            <v>1102</v>
          </cell>
          <cell r="V119">
            <v>0</v>
          </cell>
          <cell r="W119">
            <v>7939733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/>
          <cell r="AC119"/>
          <cell r="AD119"/>
          <cell r="AE119"/>
          <cell r="AF119" t="str">
            <v>UnRegistered</v>
          </cell>
        </row>
        <row r="120">
          <cell r="B120" t="str">
            <v>R6 LG 14</v>
          </cell>
          <cell r="C120" t="str">
            <v>R6</v>
          </cell>
          <cell r="D120" t="str">
            <v>M3M Capital Walk in M3M Capital Phase-2</v>
          </cell>
          <cell r="E120" t="str">
            <v>cwBOOKING/00054/22-23</v>
          </cell>
          <cell r="F120" t="str">
            <v>M/S. SKETS STUDIO PVT LTD</v>
          </cell>
          <cell r="G120" t="str">
            <v>CCWFLAP/00015/22-23</v>
          </cell>
          <cell r="H120" t="str">
            <v>On Application of OC</v>
          </cell>
          <cell r="I120">
            <v>0</v>
          </cell>
          <cell r="J120">
            <v>45040</v>
          </cell>
          <cell r="K120">
            <v>46144</v>
          </cell>
          <cell r="L120">
            <v>46164</v>
          </cell>
          <cell r="M120">
            <v>6514664</v>
          </cell>
          <cell r="N120">
            <v>781760</v>
          </cell>
          <cell r="O120">
            <v>7296424</v>
          </cell>
          <cell r="P120">
            <v>1659237.8076799999</v>
          </cell>
          <cell r="Q120"/>
          <cell r="R120"/>
          <cell r="S120">
            <v>199108.53692159997</v>
          </cell>
          <cell r="T120">
            <v>1858346.3446015997</v>
          </cell>
          <cell r="U120">
            <v>8474</v>
          </cell>
          <cell r="V120">
            <v>0</v>
          </cell>
          <cell r="W120">
            <v>5429603.6553984005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>Executed</v>
          </cell>
          <cell r="AC120" t="str">
            <v>Yes</v>
          </cell>
          <cell r="AD120">
            <v>0.11195395011444825</v>
          </cell>
          <cell r="AE120" t="str">
            <v>Less than 35%</v>
          </cell>
          <cell r="AF120" t="str">
            <v>07AAKCS3339K1ZZ</v>
          </cell>
        </row>
        <row r="121">
          <cell r="B121" t="str">
            <v>R5 LG 30</v>
          </cell>
          <cell r="C121" t="str">
            <v>R5</v>
          </cell>
          <cell r="D121" t="str">
            <v>M3M Capital Walk in M3M Capital Phase-2</v>
          </cell>
          <cell r="E121" t="str">
            <v>cwBOOKING/00054/23-24</v>
          </cell>
          <cell r="F121" t="str">
            <v>Mr. DHARMENDER YADAV</v>
          </cell>
          <cell r="G121" t="str">
            <v>cwFLAP/01064/22-23</v>
          </cell>
          <cell r="H121" t="str">
            <v>On Application of OC</v>
          </cell>
          <cell r="I121">
            <v>0</v>
          </cell>
          <cell r="J121">
            <v>45169</v>
          </cell>
          <cell r="K121">
            <v>46144</v>
          </cell>
          <cell r="L121">
            <v>46164</v>
          </cell>
          <cell r="M121">
            <v>3486433</v>
          </cell>
          <cell r="N121">
            <v>418372</v>
          </cell>
          <cell r="O121">
            <v>3904805</v>
          </cell>
          <cell r="P121">
            <v>261517.18889999995</v>
          </cell>
          <cell r="Q121"/>
          <cell r="R121"/>
          <cell r="S121">
            <v>31382.062667999991</v>
          </cell>
          <cell r="T121">
            <v>292899.25156799995</v>
          </cell>
          <cell r="U121">
            <v>0</v>
          </cell>
          <cell r="V121">
            <v>0</v>
          </cell>
          <cell r="W121">
            <v>3611905.7484320002</v>
          </cell>
          <cell r="X121">
            <v>709</v>
          </cell>
          <cell r="Y121">
            <v>0</v>
          </cell>
          <cell r="Z121">
            <v>0</v>
          </cell>
          <cell r="AA121">
            <v>709</v>
          </cell>
          <cell r="AB121" t="str">
            <v>Executed</v>
          </cell>
          <cell r="AC121" t="str">
            <v>Yes</v>
          </cell>
          <cell r="AD121">
            <v>5.2461600136267959E-2</v>
          </cell>
          <cell r="AE121" t="str">
            <v>Less than 35%</v>
          </cell>
          <cell r="AF121" t="str">
            <v>UnRegistered</v>
          </cell>
        </row>
        <row r="122">
          <cell r="B122" t="str">
            <v>R1 211</v>
          </cell>
          <cell r="C122" t="str">
            <v>R1</v>
          </cell>
          <cell r="D122" t="str">
            <v>M3M Capital Walk in M3M Capital Phase-2</v>
          </cell>
          <cell r="E122" t="str">
            <v>cwBOOKING/00055/22-23</v>
          </cell>
          <cell r="F122" t="str">
            <v>Ms. ANUPRIYA</v>
          </cell>
          <cell r="G122" t="str">
            <v>cwFLAP/00102/22-23</v>
          </cell>
          <cell r="H122" t="str">
            <v>On Application of OC</v>
          </cell>
          <cell r="I122">
            <v>0</v>
          </cell>
          <cell r="J122">
            <v>45111</v>
          </cell>
          <cell r="K122">
            <v>46144</v>
          </cell>
          <cell r="L122">
            <v>46164</v>
          </cell>
          <cell r="M122">
            <v>2159709</v>
          </cell>
          <cell r="N122">
            <v>259166</v>
          </cell>
          <cell r="O122">
            <v>2418875</v>
          </cell>
          <cell r="P122">
            <v>1285291.75981</v>
          </cell>
          <cell r="Q122"/>
          <cell r="R122"/>
          <cell r="S122">
            <v>154235.01117719998</v>
          </cell>
          <cell r="T122">
            <v>1439526.7709871999</v>
          </cell>
          <cell r="U122">
            <v>0</v>
          </cell>
          <cell r="V122">
            <v>0</v>
          </cell>
          <cell r="W122">
            <v>979348.22901280015</v>
          </cell>
          <cell r="X122">
            <v>5395</v>
          </cell>
          <cell r="Y122">
            <v>0</v>
          </cell>
          <cell r="Z122">
            <v>0</v>
          </cell>
          <cell r="AA122">
            <v>5395</v>
          </cell>
          <cell r="AB122" t="str">
            <v>Executed</v>
          </cell>
          <cell r="AC122" t="str">
            <v>Yes</v>
          </cell>
          <cell r="AD122">
            <v>0.28408626885077148</v>
          </cell>
          <cell r="AE122" t="str">
            <v>Less than 35%</v>
          </cell>
          <cell r="AF122" t="str">
            <v>UnRegistered</v>
          </cell>
        </row>
        <row r="123">
          <cell r="B123" t="str">
            <v>R3 LG 25</v>
          </cell>
          <cell r="C123" t="str">
            <v>R3</v>
          </cell>
          <cell r="D123" t="str">
            <v>M3M Capital Walk in M3M Capital Phase-2</v>
          </cell>
          <cell r="E123" t="str">
            <v>cwBOOKING/00055/23-24</v>
          </cell>
          <cell r="F123" t="str">
            <v>Ms. ANITA DEVI</v>
          </cell>
          <cell r="G123" t="str">
            <v>cwFLAP/00830/22-23</v>
          </cell>
          <cell r="H123" t="str">
            <v>On Application of OC</v>
          </cell>
          <cell r="I123">
            <v>0</v>
          </cell>
          <cell r="J123">
            <v>45358</v>
          </cell>
          <cell r="K123">
            <v>46144</v>
          </cell>
          <cell r="L123">
            <v>46164</v>
          </cell>
          <cell r="M123">
            <v>3228766</v>
          </cell>
          <cell r="N123">
            <v>387452</v>
          </cell>
          <cell r="O123">
            <v>3616218</v>
          </cell>
          <cell r="P123"/>
          <cell r="Q123"/>
          <cell r="R123"/>
          <cell r="S123"/>
          <cell r="T123">
            <v>0</v>
          </cell>
          <cell r="U123">
            <v>0</v>
          </cell>
          <cell r="V123">
            <v>0.5</v>
          </cell>
          <cell r="W123">
            <v>3616218.5</v>
          </cell>
          <cell r="X123">
            <v>1292.24</v>
          </cell>
          <cell r="Y123">
            <v>0</v>
          </cell>
          <cell r="Z123">
            <v>0</v>
          </cell>
          <cell r="AA123">
            <v>1292.24</v>
          </cell>
          <cell r="AB123"/>
          <cell r="AC123"/>
          <cell r="AD123"/>
          <cell r="AE123"/>
          <cell r="AF123" t="str">
            <v>UnRegistered</v>
          </cell>
        </row>
        <row r="124">
          <cell r="B124" t="str">
            <v>R5 G 04</v>
          </cell>
          <cell r="C124" t="str">
            <v>R5</v>
          </cell>
          <cell r="D124" t="str">
            <v>M3M Capital Walk in M3M Capital Phase-2</v>
          </cell>
          <cell r="E124" t="str">
            <v>cwBOOKING/00056/22-23</v>
          </cell>
          <cell r="F124" t="str">
            <v>Mr. SULTAN SINGH</v>
          </cell>
          <cell r="G124" t="str">
            <v>cwFLAP/00103/22-23</v>
          </cell>
          <cell r="H124" t="str">
            <v>On Application of OC</v>
          </cell>
          <cell r="I124">
            <v>0</v>
          </cell>
          <cell r="J124">
            <v>44965</v>
          </cell>
          <cell r="K124">
            <v>46144</v>
          </cell>
          <cell r="L124">
            <v>46164</v>
          </cell>
          <cell r="M124">
            <v>6333947</v>
          </cell>
          <cell r="N124">
            <v>760074</v>
          </cell>
          <cell r="O124">
            <v>7094021</v>
          </cell>
          <cell r="P124"/>
          <cell r="Q124"/>
          <cell r="R124"/>
          <cell r="S124"/>
          <cell r="T124">
            <v>0</v>
          </cell>
          <cell r="U124">
            <v>0</v>
          </cell>
          <cell r="V124">
            <v>0</v>
          </cell>
          <cell r="W124">
            <v>7094021</v>
          </cell>
          <cell r="X124">
            <v>666954</v>
          </cell>
          <cell r="Y124">
            <v>0</v>
          </cell>
          <cell r="Z124">
            <v>0</v>
          </cell>
          <cell r="AA124">
            <v>666954</v>
          </cell>
          <cell r="AB124" t="str">
            <v>Not Executed</v>
          </cell>
          <cell r="AC124" t="str">
            <v>Recovery Case</v>
          </cell>
          <cell r="AD124">
            <v>-0.55484571244806546</v>
          </cell>
          <cell r="AE124" t="str">
            <v>Recovery Case</v>
          </cell>
          <cell r="AF124" t="str">
            <v>UnRegistered</v>
          </cell>
        </row>
        <row r="125">
          <cell r="B125" t="str">
            <v>R1 245</v>
          </cell>
          <cell r="C125" t="str">
            <v>R1</v>
          </cell>
          <cell r="D125" t="str">
            <v>M3M Capital Walk in M3M Capital Phase-2</v>
          </cell>
          <cell r="E125" t="str">
            <v>cwBOOKING/00056/23-24</v>
          </cell>
          <cell r="F125" t="str">
            <v>Mr. SUNIL PRAKASH</v>
          </cell>
          <cell r="G125" t="str">
            <v>cwFLAP/00797/22-23</v>
          </cell>
          <cell r="H125" t="str">
            <v>On Application of OC</v>
          </cell>
          <cell r="I125">
            <v>0</v>
          </cell>
          <cell r="J125">
            <v>45084</v>
          </cell>
          <cell r="K125">
            <v>46144</v>
          </cell>
          <cell r="L125">
            <v>46164</v>
          </cell>
          <cell r="M125">
            <v>3953718</v>
          </cell>
          <cell r="N125">
            <v>474446</v>
          </cell>
          <cell r="O125">
            <v>4428164</v>
          </cell>
          <cell r="P125"/>
          <cell r="Q125"/>
          <cell r="R125"/>
          <cell r="S125"/>
          <cell r="T125">
            <v>0</v>
          </cell>
          <cell r="U125">
            <v>99499</v>
          </cell>
          <cell r="V125">
            <v>0</v>
          </cell>
          <cell r="W125">
            <v>4328665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/>
          <cell r="AC125"/>
          <cell r="AD125"/>
          <cell r="AE125"/>
          <cell r="AF125" t="str">
            <v>UnRegistered</v>
          </cell>
        </row>
        <row r="126">
          <cell r="B126" t="str">
            <v>R5 145</v>
          </cell>
          <cell r="C126" t="str">
            <v>R5</v>
          </cell>
          <cell r="D126" t="str">
            <v>M3M Capital Walk in M3M Capital Phase-2</v>
          </cell>
          <cell r="E126" t="str">
            <v>cwBOOKING/00057/23-24</v>
          </cell>
          <cell r="F126" t="str">
            <v>Mr. MUKESH KUMAR</v>
          </cell>
          <cell r="G126" t="str">
            <v>cwFLAP/01065/22-23</v>
          </cell>
          <cell r="H126" t="str">
            <v>On Application of OC</v>
          </cell>
          <cell r="I126">
            <v>0</v>
          </cell>
          <cell r="J126">
            <v>45371</v>
          </cell>
          <cell r="K126">
            <v>46144</v>
          </cell>
          <cell r="L126">
            <v>46164</v>
          </cell>
          <cell r="M126">
            <v>3494970</v>
          </cell>
          <cell r="N126">
            <v>419396</v>
          </cell>
          <cell r="O126">
            <v>3914366</v>
          </cell>
          <cell r="P126">
            <v>1511574.67032</v>
          </cell>
          <cell r="Q126"/>
          <cell r="R126"/>
          <cell r="S126">
            <v>181388.96043839998</v>
          </cell>
          <cell r="T126">
            <v>1692963.6307584001</v>
          </cell>
          <cell r="U126">
            <v>0</v>
          </cell>
          <cell r="V126">
            <v>0</v>
          </cell>
          <cell r="W126">
            <v>2221402.3692415999</v>
          </cell>
          <cell r="X126">
            <v>329</v>
          </cell>
          <cell r="Y126">
            <v>0</v>
          </cell>
          <cell r="Z126">
            <v>0</v>
          </cell>
          <cell r="AA126">
            <v>329</v>
          </cell>
          <cell r="AB126" t="str">
            <v>Executed</v>
          </cell>
          <cell r="AC126" t="str">
            <v>Yes</v>
          </cell>
          <cell r="AD126">
            <v>0.17299998127497085</v>
          </cell>
          <cell r="AE126" t="str">
            <v>Less than 35%</v>
          </cell>
          <cell r="AF126" t="str">
            <v>UnRegistered</v>
          </cell>
        </row>
        <row r="127">
          <cell r="B127" t="str">
            <v>R1 UG 22</v>
          </cell>
          <cell r="C127" t="str">
            <v>R1</v>
          </cell>
          <cell r="D127" t="str">
            <v>M3M Capital Walk in M3M Capital Phase-2</v>
          </cell>
          <cell r="E127" t="str">
            <v>cwBOOKING/00058/23-24</v>
          </cell>
          <cell r="F127" t="str">
            <v>M/S. DELPHI INFOTECH PVT.LTD.</v>
          </cell>
          <cell r="G127" t="str">
            <v>cwFLAP/01066/22-23</v>
          </cell>
          <cell r="H127" t="str">
            <v>On Application of OC</v>
          </cell>
          <cell r="I127">
            <v>0</v>
          </cell>
          <cell r="J127">
            <v>45302</v>
          </cell>
          <cell r="K127">
            <v>46144</v>
          </cell>
          <cell r="L127">
            <v>46164</v>
          </cell>
          <cell r="M127">
            <v>7265085</v>
          </cell>
          <cell r="N127">
            <v>871810</v>
          </cell>
          <cell r="O127">
            <v>8136895</v>
          </cell>
          <cell r="P127"/>
          <cell r="Q127"/>
          <cell r="R127"/>
          <cell r="S127"/>
          <cell r="T127">
            <v>0</v>
          </cell>
          <cell r="U127">
            <v>0</v>
          </cell>
          <cell r="V127">
            <v>0.89000000059604645</v>
          </cell>
          <cell r="W127">
            <v>8136895.8900000006</v>
          </cell>
          <cell r="X127">
            <v>21359</v>
          </cell>
          <cell r="Y127">
            <v>0</v>
          </cell>
          <cell r="Z127">
            <v>0</v>
          </cell>
          <cell r="AA127">
            <v>21359</v>
          </cell>
          <cell r="AB127"/>
          <cell r="AC127"/>
          <cell r="AD127"/>
          <cell r="AE127"/>
          <cell r="AF127" t="str">
            <v>07AAFCD9665C1ZJ</v>
          </cell>
        </row>
        <row r="128">
          <cell r="B128" t="str">
            <v>R1 229</v>
          </cell>
          <cell r="C128" t="str">
            <v>R1</v>
          </cell>
          <cell r="D128" t="str">
            <v>M3M Capital Walk in M3M Capital Phase-2</v>
          </cell>
          <cell r="E128" t="str">
            <v>cwBOOKING/00059/22-23</v>
          </cell>
          <cell r="F128" t="str">
            <v>Mr. NITIN KUMAR</v>
          </cell>
          <cell r="G128" t="str">
            <v>cwFLAP/00106/22-23</v>
          </cell>
          <cell r="H128" t="str">
            <v>On Application of OC</v>
          </cell>
          <cell r="I128">
            <v>0</v>
          </cell>
          <cell r="J128">
            <v>45076</v>
          </cell>
          <cell r="K128">
            <v>46144</v>
          </cell>
          <cell r="L128">
            <v>46164</v>
          </cell>
          <cell r="M128">
            <v>3849434</v>
          </cell>
          <cell r="N128">
            <v>461932</v>
          </cell>
          <cell r="O128">
            <v>4311366</v>
          </cell>
          <cell r="P128">
            <v>623250.33539999987</v>
          </cell>
          <cell r="Q128"/>
          <cell r="R128"/>
          <cell r="S128">
            <v>74790.040247999976</v>
          </cell>
          <cell r="T128">
            <v>698040.37564799981</v>
          </cell>
          <cell r="U128">
            <v>20000</v>
          </cell>
          <cell r="V128">
            <v>0</v>
          </cell>
          <cell r="W128">
            <v>3593325.6243520002</v>
          </cell>
          <cell r="X128">
            <v>8174</v>
          </cell>
          <cell r="Y128">
            <v>0</v>
          </cell>
          <cell r="Z128">
            <v>0</v>
          </cell>
          <cell r="AA128">
            <v>8174</v>
          </cell>
          <cell r="AB128" t="str">
            <v>Executed</v>
          </cell>
          <cell r="AC128" t="str">
            <v>Yes</v>
          </cell>
          <cell r="AD128">
            <v>9.5893966591815066E-2</v>
          </cell>
          <cell r="AE128" t="str">
            <v>Less than 35%</v>
          </cell>
          <cell r="AF128" t="str">
            <v>UnRegistered</v>
          </cell>
        </row>
        <row r="129">
          <cell r="B129" t="str">
            <v>R5 UG 34</v>
          </cell>
          <cell r="C129" t="str">
            <v>R5</v>
          </cell>
          <cell r="D129" t="str">
            <v>M3M Capital Walk in M3M Capital Phase-2</v>
          </cell>
          <cell r="E129" t="str">
            <v>cwBOOKING/00059/23-24</v>
          </cell>
          <cell r="F129" t="str">
            <v>Ms. RAJ RANI</v>
          </cell>
          <cell r="G129" t="str">
            <v>cwFLAP/01067/22-23</v>
          </cell>
          <cell r="H129" t="str">
            <v>On Application of OC</v>
          </cell>
          <cell r="I129">
            <v>0</v>
          </cell>
          <cell r="J129">
            <v>45110</v>
          </cell>
          <cell r="K129">
            <v>46144</v>
          </cell>
          <cell r="L129">
            <v>46164</v>
          </cell>
          <cell r="M129">
            <v>1852095</v>
          </cell>
          <cell r="N129">
            <v>222252</v>
          </cell>
          <cell r="O129">
            <v>2074347</v>
          </cell>
          <cell r="P129">
            <v>194120.45</v>
          </cell>
          <cell r="Q129"/>
          <cell r="R129"/>
          <cell r="S129">
            <v>23294.454000000002</v>
          </cell>
          <cell r="T129">
            <v>217414.90400000001</v>
          </cell>
          <cell r="U129">
            <v>0</v>
          </cell>
          <cell r="V129">
            <v>0</v>
          </cell>
          <cell r="W129">
            <v>1856932.0959999999</v>
          </cell>
          <cell r="X129">
            <v>6732</v>
          </cell>
          <cell r="Y129">
            <v>0</v>
          </cell>
          <cell r="Z129">
            <v>0</v>
          </cell>
          <cell r="AA129">
            <v>6732</v>
          </cell>
          <cell r="AB129" t="str">
            <v>Executed</v>
          </cell>
          <cell r="AC129" t="str">
            <v>Yes</v>
          </cell>
          <cell r="AD129">
            <v>4.1924488258380611E-2</v>
          </cell>
          <cell r="AE129" t="str">
            <v>Less than 35%</v>
          </cell>
          <cell r="AF129" t="str">
            <v>UnRegistered</v>
          </cell>
        </row>
        <row r="130">
          <cell r="B130" t="str">
            <v>R6 208</v>
          </cell>
          <cell r="C130" t="str">
            <v>R6</v>
          </cell>
          <cell r="D130" t="str">
            <v>M3M Capital Walk in M3M Capital Phase-2</v>
          </cell>
          <cell r="E130" t="str">
            <v>cwBOOKING/00060/22-23</v>
          </cell>
          <cell r="F130" t="str">
            <v>Mr. SYED MOHAMMAD NAJIB ASHRAF</v>
          </cell>
          <cell r="G130" t="str">
            <v>cwFLAP/00111/22-23</v>
          </cell>
          <cell r="H130" t="str">
            <v>On Application of OC</v>
          </cell>
          <cell r="I130">
            <v>0</v>
          </cell>
          <cell r="J130">
            <v>44960</v>
          </cell>
          <cell r="K130">
            <v>46144</v>
          </cell>
          <cell r="L130">
            <v>46164</v>
          </cell>
          <cell r="M130">
            <v>4424950</v>
          </cell>
          <cell r="N130">
            <v>530994</v>
          </cell>
          <cell r="O130">
            <v>4955944</v>
          </cell>
          <cell r="P130"/>
          <cell r="Q130"/>
          <cell r="R130"/>
          <cell r="S130"/>
          <cell r="T130">
            <v>0</v>
          </cell>
          <cell r="U130">
            <v>381</v>
          </cell>
          <cell r="V130">
            <v>0</v>
          </cell>
          <cell r="W130">
            <v>4955563</v>
          </cell>
          <cell r="X130">
            <v>7864</v>
          </cell>
          <cell r="Y130">
            <v>0</v>
          </cell>
          <cell r="Z130">
            <v>0</v>
          </cell>
          <cell r="AA130">
            <v>7864</v>
          </cell>
          <cell r="AB130"/>
          <cell r="AC130"/>
          <cell r="AD130"/>
          <cell r="AE130"/>
          <cell r="AF130" t="str">
            <v>UnRegistered</v>
          </cell>
        </row>
        <row r="131">
          <cell r="B131" t="str">
            <v>R3 LG 14</v>
          </cell>
          <cell r="C131" t="str">
            <v>R3</v>
          </cell>
          <cell r="D131" t="str">
            <v>M3M Capital Walk in M3M Capital Phase-2</v>
          </cell>
          <cell r="E131" t="str">
            <v>cwBOOKING/00060/23-24</v>
          </cell>
          <cell r="F131" t="str">
            <v>Mr. SANJEEV BAHL</v>
          </cell>
          <cell r="G131" t="str">
            <v>cwFLAP/00945/22-23</v>
          </cell>
          <cell r="H131" t="str">
            <v>On Application of OC</v>
          </cell>
          <cell r="I131">
            <v>0</v>
          </cell>
          <cell r="J131">
            <v>45288</v>
          </cell>
          <cell r="K131">
            <v>46144</v>
          </cell>
          <cell r="L131">
            <v>46164</v>
          </cell>
          <cell r="M131">
            <v>3218940</v>
          </cell>
          <cell r="N131">
            <v>386272</v>
          </cell>
          <cell r="O131">
            <v>3605212</v>
          </cell>
          <cell r="P131"/>
          <cell r="Q131"/>
          <cell r="R131"/>
          <cell r="S131"/>
          <cell r="T131">
            <v>0</v>
          </cell>
          <cell r="U131">
            <v>0</v>
          </cell>
          <cell r="V131">
            <v>0</v>
          </cell>
          <cell r="W131">
            <v>3605212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/>
          <cell r="AC131"/>
          <cell r="AD131"/>
          <cell r="AE131"/>
          <cell r="AF131" t="str">
            <v>UnRegistered</v>
          </cell>
        </row>
        <row r="132">
          <cell r="B132" t="str">
            <v>R1 119</v>
          </cell>
          <cell r="C132" t="str">
            <v>R1</v>
          </cell>
          <cell r="D132" t="str">
            <v>M3M Capital Walk in M3M Capital Phase-2</v>
          </cell>
          <cell r="E132" t="str">
            <v>cwBOOKING/00061/22-23</v>
          </cell>
          <cell r="F132" t="str">
            <v>Mr. SYED MOHAMMAD NAJIB ASHRAF</v>
          </cell>
          <cell r="G132" t="str">
            <v>cwFLAP/00112/22-23</v>
          </cell>
          <cell r="H132" t="str">
            <v>On Application of OC</v>
          </cell>
          <cell r="I132">
            <v>0</v>
          </cell>
          <cell r="J132">
            <v>44960</v>
          </cell>
          <cell r="K132">
            <v>46144</v>
          </cell>
          <cell r="L132">
            <v>46164</v>
          </cell>
          <cell r="M132">
            <v>4028243</v>
          </cell>
          <cell r="N132">
            <v>483390</v>
          </cell>
          <cell r="O132">
            <v>4511633</v>
          </cell>
          <cell r="P132"/>
          <cell r="Q132"/>
          <cell r="R132"/>
          <cell r="S132"/>
          <cell r="T132">
            <v>0</v>
          </cell>
          <cell r="U132">
            <v>10822</v>
          </cell>
          <cell r="V132">
            <v>0</v>
          </cell>
          <cell r="W132">
            <v>4500811</v>
          </cell>
          <cell r="X132">
            <v>4288</v>
          </cell>
          <cell r="Y132">
            <v>0</v>
          </cell>
          <cell r="Z132">
            <v>0</v>
          </cell>
          <cell r="AA132">
            <v>4288</v>
          </cell>
          <cell r="AB132"/>
          <cell r="AC132"/>
          <cell r="AD132"/>
          <cell r="AE132"/>
          <cell r="AF132" t="str">
            <v>UnRegistered</v>
          </cell>
        </row>
        <row r="133">
          <cell r="B133" t="str">
            <v>R3 LG 53</v>
          </cell>
          <cell r="C133" t="str">
            <v>R3</v>
          </cell>
          <cell r="D133" t="str">
            <v>M3M Capital Walk in M3M Capital Phase-2</v>
          </cell>
          <cell r="E133" t="str">
            <v>cwBOOKING/00061/23-24</v>
          </cell>
          <cell r="F133" t="str">
            <v>Ms. NISHI RATHORE</v>
          </cell>
          <cell r="G133" t="str">
            <v>cwFLAP/01069/22-23</v>
          </cell>
          <cell r="H133" t="str">
            <v>On Application of OC</v>
          </cell>
          <cell r="I133">
            <v>0</v>
          </cell>
          <cell r="J133">
            <v>45232</v>
          </cell>
          <cell r="K133">
            <v>46144</v>
          </cell>
          <cell r="L133">
            <v>46164</v>
          </cell>
          <cell r="M133">
            <v>2075606</v>
          </cell>
          <cell r="N133">
            <v>249072</v>
          </cell>
          <cell r="O133">
            <v>2324678</v>
          </cell>
          <cell r="P133"/>
          <cell r="Q133"/>
          <cell r="R133"/>
          <cell r="S133"/>
          <cell r="T133">
            <v>0</v>
          </cell>
          <cell r="U133">
            <v>1</v>
          </cell>
          <cell r="V133">
            <v>0</v>
          </cell>
          <cell r="W133">
            <v>2324677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/>
          <cell r="AC133"/>
          <cell r="AD133"/>
          <cell r="AE133"/>
          <cell r="AF133" t="str">
            <v>UnRegistered</v>
          </cell>
        </row>
        <row r="134">
          <cell r="B134" t="str">
            <v>R5 UG 12</v>
          </cell>
          <cell r="C134" t="str">
            <v>R5</v>
          </cell>
          <cell r="D134" t="str">
            <v>M3M Capital Walk in M3M Capital Phase-2</v>
          </cell>
          <cell r="E134" t="str">
            <v>cwBOOKING/00062/22-23</v>
          </cell>
          <cell r="F134" t="str">
            <v>Ms. RAJESH DEVI</v>
          </cell>
          <cell r="G134" t="str">
            <v>cwFLAP/00094/22-23</v>
          </cell>
          <cell r="H134" t="str">
            <v>On Application of OC</v>
          </cell>
          <cell r="I134">
            <v>0</v>
          </cell>
          <cell r="J134">
            <v>45302</v>
          </cell>
          <cell r="K134">
            <v>46144</v>
          </cell>
          <cell r="L134">
            <v>46164</v>
          </cell>
          <cell r="M134">
            <v>3828159</v>
          </cell>
          <cell r="N134">
            <v>459380</v>
          </cell>
          <cell r="O134">
            <v>4287539</v>
          </cell>
          <cell r="P134"/>
          <cell r="Q134"/>
          <cell r="R134"/>
          <cell r="S134"/>
          <cell r="T134">
            <v>0</v>
          </cell>
          <cell r="U134">
            <v>1</v>
          </cell>
          <cell r="V134">
            <v>0</v>
          </cell>
          <cell r="W134">
            <v>4287538</v>
          </cell>
          <cell r="X134">
            <v>742</v>
          </cell>
          <cell r="Y134">
            <v>0</v>
          </cell>
          <cell r="Z134">
            <v>0</v>
          </cell>
          <cell r="AA134">
            <v>742</v>
          </cell>
          <cell r="AB134"/>
          <cell r="AC134"/>
          <cell r="AD134"/>
          <cell r="AE134"/>
          <cell r="AF134" t="str">
            <v>UnRegistered</v>
          </cell>
        </row>
        <row r="135">
          <cell r="B135" t="str">
            <v>R3 LG 28</v>
          </cell>
          <cell r="C135" t="str">
            <v>R3</v>
          </cell>
          <cell r="D135" t="str">
            <v>M3M Capital Walk in M3M Capital Phase-2</v>
          </cell>
          <cell r="E135" t="str">
            <v>cwBOOKING/00062/23-24</v>
          </cell>
          <cell r="F135" t="str">
            <v>Mr. SURESH KUMAR</v>
          </cell>
          <cell r="G135" t="str">
            <v>cwFLAP/01068/22-23</v>
          </cell>
          <cell r="H135" t="str">
            <v>On Application of OC</v>
          </cell>
          <cell r="I135">
            <v>0</v>
          </cell>
          <cell r="J135">
            <v>45337</v>
          </cell>
          <cell r="K135">
            <v>46144</v>
          </cell>
          <cell r="L135">
            <v>46164</v>
          </cell>
          <cell r="M135">
            <v>2578962</v>
          </cell>
          <cell r="N135">
            <v>309476</v>
          </cell>
          <cell r="O135">
            <v>2888438</v>
          </cell>
          <cell r="P135"/>
          <cell r="Q135"/>
          <cell r="R135"/>
          <cell r="S135"/>
          <cell r="T135">
            <v>0</v>
          </cell>
          <cell r="U135">
            <v>0</v>
          </cell>
          <cell r="V135">
            <v>0</v>
          </cell>
          <cell r="W135">
            <v>2888438</v>
          </cell>
          <cell r="X135">
            <v>12793</v>
          </cell>
          <cell r="Y135">
            <v>0</v>
          </cell>
          <cell r="Z135">
            <v>0</v>
          </cell>
          <cell r="AA135">
            <v>12793</v>
          </cell>
          <cell r="AB135"/>
          <cell r="AC135"/>
          <cell r="AD135"/>
          <cell r="AE135"/>
          <cell r="AF135" t="str">
            <v>UnRegistered</v>
          </cell>
        </row>
        <row r="136">
          <cell r="B136" t="str">
            <v>R6 223</v>
          </cell>
          <cell r="C136" t="str">
            <v>R6</v>
          </cell>
          <cell r="D136" t="str">
            <v>M3M Capital Walk in M3M Capital Phase-2</v>
          </cell>
          <cell r="E136" t="str">
            <v>cwBOOKING/00063/22-23</v>
          </cell>
          <cell r="F136" t="str">
            <v>Mr. ARVIND KUMAR</v>
          </cell>
          <cell r="G136" t="str">
            <v>CCWFLAP/00001/22-23</v>
          </cell>
          <cell r="H136" t="str">
            <v>On Application of OC</v>
          </cell>
          <cell r="I136">
            <v>0</v>
          </cell>
          <cell r="J136">
            <v>45000</v>
          </cell>
          <cell r="K136">
            <v>46144</v>
          </cell>
          <cell r="L136">
            <v>46164</v>
          </cell>
          <cell r="M136">
            <v>2863469</v>
          </cell>
          <cell r="N136">
            <v>343616</v>
          </cell>
          <cell r="O136">
            <v>3207085</v>
          </cell>
          <cell r="P136"/>
          <cell r="Q136"/>
          <cell r="R136"/>
          <cell r="S136"/>
          <cell r="T136">
            <v>0</v>
          </cell>
          <cell r="U136">
            <v>0</v>
          </cell>
          <cell r="V136">
            <v>1</v>
          </cell>
          <cell r="W136">
            <v>3207086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/>
          <cell r="AC136"/>
          <cell r="AD136"/>
          <cell r="AE136"/>
          <cell r="AF136" t="str">
            <v>UnRegistered</v>
          </cell>
        </row>
        <row r="137">
          <cell r="B137" t="str">
            <v>R5 224</v>
          </cell>
          <cell r="C137" t="str">
            <v>R5</v>
          </cell>
          <cell r="D137" t="str">
            <v>M3M Capital Walk in M3M Capital Phase-2</v>
          </cell>
          <cell r="E137" t="str">
            <v>cwBOOKING/00064/22-23</v>
          </cell>
          <cell r="F137" t="str">
            <v>Mr. ARVIND KUMAR</v>
          </cell>
          <cell r="G137" t="str">
            <v>CCWFLAP/00002/22-23</v>
          </cell>
          <cell r="H137" t="str">
            <v>On Application of OC</v>
          </cell>
          <cell r="I137">
            <v>0</v>
          </cell>
          <cell r="J137">
            <v>45000</v>
          </cell>
          <cell r="K137">
            <v>46144</v>
          </cell>
          <cell r="L137">
            <v>46164</v>
          </cell>
          <cell r="M137">
            <v>5025764</v>
          </cell>
          <cell r="N137">
            <v>603092</v>
          </cell>
          <cell r="O137">
            <v>5628856</v>
          </cell>
          <cell r="P137"/>
          <cell r="Q137"/>
          <cell r="R137"/>
          <cell r="S137"/>
          <cell r="T137">
            <v>0</v>
          </cell>
          <cell r="U137">
            <v>0</v>
          </cell>
          <cell r="V137">
            <v>2</v>
          </cell>
          <cell r="W137">
            <v>5628858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/>
          <cell r="AC137"/>
          <cell r="AD137"/>
          <cell r="AE137"/>
          <cell r="AF137" t="str">
            <v>UnRegistered</v>
          </cell>
        </row>
        <row r="138">
          <cell r="B138" t="str">
            <v>R3 UG 32</v>
          </cell>
          <cell r="C138" t="str">
            <v>R3</v>
          </cell>
          <cell r="D138" t="str">
            <v>M3M Capital Walk in M3M Capital Phase-2</v>
          </cell>
          <cell r="E138" t="str">
            <v>cwBOOKING/00064/23-24</v>
          </cell>
          <cell r="F138" t="str">
            <v>M/S. WORKIFY OFFICES</v>
          </cell>
          <cell r="G138" t="str">
            <v>cwFLAP/01026/22-23</v>
          </cell>
          <cell r="H138" t="str">
            <v>On Application of OC</v>
          </cell>
          <cell r="I138">
            <v>0</v>
          </cell>
          <cell r="J138">
            <v>45236</v>
          </cell>
          <cell r="K138">
            <v>46144</v>
          </cell>
          <cell r="L138">
            <v>46164</v>
          </cell>
          <cell r="M138">
            <v>8643682</v>
          </cell>
          <cell r="N138">
            <v>1037242</v>
          </cell>
          <cell r="O138">
            <v>9680924</v>
          </cell>
          <cell r="P138">
            <v>755635.83333333337</v>
          </cell>
          <cell r="Q138"/>
          <cell r="R138"/>
          <cell r="S138">
            <v>90676.3</v>
          </cell>
          <cell r="T138">
            <v>846312.13333333342</v>
          </cell>
          <cell r="U138">
            <v>282.36</v>
          </cell>
          <cell r="V138">
            <v>0</v>
          </cell>
          <cell r="W138">
            <v>8834329.5066666678</v>
          </cell>
          <cell r="X138">
            <v>17659.919999999998</v>
          </cell>
          <cell r="Y138">
            <v>0</v>
          </cell>
          <cell r="Z138">
            <v>17659.919999999998</v>
          </cell>
          <cell r="AA138">
            <v>0</v>
          </cell>
          <cell r="AB138" t="str">
            <v>Executed</v>
          </cell>
          <cell r="AC138" t="str">
            <v>Yes due to interest less than 75000</v>
          </cell>
          <cell r="AD138">
            <v>4.5664023968187986E-2</v>
          </cell>
          <cell r="AE138" t="str">
            <v>Less than 35%</v>
          </cell>
          <cell r="AF138" t="str">
            <v>06AANPS5544C1ZL</v>
          </cell>
        </row>
        <row r="139">
          <cell r="B139" t="str">
            <v>R5 147</v>
          </cell>
          <cell r="C139" t="str">
            <v>R5</v>
          </cell>
          <cell r="D139" t="str">
            <v>M3M Capital Walk in M3M Capital Phase-2</v>
          </cell>
          <cell r="E139" t="str">
            <v>cwBOOKING/00065/23-24</v>
          </cell>
          <cell r="F139" t="str">
            <v>Ms. SARITA DAHIYA</v>
          </cell>
          <cell r="G139" t="str">
            <v>cwFLAP/00703/22-23</v>
          </cell>
          <cell r="H139" t="str">
            <v>On Application of OC</v>
          </cell>
          <cell r="I139">
            <v>0</v>
          </cell>
          <cell r="J139">
            <v>45092</v>
          </cell>
          <cell r="K139">
            <v>46144</v>
          </cell>
          <cell r="L139">
            <v>46164</v>
          </cell>
          <cell r="M139">
            <v>1795435</v>
          </cell>
          <cell r="N139">
            <v>215452</v>
          </cell>
          <cell r="O139">
            <v>2010887</v>
          </cell>
          <cell r="P139"/>
          <cell r="Q139"/>
          <cell r="R139"/>
          <cell r="S139"/>
          <cell r="T139">
            <v>0</v>
          </cell>
          <cell r="U139">
            <v>2</v>
          </cell>
          <cell r="V139">
            <v>0</v>
          </cell>
          <cell r="W139">
            <v>2010885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/>
          <cell r="AC139"/>
          <cell r="AD139"/>
          <cell r="AE139"/>
          <cell r="AF139" t="str">
            <v>UnRegistered</v>
          </cell>
        </row>
        <row r="140">
          <cell r="B140" t="str">
            <v>R4 G 12A</v>
          </cell>
          <cell r="C140" t="str">
            <v>R4</v>
          </cell>
          <cell r="D140" t="str">
            <v>M3M Capital Walk in M3M Capital Phase-2</v>
          </cell>
          <cell r="E140" t="str">
            <v>cwBOOKING/00066/22-23</v>
          </cell>
          <cell r="F140" t="str">
            <v>Ms. POONAM LAKRA</v>
          </cell>
          <cell r="G140" t="str">
            <v>cwFLAP/00029/22-23</v>
          </cell>
          <cell r="H140" t="str">
            <v>On Application of OC</v>
          </cell>
          <cell r="I140">
            <v>0</v>
          </cell>
          <cell r="J140">
            <v>44937</v>
          </cell>
          <cell r="K140">
            <v>46144</v>
          </cell>
          <cell r="L140">
            <v>46164</v>
          </cell>
          <cell r="M140">
            <v>11229876</v>
          </cell>
          <cell r="N140">
            <v>1347586</v>
          </cell>
          <cell r="O140">
            <v>12577462</v>
          </cell>
          <cell r="P140"/>
          <cell r="Q140"/>
          <cell r="R140"/>
          <cell r="S140"/>
          <cell r="T140">
            <v>0</v>
          </cell>
          <cell r="U140">
            <v>63652</v>
          </cell>
          <cell r="V140">
            <v>0</v>
          </cell>
          <cell r="W140">
            <v>12513810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/>
          <cell r="AC140"/>
          <cell r="AD140"/>
          <cell r="AE140"/>
          <cell r="AF140" t="str">
            <v>UnRegistered</v>
          </cell>
        </row>
        <row r="141">
          <cell r="B141" t="str">
            <v>R3 LG 69</v>
          </cell>
          <cell r="C141" t="str">
            <v>R3</v>
          </cell>
          <cell r="D141" t="str">
            <v>M3M Capital Walk in M3M Capital Phase-2</v>
          </cell>
          <cell r="E141" t="str">
            <v>cwBOOKING/00066/23-24</v>
          </cell>
          <cell r="F141" t="str">
            <v>Mr. ARUN</v>
          </cell>
          <cell r="G141" t="str">
            <v>cwFLAP/01071/22-23</v>
          </cell>
          <cell r="H141" t="str">
            <v>On Application of OC</v>
          </cell>
          <cell r="I141">
            <v>0</v>
          </cell>
          <cell r="J141">
            <v>45281</v>
          </cell>
          <cell r="K141">
            <v>46144</v>
          </cell>
          <cell r="L141">
            <v>46164</v>
          </cell>
          <cell r="M141">
            <v>5931317</v>
          </cell>
          <cell r="N141">
            <v>711758</v>
          </cell>
          <cell r="O141">
            <v>6643075</v>
          </cell>
          <cell r="P141">
            <v>492996.96333333332</v>
          </cell>
          <cell r="Q141"/>
          <cell r="R141"/>
          <cell r="S141">
            <v>59159.635599999994</v>
          </cell>
          <cell r="T141">
            <v>552156.5989333333</v>
          </cell>
          <cell r="U141">
            <v>0</v>
          </cell>
          <cell r="V141">
            <v>0</v>
          </cell>
          <cell r="W141">
            <v>6090918.4010666665</v>
          </cell>
          <cell r="X141">
            <v>1942.8</v>
          </cell>
          <cell r="Y141">
            <v>0</v>
          </cell>
          <cell r="Z141">
            <v>0</v>
          </cell>
          <cell r="AA141">
            <v>1942.8</v>
          </cell>
          <cell r="AB141" t="str">
            <v>Executed</v>
          </cell>
          <cell r="AC141" t="str">
            <v>Yes</v>
          </cell>
          <cell r="AD141">
            <v>6.3361561655155801E-2</v>
          </cell>
          <cell r="AE141" t="str">
            <v>Less than 35%</v>
          </cell>
          <cell r="AF141" t="str">
            <v>UnRegistered</v>
          </cell>
        </row>
        <row r="142">
          <cell r="B142" t="str">
            <v>R4 116</v>
          </cell>
          <cell r="C142" t="str">
            <v>R4</v>
          </cell>
          <cell r="D142" t="str">
            <v>M3M Capital Walk in M3M Capital Phase-2</v>
          </cell>
          <cell r="E142" t="str">
            <v>cwBOOKING/00067/22-23</v>
          </cell>
          <cell r="F142" t="str">
            <v>Ms. PINKI</v>
          </cell>
          <cell r="G142" t="str">
            <v>cwFLAP/00119/22-23</v>
          </cell>
          <cell r="H142" t="str">
            <v>On Application of OC</v>
          </cell>
          <cell r="I142">
            <v>0</v>
          </cell>
          <cell r="J142">
            <v>44972</v>
          </cell>
          <cell r="K142">
            <v>46144</v>
          </cell>
          <cell r="L142">
            <v>46164</v>
          </cell>
          <cell r="M142">
            <v>5667057</v>
          </cell>
          <cell r="N142">
            <v>680046</v>
          </cell>
          <cell r="O142">
            <v>6347103</v>
          </cell>
          <cell r="P142">
            <v>1039290.2252366666</v>
          </cell>
          <cell r="Q142"/>
          <cell r="R142"/>
          <cell r="S142">
            <v>124714.82702839999</v>
          </cell>
          <cell r="T142">
            <v>1164005.0522650667</v>
          </cell>
          <cell r="U142">
            <v>0</v>
          </cell>
          <cell r="V142">
            <v>2</v>
          </cell>
          <cell r="W142">
            <v>5183099.9477349333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 t="str">
            <v>Executed</v>
          </cell>
          <cell r="AC142" t="str">
            <v>Yes</v>
          </cell>
          <cell r="AD142">
            <v>9.0336311334912406E-2</v>
          </cell>
          <cell r="AE142" t="str">
            <v>Less than 35%</v>
          </cell>
          <cell r="AF142" t="str">
            <v>UnRegistered</v>
          </cell>
        </row>
        <row r="143">
          <cell r="B143" t="str">
            <v>R6 LG 06</v>
          </cell>
          <cell r="C143" t="str">
            <v>R6</v>
          </cell>
          <cell r="D143" t="str">
            <v>M3M Capital Walk in M3M Capital Phase-2</v>
          </cell>
          <cell r="E143" t="str">
            <v>cwBOOKING/00067/23-24</v>
          </cell>
          <cell r="F143" t="str">
            <v>Mr. TARUN JOLLY</v>
          </cell>
          <cell r="G143" t="str">
            <v>cwFLAP/01073/22-23</v>
          </cell>
          <cell r="H143" t="str">
            <v>On Application of OC</v>
          </cell>
          <cell r="I143">
            <v>0</v>
          </cell>
          <cell r="J143">
            <v>45075</v>
          </cell>
          <cell r="K143">
            <v>46144</v>
          </cell>
          <cell r="L143">
            <v>46164</v>
          </cell>
          <cell r="M143">
            <v>5304480</v>
          </cell>
          <cell r="N143">
            <v>636538</v>
          </cell>
          <cell r="O143">
            <v>5941018</v>
          </cell>
          <cell r="P143"/>
          <cell r="Q143"/>
          <cell r="R143"/>
          <cell r="S143"/>
          <cell r="T143">
            <v>0</v>
          </cell>
          <cell r="U143">
            <v>1018</v>
          </cell>
          <cell r="V143">
            <v>0</v>
          </cell>
          <cell r="W143">
            <v>5940000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/>
          <cell r="AC143"/>
          <cell r="AD143"/>
          <cell r="AE143"/>
          <cell r="AF143" t="str">
            <v>UnRegistered</v>
          </cell>
        </row>
        <row r="144">
          <cell r="B144" t="str">
            <v>R5 120</v>
          </cell>
          <cell r="C144" t="str">
            <v>R5</v>
          </cell>
          <cell r="D144" t="str">
            <v>M3M Capital Walk in M3M Capital Phase-2</v>
          </cell>
          <cell r="E144" t="str">
            <v>cwBOOKING/00068/22-23</v>
          </cell>
          <cell r="F144" t="str">
            <v>Mr. SHALABH MALIK</v>
          </cell>
          <cell r="G144" t="str">
            <v>cwFLAP/00120/22-23</v>
          </cell>
          <cell r="H144" t="str">
            <v>On Application of OC</v>
          </cell>
          <cell r="I144">
            <v>0</v>
          </cell>
          <cell r="J144">
            <v>44937</v>
          </cell>
          <cell r="K144">
            <v>46144</v>
          </cell>
          <cell r="L144">
            <v>46164</v>
          </cell>
          <cell r="M144">
            <v>7291107</v>
          </cell>
          <cell r="N144">
            <v>874932</v>
          </cell>
          <cell r="O144">
            <v>8166039</v>
          </cell>
          <cell r="P144">
            <v>1638639.3123333335</v>
          </cell>
          <cell r="Q144"/>
          <cell r="R144"/>
          <cell r="S144">
            <v>196636.71748000002</v>
          </cell>
          <cell r="T144">
            <v>1835276.0298133336</v>
          </cell>
          <cell r="U144">
            <v>0</v>
          </cell>
          <cell r="V144">
            <v>10</v>
          </cell>
          <cell r="W144">
            <v>6330772.9701866666</v>
          </cell>
          <cell r="X144">
            <v>10984.12</v>
          </cell>
          <cell r="Y144">
            <v>0</v>
          </cell>
          <cell r="Z144">
            <v>0</v>
          </cell>
          <cell r="AA144">
            <v>10984.12</v>
          </cell>
          <cell r="AB144" t="str">
            <v>Executed</v>
          </cell>
          <cell r="AC144" t="str">
            <v>Yes due to interest less than 75000</v>
          </cell>
          <cell r="AD144">
            <v>0.10595130655048532</v>
          </cell>
          <cell r="AE144" t="str">
            <v>Less than 35%</v>
          </cell>
          <cell r="AF144" t="str">
            <v>UnRegistered</v>
          </cell>
        </row>
        <row r="145">
          <cell r="B145" t="str">
            <v>R6 LG 05</v>
          </cell>
          <cell r="C145" t="str">
            <v>R6</v>
          </cell>
          <cell r="D145" t="str">
            <v>M3M Capital Walk in M3M Capital Phase-2</v>
          </cell>
          <cell r="E145" t="str">
            <v>cwBOOKING/00068/23-24</v>
          </cell>
          <cell r="F145" t="str">
            <v>Mr. TARUN JOLLY</v>
          </cell>
          <cell r="G145" t="str">
            <v>cwFLAP/01072/22-23</v>
          </cell>
          <cell r="H145" t="str">
            <v>On Application of OC</v>
          </cell>
          <cell r="I145">
            <v>0</v>
          </cell>
          <cell r="J145">
            <v>45075</v>
          </cell>
          <cell r="K145">
            <v>46144</v>
          </cell>
          <cell r="L145">
            <v>46164</v>
          </cell>
          <cell r="M145">
            <v>5304480</v>
          </cell>
          <cell r="N145">
            <v>636538</v>
          </cell>
          <cell r="O145">
            <v>5941018</v>
          </cell>
          <cell r="P145"/>
          <cell r="Q145"/>
          <cell r="R145"/>
          <cell r="S145"/>
          <cell r="T145">
            <v>0</v>
          </cell>
          <cell r="U145">
            <v>1018</v>
          </cell>
          <cell r="V145">
            <v>0</v>
          </cell>
          <cell r="W145">
            <v>5940000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/>
          <cell r="AC145"/>
          <cell r="AD145"/>
          <cell r="AE145"/>
          <cell r="AF145" t="str">
            <v>UnRegistered</v>
          </cell>
        </row>
        <row r="146">
          <cell r="B146" t="str">
            <v>R5 222</v>
          </cell>
          <cell r="C146" t="str">
            <v>R5</v>
          </cell>
          <cell r="D146" t="str">
            <v>M3M Capital Walk in M3M Capital Phase-2</v>
          </cell>
          <cell r="E146" t="str">
            <v>cwBOOKING/00069/22-23</v>
          </cell>
          <cell r="F146" t="str">
            <v>Ms. KANCHAN JAIN</v>
          </cell>
          <cell r="G146" t="str">
            <v>cwFLAP/00121/22-23</v>
          </cell>
          <cell r="H146" t="str">
            <v>On Application of OC</v>
          </cell>
          <cell r="I146">
            <v>0</v>
          </cell>
          <cell r="J146">
            <v>44951</v>
          </cell>
          <cell r="K146">
            <v>46144</v>
          </cell>
          <cell r="L146">
            <v>46164</v>
          </cell>
          <cell r="M146">
            <v>3038490</v>
          </cell>
          <cell r="N146">
            <v>364618</v>
          </cell>
          <cell r="O146">
            <v>3403108</v>
          </cell>
          <cell r="P146"/>
          <cell r="Q146"/>
          <cell r="R146"/>
          <cell r="S146"/>
          <cell r="T146">
            <v>0</v>
          </cell>
          <cell r="U146">
            <v>37981.120000000003</v>
          </cell>
          <cell r="V146">
            <v>0</v>
          </cell>
          <cell r="W146">
            <v>3365126.88</v>
          </cell>
          <cell r="X146">
            <v>2061</v>
          </cell>
          <cell r="Y146">
            <v>0</v>
          </cell>
          <cell r="Z146">
            <v>0</v>
          </cell>
          <cell r="AA146">
            <v>2061</v>
          </cell>
          <cell r="AB146"/>
          <cell r="AC146"/>
          <cell r="AD146"/>
          <cell r="AE146"/>
          <cell r="AF146" t="str">
            <v>UnRegistered</v>
          </cell>
        </row>
        <row r="147">
          <cell r="B147" t="str">
            <v>R3 UG 36</v>
          </cell>
          <cell r="C147" t="str">
            <v>R3</v>
          </cell>
          <cell r="D147" t="str">
            <v>M3M Capital Walk in M3M Capital Phase-2</v>
          </cell>
          <cell r="E147" t="str">
            <v>cwBOOKING/00069/23-24</v>
          </cell>
          <cell r="F147" t="str">
            <v>Ms. SUDESH MANN</v>
          </cell>
          <cell r="G147" t="str">
            <v>cwFLAP/01074/22-23</v>
          </cell>
          <cell r="H147" t="str">
            <v>On Application of OC</v>
          </cell>
          <cell r="I147">
            <v>0</v>
          </cell>
          <cell r="J147">
            <v>45104</v>
          </cell>
          <cell r="K147">
            <v>46144</v>
          </cell>
          <cell r="L147">
            <v>46164</v>
          </cell>
          <cell r="M147">
            <v>4178074</v>
          </cell>
          <cell r="N147">
            <v>501368</v>
          </cell>
          <cell r="O147">
            <v>4679442</v>
          </cell>
          <cell r="P147"/>
          <cell r="Q147"/>
          <cell r="R147"/>
          <cell r="S147"/>
          <cell r="T147">
            <v>0</v>
          </cell>
          <cell r="U147">
            <v>0</v>
          </cell>
          <cell r="V147">
            <v>0</v>
          </cell>
          <cell r="W147">
            <v>4679442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/>
          <cell r="AC147"/>
          <cell r="AD147"/>
          <cell r="AE147"/>
          <cell r="AF147" t="str">
            <v>UnRegistered</v>
          </cell>
        </row>
        <row r="148">
          <cell r="B148" t="str">
            <v>R4 245</v>
          </cell>
          <cell r="C148" t="str">
            <v>R4</v>
          </cell>
          <cell r="D148" t="str">
            <v>M3M Capital Walk in M3M Capital Phase-2</v>
          </cell>
          <cell r="E148" t="str">
            <v>cwBOOKING/00070/22-23</v>
          </cell>
          <cell r="F148" t="str">
            <v>Ms. Riya Ganotra</v>
          </cell>
          <cell r="G148" t="str">
            <v>cwFLAP/00125/22-23</v>
          </cell>
          <cell r="H148" t="str">
            <v>On Application of OC</v>
          </cell>
          <cell r="I148">
            <v>0</v>
          </cell>
          <cell r="J148">
            <v>45049</v>
          </cell>
          <cell r="K148">
            <v>46144</v>
          </cell>
          <cell r="L148">
            <v>46164</v>
          </cell>
          <cell r="M148">
            <v>2461911</v>
          </cell>
          <cell r="N148">
            <v>295430</v>
          </cell>
          <cell r="O148">
            <v>2757341</v>
          </cell>
          <cell r="P148">
            <v>427213.9437</v>
          </cell>
          <cell r="Q148"/>
          <cell r="R148"/>
          <cell r="S148">
            <v>51265.673243999998</v>
          </cell>
          <cell r="T148">
            <v>478479.61694400001</v>
          </cell>
          <cell r="U148">
            <v>16175</v>
          </cell>
          <cell r="V148">
            <v>0</v>
          </cell>
          <cell r="W148">
            <v>2262686.3830559999</v>
          </cell>
          <cell r="X148">
            <v>1643</v>
          </cell>
          <cell r="Y148">
            <v>0</v>
          </cell>
          <cell r="Z148">
            <v>1643</v>
          </cell>
          <cell r="AA148">
            <v>0</v>
          </cell>
          <cell r="AB148" t="str">
            <v>Executed</v>
          </cell>
          <cell r="AC148" t="str">
            <v>Yes</v>
          </cell>
          <cell r="AD148">
            <v>9.8333321402126431E-2</v>
          </cell>
          <cell r="AE148" t="str">
            <v>Less than 35%</v>
          </cell>
          <cell r="AF148" t="str">
            <v>UnRegistered</v>
          </cell>
        </row>
        <row r="149">
          <cell r="B149" t="str">
            <v>R3 UG 23</v>
          </cell>
          <cell r="C149" t="str">
            <v>R3</v>
          </cell>
          <cell r="D149" t="str">
            <v>M3M Capital Walk in M3M Capital Phase-2</v>
          </cell>
          <cell r="E149" t="str">
            <v>cwBOOKING/00070/23-24</v>
          </cell>
          <cell r="F149" t="str">
            <v>Mr. AJAY SHARMA</v>
          </cell>
          <cell r="G149" t="str">
            <v>cwFLAP/01016/22-23</v>
          </cell>
          <cell r="H149" t="str">
            <v>On Application of OC</v>
          </cell>
          <cell r="I149">
            <v>0</v>
          </cell>
          <cell r="J149">
            <v>45103</v>
          </cell>
          <cell r="K149">
            <v>46144</v>
          </cell>
          <cell r="L149">
            <v>46164</v>
          </cell>
          <cell r="M149">
            <v>2164061</v>
          </cell>
          <cell r="N149">
            <v>259688</v>
          </cell>
          <cell r="O149">
            <v>2423749</v>
          </cell>
          <cell r="P149"/>
          <cell r="Q149"/>
          <cell r="R149"/>
          <cell r="S149"/>
          <cell r="T149">
            <v>0</v>
          </cell>
          <cell r="U149">
            <v>0</v>
          </cell>
          <cell r="V149">
            <v>0</v>
          </cell>
          <cell r="W149">
            <v>2423749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/>
          <cell r="AC149"/>
          <cell r="AD149"/>
          <cell r="AE149"/>
          <cell r="AF149" t="str">
            <v>UnRegistered</v>
          </cell>
        </row>
        <row r="150">
          <cell r="B150" t="str">
            <v>R5 K 202</v>
          </cell>
          <cell r="C150" t="str">
            <v>R5</v>
          </cell>
          <cell r="D150" t="str">
            <v>M3M Capital Walk in M3M Capital Phase-2</v>
          </cell>
          <cell r="E150" t="str">
            <v>cwBOOKING/00071/22-23</v>
          </cell>
          <cell r="F150" t="str">
            <v>Mr. PARVEEN TEWATIA</v>
          </cell>
          <cell r="G150" t="str">
            <v>CCWFLAP/00003/22-23</v>
          </cell>
          <cell r="H150" t="str">
            <v>On Application of OC</v>
          </cell>
          <cell r="I150">
            <v>0</v>
          </cell>
          <cell r="J150">
            <v>45049</v>
          </cell>
          <cell r="K150">
            <v>46144</v>
          </cell>
          <cell r="L150">
            <v>46164</v>
          </cell>
          <cell r="M150">
            <v>5356295</v>
          </cell>
          <cell r="N150">
            <v>642756</v>
          </cell>
          <cell r="O150">
            <v>5999051</v>
          </cell>
          <cell r="P150"/>
          <cell r="Q150"/>
          <cell r="R150"/>
          <cell r="S150"/>
          <cell r="T150">
            <v>0</v>
          </cell>
          <cell r="U150">
            <v>3</v>
          </cell>
          <cell r="V150">
            <v>0</v>
          </cell>
          <cell r="W150">
            <v>5999048</v>
          </cell>
          <cell r="X150">
            <v>1408</v>
          </cell>
          <cell r="Y150">
            <v>0</v>
          </cell>
          <cell r="Z150">
            <v>1408</v>
          </cell>
          <cell r="AA150">
            <v>0</v>
          </cell>
          <cell r="AB150"/>
          <cell r="AC150"/>
          <cell r="AD150"/>
          <cell r="AE150"/>
          <cell r="AF150" t="str">
            <v>UnRegistered</v>
          </cell>
        </row>
        <row r="151">
          <cell r="B151" t="str">
            <v>R1 LG 23</v>
          </cell>
          <cell r="C151" t="str">
            <v>R1</v>
          </cell>
          <cell r="D151" t="str">
            <v>M3M Capital Walk in M3M Capital Phase-2</v>
          </cell>
          <cell r="E151" t="str">
            <v>cwBOOKING/00072/23-24</v>
          </cell>
          <cell r="F151" t="str">
            <v>M/S. Praveensharma Infrabuild Private Limited</v>
          </cell>
          <cell r="G151" t="str">
            <v>cwFLAP/01030/22-23</v>
          </cell>
          <cell r="H151" t="str">
            <v>On Application of OC</v>
          </cell>
          <cell r="I151">
            <v>0</v>
          </cell>
          <cell r="J151">
            <v>45064</v>
          </cell>
          <cell r="K151">
            <v>46144</v>
          </cell>
          <cell r="L151">
            <v>46164</v>
          </cell>
          <cell r="M151">
            <v>14725200</v>
          </cell>
          <cell r="N151">
            <v>1767024</v>
          </cell>
          <cell r="O151">
            <v>16492224</v>
          </cell>
          <cell r="P151"/>
          <cell r="Q151"/>
          <cell r="R151"/>
          <cell r="S151"/>
          <cell r="T151">
            <v>0</v>
          </cell>
          <cell r="U151">
            <v>0</v>
          </cell>
          <cell r="V151">
            <v>0</v>
          </cell>
          <cell r="W151">
            <v>16492224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/>
          <cell r="AC151"/>
          <cell r="AD151"/>
          <cell r="AE151"/>
          <cell r="AF151" t="str">
            <v>UnRegistered</v>
          </cell>
        </row>
        <row r="152">
          <cell r="B152" t="str">
            <v>R5 LG 12</v>
          </cell>
          <cell r="C152" t="str">
            <v>R5</v>
          </cell>
          <cell r="D152" t="str">
            <v>M3M Capital Walk in M3M Capital Phase-2</v>
          </cell>
          <cell r="E152" t="str">
            <v>cwBOOKING/00073/22-23</v>
          </cell>
          <cell r="F152" t="str">
            <v>Ms. RENU AGGARWAL</v>
          </cell>
          <cell r="G152" t="str">
            <v>cwFLAP/00137/22-23</v>
          </cell>
          <cell r="H152" t="str">
            <v>On Application of OC</v>
          </cell>
          <cell r="I152">
            <v>0</v>
          </cell>
          <cell r="J152">
            <v>45047</v>
          </cell>
          <cell r="K152">
            <v>46144</v>
          </cell>
          <cell r="L152">
            <v>46164</v>
          </cell>
          <cell r="M152">
            <v>4375550</v>
          </cell>
          <cell r="N152">
            <v>525066</v>
          </cell>
          <cell r="O152">
            <v>4900616</v>
          </cell>
          <cell r="P152">
            <v>3845758.406</v>
          </cell>
          <cell r="Q152"/>
          <cell r="R152"/>
          <cell r="S152">
            <v>461491.00871999998</v>
          </cell>
          <cell r="T152">
            <v>4307249.4147199998</v>
          </cell>
          <cell r="U152">
            <v>440</v>
          </cell>
          <cell r="V152">
            <v>0</v>
          </cell>
          <cell r="W152">
            <v>592926.58528000023</v>
          </cell>
          <cell r="X152">
            <v>535</v>
          </cell>
          <cell r="Y152">
            <v>0</v>
          </cell>
          <cell r="Z152">
            <v>0</v>
          </cell>
          <cell r="AA152">
            <v>535</v>
          </cell>
          <cell r="AB152" t="str">
            <v>Executed</v>
          </cell>
          <cell r="AC152" t="str">
            <v>Yes</v>
          </cell>
          <cell r="AD152">
            <v>0.43945991032557735</v>
          </cell>
          <cell r="AE152" t="str">
            <v>Above 35%</v>
          </cell>
          <cell r="AF152" t="str">
            <v>UnRegistered</v>
          </cell>
        </row>
        <row r="153">
          <cell r="B153" t="str">
            <v>R3 UG 35</v>
          </cell>
          <cell r="C153" t="str">
            <v>R3</v>
          </cell>
          <cell r="D153" t="str">
            <v>M3M Capital Walk in M3M Capital Phase-2</v>
          </cell>
          <cell r="E153" t="str">
            <v>cwBOOKING/00073/23-24</v>
          </cell>
          <cell r="F153" t="str">
            <v>Ms. HINA</v>
          </cell>
          <cell r="G153" t="str">
            <v>cwFLAP/01035/22-23</v>
          </cell>
          <cell r="H153" t="str">
            <v>On Application of OC</v>
          </cell>
          <cell r="I153">
            <v>0</v>
          </cell>
          <cell r="J153">
            <v>45096</v>
          </cell>
          <cell r="K153">
            <v>46144</v>
          </cell>
          <cell r="L153">
            <v>46164</v>
          </cell>
          <cell r="M153">
            <v>1622129</v>
          </cell>
          <cell r="N153">
            <v>194656</v>
          </cell>
          <cell r="O153">
            <v>1816785</v>
          </cell>
          <cell r="P153"/>
          <cell r="Q153"/>
          <cell r="R153"/>
          <cell r="S153"/>
          <cell r="T153">
            <v>0</v>
          </cell>
          <cell r="U153">
            <v>18500</v>
          </cell>
          <cell r="V153">
            <v>0</v>
          </cell>
          <cell r="W153">
            <v>1798285</v>
          </cell>
          <cell r="X153">
            <v>1767</v>
          </cell>
          <cell r="Y153">
            <v>0</v>
          </cell>
          <cell r="Z153">
            <v>0</v>
          </cell>
          <cell r="AA153">
            <v>1767</v>
          </cell>
          <cell r="AB153"/>
          <cell r="AC153"/>
          <cell r="AD153"/>
          <cell r="AE153"/>
          <cell r="AF153" t="str">
            <v>UnRegistered</v>
          </cell>
        </row>
        <row r="154">
          <cell r="B154" t="str">
            <v>R3 UG 12</v>
          </cell>
          <cell r="C154" t="str">
            <v>R3</v>
          </cell>
          <cell r="D154" t="str">
            <v>M3M Capital Walk in M3M Capital Phase-2</v>
          </cell>
          <cell r="E154" t="str">
            <v>cwBOOKING/00074/23-24</v>
          </cell>
          <cell r="F154" t="str">
            <v>Mr. Vikas Goyal</v>
          </cell>
          <cell r="G154" t="str">
            <v>cwFLAP/00812/22-23</v>
          </cell>
          <cell r="H154" t="str">
            <v>On Application of OC</v>
          </cell>
          <cell r="I154">
            <v>0</v>
          </cell>
          <cell r="J154">
            <v>45261</v>
          </cell>
          <cell r="K154">
            <v>46144</v>
          </cell>
          <cell r="L154">
            <v>46164</v>
          </cell>
          <cell r="M154">
            <v>6814951</v>
          </cell>
          <cell r="N154">
            <v>817794</v>
          </cell>
          <cell r="O154">
            <v>7632745</v>
          </cell>
          <cell r="P154"/>
          <cell r="Q154"/>
          <cell r="R154"/>
          <cell r="S154"/>
          <cell r="T154">
            <v>0</v>
          </cell>
          <cell r="U154">
            <v>109576</v>
          </cell>
          <cell r="V154">
            <v>0</v>
          </cell>
          <cell r="W154">
            <v>7523169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/>
          <cell r="AC154"/>
          <cell r="AD154"/>
          <cell r="AE154"/>
          <cell r="AF154" t="str">
            <v>UnRegistered</v>
          </cell>
        </row>
        <row r="155">
          <cell r="B155" t="str">
            <v>R1 231</v>
          </cell>
          <cell r="C155" t="str">
            <v>R1</v>
          </cell>
          <cell r="D155" t="str">
            <v>M3M Capital Walk in M3M Capital Phase-2</v>
          </cell>
          <cell r="E155" t="str">
            <v>cwBOOKING/00075/22-23</v>
          </cell>
          <cell r="F155" t="str">
            <v>Ms. GARIMA MOHAN</v>
          </cell>
          <cell r="G155" t="str">
            <v>cwFLAP/00178/22-23</v>
          </cell>
          <cell r="H155" t="str">
            <v>On Application of OC</v>
          </cell>
          <cell r="I155">
            <v>0</v>
          </cell>
          <cell r="J155">
            <v>45414</v>
          </cell>
          <cell r="K155">
            <v>46144</v>
          </cell>
          <cell r="L155">
            <v>46164</v>
          </cell>
          <cell r="M155">
            <v>4215036</v>
          </cell>
          <cell r="N155">
            <v>505804</v>
          </cell>
          <cell r="O155">
            <v>4720840</v>
          </cell>
          <cell r="P155">
            <v>1826625.6749866668</v>
          </cell>
          <cell r="Q155"/>
          <cell r="R155"/>
          <cell r="S155">
            <v>219195.08099839999</v>
          </cell>
          <cell r="T155">
            <v>2045820.7559850668</v>
          </cell>
          <cell r="U155">
            <v>0</v>
          </cell>
          <cell r="V155">
            <v>1</v>
          </cell>
          <cell r="W155">
            <v>2675020.2440149332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 t="str">
            <v>Executed</v>
          </cell>
          <cell r="AC155" t="str">
            <v>Yes</v>
          </cell>
          <cell r="AD155">
            <v>0.21865258830876394</v>
          </cell>
          <cell r="AE155" t="str">
            <v>Less than 35%</v>
          </cell>
          <cell r="AF155" t="str">
            <v>UnRegistered</v>
          </cell>
        </row>
        <row r="156">
          <cell r="B156" t="str">
            <v>R1 UG 23</v>
          </cell>
          <cell r="C156" t="str">
            <v>R1</v>
          </cell>
          <cell r="D156" t="str">
            <v>M3M Capital Walk in M3M Capital Phase-2</v>
          </cell>
          <cell r="E156" t="str">
            <v>cwBOOKING/00075/23-24</v>
          </cell>
          <cell r="F156" t="str">
            <v>Mr. VAIBHAV GOEL</v>
          </cell>
          <cell r="G156" t="str">
            <v>cwFLAP/00874/22-23</v>
          </cell>
          <cell r="H156" t="str">
            <v>On Application of OC</v>
          </cell>
          <cell r="I156">
            <v>0</v>
          </cell>
          <cell r="J156">
            <v>45187</v>
          </cell>
          <cell r="K156">
            <v>46144</v>
          </cell>
          <cell r="L156">
            <v>46164</v>
          </cell>
          <cell r="M156">
            <v>1706060</v>
          </cell>
          <cell r="N156">
            <v>204728</v>
          </cell>
          <cell r="O156">
            <v>1910788</v>
          </cell>
          <cell r="P156"/>
          <cell r="Q156"/>
          <cell r="R156"/>
          <cell r="S156"/>
          <cell r="T156">
            <v>0</v>
          </cell>
          <cell r="U156">
            <v>0</v>
          </cell>
          <cell r="V156">
            <v>1.1300000008195639</v>
          </cell>
          <cell r="W156">
            <v>1910789.1300000008</v>
          </cell>
          <cell r="X156">
            <v>13543</v>
          </cell>
          <cell r="Y156">
            <v>0</v>
          </cell>
          <cell r="Z156">
            <v>0</v>
          </cell>
          <cell r="AA156">
            <v>13543</v>
          </cell>
          <cell r="AB156"/>
          <cell r="AC156"/>
          <cell r="AD156"/>
          <cell r="AE156"/>
          <cell r="AF156" t="str">
            <v>UnRegistered</v>
          </cell>
        </row>
        <row r="157">
          <cell r="B157" t="str">
            <v>R5 UG 35</v>
          </cell>
          <cell r="C157" t="str">
            <v>R5</v>
          </cell>
          <cell r="D157" t="str">
            <v>M3M Capital Walk in M3M Capital Phase-2</v>
          </cell>
          <cell r="E157" t="str">
            <v>cwBOOKING/00076/23-24</v>
          </cell>
          <cell r="F157" t="str">
            <v>Ms. AMARJEET NAMSOT</v>
          </cell>
          <cell r="G157" t="str">
            <v>cwFLAP/01075/22-23</v>
          </cell>
          <cell r="H157" t="str">
            <v>On Application of OC</v>
          </cell>
          <cell r="I157">
            <v>0</v>
          </cell>
          <cell r="J157">
            <v>45110</v>
          </cell>
          <cell r="K157">
            <v>46144</v>
          </cell>
          <cell r="L157">
            <v>46164</v>
          </cell>
          <cell r="M157">
            <v>1852096</v>
          </cell>
          <cell r="N157">
            <v>222252</v>
          </cell>
          <cell r="O157">
            <v>2074348</v>
          </cell>
          <cell r="P157">
            <v>194120.45</v>
          </cell>
          <cell r="Q157"/>
          <cell r="R157"/>
          <cell r="S157">
            <v>23294.454000000002</v>
          </cell>
          <cell r="T157">
            <v>217414.90400000001</v>
          </cell>
          <cell r="U157">
            <v>0</v>
          </cell>
          <cell r="V157">
            <v>0</v>
          </cell>
          <cell r="W157">
            <v>1856933.0959999999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 t="str">
            <v>Executed</v>
          </cell>
          <cell r="AC157" t="str">
            <v>Yes</v>
          </cell>
          <cell r="AD157">
            <v>4.1924488258380611E-2</v>
          </cell>
          <cell r="AE157" t="str">
            <v>Less than 35%</v>
          </cell>
          <cell r="AF157" t="str">
            <v>UnRegistered</v>
          </cell>
        </row>
        <row r="158">
          <cell r="B158" t="str">
            <v>R4 G 18</v>
          </cell>
          <cell r="C158" t="str">
            <v>R4</v>
          </cell>
          <cell r="D158" t="str">
            <v>M3M Capital Walk in M3M Capital Phase-2</v>
          </cell>
          <cell r="E158" t="str">
            <v>cwBOOKING/00077/22-23</v>
          </cell>
          <cell r="F158" t="str">
            <v>Mr. SULTAN SINGH</v>
          </cell>
          <cell r="G158" t="str">
            <v>cwFLAP/00182/22-23</v>
          </cell>
          <cell r="H158" t="str">
            <v>On Application of OC</v>
          </cell>
          <cell r="I158">
            <v>0</v>
          </cell>
          <cell r="J158">
            <v>44965</v>
          </cell>
          <cell r="K158">
            <v>46144</v>
          </cell>
          <cell r="L158">
            <v>46164</v>
          </cell>
          <cell r="M158">
            <v>4442608</v>
          </cell>
          <cell r="N158">
            <v>533112</v>
          </cell>
          <cell r="O158">
            <v>4975720</v>
          </cell>
          <cell r="P158"/>
          <cell r="Q158"/>
          <cell r="R158"/>
          <cell r="S158"/>
          <cell r="T158">
            <v>0</v>
          </cell>
          <cell r="U158">
            <v>0</v>
          </cell>
          <cell r="V158">
            <v>0</v>
          </cell>
          <cell r="W158">
            <v>4975720</v>
          </cell>
          <cell r="X158">
            <v>635057</v>
          </cell>
          <cell r="Y158">
            <v>0</v>
          </cell>
          <cell r="Z158">
            <v>0</v>
          </cell>
          <cell r="AA158">
            <v>635057</v>
          </cell>
          <cell r="AB158" t="str">
            <v>Not Executed</v>
          </cell>
          <cell r="AC158" t="str">
            <v>Recovery Case</v>
          </cell>
          <cell r="AD158">
            <v>-0.5548457204610916</v>
          </cell>
          <cell r="AE158" t="str">
            <v>Recovery Case</v>
          </cell>
          <cell r="AF158" t="str">
            <v>UnRegistered</v>
          </cell>
        </row>
        <row r="159">
          <cell r="B159" t="str">
            <v>R3 UG 05</v>
          </cell>
          <cell r="C159" t="str">
            <v>R3</v>
          </cell>
          <cell r="D159" t="str">
            <v>M3M Capital Walk in M3M Capital Phase-2</v>
          </cell>
          <cell r="E159" t="str">
            <v>cwBOOKING/00077/23-24</v>
          </cell>
          <cell r="F159" t="str">
            <v>Mr. AJAY SHARMA</v>
          </cell>
          <cell r="G159" t="str">
            <v>cwFLAP/00822/22-23</v>
          </cell>
          <cell r="H159" t="str">
            <v>On Application of OC</v>
          </cell>
          <cell r="I159">
            <v>0</v>
          </cell>
          <cell r="J159">
            <v>45075</v>
          </cell>
          <cell r="K159">
            <v>46144</v>
          </cell>
          <cell r="L159">
            <v>46164</v>
          </cell>
          <cell r="M159">
            <v>6751976</v>
          </cell>
          <cell r="N159">
            <v>810238</v>
          </cell>
          <cell r="O159">
            <v>7562214</v>
          </cell>
          <cell r="P159"/>
          <cell r="Q159"/>
          <cell r="R159"/>
          <cell r="S159"/>
          <cell r="T159">
            <v>0</v>
          </cell>
          <cell r="U159">
            <v>0</v>
          </cell>
          <cell r="V159">
            <v>0</v>
          </cell>
          <cell r="W159">
            <v>7562214</v>
          </cell>
          <cell r="X159">
            <v>414.84</v>
          </cell>
          <cell r="Y159">
            <v>0</v>
          </cell>
          <cell r="Z159">
            <v>0</v>
          </cell>
          <cell r="AA159">
            <v>414.84</v>
          </cell>
          <cell r="AB159"/>
          <cell r="AC159"/>
          <cell r="AD159"/>
          <cell r="AE159"/>
          <cell r="AF159" t="str">
            <v>UnRegistered</v>
          </cell>
        </row>
        <row r="160">
          <cell r="B160" t="str">
            <v>R5 128</v>
          </cell>
          <cell r="C160" t="str">
            <v>R5</v>
          </cell>
          <cell r="D160" t="str">
            <v>M3M Capital Walk in M3M Capital Phase-2</v>
          </cell>
          <cell r="E160" t="str">
            <v>cwBOOKING/00078/22-23</v>
          </cell>
          <cell r="F160" t="str">
            <v>Mr. KUNAL SAINI</v>
          </cell>
          <cell r="G160" t="str">
            <v>cwFLAP/00113/22-23</v>
          </cell>
          <cell r="H160" t="str">
            <v>On Application of OC</v>
          </cell>
          <cell r="I160">
            <v>0</v>
          </cell>
          <cell r="J160">
            <v>45057</v>
          </cell>
          <cell r="K160">
            <v>46144</v>
          </cell>
          <cell r="L160">
            <v>46164</v>
          </cell>
          <cell r="M160">
            <v>4518231</v>
          </cell>
          <cell r="N160">
            <v>542188</v>
          </cell>
          <cell r="O160">
            <v>5060419</v>
          </cell>
          <cell r="P160">
            <v>2366160.42252</v>
          </cell>
          <cell r="Q160"/>
          <cell r="R160"/>
          <cell r="S160">
            <v>283939.25070239999</v>
          </cell>
          <cell r="T160">
            <v>2650099.6732224002</v>
          </cell>
          <cell r="U160">
            <v>1</v>
          </cell>
          <cell r="V160">
            <v>0</v>
          </cell>
          <cell r="W160">
            <v>2410318.3267775998</v>
          </cell>
          <cell r="X160">
            <v>1126</v>
          </cell>
          <cell r="Y160">
            <v>0</v>
          </cell>
          <cell r="Z160">
            <v>0</v>
          </cell>
          <cell r="AA160">
            <v>1126</v>
          </cell>
          <cell r="AB160" t="str">
            <v>Executed</v>
          </cell>
          <cell r="AC160" t="str">
            <v>Yes</v>
          </cell>
          <cell r="AD160">
            <v>0.34400317577270273</v>
          </cell>
          <cell r="AE160" t="str">
            <v>Less than 35%</v>
          </cell>
          <cell r="AF160" t="str">
            <v>UnRegistered</v>
          </cell>
        </row>
        <row r="161">
          <cell r="B161" t="str">
            <v>R4 LG 29</v>
          </cell>
          <cell r="C161" t="str">
            <v>R4</v>
          </cell>
          <cell r="D161" t="str">
            <v>M3M Capital Walk in M3M Capital Phase-2</v>
          </cell>
          <cell r="E161" t="str">
            <v>cwBOOKING/00078/23-24</v>
          </cell>
          <cell r="F161" t="str">
            <v>Mr. HUKAM SINGH VERMA</v>
          </cell>
          <cell r="G161" t="str">
            <v>cwFLAP/00927/22-23</v>
          </cell>
          <cell r="H161" t="str">
            <v>On Application of OC</v>
          </cell>
          <cell r="I161">
            <v>0</v>
          </cell>
          <cell r="J161">
            <v>45236</v>
          </cell>
          <cell r="K161">
            <v>46144</v>
          </cell>
          <cell r="L161">
            <v>46164</v>
          </cell>
          <cell r="M161">
            <v>6193886</v>
          </cell>
          <cell r="N161">
            <v>743266</v>
          </cell>
          <cell r="O161">
            <v>6937152</v>
          </cell>
          <cell r="P161"/>
          <cell r="Q161"/>
          <cell r="R161"/>
          <cell r="S161"/>
          <cell r="T161">
            <v>0</v>
          </cell>
          <cell r="U161">
            <v>1</v>
          </cell>
          <cell r="V161">
            <v>0</v>
          </cell>
          <cell r="W161">
            <v>6937151</v>
          </cell>
          <cell r="X161">
            <v>319.83999999999997</v>
          </cell>
          <cell r="Y161">
            <v>0</v>
          </cell>
          <cell r="Z161">
            <v>0</v>
          </cell>
          <cell r="AA161">
            <v>319.83999999999997</v>
          </cell>
          <cell r="AB161"/>
          <cell r="AC161"/>
          <cell r="AD161"/>
          <cell r="AE161"/>
          <cell r="AF161" t="str">
            <v>UnRegistered</v>
          </cell>
        </row>
        <row r="162">
          <cell r="B162" t="str">
            <v>R5 K 223</v>
          </cell>
          <cell r="C162" t="str">
            <v>R5</v>
          </cell>
          <cell r="D162" t="str">
            <v>M3M Capital Walk in M3M Capital Phase-2</v>
          </cell>
          <cell r="E162" t="str">
            <v>cwBOOKING/00079/22-23</v>
          </cell>
          <cell r="F162" t="str">
            <v>Mr. SURINDER KUMAR</v>
          </cell>
          <cell r="G162" t="str">
            <v>cwFLAP/00196/22-23</v>
          </cell>
          <cell r="H162" t="str">
            <v>On Application of OC</v>
          </cell>
          <cell r="I162">
            <v>0</v>
          </cell>
          <cell r="J162">
            <v>45002</v>
          </cell>
          <cell r="K162">
            <v>46144</v>
          </cell>
          <cell r="L162">
            <v>46164</v>
          </cell>
          <cell r="M162">
            <v>6057332</v>
          </cell>
          <cell r="N162">
            <v>726880</v>
          </cell>
          <cell r="O162">
            <v>6784212</v>
          </cell>
          <cell r="P162">
            <v>2457689.3250000002</v>
          </cell>
          <cell r="Q162"/>
          <cell r="R162"/>
          <cell r="S162">
            <v>294922.71899999998</v>
          </cell>
          <cell r="T162">
            <v>2752612.0440000002</v>
          </cell>
          <cell r="U162">
            <v>1</v>
          </cell>
          <cell r="V162">
            <v>0</v>
          </cell>
          <cell r="W162">
            <v>4031598.9559999998</v>
          </cell>
          <cell r="X162">
            <v>6937</v>
          </cell>
          <cell r="Y162">
            <v>0</v>
          </cell>
          <cell r="Z162">
            <v>0</v>
          </cell>
          <cell r="AA162">
            <v>6937</v>
          </cell>
          <cell r="AB162" t="str">
            <v>Executed</v>
          </cell>
          <cell r="AC162" t="str">
            <v>Yes</v>
          </cell>
          <cell r="AD162">
            <v>0.23856276090250275</v>
          </cell>
          <cell r="AE162" t="str">
            <v>Less than 35%</v>
          </cell>
          <cell r="AF162" t="str">
            <v>UnRegistered</v>
          </cell>
        </row>
        <row r="163">
          <cell r="B163" t="str">
            <v>R4 LG 15</v>
          </cell>
          <cell r="C163" t="str">
            <v>R4</v>
          </cell>
          <cell r="D163" t="str">
            <v>M3M Capital Walk in M3M Capital Phase-2</v>
          </cell>
          <cell r="E163" t="str">
            <v>cwBOOKING/00079/23-24</v>
          </cell>
          <cell r="F163" t="str">
            <v>Mr. VIPUL JAIN</v>
          </cell>
          <cell r="G163" t="str">
            <v>cwFLAP/00680/22-23</v>
          </cell>
          <cell r="H163" t="str">
            <v>On Application of OC</v>
          </cell>
          <cell r="I163">
            <v>0</v>
          </cell>
          <cell r="J163">
            <v>45407</v>
          </cell>
          <cell r="K163">
            <v>46144</v>
          </cell>
          <cell r="L163">
            <v>46164</v>
          </cell>
          <cell r="M163">
            <v>6677569</v>
          </cell>
          <cell r="N163">
            <v>801308</v>
          </cell>
          <cell r="O163">
            <v>7478877</v>
          </cell>
          <cell r="P163"/>
          <cell r="Q163"/>
          <cell r="R163"/>
          <cell r="S163"/>
          <cell r="T163">
            <v>0</v>
          </cell>
          <cell r="U163">
            <v>0</v>
          </cell>
          <cell r="V163">
            <v>2</v>
          </cell>
          <cell r="W163">
            <v>7478879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/>
          <cell r="AC163"/>
          <cell r="AD163"/>
          <cell r="AE163"/>
          <cell r="AF163" t="str">
            <v>UnRegistered</v>
          </cell>
        </row>
        <row r="164">
          <cell r="B164" t="str">
            <v>R5 K 205</v>
          </cell>
          <cell r="C164" t="str">
            <v>R5</v>
          </cell>
          <cell r="D164" t="str">
            <v>M3M Capital Walk in M3M Capital Phase-2</v>
          </cell>
          <cell r="E164" t="str">
            <v>cwBOOKING/00080/22-23</v>
          </cell>
          <cell r="F164" t="str">
            <v>Mr. SURINDER KUMAR</v>
          </cell>
          <cell r="G164" t="str">
            <v>cwFLAP/00198/22-23</v>
          </cell>
          <cell r="H164" t="str">
            <v>On Application of OC</v>
          </cell>
          <cell r="I164">
            <v>0</v>
          </cell>
          <cell r="J164">
            <v>45002</v>
          </cell>
          <cell r="K164">
            <v>46144</v>
          </cell>
          <cell r="L164">
            <v>46164</v>
          </cell>
          <cell r="M164">
            <v>6057332</v>
          </cell>
          <cell r="N164">
            <v>726880</v>
          </cell>
          <cell r="O164">
            <v>6784212</v>
          </cell>
          <cell r="P164">
            <v>2457689.3250000002</v>
          </cell>
          <cell r="Q164"/>
          <cell r="R164"/>
          <cell r="S164">
            <v>294922.71899999998</v>
          </cell>
          <cell r="T164">
            <v>2752612.0440000002</v>
          </cell>
          <cell r="U164">
            <v>1</v>
          </cell>
          <cell r="V164">
            <v>0</v>
          </cell>
          <cell r="W164">
            <v>4031598.9559999998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 t="str">
            <v>Executed</v>
          </cell>
          <cell r="AC164" t="str">
            <v>Yes</v>
          </cell>
          <cell r="AD164">
            <v>0.23856276090250275</v>
          </cell>
          <cell r="AE164" t="str">
            <v>Less than 35%</v>
          </cell>
          <cell r="AF164" t="str">
            <v>UnRegistered</v>
          </cell>
        </row>
        <row r="165">
          <cell r="B165" t="str">
            <v>R1 LG 22</v>
          </cell>
          <cell r="C165" t="str">
            <v>R1</v>
          </cell>
          <cell r="D165" t="str">
            <v>M3M Capital Walk in M3M Capital Phase-2</v>
          </cell>
          <cell r="E165" t="str">
            <v>cwBOOKING/00080/23-24</v>
          </cell>
          <cell r="F165" t="str">
            <v>Mr. MANOJ SRIVASTAVA</v>
          </cell>
          <cell r="G165" t="str">
            <v>cwFLAP/01009/22-23</v>
          </cell>
          <cell r="H165" t="str">
            <v>On Application of OC</v>
          </cell>
          <cell r="I165">
            <v>0</v>
          </cell>
          <cell r="J165">
            <v>45098</v>
          </cell>
          <cell r="K165">
            <v>46144</v>
          </cell>
          <cell r="L165">
            <v>46164</v>
          </cell>
          <cell r="M165">
            <v>9816768</v>
          </cell>
          <cell r="N165">
            <v>1178012</v>
          </cell>
          <cell r="O165">
            <v>10994780</v>
          </cell>
          <cell r="P165"/>
          <cell r="Q165"/>
          <cell r="R165"/>
          <cell r="S165"/>
          <cell r="T165">
            <v>0</v>
          </cell>
          <cell r="U165">
            <v>2</v>
          </cell>
          <cell r="V165">
            <v>0</v>
          </cell>
          <cell r="W165">
            <v>10994778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/>
          <cell r="AC165"/>
          <cell r="AD165"/>
          <cell r="AE165"/>
          <cell r="AF165" t="str">
            <v>UnRegistered</v>
          </cell>
        </row>
        <row r="166">
          <cell r="B166" t="str">
            <v>R5 K 214</v>
          </cell>
          <cell r="C166" t="str">
            <v>R5</v>
          </cell>
          <cell r="D166" t="str">
            <v>M3M Capital Walk in M3M Capital Phase-2</v>
          </cell>
          <cell r="E166" t="str">
            <v>cwBOOKING/00081/22-23</v>
          </cell>
          <cell r="F166" t="str">
            <v>Mr. BIJENDER KUMAR CHAUHAN</v>
          </cell>
          <cell r="G166" t="str">
            <v>cwFLAP/00199/22-23</v>
          </cell>
          <cell r="H166" t="str">
            <v>On Application of OC</v>
          </cell>
          <cell r="I166">
            <v>0</v>
          </cell>
          <cell r="J166">
            <v>45167</v>
          </cell>
          <cell r="K166">
            <v>46144</v>
          </cell>
          <cell r="L166">
            <v>46164</v>
          </cell>
          <cell r="M166">
            <v>4890966</v>
          </cell>
          <cell r="N166">
            <v>586916</v>
          </cell>
          <cell r="O166">
            <v>5477882</v>
          </cell>
          <cell r="P166">
            <v>639890.91833333333</v>
          </cell>
          <cell r="Q166"/>
          <cell r="R166"/>
          <cell r="S166">
            <v>76786.910199999998</v>
          </cell>
          <cell r="T166">
            <v>716677.82853333338</v>
          </cell>
          <cell r="U166">
            <v>0</v>
          </cell>
          <cell r="V166">
            <v>0</v>
          </cell>
          <cell r="W166">
            <v>4761204.1714666663</v>
          </cell>
          <cell r="X166">
            <v>1271</v>
          </cell>
          <cell r="Y166">
            <v>0</v>
          </cell>
          <cell r="Z166">
            <v>1271</v>
          </cell>
          <cell r="AA166">
            <v>0</v>
          </cell>
          <cell r="AB166" t="str">
            <v>Executed</v>
          </cell>
          <cell r="AC166" t="str">
            <v>Yes</v>
          </cell>
          <cell r="AD166">
            <v>6.8417395542424722E-2</v>
          </cell>
          <cell r="AE166" t="str">
            <v>Less than 35%</v>
          </cell>
          <cell r="AF166" t="str">
            <v>UnRegistered</v>
          </cell>
        </row>
        <row r="167">
          <cell r="B167" t="str">
            <v>R3 UG 39</v>
          </cell>
          <cell r="C167" t="str">
            <v>R3</v>
          </cell>
          <cell r="D167" t="str">
            <v>M3M Capital Walk in M3M Capital Phase-2</v>
          </cell>
          <cell r="E167" t="str">
            <v>cwBOOKING/00081/23-24</v>
          </cell>
          <cell r="F167" t="str">
            <v>Mr. PRAVESH KUMAR KARHANA</v>
          </cell>
          <cell r="G167" t="str">
            <v>cwFLAP/01078/22-23</v>
          </cell>
          <cell r="H167" t="str">
            <v>On Application of OC</v>
          </cell>
          <cell r="I167">
            <v>0</v>
          </cell>
          <cell r="J167">
            <v>45159</v>
          </cell>
          <cell r="K167">
            <v>46144</v>
          </cell>
          <cell r="L167">
            <v>46164</v>
          </cell>
          <cell r="M167">
            <v>9126902</v>
          </cell>
          <cell r="N167">
            <v>1095228</v>
          </cell>
          <cell r="O167">
            <v>10222130</v>
          </cell>
          <cell r="P167"/>
          <cell r="Q167"/>
          <cell r="R167"/>
          <cell r="S167"/>
          <cell r="T167">
            <v>0</v>
          </cell>
          <cell r="U167">
            <v>0</v>
          </cell>
          <cell r="V167">
            <v>0</v>
          </cell>
          <cell r="W167">
            <v>10222130</v>
          </cell>
          <cell r="X167">
            <v>1696</v>
          </cell>
          <cell r="Y167">
            <v>0</v>
          </cell>
          <cell r="Z167">
            <v>0</v>
          </cell>
          <cell r="AA167">
            <v>1696</v>
          </cell>
          <cell r="AB167"/>
          <cell r="AC167"/>
          <cell r="AD167"/>
          <cell r="AE167"/>
          <cell r="AF167" t="str">
            <v>UnRegistered</v>
          </cell>
        </row>
        <row r="168">
          <cell r="B168" t="str">
            <v>R6 115</v>
          </cell>
          <cell r="C168" t="str">
            <v>R6</v>
          </cell>
          <cell r="D168" t="str">
            <v>M3M Capital Walk in M3M Capital Phase-2</v>
          </cell>
          <cell r="E168" t="str">
            <v>cwBOOKING/00082/23-24</v>
          </cell>
          <cell r="F168" t="str">
            <v>Mr. SUNNY LATHER</v>
          </cell>
          <cell r="G168" t="str">
            <v>cwFLAP/00009/23-24</v>
          </cell>
          <cell r="H168" t="str">
            <v>On Application of OC</v>
          </cell>
          <cell r="I168">
            <v>0</v>
          </cell>
          <cell r="J168">
            <v>45232</v>
          </cell>
          <cell r="K168">
            <v>46144</v>
          </cell>
          <cell r="L168">
            <v>46164</v>
          </cell>
          <cell r="M168">
            <v>8837434</v>
          </cell>
          <cell r="N168">
            <v>1060492</v>
          </cell>
          <cell r="O168">
            <v>9897926</v>
          </cell>
          <cell r="P168"/>
          <cell r="Q168"/>
          <cell r="R168"/>
          <cell r="S168"/>
          <cell r="T168">
            <v>0</v>
          </cell>
          <cell r="U168">
            <v>0.92</v>
          </cell>
          <cell r="V168">
            <v>0</v>
          </cell>
          <cell r="W168">
            <v>9897925.0800000001</v>
          </cell>
          <cell r="X168">
            <v>591</v>
          </cell>
          <cell r="Y168">
            <v>0</v>
          </cell>
          <cell r="Z168">
            <v>0</v>
          </cell>
          <cell r="AA168">
            <v>591</v>
          </cell>
          <cell r="AB168"/>
          <cell r="AC168"/>
          <cell r="AD168"/>
          <cell r="AE168"/>
          <cell r="AF168" t="str">
            <v>UnRegistered</v>
          </cell>
        </row>
        <row r="169">
          <cell r="B169" t="str">
            <v>R6 204</v>
          </cell>
          <cell r="C169" t="str">
            <v>R6</v>
          </cell>
          <cell r="D169" t="str">
            <v>M3M Capital Walk in M3M Capital Phase-2</v>
          </cell>
          <cell r="E169" t="str">
            <v>cwBOOKING/00083/23-24</v>
          </cell>
          <cell r="F169" t="str">
            <v>Ms. REKHA SINGH</v>
          </cell>
          <cell r="G169" t="str">
            <v>cwFLAP/00407/22-23</v>
          </cell>
          <cell r="H169" t="str">
            <v>On Application of OC</v>
          </cell>
          <cell r="I169">
            <v>0</v>
          </cell>
          <cell r="J169">
            <v>45274</v>
          </cell>
          <cell r="K169">
            <v>46144</v>
          </cell>
          <cell r="L169">
            <v>46164</v>
          </cell>
          <cell r="M169">
            <v>1381166</v>
          </cell>
          <cell r="N169">
            <v>165740</v>
          </cell>
          <cell r="O169">
            <v>1546906</v>
          </cell>
          <cell r="P169"/>
          <cell r="Q169"/>
          <cell r="R169"/>
          <cell r="S169"/>
          <cell r="T169">
            <v>0</v>
          </cell>
          <cell r="U169">
            <v>0</v>
          </cell>
          <cell r="V169">
            <v>0</v>
          </cell>
          <cell r="W169">
            <v>1546906</v>
          </cell>
          <cell r="X169">
            <v>1592</v>
          </cell>
          <cell r="Y169">
            <v>0</v>
          </cell>
          <cell r="Z169">
            <v>0</v>
          </cell>
          <cell r="AA169">
            <v>1592</v>
          </cell>
          <cell r="AB169"/>
          <cell r="AC169"/>
          <cell r="AD169"/>
          <cell r="AE169"/>
          <cell r="AF169" t="str">
            <v>UnRegistered</v>
          </cell>
        </row>
        <row r="170">
          <cell r="B170" t="str">
            <v>R4 224</v>
          </cell>
          <cell r="C170" t="str">
            <v>R4</v>
          </cell>
          <cell r="D170" t="str">
            <v>M3M Capital Walk in M3M Capital Phase-2</v>
          </cell>
          <cell r="E170" t="str">
            <v>cwBOOKING/00084/22-23</v>
          </cell>
          <cell r="F170" t="str">
            <v>Mr. SUSHIL MALIK</v>
          </cell>
          <cell r="G170" t="str">
            <v>cwFLAP/00219/22-23</v>
          </cell>
          <cell r="H170" t="str">
            <v>On Application of OC</v>
          </cell>
          <cell r="I170">
            <v>0</v>
          </cell>
          <cell r="J170">
            <v>45295</v>
          </cell>
          <cell r="K170">
            <v>46144</v>
          </cell>
          <cell r="L170">
            <v>46164</v>
          </cell>
          <cell r="M170">
            <v>1864480</v>
          </cell>
          <cell r="N170">
            <v>223738</v>
          </cell>
          <cell r="O170">
            <v>2088218</v>
          </cell>
          <cell r="P170"/>
          <cell r="Q170"/>
          <cell r="R170"/>
          <cell r="S170"/>
          <cell r="T170">
            <v>0</v>
          </cell>
          <cell r="U170">
            <v>37408</v>
          </cell>
          <cell r="V170">
            <v>0</v>
          </cell>
          <cell r="W170">
            <v>2050810</v>
          </cell>
          <cell r="X170">
            <v>8608</v>
          </cell>
          <cell r="Y170">
            <v>0</v>
          </cell>
          <cell r="Z170">
            <v>0</v>
          </cell>
          <cell r="AA170">
            <v>8608</v>
          </cell>
          <cell r="AB170"/>
          <cell r="AC170"/>
          <cell r="AD170"/>
          <cell r="AE170"/>
          <cell r="AF170" t="str">
            <v>UnRegistered</v>
          </cell>
        </row>
        <row r="171">
          <cell r="B171" t="str">
            <v>R3 LG 79</v>
          </cell>
          <cell r="C171" t="str">
            <v>R3</v>
          </cell>
          <cell r="D171" t="str">
            <v>M3M Capital Walk in M3M Capital Phase-2</v>
          </cell>
          <cell r="E171" t="str">
            <v>cwBOOKING/00084/23-24</v>
          </cell>
          <cell r="F171" t="str">
            <v>Mr. SANJAY MATHUR</v>
          </cell>
          <cell r="G171" t="str">
            <v>cwFLAP/00968/22-23</v>
          </cell>
          <cell r="H171" t="str">
            <v>On Application of OC</v>
          </cell>
          <cell r="I171">
            <v>0</v>
          </cell>
          <cell r="J171">
            <v>45267</v>
          </cell>
          <cell r="K171">
            <v>46144</v>
          </cell>
          <cell r="L171">
            <v>46164</v>
          </cell>
          <cell r="M171">
            <v>6125075</v>
          </cell>
          <cell r="N171">
            <v>735008</v>
          </cell>
          <cell r="O171">
            <v>6860083</v>
          </cell>
          <cell r="P171"/>
          <cell r="Q171"/>
          <cell r="R171"/>
          <cell r="S171"/>
          <cell r="T171">
            <v>0</v>
          </cell>
          <cell r="U171">
            <v>3464</v>
          </cell>
          <cell r="V171">
            <v>0</v>
          </cell>
          <cell r="W171">
            <v>6856619</v>
          </cell>
          <cell r="X171">
            <v>3514</v>
          </cell>
          <cell r="Y171">
            <v>0</v>
          </cell>
          <cell r="Z171">
            <v>0</v>
          </cell>
          <cell r="AA171">
            <v>3514</v>
          </cell>
          <cell r="AB171"/>
          <cell r="AC171"/>
          <cell r="AD171"/>
          <cell r="AE171"/>
          <cell r="AF171" t="str">
            <v>UnRegistered</v>
          </cell>
        </row>
        <row r="172">
          <cell r="B172" t="str">
            <v>R4 124</v>
          </cell>
          <cell r="C172" t="str">
            <v>R4</v>
          </cell>
          <cell r="D172" t="str">
            <v>M3M Capital Walk in M3M Capital Phase-2</v>
          </cell>
          <cell r="E172" t="str">
            <v>cwBOOKING/00085/22-23</v>
          </cell>
          <cell r="F172" t="str">
            <v>Ms. GAYATRI KUNDU</v>
          </cell>
          <cell r="G172" t="str">
            <v>cwFLAP/00220/22-23</v>
          </cell>
          <cell r="H172" t="str">
            <v>On Application of OC</v>
          </cell>
          <cell r="I172">
            <v>0</v>
          </cell>
          <cell r="J172">
            <v>45005</v>
          </cell>
          <cell r="K172">
            <v>46144</v>
          </cell>
          <cell r="L172">
            <v>46164</v>
          </cell>
          <cell r="M172">
            <v>5243830</v>
          </cell>
          <cell r="N172">
            <v>629260</v>
          </cell>
          <cell r="O172">
            <v>5873090</v>
          </cell>
          <cell r="P172">
            <v>1457340.0538666667</v>
          </cell>
          <cell r="Q172"/>
          <cell r="R172"/>
          <cell r="S172">
            <v>174880.80646399999</v>
          </cell>
          <cell r="T172">
            <v>1632220.8603306666</v>
          </cell>
          <cell r="U172">
            <v>15505.67</v>
          </cell>
          <cell r="V172">
            <v>0</v>
          </cell>
          <cell r="W172">
            <v>4225363.4696693337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 t="str">
            <v>Executed</v>
          </cell>
          <cell r="AC172" t="str">
            <v>Yes</v>
          </cell>
          <cell r="AD172">
            <v>0.19304514839587431</v>
          </cell>
          <cell r="AE172" t="str">
            <v>Less than 35%</v>
          </cell>
          <cell r="AF172" t="str">
            <v>UnRegistered</v>
          </cell>
        </row>
        <row r="173">
          <cell r="B173" t="str">
            <v>R4 LG 12A</v>
          </cell>
          <cell r="C173" t="str">
            <v>R4</v>
          </cell>
          <cell r="D173" t="str">
            <v>M3M Capital Walk in M3M Capital Phase-2</v>
          </cell>
          <cell r="E173" t="str">
            <v>cwBOOKING/00085/23-24</v>
          </cell>
          <cell r="F173" t="str">
            <v>M/S. DEEPAK SHARMA (HUF)</v>
          </cell>
          <cell r="G173" t="str">
            <v>cwFLAP/00774/22-23</v>
          </cell>
          <cell r="H173" t="str">
            <v>On Application of OC</v>
          </cell>
          <cell r="I173">
            <v>0</v>
          </cell>
          <cell r="J173">
            <v>45085</v>
          </cell>
          <cell r="K173">
            <v>46144</v>
          </cell>
          <cell r="L173">
            <v>46164</v>
          </cell>
          <cell r="M173">
            <v>6042231</v>
          </cell>
          <cell r="N173">
            <v>725068</v>
          </cell>
          <cell r="O173">
            <v>6767299</v>
          </cell>
          <cell r="P173">
            <v>4948832.2273733336</v>
          </cell>
          <cell r="Q173"/>
          <cell r="R173"/>
          <cell r="S173">
            <v>593859.86728480004</v>
          </cell>
          <cell r="T173">
            <v>5542692.0946581336</v>
          </cell>
          <cell r="U173">
            <v>0</v>
          </cell>
          <cell r="V173">
            <v>1</v>
          </cell>
          <cell r="W173">
            <v>1224607.9053418664</v>
          </cell>
          <cell r="X173">
            <v>166534</v>
          </cell>
          <cell r="Y173">
            <v>0</v>
          </cell>
          <cell r="Z173">
            <v>0</v>
          </cell>
          <cell r="AA173">
            <v>166534</v>
          </cell>
          <cell r="AB173" t="str">
            <v>Executed</v>
          </cell>
          <cell r="AC173" t="str">
            <v>No, due to interest more than 75000</v>
          </cell>
          <cell r="AD173">
            <v>0.24731220305027596</v>
          </cell>
          <cell r="AE173" t="str">
            <v>Less than 35%</v>
          </cell>
          <cell r="AF173" t="str">
            <v>UnRegistered</v>
          </cell>
        </row>
        <row r="174">
          <cell r="B174" t="str">
            <v>R5 223</v>
          </cell>
          <cell r="C174" t="str">
            <v>R5</v>
          </cell>
          <cell r="D174" t="str">
            <v>M3M Capital Walk in M3M Capital Phase-2</v>
          </cell>
          <cell r="E174" t="str">
            <v>cwBOOKING/00086/22-23</v>
          </cell>
          <cell r="F174" t="str">
            <v>Mrs. RICHA KUMARI</v>
          </cell>
          <cell r="G174" t="str">
            <v>cwFLAP/00221/22-23</v>
          </cell>
          <cell r="H174" t="str">
            <v>On Application of OC</v>
          </cell>
          <cell r="I174">
            <v>0</v>
          </cell>
          <cell r="J174">
            <v>45169</v>
          </cell>
          <cell r="K174">
            <v>46144</v>
          </cell>
          <cell r="L174">
            <v>46164</v>
          </cell>
          <cell r="M174">
            <v>3109970</v>
          </cell>
          <cell r="N174">
            <v>373196</v>
          </cell>
          <cell r="O174">
            <v>3483166</v>
          </cell>
          <cell r="P174"/>
          <cell r="Q174"/>
          <cell r="R174"/>
          <cell r="S174"/>
          <cell r="T174">
            <v>0</v>
          </cell>
          <cell r="U174">
            <v>0</v>
          </cell>
          <cell r="V174">
            <v>0</v>
          </cell>
          <cell r="W174">
            <v>3483166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/>
          <cell r="AC174"/>
          <cell r="AD174"/>
          <cell r="AE174"/>
          <cell r="AF174" t="str">
            <v>UnRegistered</v>
          </cell>
        </row>
        <row r="175">
          <cell r="B175" t="str">
            <v>R1 LG 26</v>
          </cell>
          <cell r="C175" t="str">
            <v>R1</v>
          </cell>
          <cell r="D175" t="str">
            <v>M3M Capital Walk in M3M Capital Phase-2</v>
          </cell>
          <cell r="E175" t="str">
            <v>cwBOOKING/00086/23-24</v>
          </cell>
          <cell r="F175" t="str">
            <v>Mr. SANDEEP MALIK</v>
          </cell>
          <cell r="G175" t="str">
            <v>cwFLAP/00952/22-23</v>
          </cell>
          <cell r="H175" t="str">
            <v>On Application of OC</v>
          </cell>
          <cell r="I175">
            <v>0</v>
          </cell>
          <cell r="J175">
            <v>45300</v>
          </cell>
          <cell r="K175">
            <v>46144</v>
          </cell>
          <cell r="L175">
            <v>46164</v>
          </cell>
          <cell r="M175">
            <v>4400452</v>
          </cell>
          <cell r="N175">
            <v>528054</v>
          </cell>
          <cell r="O175">
            <v>4928506</v>
          </cell>
          <cell r="P175"/>
          <cell r="Q175"/>
          <cell r="R175"/>
          <cell r="S175"/>
          <cell r="T175">
            <v>0</v>
          </cell>
          <cell r="U175">
            <v>0</v>
          </cell>
          <cell r="V175">
            <v>0</v>
          </cell>
          <cell r="W175">
            <v>4928506</v>
          </cell>
          <cell r="X175">
            <v>43731</v>
          </cell>
          <cell r="Y175">
            <v>0</v>
          </cell>
          <cell r="Z175">
            <v>0</v>
          </cell>
          <cell r="AA175">
            <v>43731</v>
          </cell>
          <cell r="AB175"/>
          <cell r="AC175"/>
          <cell r="AD175"/>
          <cell r="AE175"/>
          <cell r="AF175" t="str">
            <v>UnRegistered</v>
          </cell>
        </row>
        <row r="176">
          <cell r="B176" t="str">
            <v>R4 243</v>
          </cell>
          <cell r="C176" t="str">
            <v>R4</v>
          </cell>
          <cell r="D176" t="str">
            <v>M3M Capital Walk in M3M Capital Phase-2</v>
          </cell>
          <cell r="E176" t="str">
            <v>cwBOOKING/00087/22-23</v>
          </cell>
          <cell r="F176" t="str">
            <v>Ms. NEELAM</v>
          </cell>
          <cell r="G176" t="str">
            <v>cwFLAP/00222/22-23</v>
          </cell>
          <cell r="H176" t="str">
            <v>On Application of OC</v>
          </cell>
          <cell r="I176">
            <v>0</v>
          </cell>
          <cell r="J176">
            <v>45379</v>
          </cell>
          <cell r="K176">
            <v>46144</v>
          </cell>
          <cell r="L176">
            <v>46164</v>
          </cell>
          <cell r="M176">
            <v>2489140</v>
          </cell>
          <cell r="N176">
            <v>298696</v>
          </cell>
          <cell r="O176">
            <v>2787836</v>
          </cell>
          <cell r="P176">
            <v>302805.26436000003</v>
          </cell>
          <cell r="Q176"/>
          <cell r="R176"/>
          <cell r="S176">
            <v>36336.6317232</v>
          </cell>
          <cell r="T176">
            <v>339141.8960832</v>
          </cell>
          <cell r="U176">
            <v>80</v>
          </cell>
          <cell r="V176">
            <v>0</v>
          </cell>
          <cell r="W176">
            <v>2448614.1039168001</v>
          </cell>
          <cell r="X176">
            <v>4993</v>
          </cell>
          <cell r="Y176">
            <v>0</v>
          </cell>
          <cell r="Z176">
            <v>0</v>
          </cell>
          <cell r="AA176">
            <v>4993</v>
          </cell>
          <cell r="AB176" t="str">
            <v>Executed</v>
          </cell>
          <cell r="AC176" t="str">
            <v>Yes</v>
          </cell>
          <cell r="AD176">
            <v>7.2188246089832292E-2</v>
          </cell>
          <cell r="AE176" t="str">
            <v>Less than 35%</v>
          </cell>
          <cell r="AF176" t="str">
            <v>UnRegistered</v>
          </cell>
        </row>
        <row r="177">
          <cell r="B177" t="str">
            <v>R6 114</v>
          </cell>
          <cell r="C177" t="str">
            <v>R6</v>
          </cell>
          <cell r="D177" t="str">
            <v>M3M Capital Walk in M3M Capital Phase-2</v>
          </cell>
          <cell r="E177" t="str">
            <v>cwBOOKING/00087/23-24</v>
          </cell>
          <cell r="F177" t="str">
            <v>Ms. RAJ BALA JAIN</v>
          </cell>
          <cell r="G177" t="str">
            <v>cwFLAP/00012/23-24</v>
          </cell>
          <cell r="H177" t="str">
            <v>On Application of OC</v>
          </cell>
          <cell r="I177">
            <v>0</v>
          </cell>
          <cell r="J177">
            <v>45075</v>
          </cell>
          <cell r="K177">
            <v>46144</v>
          </cell>
          <cell r="L177">
            <v>46164</v>
          </cell>
          <cell r="M177">
            <v>3577980</v>
          </cell>
          <cell r="N177">
            <v>429358</v>
          </cell>
          <cell r="O177">
            <v>4007338</v>
          </cell>
          <cell r="P177"/>
          <cell r="Q177"/>
          <cell r="R177"/>
          <cell r="S177"/>
          <cell r="T177">
            <v>0</v>
          </cell>
          <cell r="U177">
            <v>1</v>
          </cell>
          <cell r="V177">
            <v>1</v>
          </cell>
          <cell r="W177">
            <v>4007338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/>
          <cell r="AC177"/>
          <cell r="AD177"/>
          <cell r="AE177"/>
          <cell r="AF177" t="str">
            <v>UnRegistered</v>
          </cell>
        </row>
        <row r="178">
          <cell r="B178" t="str">
            <v>R5 K 212</v>
          </cell>
          <cell r="C178" t="str">
            <v>R5</v>
          </cell>
          <cell r="D178" t="str">
            <v>M3M Capital Walk in M3M Capital Phase-2</v>
          </cell>
          <cell r="E178" t="str">
            <v>cwBOOKING/00088/22-23</v>
          </cell>
          <cell r="F178" t="str">
            <v>Ms. PRITTY RAO</v>
          </cell>
          <cell r="G178" t="str">
            <v>cwFLAP/00223/22-23</v>
          </cell>
          <cell r="H178" t="str">
            <v>On Application of OC</v>
          </cell>
          <cell r="I178">
            <v>0</v>
          </cell>
          <cell r="J178">
            <v>45166</v>
          </cell>
          <cell r="K178">
            <v>46144</v>
          </cell>
          <cell r="L178">
            <v>46164</v>
          </cell>
          <cell r="M178">
            <v>3602598</v>
          </cell>
          <cell r="N178">
            <v>432312</v>
          </cell>
          <cell r="O178">
            <v>4034910</v>
          </cell>
          <cell r="P178">
            <v>1035071.9166666666</v>
          </cell>
          <cell r="Q178"/>
          <cell r="R178"/>
          <cell r="S178">
            <v>124208.62999999999</v>
          </cell>
          <cell r="T178">
            <v>1159280.5466666666</v>
          </cell>
          <cell r="U178">
            <v>0</v>
          </cell>
          <cell r="V178">
            <v>1</v>
          </cell>
          <cell r="W178">
            <v>2875630.4533333331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 t="str">
            <v>Executed</v>
          </cell>
          <cell r="AC178" t="str">
            <v>Yes</v>
          </cell>
          <cell r="AD178">
            <v>0.11822474772841267</v>
          </cell>
          <cell r="AE178" t="str">
            <v>Less than 35%</v>
          </cell>
          <cell r="AF178" t="str">
            <v>UnRegistered</v>
          </cell>
        </row>
        <row r="179">
          <cell r="B179" t="str">
            <v>R4 G 01</v>
          </cell>
          <cell r="C179" t="str">
            <v>R4</v>
          </cell>
          <cell r="D179" t="str">
            <v>M3M Capital Walk in M3M Capital Phase-2</v>
          </cell>
          <cell r="E179" t="str">
            <v>cwBOOKING/00088/23-24</v>
          </cell>
          <cell r="F179" t="str">
            <v>Mr. SUMIT GAUR</v>
          </cell>
          <cell r="G179" t="str">
            <v>cwFLAP/00523/22-23</v>
          </cell>
          <cell r="H179" t="str">
            <v>On Application of OC</v>
          </cell>
          <cell r="I179">
            <v>0</v>
          </cell>
          <cell r="J179">
            <v>45240</v>
          </cell>
          <cell r="K179">
            <v>46144</v>
          </cell>
          <cell r="L179">
            <v>46164</v>
          </cell>
          <cell r="M179">
            <v>40532220</v>
          </cell>
          <cell r="N179">
            <v>4863866</v>
          </cell>
          <cell r="O179">
            <v>45396086</v>
          </cell>
          <cell r="P179"/>
          <cell r="Q179"/>
          <cell r="R179"/>
          <cell r="S179"/>
          <cell r="T179">
            <v>0</v>
          </cell>
          <cell r="U179">
            <v>0</v>
          </cell>
          <cell r="V179">
            <v>0</v>
          </cell>
          <cell r="W179">
            <v>45396086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/>
          <cell r="AC179"/>
          <cell r="AD179"/>
          <cell r="AE179"/>
          <cell r="AF179" t="str">
            <v>UnRegistered</v>
          </cell>
        </row>
        <row r="180">
          <cell r="B180" t="str">
            <v>R6 UG 19</v>
          </cell>
          <cell r="C180" t="str">
            <v>R6</v>
          </cell>
          <cell r="D180" t="str">
            <v>M3M Capital Walk in M3M Capital Phase-2</v>
          </cell>
          <cell r="E180" t="str">
            <v>cwBOOKING/00089/22-23</v>
          </cell>
          <cell r="F180" t="str">
            <v>Mr. MOHINDER SINGH VERMA</v>
          </cell>
          <cell r="G180" t="str">
            <v>cwFLAP/00225/22-23</v>
          </cell>
          <cell r="H180" t="str">
            <v>On Application of OC</v>
          </cell>
          <cell r="I180">
            <v>0</v>
          </cell>
          <cell r="J180">
            <v>44980</v>
          </cell>
          <cell r="K180">
            <v>46144</v>
          </cell>
          <cell r="L180">
            <v>46164</v>
          </cell>
          <cell r="M180">
            <v>5145815</v>
          </cell>
          <cell r="N180">
            <v>617498</v>
          </cell>
          <cell r="O180">
            <v>5763313</v>
          </cell>
          <cell r="P180">
            <v>1699699.1388999999</v>
          </cell>
          <cell r="Q180"/>
          <cell r="R180"/>
          <cell r="S180">
            <v>203963.89666799997</v>
          </cell>
          <cell r="T180">
            <v>1903663.0355679998</v>
          </cell>
          <cell r="U180">
            <v>0</v>
          </cell>
          <cell r="V180">
            <v>0</v>
          </cell>
          <cell r="W180">
            <v>3859649.9644320002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 t="str">
            <v>Executed</v>
          </cell>
          <cell r="AC180" t="str">
            <v>Yes</v>
          </cell>
          <cell r="AD180">
            <v>0.22284427434878795</v>
          </cell>
          <cell r="AE180" t="str">
            <v>Less than 35%</v>
          </cell>
          <cell r="AF180" t="str">
            <v>UnRegistered</v>
          </cell>
        </row>
        <row r="181">
          <cell r="B181" t="str">
            <v>R1 LG 20</v>
          </cell>
          <cell r="C181" t="str">
            <v>R1</v>
          </cell>
          <cell r="D181" t="str">
            <v>M3M Capital Walk in M3M Capital Phase-2</v>
          </cell>
          <cell r="E181" t="str">
            <v>cwBOOKING/00089/23-24</v>
          </cell>
          <cell r="F181" t="str">
            <v>M/S. HARYANA EARTHMOVERS</v>
          </cell>
          <cell r="G181" t="str">
            <v>cwFLAP/00852/22-23</v>
          </cell>
          <cell r="H181" t="str">
            <v>On Application of OC</v>
          </cell>
          <cell r="I181">
            <v>0</v>
          </cell>
          <cell r="J181">
            <v>45167</v>
          </cell>
          <cell r="K181">
            <v>46144</v>
          </cell>
          <cell r="L181">
            <v>46164</v>
          </cell>
          <cell r="M181">
            <v>3627037</v>
          </cell>
          <cell r="N181">
            <v>435244</v>
          </cell>
          <cell r="O181">
            <v>4062281</v>
          </cell>
          <cell r="P181"/>
          <cell r="Q181"/>
          <cell r="R181"/>
          <cell r="S181"/>
          <cell r="T181">
            <v>0</v>
          </cell>
          <cell r="U181">
            <v>0</v>
          </cell>
          <cell r="V181">
            <v>0</v>
          </cell>
          <cell r="W181">
            <v>4062281</v>
          </cell>
          <cell r="X181">
            <v>80856.600000000006</v>
          </cell>
          <cell r="Y181">
            <v>0</v>
          </cell>
          <cell r="Z181">
            <v>0</v>
          </cell>
          <cell r="AA181">
            <v>80856.600000000006</v>
          </cell>
          <cell r="AB181"/>
          <cell r="AC181"/>
          <cell r="AD181"/>
          <cell r="AE181"/>
          <cell r="AF181" t="str">
            <v>07BINPS9220G1ZW</v>
          </cell>
        </row>
        <row r="182">
          <cell r="B182" t="str">
            <v>R5 LG 06</v>
          </cell>
          <cell r="C182" t="str">
            <v>R5</v>
          </cell>
          <cell r="D182" t="str">
            <v>M3M Capital Walk in M3M Capital Phase-2</v>
          </cell>
          <cell r="E182" t="str">
            <v>cwBOOKING/00090/22-23</v>
          </cell>
          <cell r="F182" t="str">
            <v>Ms. SANTOSH JAIN</v>
          </cell>
          <cell r="G182" t="str">
            <v>cwFLAP/00235/22-23</v>
          </cell>
          <cell r="H182" t="str">
            <v>On Application of OC</v>
          </cell>
          <cell r="I182">
            <v>0</v>
          </cell>
          <cell r="J182">
            <v>45302</v>
          </cell>
          <cell r="K182">
            <v>46144</v>
          </cell>
          <cell r="L182">
            <v>46164</v>
          </cell>
          <cell r="M182">
            <v>4487586</v>
          </cell>
          <cell r="N182">
            <v>538510</v>
          </cell>
          <cell r="O182">
            <v>5026096</v>
          </cell>
          <cell r="P182">
            <v>1174013.8946199999</v>
          </cell>
          <cell r="Q182"/>
          <cell r="R182"/>
          <cell r="S182">
            <v>140881.66735439998</v>
          </cell>
          <cell r="T182">
            <v>1314895.5619744</v>
          </cell>
          <cell r="U182">
            <v>0</v>
          </cell>
          <cell r="V182">
            <v>0</v>
          </cell>
          <cell r="W182">
            <v>3711200.4380256003</v>
          </cell>
          <cell r="X182">
            <v>5507</v>
          </cell>
          <cell r="Y182">
            <v>0</v>
          </cell>
          <cell r="Z182">
            <v>0</v>
          </cell>
          <cell r="AA182">
            <v>5507</v>
          </cell>
          <cell r="AB182" t="str">
            <v>Executed</v>
          </cell>
          <cell r="AC182" t="str">
            <v>Yes</v>
          </cell>
          <cell r="AD182">
            <v>0.12333421678046988</v>
          </cell>
          <cell r="AE182" t="str">
            <v>Less than 35%</v>
          </cell>
          <cell r="AF182" t="str">
            <v>UnRegistered</v>
          </cell>
        </row>
        <row r="183">
          <cell r="B183" t="str">
            <v>R3 LG 59</v>
          </cell>
          <cell r="C183" t="str">
            <v>R3</v>
          </cell>
          <cell r="D183" t="str">
            <v>M3M Capital Walk in M3M Capital Phase-2</v>
          </cell>
          <cell r="E183" t="str">
            <v>cwBOOKING/00090/23-24</v>
          </cell>
          <cell r="F183" t="str">
            <v>Mr. RACHIT SEHRAWAT</v>
          </cell>
          <cell r="G183" t="str">
            <v>cwFLAP/00920/22-23</v>
          </cell>
          <cell r="H183" t="str">
            <v>On Application of OC</v>
          </cell>
          <cell r="I183">
            <v>0</v>
          </cell>
          <cell r="J183">
            <v>45267</v>
          </cell>
          <cell r="K183">
            <v>46144</v>
          </cell>
          <cell r="L183">
            <v>46164</v>
          </cell>
          <cell r="M183">
            <v>2796875</v>
          </cell>
          <cell r="N183">
            <v>335624</v>
          </cell>
          <cell r="O183">
            <v>3132499</v>
          </cell>
          <cell r="P183"/>
          <cell r="Q183"/>
          <cell r="R183"/>
          <cell r="S183"/>
          <cell r="T183">
            <v>0</v>
          </cell>
          <cell r="U183">
            <v>0</v>
          </cell>
          <cell r="V183">
            <v>0</v>
          </cell>
          <cell r="W183">
            <v>3132499</v>
          </cell>
          <cell r="X183">
            <v>14579</v>
          </cell>
          <cell r="Y183">
            <v>0</v>
          </cell>
          <cell r="Z183">
            <v>0</v>
          </cell>
          <cell r="AA183">
            <v>14579</v>
          </cell>
          <cell r="AB183"/>
          <cell r="AC183"/>
          <cell r="AD183"/>
          <cell r="AE183"/>
          <cell r="AF183" t="str">
            <v>UnRegistered</v>
          </cell>
        </row>
        <row r="184">
          <cell r="B184" t="str">
            <v>R4 225</v>
          </cell>
          <cell r="C184" t="str">
            <v>R4</v>
          </cell>
          <cell r="D184" t="str">
            <v>M3M Capital Walk in M3M Capital Phase-2</v>
          </cell>
          <cell r="E184" t="str">
            <v>cwBOOKING/00091/22-23</v>
          </cell>
          <cell r="F184" t="str">
            <v>Ms. RASHMI RATHEE</v>
          </cell>
          <cell r="G184" t="str">
            <v>cwFLAP/00128/22-23</v>
          </cell>
          <cell r="H184" t="str">
            <v>On Application of OC</v>
          </cell>
          <cell r="I184">
            <v>0</v>
          </cell>
          <cell r="J184">
            <v>45036</v>
          </cell>
          <cell r="K184">
            <v>46144</v>
          </cell>
          <cell r="L184">
            <v>46164</v>
          </cell>
          <cell r="M184">
            <v>3596381</v>
          </cell>
          <cell r="N184">
            <v>431566</v>
          </cell>
          <cell r="O184">
            <v>4027947</v>
          </cell>
          <cell r="P184"/>
          <cell r="Q184"/>
          <cell r="R184"/>
          <cell r="S184"/>
          <cell r="T184">
            <v>0</v>
          </cell>
          <cell r="U184">
            <v>0.06</v>
          </cell>
          <cell r="V184">
            <v>0</v>
          </cell>
          <cell r="W184">
            <v>4027946.94</v>
          </cell>
          <cell r="X184">
            <v>943</v>
          </cell>
          <cell r="Y184">
            <v>0</v>
          </cell>
          <cell r="Z184">
            <v>0</v>
          </cell>
          <cell r="AA184">
            <v>943</v>
          </cell>
          <cell r="AB184"/>
          <cell r="AC184"/>
          <cell r="AD184"/>
          <cell r="AE184"/>
          <cell r="AF184" t="str">
            <v>UnRegistered</v>
          </cell>
        </row>
        <row r="185">
          <cell r="B185" t="str">
            <v>R1 UG 20</v>
          </cell>
          <cell r="C185" t="str">
            <v>R1</v>
          </cell>
          <cell r="D185" t="str">
            <v>M3M Capital Walk in M3M Capital Phase-2</v>
          </cell>
          <cell r="E185" t="str">
            <v>cwBOOKING/00091/23-24</v>
          </cell>
          <cell r="F185" t="str">
            <v>Mr. RAJIV KUMAR SOLANKI</v>
          </cell>
          <cell r="G185" t="str">
            <v>cwFLAP/01019/22-23</v>
          </cell>
          <cell r="H185" t="str">
            <v>On Application of OC</v>
          </cell>
          <cell r="I185">
            <v>0</v>
          </cell>
          <cell r="J185">
            <v>45335</v>
          </cell>
          <cell r="K185">
            <v>46144</v>
          </cell>
          <cell r="L185">
            <v>46164</v>
          </cell>
          <cell r="M185">
            <v>5693635</v>
          </cell>
          <cell r="N185">
            <v>683236</v>
          </cell>
          <cell r="O185">
            <v>6376871</v>
          </cell>
          <cell r="P185"/>
          <cell r="Q185"/>
          <cell r="R185"/>
          <cell r="S185"/>
          <cell r="T185">
            <v>0</v>
          </cell>
          <cell r="U185">
            <v>40667.72</v>
          </cell>
          <cell r="V185">
            <v>0</v>
          </cell>
          <cell r="W185">
            <v>6336203.2800000003</v>
          </cell>
          <cell r="X185">
            <v>5187</v>
          </cell>
          <cell r="Y185">
            <v>0</v>
          </cell>
          <cell r="Z185">
            <v>0</v>
          </cell>
          <cell r="AA185">
            <v>5187</v>
          </cell>
          <cell r="AB185"/>
          <cell r="AC185"/>
          <cell r="AD185"/>
          <cell r="AE185"/>
          <cell r="AF185" t="str">
            <v>UnRegistered</v>
          </cell>
        </row>
        <row r="186">
          <cell r="B186" t="str">
            <v>R4 202</v>
          </cell>
          <cell r="C186" t="str">
            <v>R4</v>
          </cell>
          <cell r="D186" t="str">
            <v>M3M Capital Walk in M3M Capital Phase-2</v>
          </cell>
          <cell r="E186" t="str">
            <v>cwBOOKING/00092/22-23</v>
          </cell>
          <cell r="F186" t="str">
            <v>Mr. MADAN MOHAN CHAWLA</v>
          </cell>
          <cell r="G186" t="str">
            <v>cwFLAP/00082/22-23</v>
          </cell>
          <cell r="H186" t="str">
            <v>On Application of OC</v>
          </cell>
          <cell r="I186">
            <v>0</v>
          </cell>
          <cell r="J186">
            <v>44965</v>
          </cell>
          <cell r="K186">
            <v>46144</v>
          </cell>
          <cell r="L186">
            <v>46164</v>
          </cell>
          <cell r="M186">
            <v>3443502</v>
          </cell>
          <cell r="N186">
            <v>413220</v>
          </cell>
          <cell r="O186">
            <v>3856722</v>
          </cell>
          <cell r="P186"/>
          <cell r="Q186"/>
          <cell r="R186"/>
          <cell r="S186"/>
          <cell r="T186">
            <v>0</v>
          </cell>
          <cell r="U186">
            <v>0</v>
          </cell>
          <cell r="V186">
            <v>0</v>
          </cell>
          <cell r="W186">
            <v>3856722</v>
          </cell>
          <cell r="X186">
            <v>258801</v>
          </cell>
          <cell r="Y186">
            <v>0</v>
          </cell>
          <cell r="Z186">
            <v>0</v>
          </cell>
          <cell r="AA186">
            <v>258801</v>
          </cell>
          <cell r="AB186"/>
          <cell r="AC186"/>
          <cell r="AD186"/>
          <cell r="AE186"/>
          <cell r="AF186" t="str">
            <v>UnRegistered</v>
          </cell>
        </row>
        <row r="187">
          <cell r="B187" t="str">
            <v>R4 126</v>
          </cell>
          <cell r="C187" t="str">
            <v>R4</v>
          </cell>
          <cell r="D187" t="str">
            <v>M3M Capital Walk in M3M Capital Phase-2</v>
          </cell>
          <cell r="E187" t="str">
            <v>cwBOOKING/00093/22-23</v>
          </cell>
          <cell r="F187" t="str">
            <v>Mr. SHASHI RANJAN KUMAR</v>
          </cell>
          <cell r="G187" t="str">
            <v>cwFLAP/00144/22-23</v>
          </cell>
          <cell r="H187" t="str">
            <v>On Application of OC</v>
          </cell>
          <cell r="I187">
            <v>0</v>
          </cell>
          <cell r="J187">
            <v>45469</v>
          </cell>
          <cell r="K187">
            <v>46144</v>
          </cell>
          <cell r="L187">
            <v>46164</v>
          </cell>
          <cell r="M187">
            <v>3803854</v>
          </cell>
          <cell r="N187">
            <v>456462</v>
          </cell>
          <cell r="O187">
            <v>4260316</v>
          </cell>
          <cell r="P187">
            <v>919195.22570666671</v>
          </cell>
          <cell r="Q187"/>
          <cell r="R187"/>
          <cell r="S187">
            <v>110303.4270848</v>
          </cell>
          <cell r="T187">
            <v>1029498.6527914667</v>
          </cell>
          <cell r="U187">
            <v>0</v>
          </cell>
          <cell r="V187">
            <v>0</v>
          </cell>
          <cell r="W187">
            <v>3230817.3472085334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 t="str">
            <v>Executed</v>
          </cell>
          <cell r="AC187" t="str">
            <v>Yes</v>
          </cell>
          <cell r="AD187">
            <v>0.1110975124259376</v>
          </cell>
          <cell r="AE187" t="str">
            <v>Less than 35%</v>
          </cell>
          <cell r="AF187" t="str">
            <v>UnRegistered</v>
          </cell>
        </row>
        <row r="188">
          <cell r="B188" t="str">
            <v>R5 146</v>
          </cell>
          <cell r="C188" t="str">
            <v>R5</v>
          </cell>
          <cell r="D188" t="str">
            <v>M3M Capital Walk in M3M Capital Phase-2</v>
          </cell>
          <cell r="E188" t="str">
            <v>cwBOOKING/00093/23-24</v>
          </cell>
          <cell r="F188" t="str">
            <v>Mr. ASHISH PANCHAL</v>
          </cell>
          <cell r="G188" t="str">
            <v>cwFLAP/00944/22-23</v>
          </cell>
          <cell r="H188" t="str">
            <v>On Application of OC</v>
          </cell>
          <cell r="I188">
            <v>0</v>
          </cell>
          <cell r="J188">
            <v>45335</v>
          </cell>
          <cell r="K188">
            <v>46144</v>
          </cell>
          <cell r="L188">
            <v>46164</v>
          </cell>
          <cell r="M188">
            <v>3491931</v>
          </cell>
          <cell r="N188">
            <v>419032</v>
          </cell>
          <cell r="O188">
            <v>3910963</v>
          </cell>
          <cell r="P188"/>
          <cell r="Q188"/>
          <cell r="R188"/>
          <cell r="S188"/>
          <cell r="T188">
            <v>0</v>
          </cell>
          <cell r="U188">
            <v>0</v>
          </cell>
          <cell r="V188">
            <v>0</v>
          </cell>
          <cell r="W188">
            <v>3910963</v>
          </cell>
          <cell r="X188">
            <v>12809.48</v>
          </cell>
          <cell r="Y188">
            <v>0</v>
          </cell>
          <cell r="Z188">
            <v>0</v>
          </cell>
          <cell r="AA188">
            <v>12809.48</v>
          </cell>
          <cell r="AB188"/>
          <cell r="AC188"/>
          <cell r="AD188"/>
          <cell r="AE188"/>
          <cell r="AF188" t="str">
            <v>UnRegistered</v>
          </cell>
        </row>
        <row r="189">
          <cell r="B189" t="str">
            <v>R5 221</v>
          </cell>
          <cell r="C189" t="str">
            <v>R5</v>
          </cell>
          <cell r="D189" t="str">
            <v>M3M Capital Walk in M3M Capital Phase-2</v>
          </cell>
          <cell r="E189" t="str">
            <v>cwBOOKING/00094/22-23</v>
          </cell>
          <cell r="F189" t="str">
            <v>Mr. PULKIT TAYAL</v>
          </cell>
          <cell r="G189" t="str">
            <v>cwFLAP/00238/22-23</v>
          </cell>
          <cell r="H189" t="str">
            <v>On Application of OC</v>
          </cell>
          <cell r="I189">
            <v>0</v>
          </cell>
          <cell r="J189">
            <v>44949</v>
          </cell>
          <cell r="K189">
            <v>46144</v>
          </cell>
          <cell r="L189">
            <v>46164</v>
          </cell>
          <cell r="M189">
            <v>3701281</v>
          </cell>
          <cell r="N189">
            <v>444154</v>
          </cell>
          <cell r="O189">
            <v>4145435</v>
          </cell>
          <cell r="P189">
            <v>1482980.121</v>
          </cell>
          <cell r="Q189"/>
          <cell r="R189"/>
          <cell r="S189">
            <v>177957.61452</v>
          </cell>
          <cell r="T189">
            <v>1660937.7355200001</v>
          </cell>
          <cell r="U189">
            <v>0</v>
          </cell>
          <cell r="V189">
            <v>0</v>
          </cell>
          <cell r="W189">
            <v>2484497.2644799999</v>
          </cell>
          <cell r="X189">
            <v>1050</v>
          </cell>
          <cell r="Y189">
            <v>0</v>
          </cell>
          <cell r="Z189">
            <v>0</v>
          </cell>
          <cell r="AA189">
            <v>1050</v>
          </cell>
          <cell r="AB189" t="str">
            <v>Executed</v>
          </cell>
          <cell r="AC189" t="str">
            <v>Yes</v>
          </cell>
          <cell r="AD189">
            <v>0.20033334686468368</v>
          </cell>
          <cell r="AE189" t="str">
            <v>Less than 35%</v>
          </cell>
          <cell r="AF189" t="str">
            <v>UnRegistered</v>
          </cell>
        </row>
        <row r="190">
          <cell r="B190" t="str">
            <v>R3 LG 49</v>
          </cell>
          <cell r="C190" t="str">
            <v>R3</v>
          </cell>
          <cell r="D190" t="str">
            <v>M3M Capital Walk in M3M Capital Phase-2</v>
          </cell>
          <cell r="E190" t="str">
            <v>cwBOOKING/00094/23-24</v>
          </cell>
          <cell r="F190" t="str">
            <v>Mr. DHARAMPAL SEHRAWAT</v>
          </cell>
          <cell r="G190" t="str">
            <v>cwFLAP/00935/22-23</v>
          </cell>
          <cell r="H190" t="str">
            <v>On Application of OC</v>
          </cell>
          <cell r="I190">
            <v>0</v>
          </cell>
          <cell r="J190">
            <v>45267</v>
          </cell>
          <cell r="K190">
            <v>46144</v>
          </cell>
          <cell r="L190">
            <v>46164</v>
          </cell>
          <cell r="M190">
            <v>2796875</v>
          </cell>
          <cell r="N190">
            <v>335624</v>
          </cell>
          <cell r="O190">
            <v>3132499</v>
          </cell>
          <cell r="P190"/>
          <cell r="Q190"/>
          <cell r="R190"/>
          <cell r="S190"/>
          <cell r="T190">
            <v>0</v>
          </cell>
          <cell r="U190">
            <v>0</v>
          </cell>
          <cell r="V190">
            <v>0</v>
          </cell>
          <cell r="W190">
            <v>3132499</v>
          </cell>
          <cell r="X190">
            <v>28036</v>
          </cell>
          <cell r="Y190">
            <v>0</v>
          </cell>
          <cell r="Z190">
            <v>0</v>
          </cell>
          <cell r="AA190">
            <v>28036</v>
          </cell>
          <cell r="AB190"/>
          <cell r="AC190"/>
          <cell r="AD190"/>
          <cell r="AE190"/>
          <cell r="AF190" t="str">
            <v>UnRegistered</v>
          </cell>
        </row>
        <row r="191">
          <cell r="B191" t="str">
            <v>R5 220</v>
          </cell>
          <cell r="C191" t="str">
            <v>R5</v>
          </cell>
          <cell r="D191" t="str">
            <v>M3M Capital Walk in M3M Capital Phase-2</v>
          </cell>
          <cell r="E191" t="str">
            <v>cwBOOKING/00095/22-23</v>
          </cell>
          <cell r="F191" t="str">
            <v>Mr. PULKIT TAYAL</v>
          </cell>
          <cell r="G191" t="str">
            <v>cwFLAP/00239/22-23</v>
          </cell>
          <cell r="H191" t="str">
            <v>On Application of OC</v>
          </cell>
          <cell r="I191">
            <v>0</v>
          </cell>
          <cell r="J191">
            <v>44949</v>
          </cell>
          <cell r="K191">
            <v>46144</v>
          </cell>
          <cell r="L191">
            <v>46164</v>
          </cell>
          <cell r="M191">
            <v>3794329</v>
          </cell>
          <cell r="N191">
            <v>455320</v>
          </cell>
          <cell r="O191">
            <v>4249649</v>
          </cell>
          <cell r="P191">
            <v>1481053.0824300002</v>
          </cell>
          <cell r="Q191"/>
          <cell r="R191"/>
          <cell r="S191">
            <v>177726.36989160001</v>
          </cell>
          <cell r="T191">
            <v>1658779.4523216002</v>
          </cell>
          <cell r="U191">
            <v>1</v>
          </cell>
          <cell r="V191">
            <v>0</v>
          </cell>
          <cell r="W191">
            <v>2590868.5476783998</v>
          </cell>
          <cell r="X191">
            <v>104.2</v>
          </cell>
          <cell r="Y191">
            <v>0</v>
          </cell>
          <cell r="Z191">
            <v>0</v>
          </cell>
          <cell r="AA191">
            <v>104.2</v>
          </cell>
          <cell r="AB191" t="str">
            <v>Executed</v>
          </cell>
          <cell r="AC191" t="str">
            <v>Yes</v>
          </cell>
          <cell r="AD191">
            <v>0.19516668819648123</v>
          </cell>
          <cell r="AE191" t="str">
            <v>Less than 35%</v>
          </cell>
          <cell r="AF191" t="str">
            <v>UnRegistered</v>
          </cell>
        </row>
        <row r="192">
          <cell r="B192" t="str">
            <v>R3 UG 14</v>
          </cell>
          <cell r="C192" t="str">
            <v>R3</v>
          </cell>
          <cell r="D192" t="str">
            <v>M3M Capital Walk in M3M Capital Phase-2</v>
          </cell>
          <cell r="E192" t="str">
            <v>cwBOOKING/00095/23-24</v>
          </cell>
          <cell r="F192" t="str">
            <v>Ms. PRITI JAIN</v>
          </cell>
          <cell r="G192" t="str">
            <v>cwFLAP/00790/22-23</v>
          </cell>
          <cell r="H192" t="str">
            <v>On Application of OC</v>
          </cell>
          <cell r="I192">
            <v>0</v>
          </cell>
          <cell r="J192">
            <v>45105</v>
          </cell>
          <cell r="K192">
            <v>46144</v>
          </cell>
          <cell r="L192">
            <v>46164</v>
          </cell>
          <cell r="M192">
            <v>5167269</v>
          </cell>
          <cell r="N192">
            <v>620072</v>
          </cell>
          <cell r="O192">
            <v>5787341</v>
          </cell>
          <cell r="P192"/>
          <cell r="Q192"/>
          <cell r="R192"/>
          <cell r="S192"/>
          <cell r="T192">
            <v>0</v>
          </cell>
          <cell r="U192">
            <v>0</v>
          </cell>
          <cell r="V192">
            <v>6975</v>
          </cell>
          <cell r="W192">
            <v>5794316</v>
          </cell>
          <cell r="X192">
            <v>4362.88</v>
          </cell>
          <cell r="Y192">
            <v>0</v>
          </cell>
          <cell r="Z192">
            <v>0</v>
          </cell>
          <cell r="AA192">
            <v>4362.88</v>
          </cell>
          <cell r="AB192"/>
          <cell r="AC192"/>
          <cell r="AD192"/>
          <cell r="AE192"/>
          <cell r="AF192" t="str">
            <v>UnRegistered</v>
          </cell>
        </row>
        <row r="193">
          <cell r="B193" t="str">
            <v>R3 UG 15</v>
          </cell>
          <cell r="C193" t="str">
            <v>R3</v>
          </cell>
          <cell r="D193" t="str">
            <v>M3M Capital Walk in M3M Capital Phase-2</v>
          </cell>
          <cell r="E193" t="str">
            <v>cwBOOKING/00096/23-24</v>
          </cell>
          <cell r="F193" t="str">
            <v>Ms. PRITI JAIN</v>
          </cell>
          <cell r="G193" t="str">
            <v>cwFLAP/00786/22-23</v>
          </cell>
          <cell r="H193" t="str">
            <v>On Application of OC</v>
          </cell>
          <cell r="I193">
            <v>0</v>
          </cell>
          <cell r="J193">
            <v>45105</v>
          </cell>
          <cell r="K193">
            <v>46144</v>
          </cell>
          <cell r="L193">
            <v>46164</v>
          </cell>
          <cell r="M193">
            <v>5167269</v>
          </cell>
          <cell r="N193">
            <v>620072</v>
          </cell>
          <cell r="O193">
            <v>5787341</v>
          </cell>
          <cell r="P193"/>
          <cell r="Q193"/>
          <cell r="R193"/>
          <cell r="S193"/>
          <cell r="T193">
            <v>0</v>
          </cell>
          <cell r="U193">
            <v>0</v>
          </cell>
          <cell r="V193">
            <v>6975</v>
          </cell>
          <cell r="W193">
            <v>5794316</v>
          </cell>
          <cell r="X193">
            <v>4362.88</v>
          </cell>
          <cell r="Y193">
            <v>0</v>
          </cell>
          <cell r="Z193">
            <v>0</v>
          </cell>
          <cell r="AA193">
            <v>4362.88</v>
          </cell>
          <cell r="AB193"/>
          <cell r="AC193"/>
          <cell r="AD193"/>
          <cell r="AE193"/>
          <cell r="AF193" t="str">
            <v>UnRegistered</v>
          </cell>
        </row>
        <row r="194">
          <cell r="B194" t="str">
            <v>R6 227</v>
          </cell>
          <cell r="C194" t="str">
            <v>R6</v>
          </cell>
          <cell r="D194" t="str">
            <v>M3M Capital Walk in M3M Capital Phase-2</v>
          </cell>
          <cell r="E194" t="str">
            <v>cwBOOKING/00097/22-23</v>
          </cell>
          <cell r="F194" t="str">
            <v>Mr. AAYUSH SHARMA</v>
          </cell>
          <cell r="G194" t="str">
            <v>cwFLAP/00101/22-23</v>
          </cell>
          <cell r="H194" t="str">
            <v>On Application of OC</v>
          </cell>
          <cell r="I194">
            <v>0</v>
          </cell>
          <cell r="J194">
            <v>45075</v>
          </cell>
          <cell r="K194">
            <v>46144</v>
          </cell>
          <cell r="L194">
            <v>46164</v>
          </cell>
          <cell r="M194">
            <v>2221564</v>
          </cell>
          <cell r="N194">
            <v>266588</v>
          </cell>
          <cell r="O194">
            <v>2488152</v>
          </cell>
          <cell r="P194">
            <v>485953.05920000002</v>
          </cell>
          <cell r="Q194"/>
          <cell r="R194"/>
          <cell r="S194">
            <v>58314.367103999997</v>
          </cell>
          <cell r="T194">
            <v>544267.42630399996</v>
          </cell>
          <cell r="U194">
            <v>1</v>
          </cell>
          <cell r="V194">
            <v>0</v>
          </cell>
          <cell r="W194">
            <v>1943883.573696</v>
          </cell>
          <cell r="X194">
            <v>23161</v>
          </cell>
          <cell r="Y194">
            <v>0</v>
          </cell>
          <cell r="Z194">
            <v>0</v>
          </cell>
          <cell r="AA194">
            <v>23161</v>
          </cell>
          <cell r="AB194" t="str">
            <v>Executed</v>
          </cell>
          <cell r="AC194" t="str">
            <v>Yes due to interest less than 75000</v>
          </cell>
          <cell r="AD194">
            <v>0.10640945169243775</v>
          </cell>
          <cell r="AE194" t="str">
            <v>Less than 35%</v>
          </cell>
          <cell r="AF194" t="str">
            <v>UnRegistered</v>
          </cell>
        </row>
        <row r="195">
          <cell r="B195" t="str">
            <v>R5 K 219</v>
          </cell>
          <cell r="C195" t="str">
            <v>R5</v>
          </cell>
          <cell r="D195" t="str">
            <v>M3M Capital Walk in M3M Capital Phase-2</v>
          </cell>
          <cell r="E195" t="str">
            <v>cwBOOKING/00097/23-24</v>
          </cell>
          <cell r="F195" t="str">
            <v>Ms. ANURADHA SAXENA</v>
          </cell>
          <cell r="G195" t="str">
            <v>cwFLAP/01079/22-23</v>
          </cell>
          <cell r="H195" t="str">
            <v>On Application of OC</v>
          </cell>
          <cell r="I195">
            <v>0</v>
          </cell>
          <cell r="J195">
            <v>45517</v>
          </cell>
          <cell r="K195">
            <v>46144</v>
          </cell>
          <cell r="L195">
            <v>46164</v>
          </cell>
          <cell r="M195">
            <v>3849317</v>
          </cell>
          <cell r="N195">
            <v>461918</v>
          </cell>
          <cell r="O195">
            <v>4311235</v>
          </cell>
          <cell r="P195"/>
          <cell r="Q195"/>
          <cell r="R195"/>
          <cell r="S195"/>
          <cell r="T195">
            <v>0</v>
          </cell>
          <cell r="U195">
            <v>1</v>
          </cell>
          <cell r="V195">
            <v>0</v>
          </cell>
          <cell r="W195">
            <v>4311234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/>
          <cell r="AC195"/>
          <cell r="AD195"/>
          <cell r="AE195"/>
          <cell r="AF195" t="str">
            <v>UnRegistered</v>
          </cell>
        </row>
        <row r="196">
          <cell r="B196" t="str">
            <v>R1 UG 07</v>
          </cell>
          <cell r="C196" t="str">
            <v>R1</v>
          </cell>
          <cell r="D196" t="str">
            <v>M3M Capital Walk in M3M Capital Phase-2</v>
          </cell>
          <cell r="E196" t="str">
            <v>cwBOOKING/00098/23-24</v>
          </cell>
          <cell r="F196" t="str">
            <v>Ms. POONAM RANI</v>
          </cell>
          <cell r="G196" t="str">
            <v>cwFLAP/00692/22-23</v>
          </cell>
          <cell r="H196" t="str">
            <v>On Application of OC</v>
          </cell>
          <cell r="I196">
            <v>0</v>
          </cell>
          <cell r="J196">
            <v>45289</v>
          </cell>
          <cell r="K196">
            <v>46144</v>
          </cell>
          <cell r="L196">
            <v>46164</v>
          </cell>
          <cell r="M196">
            <v>3851820</v>
          </cell>
          <cell r="N196">
            <v>462218</v>
          </cell>
          <cell r="O196">
            <v>4314038</v>
          </cell>
          <cell r="P196"/>
          <cell r="Q196"/>
          <cell r="R196"/>
          <cell r="S196"/>
          <cell r="T196">
            <v>0</v>
          </cell>
          <cell r="U196">
            <v>2</v>
          </cell>
          <cell r="V196">
            <v>0</v>
          </cell>
          <cell r="W196">
            <v>4314036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/>
          <cell r="AC196"/>
          <cell r="AD196"/>
          <cell r="AE196"/>
          <cell r="AF196" t="str">
            <v>UnRegistered</v>
          </cell>
        </row>
        <row r="197">
          <cell r="B197" t="str">
            <v>R4 G 19</v>
          </cell>
          <cell r="C197" t="str">
            <v>R4</v>
          </cell>
          <cell r="D197" t="str">
            <v>M3M Capital Walk in M3M Capital Phase-2</v>
          </cell>
          <cell r="E197" t="str">
            <v>cwBOOKING/00099/22-23</v>
          </cell>
          <cell r="F197" t="str">
            <v>Mr. BALBIR SINGH</v>
          </cell>
          <cell r="G197" t="str">
            <v>cwFLAP/00247/22-23</v>
          </cell>
          <cell r="H197" t="str">
            <v>On Application of OC</v>
          </cell>
          <cell r="I197">
            <v>0</v>
          </cell>
          <cell r="J197">
            <v>44943</v>
          </cell>
          <cell r="K197">
            <v>46144</v>
          </cell>
          <cell r="L197">
            <v>46164</v>
          </cell>
          <cell r="M197">
            <v>25385634</v>
          </cell>
          <cell r="N197">
            <v>3046276</v>
          </cell>
          <cell r="O197">
            <v>28431910</v>
          </cell>
          <cell r="P197"/>
          <cell r="Q197"/>
          <cell r="R197"/>
          <cell r="S197"/>
          <cell r="T197">
            <v>0</v>
          </cell>
          <cell r="U197">
            <v>0</v>
          </cell>
          <cell r="V197">
            <v>3.5799999982118607</v>
          </cell>
          <cell r="W197">
            <v>28431913.579999998</v>
          </cell>
          <cell r="X197">
            <v>7435</v>
          </cell>
          <cell r="Y197">
            <v>0</v>
          </cell>
          <cell r="Z197">
            <v>0</v>
          </cell>
          <cell r="AA197">
            <v>7435</v>
          </cell>
          <cell r="AB197"/>
          <cell r="AC197"/>
          <cell r="AD197"/>
          <cell r="AE197"/>
          <cell r="AF197" t="str">
            <v>UnRegistered</v>
          </cell>
        </row>
        <row r="198">
          <cell r="B198" t="str">
            <v>R2 UG 14</v>
          </cell>
          <cell r="C198" t="str">
            <v>R2</v>
          </cell>
          <cell r="D198" t="str">
            <v>M3M Capital Walk in M3M Capital Phase-2</v>
          </cell>
          <cell r="E198" t="str">
            <v>cwBOOKING/00099/23-24</v>
          </cell>
          <cell r="F198" t="str">
            <v>Ms. AARTI MISHRA</v>
          </cell>
          <cell r="G198" t="str">
            <v>cwFLAP/00846/22-23</v>
          </cell>
          <cell r="H198" t="str">
            <v>On Application of OC</v>
          </cell>
          <cell r="I198">
            <v>0</v>
          </cell>
          <cell r="J198">
            <v>45314</v>
          </cell>
          <cell r="K198">
            <v>46144</v>
          </cell>
          <cell r="L198">
            <v>46164</v>
          </cell>
          <cell r="M198">
            <v>12592991</v>
          </cell>
          <cell r="N198">
            <v>1511158</v>
          </cell>
          <cell r="O198">
            <v>14104149</v>
          </cell>
          <cell r="P198"/>
          <cell r="Q198"/>
          <cell r="R198"/>
          <cell r="S198"/>
          <cell r="T198">
            <v>0</v>
          </cell>
          <cell r="U198">
            <v>0</v>
          </cell>
          <cell r="V198">
            <v>0</v>
          </cell>
          <cell r="W198">
            <v>14104149</v>
          </cell>
          <cell r="X198">
            <v>23407</v>
          </cell>
          <cell r="Y198">
            <v>0</v>
          </cell>
          <cell r="Z198">
            <v>0</v>
          </cell>
          <cell r="AA198">
            <v>23407</v>
          </cell>
          <cell r="AB198"/>
          <cell r="AC198"/>
          <cell r="AD198"/>
          <cell r="AE198"/>
          <cell r="AF198" t="str">
            <v>UnRegistered</v>
          </cell>
        </row>
        <row r="199">
          <cell r="B199" t="str">
            <v>R5 218</v>
          </cell>
          <cell r="C199" t="str">
            <v>R5</v>
          </cell>
          <cell r="D199" t="str">
            <v>M3M Capital Walk in M3M Capital Phase-2</v>
          </cell>
          <cell r="E199" t="str">
            <v>cwBOOKING/00100/22-23</v>
          </cell>
          <cell r="F199" t="str">
            <v>Ms. CHANDRA BISHT</v>
          </cell>
          <cell r="G199" t="str">
            <v>cwFLAP/00248/22-23</v>
          </cell>
          <cell r="H199" t="str">
            <v>On Application of OC</v>
          </cell>
          <cell r="I199">
            <v>0</v>
          </cell>
          <cell r="J199">
            <v>45358</v>
          </cell>
          <cell r="K199">
            <v>46144</v>
          </cell>
          <cell r="L199">
            <v>46164</v>
          </cell>
          <cell r="M199">
            <v>4203239</v>
          </cell>
          <cell r="N199">
            <v>504388</v>
          </cell>
          <cell r="O199">
            <v>4707627</v>
          </cell>
          <cell r="P199">
            <v>319528.38750000001</v>
          </cell>
          <cell r="Q199"/>
          <cell r="R199"/>
          <cell r="S199">
            <v>38343.406499999997</v>
          </cell>
          <cell r="T199">
            <v>357871.79399999999</v>
          </cell>
          <cell r="U199">
            <v>0</v>
          </cell>
          <cell r="V199">
            <v>0</v>
          </cell>
          <cell r="W199">
            <v>4349755.2060000002</v>
          </cell>
          <cell r="X199">
            <v>2568</v>
          </cell>
          <cell r="Y199">
            <v>0</v>
          </cell>
          <cell r="Z199">
            <v>0</v>
          </cell>
          <cell r="AA199">
            <v>2568</v>
          </cell>
          <cell r="AB199" t="str">
            <v>Executed</v>
          </cell>
          <cell r="AC199" t="str">
            <v>Yes</v>
          </cell>
          <cell r="AD199">
            <v>5.0721731744371237E-2</v>
          </cell>
          <cell r="AE199" t="str">
            <v>Less than 35%</v>
          </cell>
          <cell r="AF199" t="str">
            <v>UnRegistered</v>
          </cell>
        </row>
        <row r="200">
          <cell r="B200" t="str">
            <v>R3 UG 18</v>
          </cell>
          <cell r="C200" t="str">
            <v>R3</v>
          </cell>
          <cell r="D200" t="str">
            <v>M3M Capital Walk in M3M Capital Phase-2</v>
          </cell>
          <cell r="E200" t="str">
            <v>cwBOOKING/00100/23-24</v>
          </cell>
          <cell r="F200" t="str">
            <v>Ms. CHITRA CHAWLA</v>
          </cell>
          <cell r="G200" t="str">
            <v>cwFLAP/01042/22-23</v>
          </cell>
          <cell r="H200" t="str">
            <v>On Application of OC</v>
          </cell>
          <cell r="I200">
            <v>0</v>
          </cell>
          <cell r="J200">
            <v>45253</v>
          </cell>
          <cell r="K200">
            <v>46144</v>
          </cell>
          <cell r="L200">
            <v>46164</v>
          </cell>
          <cell r="M200">
            <v>5204139</v>
          </cell>
          <cell r="N200">
            <v>624496</v>
          </cell>
          <cell r="O200">
            <v>5828635</v>
          </cell>
          <cell r="P200"/>
          <cell r="Q200"/>
          <cell r="R200"/>
          <cell r="S200"/>
          <cell r="T200">
            <v>0</v>
          </cell>
          <cell r="U200">
            <v>29260.71</v>
          </cell>
          <cell r="V200">
            <v>0</v>
          </cell>
          <cell r="W200">
            <v>5799374.29</v>
          </cell>
          <cell r="X200">
            <v>6830.24</v>
          </cell>
          <cell r="Y200">
            <v>0</v>
          </cell>
          <cell r="Z200">
            <v>0</v>
          </cell>
          <cell r="AA200">
            <v>6830.24</v>
          </cell>
          <cell r="AB200"/>
          <cell r="AC200"/>
          <cell r="AD200"/>
          <cell r="AE200"/>
          <cell r="AF200" t="str">
            <v>UnRegistered</v>
          </cell>
        </row>
        <row r="201">
          <cell r="B201" t="str">
            <v>R6 206</v>
          </cell>
          <cell r="C201" t="str">
            <v>R6</v>
          </cell>
          <cell r="D201" t="str">
            <v>M3M Capital Walk in M3M Capital Phase-2</v>
          </cell>
          <cell r="E201" t="str">
            <v>cwBOOKING/00101/22-23</v>
          </cell>
          <cell r="F201" t="str">
            <v>Mr. Anuj Garg</v>
          </cell>
          <cell r="G201" t="str">
            <v>cwFLAP/00129/22-23</v>
          </cell>
          <cell r="H201" t="str">
            <v>On Application of OC</v>
          </cell>
          <cell r="I201">
            <v>0</v>
          </cell>
          <cell r="J201">
            <v>44914</v>
          </cell>
          <cell r="K201">
            <v>46144</v>
          </cell>
          <cell r="L201">
            <v>46164</v>
          </cell>
          <cell r="M201">
            <v>3868691</v>
          </cell>
          <cell r="N201">
            <v>464242</v>
          </cell>
          <cell r="O201">
            <v>4332933</v>
          </cell>
          <cell r="P201"/>
          <cell r="Q201"/>
          <cell r="R201"/>
          <cell r="S201"/>
          <cell r="T201">
            <v>0</v>
          </cell>
          <cell r="U201">
            <v>0</v>
          </cell>
          <cell r="V201">
            <v>0</v>
          </cell>
          <cell r="W201">
            <v>4332933</v>
          </cell>
          <cell r="X201">
            <v>9263</v>
          </cell>
          <cell r="Y201">
            <v>0</v>
          </cell>
          <cell r="Z201">
            <v>9263</v>
          </cell>
          <cell r="AA201">
            <v>0</v>
          </cell>
          <cell r="AB201"/>
          <cell r="AC201"/>
          <cell r="AD201"/>
          <cell r="AE201"/>
          <cell r="AF201" t="str">
            <v>UnRegistered</v>
          </cell>
        </row>
        <row r="202">
          <cell r="B202" t="str">
            <v>R1 137</v>
          </cell>
          <cell r="C202" t="str">
            <v>R1</v>
          </cell>
          <cell r="D202" t="str">
            <v>M3M Capital Walk in M3M Capital Phase-2</v>
          </cell>
          <cell r="E202" t="str">
            <v>cwBOOKING/00101/23-24</v>
          </cell>
          <cell r="F202" t="str">
            <v>Mr. SUKHWINDER SINGH</v>
          </cell>
          <cell r="G202" t="str">
            <v>cwFLAP/00023/23-24</v>
          </cell>
          <cell r="H202" t="str">
            <v>On Application of OC</v>
          </cell>
          <cell r="I202">
            <v>0</v>
          </cell>
          <cell r="J202">
            <v>45433</v>
          </cell>
          <cell r="K202">
            <v>46144</v>
          </cell>
          <cell r="L202">
            <v>46164</v>
          </cell>
          <cell r="M202">
            <v>5479229</v>
          </cell>
          <cell r="N202">
            <v>657508</v>
          </cell>
          <cell r="O202">
            <v>6136737</v>
          </cell>
          <cell r="P202">
            <v>637717.79999999993</v>
          </cell>
          <cell r="Q202"/>
          <cell r="R202"/>
          <cell r="S202">
            <v>76526.135999999984</v>
          </cell>
          <cell r="T202">
            <v>714243.93599999987</v>
          </cell>
          <cell r="U202">
            <v>4500000</v>
          </cell>
          <cell r="V202">
            <v>0</v>
          </cell>
          <cell r="W202">
            <v>922493.06400000013</v>
          </cell>
          <cell r="X202">
            <v>1968</v>
          </cell>
          <cell r="Y202">
            <v>0</v>
          </cell>
          <cell r="Z202">
            <v>0</v>
          </cell>
          <cell r="AA202">
            <v>1968</v>
          </cell>
          <cell r="AB202" t="str">
            <v>Executed</v>
          </cell>
          <cell r="AC202" t="str">
            <v>Yes</v>
          </cell>
          <cell r="AD202">
            <v>8.8579924450015363E-2</v>
          </cell>
          <cell r="AE202" t="str">
            <v>Less than 35%</v>
          </cell>
          <cell r="AF202" t="str">
            <v>UnRegistered</v>
          </cell>
        </row>
        <row r="203">
          <cell r="B203" t="str">
            <v>R5 205</v>
          </cell>
          <cell r="C203" t="str">
            <v>R5</v>
          </cell>
          <cell r="D203" t="str">
            <v>M3M Capital Walk in M3M Capital Phase-2</v>
          </cell>
          <cell r="E203" t="str">
            <v>cwBOOKING/00102/22-23</v>
          </cell>
          <cell r="F203" t="str">
            <v>Mr. VED PAL</v>
          </cell>
          <cell r="G203" t="str">
            <v>cwFLAP/00232/22-23</v>
          </cell>
          <cell r="H203" t="str">
            <v>On Application of OC</v>
          </cell>
          <cell r="I203">
            <v>0</v>
          </cell>
          <cell r="J203">
            <v>45267</v>
          </cell>
          <cell r="K203">
            <v>46144</v>
          </cell>
          <cell r="L203">
            <v>46164</v>
          </cell>
          <cell r="M203">
            <v>3051810</v>
          </cell>
          <cell r="N203">
            <v>366218</v>
          </cell>
          <cell r="O203">
            <v>3418028</v>
          </cell>
          <cell r="P203"/>
          <cell r="Q203"/>
          <cell r="R203"/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3418028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/>
          <cell r="AC203"/>
          <cell r="AD203">
            <v>0</v>
          </cell>
          <cell r="AE203" t="str">
            <v>Less than 35%</v>
          </cell>
          <cell r="AF203" t="str">
            <v>UnRegistered</v>
          </cell>
        </row>
        <row r="204">
          <cell r="B204" t="str">
            <v>R3 UG 34</v>
          </cell>
          <cell r="C204" t="str">
            <v>R3</v>
          </cell>
          <cell r="D204" t="str">
            <v>M3M Capital Walk in M3M Capital Phase-2</v>
          </cell>
          <cell r="E204" t="str">
            <v>cwBOOKING/00103/23-24</v>
          </cell>
          <cell r="F204" t="str">
            <v>Mr. JAGPAL YADAV</v>
          </cell>
          <cell r="G204" t="str">
            <v>cwFLAP/01020/22-23</v>
          </cell>
          <cell r="H204" t="str">
            <v>On Application of OC</v>
          </cell>
          <cell r="I204">
            <v>0</v>
          </cell>
          <cell r="J204">
            <v>45233</v>
          </cell>
          <cell r="K204">
            <v>46144</v>
          </cell>
          <cell r="L204">
            <v>46164</v>
          </cell>
          <cell r="M204">
            <v>5231325</v>
          </cell>
          <cell r="N204">
            <v>627760</v>
          </cell>
          <cell r="O204">
            <v>5859085</v>
          </cell>
          <cell r="P204"/>
          <cell r="Q204"/>
          <cell r="R204"/>
          <cell r="S204"/>
          <cell r="T204">
            <v>0</v>
          </cell>
          <cell r="U204">
            <v>0</v>
          </cell>
          <cell r="V204">
            <v>1</v>
          </cell>
          <cell r="W204">
            <v>5859086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/>
          <cell r="AC204"/>
          <cell r="AD204"/>
          <cell r="AE204"/>
          <cell r="AF204" t="str">
            <v>UnRegistered</v>
          </cell>
        </row>
        <row r="205">
          <cell r="B205" t="str">
            <v>R6 LG 03</v>
          </cell>
          <cell r="C205" t="str">
            <v>R6</v>
          </cell>
          <cell r="D205" t="str">
            <v>M3M Capital Walk in M3M Capital Phase-2</v>
          </cell>
          <cell r="E205" t="str">
            <v>cwBOOKING/00104/23-24</v>
          </cell>
          <cell r="F205" t="str">
            <v>Ms. MRIGNAINI VIJAN</v>
          </cell>
          <cell r="G205" t="str">
            <v>cwFLAP/01011/22-23</v>
          </cell>
          <cell r="H205" t="str">
            <v>On Application of OC</v>
          </cell>
          <cell r="I205">
            <v>0</v>
          </cell>
          <cell r="J205">
            <v>45426</v>
          </cell>
          <cell r="K205">
            <v>46144</v>
          </cell>
          <cell r="L205">
            <v>46164</v>
          </cell>
          <cell r="M205">
            <v>8019361</v>
          </cell>
          <cell r="N205">
            <v>962324</v>
          </cell>
          <cell r="O205">
            <v>8981685</v>
          </cell>
          <cell r="P205"/>
          <cell r="Q205"/>
          <cell r="R205"/>
          <cell r="S205"/>
          <cell r="T205">
            <v>0</v>
          </cell>
          <cell r="U205">
            <v>0</v>
          </cell>
          <cell r="V205">
            <v>126019</v>
          </cell>
          <cell r="W205">
            <v>9107704</v>
          </cell>
          <cell r="X205">
            <v>308876</v>
          </cell>
          <cell r="Y205">
            <v>0</v>
          </cell>
          <cell r="Z205">
            <v>0</v>
          </cell>
          <cell r="AA205">
            <v>308876</v>
          </cell>
          <cell r="AB205"/>
          <cell r="AC205"/>
          <cell r="AD205"/>
          <cell r="AE205"/>
          <cell r="AF205" t="str">
            <v>UnRegistered</v>
          </cell>
        </row>
        <row r="206">
          <cell r="B206" t="str">
            <v>R1 217</v>
          </cell>
          <cell r="C206" t="str">
            <v>R1</v>
          </cell>
          <cell r="D206" t="str">
            <v>M3M Capital Walk in M3M Capital Phase-2</v>
          </cell>
          <cell r="E206" t="str">
            <v>cwBOOKING/00105/22-23</v>
          </cell>
          <cell r="F206" t="str">
            <v>Mr. SUMIT DHINGRA</v>
          </cell>
          <cell r="G206" t="str">
            <v>cwFLAP/00010/22-23</v>
          </cell>
          <cell r="H206" t="str">
            <v>On Application of OC</v>
          </cell>
          <cell r="I206">
            <v>0</v>
          </cell>
          <cell r="J206">
            <v>45092</v>
          </cell>
          <cell r="K206">
            <v>46144</v>
          </cell>
          <cell r="L206">
            <v>46164</v>
          </cell>
          <cell r="M206">
            <v>2199448</v>
          </cell>
          <cell r="N206">
            <v>263934</v>
          </cell>
          <cell r="O206">
            <v>2463382</v>
          </cell>
          <cell r="P206">
            <v>229600.973</v>
          </cell>
          <cell r="Q206"/>
          <cell r="R206"/>
          <cell r="S206">
            <v>27552.116759999997</v>
          </cell>
          <cell r="T206">
            <v>257153.08976</v>
          </cell>
          <cell r="U206">
            <v>0</v>
          </cell>
          <cell r="V206">
            <v>0</v>
          </cell>
          <cell r="W206">
            <v>2206228.9102400001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 t="str">
            <v>Executed</v>
          </cell>
          <cell r="AC206" t="str">
            <v>Yes</v>
          </cell>
          <cell r="AD206">
            <v>5.1029404363135286E-2</v>
          </cell>
          <cell r="AE206" t="str">
            <v>Less than 35%</v>
          </cell>
          <cell r="AF206" t="str">
            <v>UnRegistered</v>
          </cell>
        </row>
        <row r="207">
          <cell r="B207" t="str">
            <v>R3 UG 26</v>
          </cell>
          <cell r="C207" t="str">
            <v>R3</v>
          </cell>
          <cell r="D207" t="str">
            <v>M3M Capital Walk in M3M Capital Phase-2</v>
          </cell>
          <cell r="E207" t="str">
            <v>cwBOOKING/00105/23-24</v>
          </cell>
          <cell r="F207" t="str">
            <v>Mr. VIKAS GABA</v>
          </cell>
          <cell r="G207" t="str">
            <v>cwFLAP/00946/22-23</v>
          </cell>
          <cell r="H207" t="str">
            <v>On Application of OC</v>
          </cell>
          <cell r="I207">
            <v>0</v>
          </cell>
          <cell r="J207">
            <v>45363</v>
          </cell>
          <cell r="K207">
            <v>46144</v>
          </cell>
          <cell r="L207">
            <v>46164</v>
          </cell>
          <cell r="M207">
            <v>5815896</v>
          </cell>
          <cell r="N207">
            <v>697908</v>
          </cell>
          <cell r="O207">
            <v>6513804</v>
          </cell>
          <cell r="P207"/>
          <cell r="Q207"/>
          <cell r="R207"/>
          <cell r="S207"/>
          <cell r="T207">
            <v>0</v>
          </cell>
          <cell r="U207">
            <v>0</v>
          </cell>
          <cell r="V207">
            <v>1</v>
          </cell>
          <cell r="W207">
            <v>6513805</v>
          </cell>
          <cell r="X207">
            <v>16036</v>
          </cell>
          <cell r="Y207">
            <v>0</v>
          </cell>
          <cell r="Z207">
            <v>0</v>
          </cell>
          <cell r="AA207">
            <v>16036</v>
          </cell>
          <cell r="AB207"/>
          <cell r="AC207"/>
          <cell r="AD207"/>
          <cell r="AE207"/>
          <cell r="AF207" t="str">
            <v>UnRegistered</v>
          </cell>
        </row>
        <row r="208">
          <cell r="B208" t="str">
            <v>R3 LG 95</v>
          </cell>
          <cell r="C208" t="str">
            <v>R3</v>
          </cell>
          <cell r="D208" t="str">
            <v>M3M Capital Walk in M3M Capital Phase-2</v>
          </cell>
          <cell r="E208" t="str">
            <v>cwBOOKING/00106/23-24</v>
          </cell>
          <cell r="F208" t="str">
            <v>Mr. VIMAL SARDA</v>
          </cell>
          <cell r="G208" t="str">
            <v>cwFLAP/01037/22-23</v>
          </cell>
          <cell r="H208" t="str">
            <v>On Application of OC</v>
          </cell>
          <cell r="I208">
            <v>0</v>
          </cell>
          <cell r="J208">
            <v>45092</v>
          </cell>
          <cell r="K208">
            <v>46144</v>
          </cell>
          <cell r="L208">
            <v>46164</v>
          </cell>
          <cell r="M208">
            <v>7767471</v>
          </cell>
          <cell r="N208">
            <v>932096</v>
          </cell>
          <cell r="O208">
            <v>8699567</v>
          </cell>
          <cell r="P208"/>
          <cell r="Q208"/>
          <cell r="R208"/>
          <cell r="S208"/>
          <cell r="T208">
            <v>0</v>
          </cell>
          <cell r="U208">
            <v>0</v>
          </cell>
          <cell r="V208">
            <v>0</v>
          </cell>
          <cell r="W208">
            <v>8699567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/>
          <cell r="AC208"/>
          <cell r="AD208"/>
          <cell r="AE208"/>
          <cell r="AF208" t="str">
            <v>07AYSPK5973C1Z0</v>
          </cell>
        </row>
        <row r="209">
          <cell r="B209" t="str">
            <v>R5 K 215</v>
          </cell>
          <cell r="C209" t="str">
            <v>R5</v>
          </cell>
          <cell r="D209" t="str">
            <v>M3M Capital Walk in M3M Capital Phase-2</v>
          </cell>
          <cell r="E209" t="str">
            <v>cwBOOKING/00107/22-23</v>
          </cell>
          <cell r="F209" t="str">
            <v>Ms. HARPREET LUTHRA</v>
          </cell>
          <cell r="G209" t="str">
            <v>cwFLAP/00041/22-23</v>
          </cell>
          <cell r="H209" t="str">
            <v>On Application of OC</v>
          </cell>
          <cell r="I209">
            <v>0</v>
          </cell>
          <cell r="J209">
            <v>45098</v>
          </cell>
          <cell r="K209">
            <v>46144</v>
          </cell>
          <cell r="L209">
            <v>46164</v>
          </cell>
          <cell r="M209">
            <v>6186826</v>
          </cell>
          <cell r="N209">
            <v>742420</v>
          </cell>
          <cell r="O209">
            <v>6929246</v>
          </cell>
          <cell r="P209">
            <v>3918323.3866666667</v>
          </cell>
          <cell r="Q209"/>
          <cell r="R209"/>
          <cell r="S209">
            <v>470198.8064</v>
          </cell>
          <cell r="T209">
            <v>4388522.1930666668</v>
          </cell>
          <cell r="U209">
            <v>699</v>
          </cell>
          <cell r="V209">
            <v>0</v>
          </cell>
          <cell r="W209">
            <v>2540024.8069333332</v>
          </cell>
          <cell r="X209">
            <v>2148.56</v>
          </cell>
          <cell r="Y209">
            <v>0</v>
          </cell>
          <cell r="Z209">
            <v>0</v>
          </cell>
          <cell r="AA209">
            <v>2148.56</v>
          </cell>
          <cell r="AB209" t="str">
            <v>Executed</v>
          </cell>
          <cell r="AC209" t="str">
            <v>Yes</v>
          </cell>
          <cell r="AD209">
            <v>0.25333330291540312</v>
          </cell>
          <cell r="AE209" t="str">
            <v>Less than 35%</v>
          </cell>
          <cell r="AF209" t="str">
            <v>UnRegistered</v>
          </cell>
        </row>
        <row r="210">
          <cell r="B210" t="str">
            <v>R3 UG 04</v>
          </cell>
          <cell r="C210" t="str">
            <v>R3</v>
          </cell>
          <cell r="D210" t="str">
            <v>M3M Capital Walk in M3M Capital Phase-2</v>
          </cell>
          <cell r="E210" t="str">
            <v>cwBOOKING/00107/23-24</v>
          </cell>
          <cell r="F210" t="str">
            <v>Ms. ANITA BANSAL</v>
          </cell>
          <cell r="G210" t="str">
            <v>cwFLAP/01032/22-23</v>
          </cell>
          <cell r="H210" t="str">
            <v>On Application of OC</v>
          </cell>
          <cell r="I210">
            <v>0</v>
          </cell>
          <cell r="J210">
            <v>45098</v>
          </cell>
          <cell r="K210">
            <v>46144</v>
          </cell>
          <cell r="L210">
            <v>46164</v>
          </cell>
          <cell r="M210">
            <v>6882896</v>
          </cell>
          <cell r="N210">
            <v>825948</v>
          </cell>
          <cell r="O210">
            <v>7708844</v>
          </cell>
          <cell r="P210"/>
          <cell r="Q210"/>
          <cell r="R210"/>
          <cell r="S210"/>
          <cell r="T210">
            <v>0</v>
          </cell>
          <cell r="U210">
            <v>0</v>
          </cell>
          <cell r="V210">
            <v>0</v>
          </cell>
          <cell r="W210">
            <v>7708844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/>
          <cell r="AC210"/>
          <cell r="AD210"/>
          <cell r="AE210"/>
          <cell r="AF210" t="str">
            <v>UnRegistered</v>
          </cell>
        </row>
        <row r="211">
          <cell r="B211" t="str">
            <v>R6 123</v>
          </cell>
          <cell r="C211" t="str">
            <v>R6</v>
          </cell>
          <cell r="D211" t="str">
            <v>M3M Capital Walk in M3M Capital Phase-2</v>
          </cell>
          <cell r="E211" t="str">
            <v>cwBOOKING/00108/22-23</v>
          </cell>
          <cell r="F211" t="str">
            <v>Mr. KEDAR NATH PANDEY</v>
          </cell>
          <cell r="G211" t="str">
            <v>cwFLAP/00005/22-23</v>
          </cell>
          <cell r="H211" t="str">
            <v>On Application of OC</v>
          </cell>
          <cell r="I211">
            <v>0</v>
          </cell>
          <cell r="J211">
            <v>45412</v>
          </cell>
          <cell r="K211">
            <v>46144</v>
          </cell>
          <cell r="L211">
            <v>46164</v>
          </cell>
          <cell r="M211">
            <v>2399778</v>
          </cell>
          <cell r="N211">
            <v>287974</v>
          </cell>
          <cell r="O211">
            <v>2687752</v>
          </cell>
          <cell r="P211"/>
          <cell r="Q211"/>
          <cell r="R211"/>
          <cell r="S211"/>
          <cell r="T211">
            <v>0</v>
          </cell>
          <cell r="U211">
            <v>1061</v>
          </cell>
          <cell r="V211">
            <v>0</v>
          </cell>
          <cell r="W211">
            <v>2686691</v>
          </cell>
          <cell r="X211">
            <v>3100</v>
          </cell>
          <cell r="Y211">
            <v>0</v>
          </cell>
          <cell r="Z211">
            <v>0</v>
          </cell>
          <cell r="AA211">
            <v>3100</v>
          </cell>
          <cell r="AB211"/>
          <cell r="AC211"/>
          <cell r="AD211"/>
          <cell r="AE211"/>
          <cell r="AF211" t="str">
            <v>UnRegistered</v>
          </cell>
        </row>
        <row r="212">
          <cell r="B212" t="str">
            <v>R3 UG 38</v>
          </cell>
          <cell r="C212" t="str">
            <v>R3</v>
          </cell>
          <cell r="D212" t="str">
            <v>M3M Capital Walk in M3M Capital Phase-2</v>
          </cell>
          <cell r="E212" t="str">
            <v>cwBOOKING/00108/23-24</v>
          </cell>
          <cell r="F212" t="str">
            <v>Mr. MANOJ CHAWLA</v>
          </cell>
          <cell r="G212" t="str">
            <v>cwFLAP/01012/22-23</v>
          </cell>
          <cell r="H212" t="str">
            <v>On Application of OC</v>
          </cell>
          <cell r="I212">
            <v>0</v>
          </cell>
          <cell r="J212">
            <v>45111</v>
          </cell>
          <cell r="K212">
            <v>46144</v>
          </cell>
          <cell r="L212">
            <v>46164</v>
          </cell>
          <cell r="M212">
            <v>11048838</v>
          </cell>
          <cell r="N212">
            <v>1325860</v>
          </cell>
          <cell r="O212">
            <v>12374698</v>
          </cell>
          <cell r="P212"/>
          <cell r="Q212"/>
          <cell r="R212"/>
          <cell r="S212"/>
          <cell r="T212">
            <v>0</v>
          </cell>
          <cell r="U212">
            <v>51</v>
          </cell>
          <cell r="V212">
            <v>0</v>
          </cell>
          <cell r="W212">
            <v>12374647</v>
          </cell>
          <cell r="X212">
            <v>35.36</v>
          </cell>
          <cell r="Y212">
            <v>0</v>
          </cell>
          <cell r="Z212">
            <v>0</v>
          </cell>
          <cell r="AA212">
            <v>35.36</v>
          </cell>
          <cell r="AB212"/>
          <cell r="AC212"/>
          <cell r="AD212"/>
          <cell r="AE212"/>
          <cell r="AF212" t="str">
            <v>UnRegistered</v>
          </cell>
        </row>
        <row r="213">
          <cell r="B213" t="str">
            <v>R1 UG 06</v>
          </cell>
          <cell r="C213" t="str">
            <v>R1</v>
          </cell>
          <cell r="D213" t="str">
            <v>M3M Capital Walk in M3M Capital Phase-2</v>
          </cell>
          <cell r="E213" t="str">
            <v>cwBOOKING/00109/23-24</v>
          </cell>
          <cell r="F213" t="str">
            <v>Ms. YAMINI MANN SHOKEEN</v>
          </cell>
          <cell r="G213" t="str">
            <v>cwFLAP/00709/22-23</v>
          </cell>
          <cell r="H213" t="str">
            <v>On Application of OC</v>
          </cell>
          <cell r="I213">
            <v>0</v>
          </cell>
          <cell r="J213">
            <v>45104</v>
          </cell>
          <cell r="K213">
            <v>46144</v>
          </cell>
          <cell r="L213">
            <v>46164</v>
          </cell>
          <cell r="M213">
            <v>3829845</v>
          </cell>
          <cell r="N213">
            <v>459582</v>
          </cell>
          <cell r="O213">
            <v>4289427</v>
          </cell>
          <cell r="P213"/>
          <cell r="Q213"/>
          <cell r="R213"/>
          <cell r="S213"/>
          <cell r="T213">
            <v>0</v>
          </cell>
          <cell r="U213">
            <v>0</v>
          </cell>
          <cell r="V213">
            <v>0</v>
          </cell>
          <cell r="W213">
            <v>4289427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/>
          <cell r="AC213"/>
          <cell r="AD213"/>
          <cell r="AE213"/>
          <cell r="AF213" t="str">
            <v>UnRegistered</v>
          </cell>
        </row>
        <row r="214">
          <cell r="B214" t="str">
            <v>R4 121</v>
          </cell>
          <cell r="C214" t="str">
            <v>R4</v>
          </cell>
          <cell r="D214" t="str">
            <v>M3M Capital Walk in M3M Capital Phase-2</v>
          </cell>
          <cell r="E214" t="str">
            <v>cwBOOKING/00110/22-23</v>
          </cell>
          <cell r="F214" t="str">
            <v>Ms. RASHMI PANWAR</v>
          </cell>
          <cell r="G214" t="str">
            <v>cwFLAP/00254/22-23</v>
          </cell>
          <cell r="H214" t="str">
            <v>On Application of OC</v>
          </cell>
          <cell r="I214">
            <v>0</v>
          </cell>
          <cell r="J214">
            <v>45140</v>
          </cell>
          <cell r="K214">
            <v>46144</v>
          </cell>
          <cell r="L214">
            <v>46164</v>
          </cell>
          <cell r="M214">
            <v>6002453</v>
          </cell>
          <cell r="N214">
            <v>720294</v>
          </cell>
          <cell r="O214">
            <v>6722747</v>
          </cell>
          <cell r="P214">
            <v>1652132.7342333333</v>
          </cell>
          <cell r="Q214"/>
          <cell r="R214"/>
          <cell r="S214">
            <v>198255.92810799999</v>
          </cell>
          <cell r="T214">
            <v>1850388.6623413332</v>
          </cell>
          <cell r="U214">
            <v>0</v>
          </cell>
          <cell r="V214">
            <v>0</v>
          </cell>
          <cell r="W214">
            <v>4872358.337658667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 t="str">
            <v>Executed</v>
          </cell>
          <cell r="AC214" t="str">
            <v>Yes</v>
          </cell>
          <cell r="AD214">
            <v>0.19118893634397824</v>
          </cell>
          <cell r="AE214" t="str">
            <v>Less than 35%</v>
          </cell>
          <cell r="AF214" t="str">
            <v>UnRegistered</v>
          </cell>
        </row>
        <row r="215">
          <cell r="B215" t="str">
            <v>R3 UG 10</v>
          </cell>
          <cell r="C215" t="str">
            <v>R3</v>
          </cell>
          <cell r="D215" t="str">
            <v>M3M Capital Walk in M3M Capital Phase-2</v>
          </cell>
          <cell r="E215" t="str">
            <v>cwBOOKING/00110/23-24</v>
          </cell>
          <cell r="F215" t="str">
            <v>Mr. PRIYAM KUMAR</v>
          </cell>
          <cell r="G215" t="str">
            <v>cwFLAP/00821/22-23</v>
          </cell>
          <cell r="H215" t="str">
            <v>On Application of OC</v>
          </cell>
          <cell r="I215">
            <v>0</v>
          </cell>
          <cell r="J215">
            <v>45330</v>
          </cell>
          <cell r="K215">
            <v>46144</v>
          </cell>
          <cell r="L215">
            <v>46164</v>
          </cell>
          <cell r="M215">
            <v>9341013</v>
          </cell>
          <cell r="N215">
            <v>1120922</v>
          </cell>
          <cell r="O215">
            <v>10461935</v>
          </cell>
          <cell r="P215">
            <v>732722.86233666656</v>
          </cell>
          <cell r="Q215"/>
          <cell r="R215"/>
          <cell r="S215">
            <v>87926.743480399979</v>
          </cell>
          <cell r="T215">
            <v>820649.60581706651</v>
          </cell>
          <cell r="U215">
            <v>0</v>
          </cell>
          <cell r="V215">
            <v>394.16999999992549</v>
          </cell>
          <cell r="W215">
            <v>9641679.5641829334</v>
          </cell>
          <cell r="X215">
            <v>9750.2000000000007</v>
          </cell>
          <cell r="Y215">
            <v>0</v>
          </cell>
          <cell r="Z215">
            <v>9966</v>
          </cell>
          <cell r="AA215">
            <v>-215.8</v>
          </cell>
          <cell r="AB215" t="str">
            <v>Executed</v>
          </cell>
          <cell r="AC215" t="str">
            <v>Yes</v>
          </cell>
          <cell r="AD215">
            <v>4.8024299658727773E-2</v>
          </cell>
          <cell r="AE215" t="str">
            <v>Less than 35%</v>
          </cell>
          <cell r="AF215" t="str">
            <v>UnRegistered</v>
          </cell>
        </row>
        <row r="216">
          <cell r="B216" t="str">
            <v>R5 K 209</v>
          </cell>
          <cell r="C216" t="str">
            <v>R5</v>
          </cell>
          <cell r="D216" t="str">
            <v>M3M Capital Walk in M3M Capital Phase-2</v>
          </cell>
          <cell r="E216" t="str">
            <v>cwBOOKING/00111/22-23</v>
          </cell>
          <cell r="F216" t="str">
            <v>Ms. NIDHI MEHRA</v>
          </cell>
          <cell r="G216" t="str">
            <v>cwFLAP/00255/22-23</v>
          </cell>
          <cell r="H216" t="str">
            <v>On Application of OC</v>
          </cell>
          <cell r="I216">
            <v>0</v>
          </cell>
          <cell r="J216">
            <v>45035</v>
          </cell>
          <cell r="K216">
            <v>46144</v>
          </cell>
          <cell r="L216">
            <v>46164</v>
          </cell>
          <cell r="M216">
            <v>3989213</v>
          </cell>
          <cell r="N216">
            <v>478706</v>
          </cell>
          <cell r="O216">
            <v>4467919</v>
          </cell>
          <cell r="P216">
            <v>973868.16041666665</v>
          </cell>
          <cell r="Q216"/>
          <cell r="R216"/>
          <cell r="S216">
            <v>116864.17925</v>
          </cell>
          <cell r="T216">
            <v>1090732.3396666667</v>
          </cell>
          <cell r="U216">
            <v>0</v>
          </cell>
          <cell r="V216">
            <v>0</v>
          </cell>
          <cell r="W216">
            <v>3377186.6603333335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 t="str">
            <v>Executed</v>
          </cell>
          <cell r="AC216" t="str">
            <v>Yes</v>
          </cell>
          <cell r="AD216">
            <v>0.18816432651376475</v>
          </cell>
          <cell r="AE216" t="str">
            <v>Less than 35%</v>
          </cell>
          <cell r="AF216" t="str">
            <v>UnRegistered</v>
          </cell>
        </row>
        <row r="217">
          <cell r="B217" t="str">
            <v>R1 130</v>
          </cell>
          <cell r="C217" t="str">
            <v>R1</v>
          </cell>
          <cell r="D217" t="str">
            <v>M3M Capital Walk in M3M Capital Phase-2</v>
          </cell>
          <cell r="E217" t="str">
            <v>cwBOOKING/00111/23-24</v>
          </cell>
          <cell r="F217" t="str">
            <v>Mr. ANKIT PATEL</v>
          </cell>
          <cell r="G217" t="str">
            <v>cwFLAP/00026/23-24</v>
          </cell>
          <cell r="H217" t="str">
            <v>On Application of OC</v>
          </cell>
          <cell r="I217">
            <v>0</v>
          </cell>
          <cell r="J217">
            <v>45084</v>
          </cell>
          <cell r="K217">
            <v>46144</v>
          </cell>
          <cell r="L217">
            <v>46164</v>
          </cell>
          <cell r="M217">
            <v>5666221</v>
          </cell>
          <cell r="N217">
            <v>679946</v>
          </cell>
          <cell r="O217">
            <v>6346167</v>
          </cell>
          <cell r="P217"/>
          <cell r="Q217"/>
          <cell r="R217"/>
          <cell r="S217"/>
          <cell r="T217">
            <v>0</v>
          </cell>
          <cell r="U217">
            <v>0</v>
          </cell>
          <cell r="V217">
            <v>1</v>
          </cell>
          <cell r="W217">
            <v>6346168</v>
          </cell>
          <cell r="X217">
            <v>127</v>
          </cell>
          <cell r="Y217">
            <v>0</v>
          </cell>
          <cell r="Z217">
            <v>0</v>
          </cell>
          <cell r="AA217">
            <v>127</v>
          </cell>
          <cell r="AB217"/>
          <cell r="AC217"/>
          <cell r="AD217"/>
          <cell r="AE217"/>
          <cell r="AF217" t="str">
            <v>UnRegistered</v>
          </cell>
        </row>
        <row r="218">
          <cell r="B218" t="str">
            <v>R2 LG 05</v>
          </cell>
          <cell r="C218" t="str">
            <v>R2</v>
          </cell>
          <cell r="D218" t="str">
            <v>M3M Capital Walk in M3M Capital Phase-2</v>
          </cell>
          <cell r="E218" t="str">
            <v>cwBOOKING/00112/23-24</v>
          </cell>
          <cell r="F218" t="str">
            <v>Mrs. VANDANA</v>
          </cell>
          <cell r="G218" t="str">
            <v>cwFLAP/01018/22-23</v>
          </cell>
          <cell r="H218" t="str">
            <v>On Application of OC</v>
          </cell>
          <cell r="I218">
            <v>0</v>
          </cell>
          <cell r="J218">
            <v>45455</v>
          </cell>
          <cell r="K218">
            <v>46144</v>
          </cell>
          <cell r="L218">
            <v>46164</v>
          </cell>
          <cell r="M218">
            <v>2606933</v>
          </cell>
          <cell r="N218">
            <v>312832</v>
          </cell>
          <cell r="O218">
            <v>2919765</v>
          </cell>
          <cell r="P218"/>
          <cell r="Q218"/>
          <cell r="R218"/>
          <cell r="S218"/>
          <cell r="T218">
            <v>0</v>
          </cell>
          <cell r="U218">
            <v>0</v>
          </cell>
          <cell r="V218">
            <v>0</v>
          </cell>
          <cell r="W218">
            <v>2919765</v>
          </cell>
          <cell r="X218">
            <v>3571</v>
          </cell>
          <cell r="Y218">
            <v>0</v>
          </cell>
          <cell r="Z218">
            <v>3571</v>
          </cell>
          <cell r="AA218">
            <v>0</v>
          </cell>
          <cell r="AB218"/>
          <cell r="AC218"/>
          <cell r="AD218"/>
          <cell r="AE218"/>
          <cell r="AF218" t="str">
            <v>UnRegistered</v>
          </cell>
        </row>
        <row r="219">
          <cell r="B219" t="str">
            <v>R1 133</v>
          </cell>
          <cell r="C219" t="str">
            <v>R1</v>
          </cell>
          <cell r="D219" t="str">
            <v>M3M Capital Walk in M3M Capital Phase-2</v>
          </cell>
          <cell r="E219" t="str">
            <v>cwBOOKING/00113/23-24</v>
          </cell>
          <cell r="F219" t="str">
            <v>Ms. MEENU</v>
          </cell>
          <cell r="G219" t="str">
            <v>cwFLAP/00027/23-24</v>
          </cell>
          <cell r="H219" t="str">
            <v>On Application of OC</v>
          </cell>
          <cell r="I219">
            <v>0</v>
          </cell>
          <cell r="J219">
            <v>45232</v>
          </cell>
          <cell r="K219">
            <v>46144</v>
          </cell>
          <cell r="L219">
            <v>46164</v>
          </cell>
          <cell r="M219">
            <v>3375007</v>
          </cell>
          <cell r="N219">
            <v>405000</v>
          </cell>
          <cell r="O219">
            <v>3780007</v>
          </cell>
          <cell r="P219"/>
          <cell r="Q219"/>
          <cell r="R219"/>
          <cell r="S219"/>
          <cell r="T219">
            <v>0</v>
          </cell>
          <cell r="U219">
            <v>0</v>
          </cell>
          <cell r="V219">
            <v>0</v>
          </cell>
          <cell r="W219">
            <v>3780007</v>
          </cell>
          <cell r="X219">
            <v>2045</v>
          </cell>
          <cell r="Y219">
            <v>0</v>
          </cell>
          <cell r="Z219">
            <v>0</v>
          </cell>
          <cell r="AA219">
            <v>2045</v>
          </cell>
          <cell r="AB219"/>
          <cell r="AC219"/>
          <cell r="AD219"/>
          <cell r="AE219"/>
          <cell r="AF219" t="str">
            <v>UnRegistered</v>
          </cell>
        </row>
        <row r="220">
          <cell r="B220" t="str">
            <v>R5 202</v>
          </cell>
          <cell r="C220" t="str">
            <v>R5</v>
          </cell>
          <cell r="D220" t="str">
            <v>M3M Capital Walk in M3M Capital Phase-2</v>
          </cell>
          <cell r="E220" t="str">
            <v>cwBOOKING/00114/22-23</v>
          </cell>
          <cell r="F220" t="str">
            <v>Ms. VANDANA KHUTEL</v>
          </cell>
          <cell r="G220" t="str">
            <v>cwFLAP/00231/22-23</v>
          </cell>
          <cell r="H220" t="str">
            <v>On Application of OC</v>
          </cell>
          <cell r="I220">
            <v>0</v>
          </cell>
          <cell r="J220">
            <v>44964</v>
          </cell>
          <cell r="K220">
            <v>46144</v>
          </cell>
          <cell r="L220">
            <v>46164</v>
          </cell>
          <cell r="M220">
            <v>3851596</v>
          </cell>
          <cell r="N220">
            <v>462192</v>
          </cell>
          <cell r="O220">
            <v>4313788</v>
          </cell>
          <cell r="P220">
            <v>579757.63442000002</v>
          </cell>
          <cell r="Q220"/>
          <cell r="R220"/>
          <cell r="S220">
            <v>69570.916130400001</v>
          </cell>
          <cell r="T220">
            <v>649328.55055040005</v>
          </cell>
          <cell r="U220">
            <v>0</v>
          </cell>
          <cell r="V220">
            <v>1</v>
          </cell>
          <cell r="W220">
            <v>3664460.4494495997</v>
          </cell>
          <cell r="X220">
            <v>1915</v>
          </cell>
          <cell r="Y220">
            <v>0</v>
          </cell>
          <cell r="Z220">
            <v>0</v>
          </cell>
          <cell r="AA220">
            <v>1915</v>
          </cell>
          <cell r="AB220" t="str">
            <v>Executed</v>
          </cell>
          <cell r="AC220" t="str">
            <v>Yes</v>
          </cell>
          <cell r="AD220">
            <v>7.1253918414657405E-2</v>
          </cell>
          <cell r="AE220" t="str">
            <v>Less than 35%</v>
          </cell>
          <cell r="AF220" t="str">
            <v>UnRegistered</v>
          </cell>
        </row>
        <row r="221">
          <cell r="B221" t="str">
            <v>R3 LG 93</v>
          </cell>
          <cell r="C221" t="str">
            <v>R3</v>
          </cell>
          <cell r="D221" t="str">
            <v>M3M Capital Walk in M3M Capital Phase-2</v>
          </cell>
          <cell r="E221" t="str">
            <v>cwBOOKING/00114/23-24</v>
          </cell>
          <cell r="F221" t="str">
            <v>Mr. MANUSHIVAM MAHESHWARI</v>
          </cell>
          <cell r="G221" t="str">
            <v>cwFLAP/00022/23-24</v>
          </cell>
          <cell r="H221" t="str">
            <v>On Application of OC</v>
          </cell>
          <cell r="I221">
            <v>0</v>
          </cell>
          <cell r="J221">
            <v>45084</v>
          </cell>
          <cell r="K221">
            <v>46144</v>
          </cell>
          <cell r="L221">
            <v>46164</v>
          </cell>
          <cell r="M221">
            <v>7971789</v>
          </cell>
          <cell r="N221">
            <v>956614</v>
          </cell>
          <cell r="O221">
            <v>8928403</v>
          </cell>
          <cell r="P221"/>
          <cell r="Q221"/>
          <cell r="R221"/>
          <cell r="S221"/>
          <cell r="T221">
            <v>0</v>
          </cell>
          <cell r="U221">
            <v>0</v>
          </cell>
          <cell r="V221">
            <v>0</v>
          </cell>
          <cell r="W221">
            <v>8928403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/>
          <cell r="AC221"/>
          <cell r="AD221"/>
          <cell r="AE221"/>
          <cell r="AF221" t="str">
            <v>UnRegistered</v>
          </cell>
        </row>
        <row r="222">
          <cell r="B222" t="str">
            <v>R1 204</v>
          </cell>
          <cell r="C222" t="str">
            <v>R1</v>
          </cell>
          <cell r="D222" t="str">
            <v>M3M Capital Walk in M3M Capital Phase-2</v>
          </cell>
          <cell r="E222" t="str">
            <v>cwBOOKING/00115/22-23</v>
          </cell>
          <cell r="F222" t="str">
            <v>Ms. ANURADHA TANKHA</v>
          </cell>
          <cell r="G222" t="str">
            <v>cwFLAP/00268/22-23</v>
          </cell>
          <cell r="H222" t="str">
            <v>On Application of OC</v>
          </cell>
          <cell r="I222">
            <v>0</v>
          </cell>
          <cell r="J222">
            <v>44994</v>
          </cell>
          <cell r="K222">
            <v>46144</v>
          </cell>
          <cell r="L222">
            <v>46164</v>
          </cell>
          <cell r="M222">
            <v>314388</v>
          </cell>
          <cell r="N222">
            <v>37726</v>
          </cell>
          <cell r="O222">
            <v>352114</v>
          </cell>
          <cell r="P222"/>
          <cell r="Q222"/>
          <cell r="R222"/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352114</v>
          </cell>
          <cell r="X222">
            <v>14743</v>
          </cell>
          <cell r="Y222">
            <v>14743</v>
          </cell>
          <cell r="Z222">
            <v>0</v>
          </cell>
          <cell r="AA222">
            <v>0</v>
          </cell>
          <cell r="AB222"/>
          <cell r="AC222"/>
          <cell r="AD222">
            <v>0</v>
          </cell>
          <cell r="AE222" t="str">
            <v>Less than 35%</v>
          </cell>
          <cell r="AF222" t="str">
            <v>UnRegistered</v>
          </cell>
        </row>
        <row r="223">
          <cell r="B223" t="str">
            <v>R6 228</v>
          </cell>
          <cell r="C223" t="str">
            <v>R6</v>
          </cell>
          <cell r="D223" t="str">
            <v>M3M Capital Walk in M3M Capital Phase-2</v>
          </cell>
          <cell r="E223" t="str">
            <v>cwBOOKING/00115/23-24</v>
          </cell>
          <cell r="F223" t="str">
            <v>Mr. ASHISH SHARMA</v>
          </cell>
          <cell r="G223" t="str">
            <v>cwFLAP/00995/22-23</v>
          </cell>
          <cell r="H223" t="str">
            <v>On Application of OC</v>
          </cell>
          <cell r="I223">
            <v>0</v>
          </cell>
          <cell r="J223">
            <v>45307</v>
          </cell>
          <cell r="K223">
            <v>46144</v>
          </cell>
          <cell r="L223">
            <v>46164</v>
          </cell>
          <cell r="M223">
            <v>4925804</v>
          </cell>
          <cell r="N223">
            <v>591096</v>
          </cell>
          <cell r="O223">
            <v>5516900</v>
          </cell>
          <cell r="P223"/>
          <cell r="Q223"/>
          <cell r="R223"/>
          <cell r="S223"/>
          <cell r="T223">
            <v>0</v>
          </cell>
          <cell r="U223">
            <v>159873</v>
          </cell>
          <cell r="V223">
            <v>0</v>
          </cell>
          <cell r="W223">
            <v>5357027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/>
          <cell r="AC223"/>
          <cell r="AD223"/>
          <cell r="AE223"/>
          <cell r="AF223" t="str">
            <v>UnRegistered</v>
          </cell>
        </row>
        <row r="224">
          <cell r="B224" t="str">
            <v>R4 143</v>
          </cell>
          <cell r="C224" t="str">
            <v>R4</v>
          </cell>
          <cell r="D224" t="str">
            <v>M3M Capital Walk in M3M Capital Phase-2</v>
          </cell>
          <cell r="E224" t="str">
            <v>cwBOOKING/00116/22-23</v>
          </cell>
          <cell r="F224" t="str">
            <v>Mr. PULKIT GUPTA</v>
          </cell>
          <cell r="G224" t="str">
            <v>cwFLAP/00272/22-23</v>
          </cell>
          <cell r="H224" t="str">
            <v>On Application of OC</v>
          </cell>
          <cell r="I224">
            <v>0</v>
          </cell>
          <cell r="J224">
            <v>45377</v>
          </cell>
          <cell r="K224">
            <v>46144</v>
          </cell>
          <cell r="L224">
            <v>46164</v>
          </cell>
          <cell r="M224">
            <v>2952536</v>
          </cell>
          <cell r="N224">
            <v>354304</v>
          </cell>
          <cell r="O224">
            <v>3306840</v>
          </cell>
          <cell r="P224">
            <v>586032.52431999997</v>
          </cell>
          <cell r="Q224"/>
          <cell r="R224"/>
          <cell r="S224">
            <v>70323.902918399996</v>
          </cell>
          <cell r="T224">
            <v>656356.42723839998</v>
          </cell>
          <cell r="U224">
            <v>0</v>
          </cell>
          <cell r="V224">
            <v>26843</v>
          </cell>
          <cell r="W224">
            <v>2677326.5727615999</v>
          </cell>
          <cell r="X224">
            <v>69307.960000000006</v>
          </cell>
          <cell r="Y224">
            <v>0</v>
          </cell>
          <cell r="Z224">
            <v>0</v>
          </cell>
          <cell r="AA224">
            <v>69307.960000000006</v>
          </cell>
          <cell r="AB224" t="str">
            <v>Not Executed</v>
          </cell>
          <cell r="AC224" t="str">
            <v>No, due to CL not executed but interest is less than 75000</v>
          </cell>
          <cell r="AD224">
            <v>9.3568162707418565E-2</v>
          </cell>
          <cell r="AE224" t="str">
            <v>Less than 35%</v>
          </cell>
          <cell r="AF224" t="str">
            <v>UnRegistered</v>
          </cell>
        </row>
        <row r="225">
          <cell r="B225" t="str">
            <v>R6 LG 24</v>
          </cell>
          <cell r="C225" t="str">
            <v>R6</v>
          </cell>
          <cell r="D225" t="str">
            <v>M3M Capital Walk in M3M Capital Phase-2</v>
          </cell>
          <cell r="E225" t="str">
            <v>cwBOOKING/00117/22-23</v>
          </cell>
          <cell r="F225" t="str">
            <v>Mr. SARFRAZ AHMAD</v>
          </cell>
          <cell r="G225" t="str">
            <v>cwFLAP/00138/22-23</v>
          </cell>
          <cell r="H225" t="str">
            <v>On Application of OC</v>
          </cell>
          <cell r="I225">
            <v>0</v>
          </cell>
          <cell r="J225">
            <v>44936</v>
          </cell>
          <cell r="K225">
            <v>46144</v>
          </cell>
          <cell r="L225">
            <v>46164</v>
          </cell>
          <cell r="M225">
            <v>5844835</v>
          </cell>
          <cell r="N225">
            <v>701380</v>
          </cell>
          <cell r="O225">
            <v>6546215</v>
          </cell>
          <cell r="P225"/>
          <cell r="Q225"/>
          <cell r="R225"/>
          <cell r="S225"/>
          <cell r="T225">
            <v>0</v>
          </cell>
          <cell r="U225">
            <v>0</v>
          </cell>
          <cell r="V225">
            <v>0</v>
          </cell>
          <cell r="W225">
            <v>6546215</v>
          </cell>
          <cell r="X225">
            <v>29678</v>
          </cell>
          <cell r="Y225">
            <v>0</v>
          </cell>
          <cell r="Z225">
            <v>0</v>
          </cell>
          <cell r="AA225">
            <v>29678</v>
          </cell>
          <cell r="AB225"/>
          <cell r="AC225"/>
          <cell r="AD225"/>
          <cell r="AE225"/>
          <cell r="AF225" t="str">
            <v>UnRegistered</v>
          </cell>
        </row>
        <row r="226">
          <cell r="B226" t="str">
            <v>R1 145</v>
          </cell>
          <cell r="C226" t="str">
            <v>R1</v>
          </cell>
          <cell r="D226" t="str">
            <v>M3M Capital Walk in M3M Capital Phase-2</v>
          </cell>
          <cell r="E226" t="str">
            <v>cwBOOKING/00117/23-24</v>
          </cell>
          <cell r="F226" t="str">
            <v>Mr. AKHILESH KUMAR DUBEY</v>
          </cell>
          <cell r="G226" t="str">
            <v>cwFLAP/00825/22-23</v>
          </cell>
          <cell r="H226" t="str">
            <v>On Application of OC</v>
          </cell>
          <cell r="I226">
            <v>0</v>
          </cell>
          <cell r="J226">
            <v>45426</v>
          </cell>
          <cell r="K226">
            <v>46144</v>
          </cell>
          <cell r="L226">
            <v>46164</v>
          </cell>
          <cell r="M226">
            <v>6100000</v>
          </cell>
          <cell r="N226">
            <v>732000</v>
          </cell>
          <cell r="O226">
            <v>6832000</v>
          </cell>
          <cell r="P226"/>
          <cell r="Q226"/>
          <cell r="R226"/>
          <cell r="S226"/>
          <cell r="T226">
            <v>0</v>
          </cell>
          <cell r="U226">
            <v>0</v>
          </cell>
          <cell r="V226">
            <v>0</v>
          </cell>
          <cell r="W226">
            <v>6832000</v>
          </cell>
          <cell r="X226">
            <v>4548</v>
          </cell>
          <cell r="Y226">
            <v>0</v>
          </cell>
          <cell r="Z226">
            <v>0</v>
          </cell>
          <cell r="AA226">
            <v>4548</v>
          </cell>
          <cell r="AB226"/>
          <cell r="AC226"/>
          <cell r="AD226"/>
          <cell r="AE226"/>
          <cell r="AF226" t="str">
            <v>UnRegistered</v>
          </cell>
        </row>
        <row r="227">
          <cell r="B227" t="str">
            <v>R6 UG 32</v>
          </cell>
          <cell r="C227" t="str">
            <v>R6</v>
          </cell>
          <cell r="D227" t="str">
            <v>M3M Capital Walk in M3M Capital Phase-2</v>
          </cell>
          <cell r="E227" t="str">
            <v>cwBOOKING/00118/22-23</v>
          </cell>
          <cell r="F227" t="str">
            <v>Mr. DARSHAN KUMAR</v>
          </cell>
          <cell r="G227" t="str">
            <v>CCWFLAP/00016/22-23</v>
          </cell>
          <cell r="H227" t="str">
            <v>On Application of OC</v>
          </cell>
          <cell r="I227">
            <v>0</v>
          </cell>
          <cell r="J227">
            <v>44958</v>
          </cell>
          <cell r="K227">
            <v>46144</v>
          </cell>
          <cell r="L227">
            <v>46164</v>
          </cell>
          <cell r="M227">
            <v>4698624</v>
          </cell>
          <cell r="N227">
            <v>563834</v>
          </cell>
          <cell r="O227">
            <v>5262458</v>
          </cell>
          <cell r="P227">
            <v>1105788.6828999999</v>
          </cell>
          <cell r="Q227"/>
          <cell r="R227"/>
          <cell r="S227">
            <v>132694.64194799997</v>
          </cell>
          <cell r="T227">
            <v>1238483.324848</v>
          </cell>
          <cell r="U227">
            <v>206</v>
          </cell>
          <cell r="V227">
            <v>0</v>
          </cell>
          <cell r="W227">
            <v>4023768.675152</v>
          </cell>
          <cell r="X227">
            <v>6266</v>
          </cell>
          <cell r="Y227">
            <v>0</v>
          </cell>
          <cell r="Z227">
            <v>0</v>
          </cell>
          <cell r="AA227">
            <v>6266</v>
          </cell>
          <cell r="AB227" t="str">
            <v>Executed</v>
          </cell>
          <cell r="AC227" t="str">
            <v>Yes</v>
          </cell>
          <cell r="AD227">
            <v>0.12284846879725911</v>
          </cell>
          <cell r="AE227" t="str">
            <v>Less than 35%</v>
          </cell>
          <cell r="AF227" t="str">
            <v>UnRegistered</v>
          </cell>
        </row>
        <row r="228">
          <cell r="B228" t="str">
            <v>R3 LG 07</v>
          </cell>
          <cell r="C228" t="str">
            <v>R3</v>
          </cell>
          <cell r="D228" t="str">
            <v>M3M Capital Walk in M3M Capital Phase-2</v>
          </cell>
          <cell r="E228" t="str">
            <v>cwBOOKING/00118/23-24</v>
          </cell>
          <cell r="F228" t="str">
            <v>Ms. SWEEN MANCHANDA</v>
          </cell>
          <cell r="G228" t="str">
            <v>cwFLAP/00847/22-23</v>
          </cell>
          <cell r="H228" t="str">
            <v>On Application of OC</v>
          </cell>
          <cell r="I228">
            <v>0</v>
          </cell>
          <cell r="J228">
            <v>45236</v>
          </cell>
          <cell r="K228">
            <v>46144</v>
          </cell>
          <cell r="L228">
            <v>46164</v>
          </cell>
          <cell r="M228">
            <v>5735910</v>
          </cell>
          <cell r="N228">
            <v>688310</v>
          </cell>
          <cell r="O228">
            <v>6424220</v>
          </cell>
          <cell r="P228"/>
          <cell r="Q228"/>
          <cell r="R228"/>
          <cell r="S228"/>
          <cell r="T228">
            <v>0</v>
          </cell>
          <cell r="U228">
            <v>0</v>
          </cell>
          <cell r="V228">
            <v>0</v>
          </cell>
          <cell r="W228">
            <v>6424220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/>
          <cell r="AC228"/>
          <cell r="AD228"/>
          <cell r="AE228"/>
          <cell r="AF228" t="str">
            <v>UnRegistered</v>
          </cell>
        </row>
        <row r="229">
          <cell r="B229" t="str">
            <v>R4 115</v>
          </cell>
          <cell r="C229" t="str">
            <v>R4</v>
          </cell>
          <cell r="D229" t="str">
            <v>M3M Capital Walk in M3M Capital Phase-2</v>
          </cell>
          <cell r="E229" t="str">
            <v>cwBOOKING/00119/22-23</v>
          </cell>
          <cell r="F229" t="str">
            <v>Mr. SANJAY MITTAL</v>
          </cell>
          <cell r="G229" t="str">
            <v>cwFLAP/00275/22-23</v>
          </cell>
          <cell r="H229" t="str">
            <v>On Application of OC</v>
          </cell>
          <cell r="I229">
            <v>0</v>
          </cell>
          <cell r="J229">
            <v>45033</v>
          </cell>
          <cell r="K229">
            <v>46144</v>
          </cell>
          <cell r="L229">
            <v>46164</v>
          </cell>
          <cell r="M229">
            <v>5556840</v>
          </cell>
          <cell r="N229">
            <v>666820</v>
          </cell>
          <cell r="O229">
            <v>6223660</v>
          </cell>
          <cell r="P229"/>
          <cell r="Q229"/>
          <cell r="R229"/>
          <cell r="S229"/>
          <cell r="T229">
            <v>0</v>
          </cell>
          <cell r="U229">
            <v>0</v>
          </cell>
          <cell r="V229">
            <v>0</v>
          </cell>
          <cell r="W229">
            <v>6223660</v>
          </cell>
          <cell r="X229">
            <v>2347</v>
          </cell>
          <cell r="Y229">
            <v>0</v>
          </cell>
          <cell r="Z229">
            <v>0</v>
          </cell>
          <cell r="AA229">
            <v>2347</v>
          </cell>
          <cell r="AB229"/>
          <cell r="AC229"/>
          <cell r="AD229"/>
          <cell r="AE229"/>
          <cell r="AF229" t="str">
            <v>UnRegistered</v>
          </cell>
        </row>
        <row r="230">
          <cell r="B230" t="str">
            <v>R3 UG 24</v>
          </cell>
          <cell r="C230" t="str">
            <v>R3</v>
          </cell>
          <cell r="D230" t="str">
            <v>M3M Capital Walk in M3M Capital Phase-2</v>
          </cell>
          <cell r="E230" t="str">
            <v>cwBOOKING/00119/23-24</v>
          </cell>
          <cell r="F230" t="str">
            <v>Mr. JAGPAL YADAV</v>
          </cell>
          <cell r="G230" t="str">
            <v>cwFLAP/01033/22-23</v>
          </cell>
          <cell r="H230" t="str">
            <v>On Application of OC</v>
          </cell>
          <cell r="I230">
            <v>0</v>
          </cell>
          <cell r="J230">
            <v>45233</v>
          </cell>
          <cell r="K230">
            <v>46144</v>
          </cell>
          <cell r="L230">
            <v>46164</v>
          </cell>
          <cell r="M230">
            <v>5253265</v>
          </cell>
          <cell r="N230">
            <v>630392</v>
          </cell>
          <cell r="O230">
            <v>5883657</v>
          </cell>
          <cell r="P230"/>
          <cell r="Q230"/>
          <cell r="R230"/>
          <cell r="S230"/>
          <cell r="T230">
            <v>0</v>
          </cell>
          <cell r="U230">
            <v>0</v>
          </cell>
          <cell r="V230">
            <v>0</v>
          </cell>
          <cell r="W230">
            <v>5883657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/>
          <cell r="AC230"/>
          <cell r="AD230"/>
          <cell r="AE230"/>
          <cell r="AF230" t="str">
            <v>UnRegistered</v>
          </cell>
        </row>
        <row r="231">
          <cell r="B231" t="str">
            <v>R6 202</v>
          </cell>
          <cell r="C231" t="str">
            <v>R6</v>
          </cell>
          <cell r="D231" t="str">
            <v>M3M Capital Walk in M3M Capital Phase-2</v>
          </cell>
          <cell r="E231" t="str">
            <v>cwBOOKING/00121/22-23</v>
          </cell>
          <cell r="F231" t="str">
            <v>Mr. VED PRAKASH SINGH</v>
          </cell>
          <cell r="G231" t="str">
            <v>cwFLAP/00274/22-23</v>
          </cell>
          <cell r="H231" t="str">
            <v>On Application of OC</v>
          </cell>
          <cell r="I231">
            <v>0</v>
          </cell>
          <cell r="J231">
            <v>44987</v>
          </cell>
          <cell r="K231">
            <v>46144</v>
          </cell>
          <cell r="L231">
            <v>46164</v>
          </cell>
          <cell r="M231">
            <v>3327522</v>
          </cell>
          <cell r="N231">
            <v>399302</v>
          </cell>
          <cell r="O231">
            <v>3726824</v>
          </cell>
          <cell r="P231"/>
          <cell r="Q231"/>
          <cell r="R231"/>
          <cell r="S231"/>
          <cell r="T231">
            <v>0</v>
          </cell>
          <cell r="U231">
            <v>0</v>
          </cell>
          <cell r="V231">
            <v>1</v>
          </cell>
          <cell r="W231">
            <v>3726825</v>
          </cell>
          <cell r="X231">
            <v>223</v>
          </cell>
          <cell r="Y231">
            <v>0</v>
          </cell>
          <cell r="Z231">
            <v>0</v>
          </cell>
          <cell r="AA231">
            <v>223</v>
          </cell>
          <cell r="AB231"/>
          <cell r="AC231"/>
          <cell r="AD231"/>
          <cell r="AE231"/>
          <cell r="AF231" t="str">
            <v>UnRegistered</v>
          </cell>
        </row>
        <row r="232">
          <cell r="B232" t="str">
            <v>R3 UG 01</v>
          </cell>
          <cell r="C232" t="str">
            <v>R3</v>
          </cell>
          <cell r="D232" t="str">
            <v>M3M Capital Walk in M3M Capital Phase-2</v>
          </cell>
          <cell r="E232" t="str">
            <v>cwBOOKING/00121/23-24</v>
          </cell>
          <cell r="F232" t="str">
            <v>Ms. PRABHA SHARMA</v>
          </cell>
          <cell r="G232" t="str">
            <v>cwFLAP/00956/22-23</v>
          </cell>
          <cell r="H232" t="str">
            <v>On Application of OC</v>
          </cell>
          <cell r="I232">
            <v>0</v>
          </cell>
          <cell r="J232">
            <v>45253</v>
          </cell>
          <cell r="K232">
            <v>46144</v>
          </cell>
          <cell r="L232">
            <v>46164</v>
          </cell>
          <cell r="M232">
            <v>8697043</v>
          </cell>
          <cell r="N232">
            <v>1043646</v>
          </cell>
          <cell r="O232">
            <v>9740689</v>
          </cell>
          <cell r="P232"/>
          <cell r="Q232"/>
          <cell r="R232"/>
          <cell r="S232"/>
          <cell r="T232">
            <v>0</v>
          </cell>
          <cell r="U232">
            <v>0</v>
          </cell>
          <cell r="V232">
            <v>0</v>
          </cell>
          <cell r="W232">
            <v>9740689</v>
          </cell>
          <cell r="X232">
            <v>8196</v>
          </cell>
          <cell r="Y232">
            <v>0</v>
          </cell>
          <cell r="Z232">
            <v>0</v>
          </cell>
          <cell r="AA232">
            <v>8196</v>
          </cell>
          <cell r="AB232"/>
          <cell r="AC232"/>
          <cell r="AD232"/>
          <cell r="AE232"/>
          <cell r="AF232" t="str">
            <v>UnRegistered</v>
          </cell>
        </row>
        <row r="233">
          <cell r="B233" t="str">
            <v>R5 201</v>
          </cell>
          <cell r="C233" t="str">
            <v>R5</v>
          </cell>
          <cell r="D233" t="str">
            <v>M3M Capital Walk in M3M Capital Phase-2</v>
          </cell>
          <cell r="E233" t="str">
            <v>cwBOOKING/00122/22-23</v>
          </cell>
          <cell r="F233" t="str">
            <v>Ms. MONIKA DEVI</v>
          </cell>
          <cell r="G233" t="str">
            <v>cwFLAP/00276/22-23</v>
          </cell>
          <cell r="H233" t="str">
            <v>On Application of OC</v>
          </cell>
          <cell r="I233">
            <v>0</v>
          </cell>
          <cell r="J233">
            <v>44972</v>
          </cell>
          <cell r="K233">
            <v>46144</v>
          </cell>
          <cell r="L233">
            <v>46164</v>
          </cell>
          <cell r="M233">
            <v>1556048</v>
          </cell>
          <cell r="N233">
            <v>186726</v>
          </cell>
          <cell r="O233">
            <v>1742774</v>
          </cell>
          <cell r="P233">
            <v>679803.45733333332</v>
          </cell>
          <cell r="Q233"/>
          <cell r="R233"/>
          <cell r="S233">
            <v>81576.414879999997</v>
          </cell>
          <cell r="T233">
            <v>761379.87221333338</v>
          </cell>
          <cell r="U233">
            <v>0</v>
          </cell>
          <cell r="V233">
            <v>0</v>
          </cell>
          <cell r="W233">
            <v>981394.12778666662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 t="str">
            <v>Executed</v>
          </cell>
          <cell r="AC233" t="str">
            <v>Yes</v>
          </cell>
          <cell r="AD233">
            <v>0.1747512178772728</v>
          </cell>
          <cell r="AE233" t="str">
            <v>Less than 35%</v>
          </cell>
          <cell r="AF233" t="str">
            <v>UnRegistered</v>
          </cell>
        </row>
        <row r="234">
          <cell r="B234" t="str">
            <v>R6 229</v>
          </cell>
          <cell r="C234" t="str">
            <v>R6</v>
          </cell>
          <cell r="D234" t="str">
            <v>M3M Capital Walk in M3M Capital Phase-2</v>
          </cell>
          <cell r="E234" t="str">
            <v>cwBOOKING/00123/23-24</v>
          </cell>
          <cell r="F234" t="str">
            <v>Mr. RAMAVTAR MEENA</v>
          </cell>
          <cell r="G234" t="str">
            <v>cwFLAP/00981/22-23</v>
          </cell>
          <cell r="H234" t="str">
            <v>On Application of OC</v>
          </cell>
          <cell r="I234">
            <v>0</v>
          </cell>
          <cell r="J234">
            <v>45236</v>
          </cell>
          <cell r="K234">
            <v>46144</v>
          </cell>
          <cell r="L234">
            <v>46164</v>
          </cell>
          <cell r="M234">
            <v>5708471</v>
          </cell>
          <cell r="N234">
            <v>685016</v>
          </cell>
          <cell r="O234">
            <v>6393487</v>
          </cell>
          <cell r="P234">
            <v>1219045.8441600001</v>
          </cell>
          <cell r="Q234"/>
          <cell r="R234"/>
          <cell r="S234">
            <v>146285.5012992</v>
          </cell>
          <cell r="T234">
            <v>1365331.3454592</v>
          </cell>
          <cell r="U234">
            <v>0</v>
          </cell>
          <cell r="V234">
            <v>0</v>
          </cell>
          <cell r="W234">
            <v>5028155.6545407996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 t="str">
            <v>Executed</v>
          </cell>
          <cell r="AC234" t="str">
            <v>Yes</v>
          </cell>
          <cell r="AD234">
            <v>0.12894694100727414</v>
          </cell>
          <cell r="AE234" t="str">
            <v>Less than 35%</v>
          </cell>
          <cell r="AF234" t="str">
            <v>UnRegistered</v>
          </cell>
        </row>
        <row r="235">
          <cell r="B235" t="str">
            <v>R6 LG 11</v>
          </cell>
          <cell r="C235" t="str">
            <v>R6</v>
          </cell>
          <cell r="D235" t="str">
            <v>M3M Capital Walk in M3M Capital Phase-2</v>
          </cell>
          <cell r="E235" t="str">
            <v>cwBOOKING/00124/23-24</v>
          </cell>
          <cell r="F235" t="str">
            <v>Mr. DHIRAJ KUMAR BAJAJ</v>
          </cell>
          <cell r="G235" t="str">
            <v>cwFLAP/00697/22-23</v>
          </cell>
          <cell r="H235" t="str">
            <v>On Application of OC</v>
          </cell>
          <cell r="I235">
            <v>0</v>
          </cell>
          <cell r="J235">
            <v>45412</v>
          </cell>
          <cell r="K235">
            <v>46144</v>
          </cell>
          <cell r="L235">
            <v>46164</v>
          </cell>
          <cell r="M235">
            <v>8301287</v>
          </cell>
          <cell r="N235">
            <v>996154</v>
          </cell>
          <cell r="O235">
            <v>9297441</v>
          </cell>
          <cell r="P235"/>
          <cell r="Q235"/>
          <cell r="R235"/>
          <cell r="S235"/>
          <cell r="T235">
            <v>0</v>
          </cell>
          <cell r="U235">
            <v>0</v>
          </cell>
          <cell r="V235">
            <v>0.91999999992549419</v>
          </cell>
          <cell r="W235">
            <v>9297441.9199999999</v>
          </cell>
          <cell r="X235">
            <v>565983</v>
          </cell>
          <cell r="Y235">
            <v>0</v>
          </cell>
          <cell r="Z235">
            <v>0</v>
          </cell>
          <cell r="AA235">
            <v>565983</v>
          </cell>
          <cell r="AB235"/>
          <cell r="AC235"/>
          <cell r="AD235"/>
          <cell r="AE235"/>
          <cell r="AF235" t="str">
            <v>UnRegistered</v>
          </cell>
        </row>
        <row r="236">
          <cell r="B236" t="str">
            <v>R5 K 210</v>
          </cell>
          <cell r="C236" t="str">
            <v>R5</v>
          </cell>
          <cell r="D236" t="str">
            <v>M3M Capital Walk in M3M Capital Phase-2</v>
          </cell>
          <cell r="E236" t="str">
            <v>cwBOOKING/00125/22-23</v>
          </cell>
          <cell r="F236" t="str">
            <v>Ms. POONAM KUMARI</v>
          </cell>
          <cell r="G236" t="str">
            <v>cwFLAP/00140/22-23</v>
          </cell>
          <cell r="H236" t="str">
            <v>On Application of OC</v>
          </cell>
          <cell r="I236">
            <v>0</v>
          </cell>
          <cell r="J236">
            <v>45014</v>
          </cell>
          <cell r="K236">
            <v>46144</v>
          </cell>
          <cell r="L236">
            <v>46164</v>
          </cell>
          <cell r="M236">
            <v>3482181</v>
          </cell>
          <cell r="N236">
            <v>417862</v>
          </cell>
          <cell r="O236">
            <v>3900043</v>
          </cell>
          <cell r="P236">
            <v>1214448.1970833333</v>
          </cell>
          <cell r="Q236"/>
          <cell r="R236"/>
          <cell r="S236">
            <v>145733.78365</v>
          </cell>
          <cell r="T236">
            <v>1360181.9807333332</v>
          </cell>
          <cell r="U236">
            <v>0</v>
          </cell>
          <cell r="V236">
            <v>0</v>
          </cell>
          <cell r="W236">
            <v>2539861.0192666668</v>
          </cell>
          <cell r="X236">
            <v>971</v>
          </cell>
          <cell r="Y236">
            <v>0</v>
          </cell>
          <cell r="Z236">
            <v>0</v>
          </cell>
          <cell r="AA236">
            <v>971</v>
          </cell>
          <cell r="AB236" t="str">
            <v>Executed</v>
          </cell>
          <cell r="AC236" t="str">
            <v>Yes</v>
          </cell>
          <cell r="AD236">
            <v>0.19937381263616555</v>
          </cell>
          <cell r="AE236" t="str">
            <v>Less than 35%</v>
          </cell>
          <cell r="AF236" t="str">
            <v>UnRegistered</v>
          </cell>
        </row>
        <row r="237">
          <cell r="B237" t="str">
            <v>R3 LG 39</v>
          </cell>
          <cell r="C237" t="str">
            <v>R3</v>
          </cell>
          <cell r="D237" t="str">
            <v>M3M Capital Walk in M3M Capital Phase-2</v>
          </cell>
          <cell r="E237" t="str">
            <v>cwBOOKING/00125/23-24</v>
          </cell>
          <cell r="F237" t="str">
            <v>Ms. ANSHIKA SOLANKI</v>
          </cell>
          <cell r="G237" t="str">
            <v>cwFLAP/00036/23-24</v>
          </cell>
          <cell r="H237" t="str">
            <v>On Application of OC</v>
          </cell>
          <cell r="I237">
            <v>0</v>
          </cell>
          <cell r="J237">
            <v>45253</v>
          </cell>
          <cell r="K237">
            <v>46144</v>
          </cell>
          <cell r="L237">
            <v>46164</v>
          </cell>
          <cell r="M237">
            <v>2269171</v>
          </cell>
          <cell r="N237">
            <v>272300</v>
          </cell>
          <cell r="O237">
            <v>2541471</v>
          </cell>
          <cell r="P237"/>
          <cell r="Q237"/>
          <cell r="R237"/>
          <cell r="S237"/>
          <cell r="T237">
            <v>0</v>
          </cell>
          <cell r="U237">
            <v>0</v>
          </cell>
          <cell r="V237">
            <v>0</v>
          </cell>
          <cell r="W237">
            <v>2541471</v>
          </cell>
          <cell r="X237">
            <v>4387</v>
          </cell>
          <cell r="Y237">
            <v>0</v>
          </cell>
          <cell r="Z237">
            <v>0</v>
          </cell>
          <cell r="AA237">
            <v>4387</v>
          </cell>
          <cell r="AB237"/>
          <cell r="AC237"/>
          <cell r="AD237"/>
          <cell r="AE237"/>
          <cell r="AF237" t="str">
            <v>UnRegistered</v>
          </cell>
        </row>
        <row r="238">
          <cell r="B238" t="str">
            <v>R4 128</v>
          </cell>
          <cell r="C238" t="str">
            <v>R4</v>
          </cell>
          <cell r="D238" t="str">
            <v>M3M Capital Walk in M3M Capital Phase-2</v>
          </cell>
          <cell r="E238" t="str">
            <v>cwBOOKING/00126/22-23</v>
          </cell>
          <cell r="F238" t="str">
            <v>Ms. SHANTI DEVI SEHRA</v>
          </cell>
          <cell r="G238" t="str">
            <v>cwFLAP/00067/22-23</v>
          </cell>
          <cell r="H238" t="str">
            <v>On Application of OC</v>
          </cell>
          <cell r="I238">
            <v>0</v>
          </cell>
          <cell r="J238">
            <v>44987</v>
          </cell>
          <cell r="K238">
            <v>46144</v>
          </cell>
          <cell r="L238">
            <v>46164</v>
          </cell>
          <cell r="M238">
            <v>3145075</v>
          </cell>
          <cell r="N238">
            <v>377410</v>
          </cell>
          <cell r="O238">
            <v>3522485</v>
          </cell>
          <cell r="P238">
            <v>1505766.7856000001</v>
          </cell>
          <cell r="Q238"/>
          <cell r="R238"/>
          <cell r="S238">
            <v>180692.014272</v>
          </cell>
          <cell r="T238">
            <v>1686458.799872</v>
          </cell>
          <cell r="U238">
            <v>0</v>
          </cell>
          <cell r="V238">
            <v>1</v>
          </cell>
          <cell r="W238">
            <v>1836027.200128</v>
          </cell>
          <cell r="X238">
            <v>1722</v>
          </cell>
          <cell r="Y238">
            <v>0</v>
          </cell>
          <cell r="Z238">
            <v>0</v>
          </cell>
          <cell r="AA238">
            <v>1722</v>
          </cell>
          <cell r="AB238" t="str">
            <v>Executed</v>
          </cell>
          <cell r="AC238" t="str">
            <v>Yes</v>
          </cell>
          <cell r="AD238">
            <v>0.19150785830184419</v>
          </cell>
          <cell r="AE238" t="str">
            <v>Less than 35%</v>
          </cell>
          <cell r="AF238" t="str">
            <v>UnRegistered</v>
          </cell>
        </row>
        <row r="239">
          <cell r="B239" t="str">
            <v>R1 UG 05</v>
          </cell>
          <cell r="C239" t="str">
            <v>R1</v>
          </cell>
          <cell r="D239" t="str">
            <v>M3M Capital Walk in M3M Capital Phase-2</v>
          </cell>
          <cell r="E239" t="str">
            <v>cwBOOKING/00126/23-24</v>
          </cell>
          <cell r="F239" t="str">
            <v>Mr. SUMIT KANSAL</v>
          </cell>
          <cell r="G239" t="str">
            <v>cwFLAP/00037/23-24</v>
          </cell>
          <cell r="H239" t="str">
            <v>On Application of OC</v>
          </cell>
          <cell r="I239">
            <v>0</v>
          </cell>
          <cell r="J239">
            <v>45240</v>
          </cell>
          <cell r="K239">
            <v>46144</v>
          </cell>
          <cell r="L239">
            <v>46164</v>
          </cell>
          <cell r="M239">
            <v>4527111</v>
          </cell>
          <cell r="N239">
            <v>543254</v>
          </cell>
          <cell r="O239">
            <v>5070365</v>
          </cell>
          <cell r="P239"/>
          <cell r="Q239"/>
          <cell r="R239"/>
          <cell r="S239"/>
          <cell r="T239">
            <v>0</v>
          </cell>
          <cell r="U239">
            <v>0</v>
          </cell>
          <cell r="V239">
            <v>0</v>
          </cell>
          <cell r="W239">
            <v>5070365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/>
          <cell r="AC239"/>
          <cell r="AD239"/>
          <cell r="AE239"/>
          <cell r="AF239" t="str">
            <v>UnRegistered</v>
          </cell>
        </row>
        <row r="240">
          <cell r="B240" t="str">
            <v>R4 236</v>
          </cell>
          <cell r="C240" t="str">
            <v>R4</v>
          </cell>
          <cell r="D240" t="str">
            <v>M3M Capital Walk in M3M Capital Phase-2</v>
          </cell>
          <cell r="E240" t="str">
            <v>cwBOOKING/00127/22-23</v>
          </cell>
          <cell r="F240" t="str">
            <v>Mr. MUKESH KUMAR</v>
          </cell>
          <cell r="G240" t="str">
            <v>cwFLAP/00287/22-23</v>
          </cell>
          <cell r="H240" t="str">
            <v>On Application of OC</v>
          </cell>
          <cell r="I240">
            <v>0</v>
          </cell>
          <cell r="J240">
            <v>45006</v>
          </cell>
          <cell r="K240">
            <v>46144</v>
          </cell>
          <cell r="L240">
            <v>46164</v>
          </cell>
          <cell r="M240">
            <v>3221717</v>
          </cell>
          <cell r="N240">
            <v>386606</v>
          </cell>
          <cell r="O240">
            <v>3608323</v>
          </cell>
          <cell r="P240">
            <v>603703.07199999993</v>
          </cell>
          <cell r="Q240"/>
          <cell r="R240"/>
          <cell r="S240">
            <v>72444.368639999986</v>
          </cell>
          <cell r="T240">
            <v>676147.44063999993</v>
          </cell>
          <cell r="U240">
            <v>0</v>
          </cell>
          <cell r="V240">
            <v>0</v>
          </cell>
          <cell r="W240">
            <v>2932175.5593600003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 t="str">
            <v>Executed</v>
          </cell>
          <cell r="AC240" t="str">
            <v>Yes</v>
          </cell>
          <cell r="AD240">
            <v>0.12053570370370369</v>
          </cell>
          <cell r="AE240" t="str">
            <v>Less than 35%</v>
          </cell>
          <cell r="AF240" t="str">
            <v>UnRegistered</v>
          </cell>
        </row>
        <row r="241">
          <cell r="B241" t="str">
            <v>R3 UG 03</v>
          </cell>
          <cell r="C241" t="str">
            <v>R3</v>
          </cell>
          <cell r="D241" t="str">
            <v>M3M Capital Walk in M3M Capital Phase-2</v>
          </cell>
          <cell r="E241" t="str">
            <v>cwBOOKING/00127/23-24</v>
          </cell>
          <cell r="F241" t="str">
            <v>Mr. VIPIN GUPTA</v>
          </cell>
          <cell r="G241" t="str">
            <v>cwFLAP/01025/22-23</v>
          </cell>
          <cell r="H241" t="str">
            <v>On Application of OC</v>
          </cell>
          <cell r="I241">
            <v>0</v>
          </cell>
          <cell r="J241">
            <v>45091</v>
          </cell>
          <cell r="K241">
            <v>46144</v>
          </cell>
          <cell r="L241">
            <v>46164</v>
          </cell>
          <cell r="M241">
            <v>5370827</v>
          </cell>
          <cell r="N241">
            <v>644500</v>
          </cell>
          <cell r="O241">
            <v>6015327</v>
          </cell>
          <cell r="P241"/>
          <cell r="Q241"/>
          <cell r="R241"/>
          <cell r="S241"/>
          <cell r="T241">
            <v>0</v>
          </cell>
          <cell r="U241">
            <v>0</v>
          </cell>
          <cell r="V241">
            <v>0</v>
          </cell>
          <cell r="W241">
            <v>6015327</v>
          </cell>
          <cell r="X241">
            <v>1755</v>
          </cell>
          <cell r="Y241">
            <v>0</v>
          </cell>
          <cell r="Z241">
            <v>0</v>
          </cell>
          <cell r="AA241">
            <v>1755</v>
          </cell>
          <cell r="AB241"/>
          <cell r="AC241"/>
          <cell r="AD241"/>
          <cell r="AE241"/>
          <cell r="AF241" t="str">
            <v>UnRegistered</v>
          </cell>
        </row>
        <row r="242">
          <cell r="B242" t="str">
            <v>R5 G 02</v>
          </cell>
          <cell r="C242" t="str">
            <v>R5</v>
          </cell>
          <cell r="D242" t="str">
            <v>M3M Capital Walk in M3M Capital Phase-2</v>
          </cell>
          <cell r="E242" t="str">
            <v>cwBOOKING/00128/22-23</v>
          </cell>
          <cell r="F242" t="str">
            <v>Mr. AJAY BABBAR</v>
          </cell>
          <cell r="G242" t="str">
            <v>cwFLAP/00290/22-23</v>
          </cell>
          <cell r="H242" t="str">
            <v>On Application of OC</v>
          </cell>
          <cell r="I242">
            <v>0</v>
          </cell>
          <cell r="J242">
            <v>45546</v>
          </cell>
          <cell r="K242">
            <v>46144</v>
          </cell>
          <cell r="L242">
            <v>46164</v>
          </cell>
          <cell r="M242">
            <v>9978225</v>
          </cell>
          <cell r="N242">
            <v>1197388</v>
          </cell>
          <cell r="O242">
            <v>11175613</v>
          </cell>
          <cell r="P242"/>
          <cell r="Q242"/>
          <cell r="R242"/>
          <cell r="S242"/>
          <cell r="T242">
            <v>0</v>
          </cell>
          <cell r="U242">
            <v>0</v>
          </cell>
          <cell r="V242">
            <v>149674</v>
          </cell>
          <cell r="W242">
            <v>11325287</v>
          </cell>
          <cell r="X242">
            <v>369442</v>
          </cell>
          <cell r="Y242">
            <v>0</v>
          </cell>
          <cell r="Z242">
            <v>0</v>
          </cell>
          <cell r="AA242">
            <v>369442</v>
          </cell>
          <cell r="AB242"/>
          <cell r="AC242"/>
          <cell r="AD242"/>
          <cell r="AE242"/>
          <cell r="AF242" t="str">
            <v>UnRegistered</v>
          </cell>
        </row>
        <row r="243">
          <cell r="B243" t="str">
            <v>R4 LG 30</v>
          </cell>
          <cell r="C243" t="str">
            <v>R4</v>
          </cell>
          <cell r="D243" t="str">
            <v>M3M Capital Walk in M3M Capital Phase-2</v>
          </cell>
          <cell r="E243" t="str">
            <v>cwBOOKING/00128/23-24</v>
          </cell>
          <cell r="F243" t="str">
            <v>Ms. HEMLATA</v>
          </cell>
          <cell r="G243" t="str">
            <v>cwFLAP/00038/23-24</v>
          </cell>
          <cell r="H243" t="str">
            <v>On Application of OC</v>
          </cell>
          <cell r="I243">
            <v>0</v>
          </cell>
          <cell r="J243">
            <v>45238</v>
          </cell>
          <cell r="K243">
            <v>46144</v>
          </cell>
          <cell r="L243">
            <v>46164</v>
          </cell>
          <cell r="M243">
            <v>7385970</v>
          </cell>
          <cell r="N243">
            <v>886316</v>
          </cell>
          <cell r="O243">
            <v>8272286</v>
          </cell>
          <cell r="P243"/>
          <cell r="Q243"/>
          <cell r="R243"/>
          <cell r="S243"/>
          <cell r="T243">
            <v>0</v>
          </cell>
          <cell r="U243">
            <v>0</v>
          </cell>
          <cell r="V243">
            <v>3770</v>
          </cell>
          <cell r="W243">
            <v>8276056</v>
          </cell>
          <cell r="X243">
            <v>1317.8</v>
          </cell>
          <cell r="Y243">
            <v>0</v>
          </cell>
          <cell r="Z243">
            <v>0</v>
          </cell>
          <cell r="AA243">
            <v>1317.8</v>
          </cell>
          <cell r="AB243"/>
          <cell r="AC243"/>
          <cell r="AD243"/>
          <cell r="AE243"/>
          <cell r="AF243" t="str">
            <v>UnRegistered</v>
          </cell>
        </row>
        <row r="244">
          <cell r="B244" t="str">
            <v>R6 UG 24</v>
          </cell>
          <cell r="C244" t="str">
            <v>R6</v>
          </cell>
          <cell r="D244" t="str">
            <v>M3M Capital Walk in M3M Capital Phase-2</v>
          </cell>
          <cell r="E244" t="str">
            <v>cwBOOKING/00129/22-23</v>
          </cell>
          <cell r="F244" t="str">
            <v>Mr. VIJAY KUMAR SHARMA</v>
          </cell>
          <cell r="G244" t="str">
            <v>cwFLAP/00292/22-23</v>
          </cell>
          <cell r="H244" t="str">
            <v>On Application of OC</v>
          </cell>
          <cell r="I244">
            <v>0</v>
          </cell>
          <cell r="J244">
            <v>45012</v>
          </cell>
          <cell r="K244">
            <v>46144</v>
          </cell>
          <cell r="L244">
            <v>46164</v>
          </cell>
          <cell r="M244">
            <v>5343351</v>
          </cell>
          <cell r="N244">
            <v>641202</v>
          </cell>
          <cell r="O244">
            <v>5984553</v>
          </cell>
          <cell r="P244">
            <v>894050.98666666681</v>
          </cell>
          <cell r="Q244"/>
          <cell r="R244"/>
          <cell r="S244">
            <v>107286.11840000001</v>
          </cell>
          <cell r="T244">
            <v>1001337.1050666668</v>
          </cell>
          <cell r="U244">
            <v>0</v>
          </cell>
          <cell r="V244">
            <v>0</v>
          </cell>
          <cell r="W244">
            <v>4983215.8949333336</v>
          </cell>
          <cell r="X244">
            <v>3230</v>
          </cell>
          <cell r="Y244">
            <v>0</v>
          </cell>
          <cell r="Z244">
            <v>0</v>
          </cell>
          <cell r="AA244">
            <v>3230</v>
          </cell>
          <cell r="AB244" t="str">
            <v>Executed</v>
          </cell>
          <cell r="AC244" t="str">
            <v>Yes</v>
          </cell>
          <cell r="AD244">
            <v>9.4814808350767027E-2</v>
          </cell>
          <cell r="AE244" t="str">
            <v>Less than 35%</v>
          </cell>
          <cell r="AF244" t="str">
            <v>UnRegistered</v>
          </cell>
        </row>
        <row r="245">
          <cell r="B245" t="str">
            <v>R3 LG 11</v>
          </cell>
          <cell r="C245" t="str">
            <v>R3</v>
          </cell>
          <cell r="D245" t="str">
            <v>M3M Capital Walk in M3M Capital Phase-2</v>
          </cell>
          <cell r="E245" t="str">
            <v>cwBOOKING/00129/23-24</v>
          </cell>
          <cell r="F245" t="str">
            <v>Mr. PUSHKAR SINGH</v>
          </cell>
          <cell r="G245" t="str">
            <v>cwFLAP/00039/23-24</v>
          </cell>
          <cell r="H245" t="str">
            <v>On Application of OC</v>
          </cell>
          <cell r="I245">
            <v>0</v>
          </cell>
          <cell r="J245">
            <v>45267</v>
          </cell>
          <cell r="K245">
            <v>46144</v>
          </cell>
          <cell r="L245">
            <v>46164</v>
          </cell>
          <cell r="M245">
            <v>5008992</v>
          </cell>
          <cell r="N245">
            <v>601080</v>
          </cell>
          <cell r="O245">
            <v>5610072</v>
          </cell>
          <cell r="P245">
            <v>617425.01756666659</v>
          </cell>
          <cell r="Q245"/>
          <cell r="R245"/>
          <cell r="S245">
            <v>74091.002107999986</v>
          </cell>
          <cell r="T245">
            <v>691516.01967466658</v>
          </cell>
          <cell r="U245">
            <v>0</v>
          </cell>
          <cell r="V245">
            <v>40017</v>
          </cell>
          <cell r="W245">
            <v>4958572.9803253338</v>
          </cell>
          <cell r="X245">
            <v>14009</v>
          </cell>
          <cell r="Y245">
            <v>0</v>
          </cell>
          <cell r="Z245">
            <v>0</v>
          </cell>
          <cell r="AA245">
            <v>14009</v>
          </cell>
          <cell r="AB245" t="str">
            <v>Executed</v>
          </cell>
          <cell r="AC245" t="str">
            <v>Yes due to interest less than 75000</v>
          </cell>
          <cell r="AD245">
            <v>9.0393081145050097E-2</v>
          </cell>
          <cell r="AE245" t="str">
            <v>Less than 35%</v>
          </cell>
          <cell r="AF245" t="str">
            <v>UnRegistered</v>
          </cell>
        </row>
        <row r="246">
          <cell r="B246" t="str">
            <v>R4 230</v>
          </cell>
          <cell r="C246" t="str">
            <v>R4</v>
          </cell>
          <cell r="D246" t="str">
            <v>M3M Capital Walk in M3M Capital Phase-2</v>
          </cell>
          <cell r="E246" t="str">
            <v>cwBOOKING/00130/22-23</v>
          </cell>
          <cell r="F246" t="str">
            <v>Ms. ISHITA SINGHAL</v>
          </cell>
          <cell r="G246" t="str">
            <v>cwFLAP/00153/22-23</v>
          </cell>
          <cell r="H246" t="str">
            <v>On Application of OC</v>
          </cell>
          <cell r="I246">
            <v>0</v>
          </cell>
          <cell r="J246">
            <v>44949</v>
          </cell>
          <cell r="K246">
            <v>46144</v>
          </cell>
          <cell r="L246">
            <v>46164</v>
          </cell>
          <cell r="M246">
            <v>2659469</v>
          </cell>
          <cell r="N246">
            <v>319136</v>
          </cell>
          <cell r="O246">
            <v>2978605</v>
          </cell>
          <cell r="P246">
            <v>599581.09244000004</v>
          </cell>
          <cell r="Q246"/>
          <cell r="R246"/>
          <cell r="S246">
            <v>71949.731092800008</v>
          </cell>
          <cell r="T246">
            <v>671530.82353280007</v>
          </cell>
          <cell r="U246">
            <v>1</v>
          </cell>
          <cell r="V246">
            <v>0</v>
          </cell>
          <cell r="W246">
            <v>2307073.1764671998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 t="str">
            <v>Executed</v>
          </cell>
          <cell r="AC246" t="str">
            <v>Yes</v>
          </cell>
          <cell r="AD246">
            <v>0.12752957468470877</v>
          </cell>
          <cell r="AE246" t="str">
            <v>Less than 35%</v>
          </cell>
          <cell r="AF246" t="str">
            <v>UnRegistered</v>
          </cell>
        </row>
        <row r="247">
          <cell r="B247" t="str">
            <v>R1 253</v>
          </cell>
          <cell r="C247" t="str">
            <v>R1</v>
          </cell>
          <cell r="D247" t="str">
            <v>M3M Capital Walk in M3M Capital Phase-2</v>
          </cell>
          <cell r="E247" t="str">
            <v>cwBOOKING/00130/23-24</v>
          </cell>
          <cell r="F247" t="str">
            <v>Ms. KALPANA RAY</v>
          </cell>
          <cell r="G247" t="str">
            <v>cwFLAP/01062/22-23</v>
          </cell>
          <cell r="H247" t="str">
            <v>On Application of OC</v>
          </cell>
          <cell r="I247">
            <v>0</v>
          </cell>
          <cell r="J247">
            <v>45098</v>
          </cell>
          <cell r="K247">
            <v>46144</v>
          </cell>
          <cell r="L247">
            <v>46164</v>
          </cell>
          <cell r="M247">
            <v>1619870</v>
          </cell>
          <cell r="N247">
            <v>194384</v>
          </cell>
          <cell r="O247">
            <v>1814254</v>
          </cell>
          <cell r="P247"/>
          <cell r="Q247"/>
          <cell r="R247"/>
          <cell r="S247"/>
          <cell r="T247">
            <v>0</v>
          </cell>
          <cell r="U247">
            <v>0</v>
          </cell>
          <cell r="V247">
            <v>0.98000000044703484</v>
          </cell>
          <cell r="W247">
            <v>1814254.9800000004</v>
          </cell>
          <cell r="X247">
            <v>579</v>
          </cell>
          <cell r="Y247">
            <v>0</v>
          </cell>
          <cell r="Z247">
            <v>0</v>
          </cell>
          <cell r="AA247">
            <v>579</v>
          </cell>
          <cell r="AB247"/>
          <cell r="AC247"/>
          <cell r="AD247"/>
          <cell r="AE247"/>
          <cell r="AF247" t="str">
            <v>UnRegistered</v>
          </cell>
        </row>
        <row r="248">
          <cell r="B248" t="str">
            <v>R5 132</v>
          </cell>
          <cell r="C248" t="str">
            <v>R5</v>
          </cell>
          <cell r="D248" t="str">
            <v>M3M Capital Walk in M3M Capital Phase-2</v>
          </cell>
          <cell r="E248" t="str">
            <v>cwBOOKING/00131/22-23</v>
          </cell>
          <cell r="F248" t="str">
            <v>Mr. NIRAJ KUMAR CHHABRA</v>
          </cell>
          <cell r="G248" t="str">
            <v>cwFLAP/00123/22-23</v>
          </cell>
          <cell r="H248" t="str">
            <v>On Application of OC</v>
          </cell>
          <cell r="I248">
            <v>0</v>
          </cell>
          <cell r="J248">
            <v>45267</v>
          </cell>
          <cell r="K248">
            <v>46144</v>
          </cell>
          <cell r="L248">
            <v>46164</v>
          </cell>
          <cell r="M248">
            <v>4843416</v>
          </cell>
          <cell r="N248">
            <v>581210</v>
          </cell>
          <cell r="O248">
            <v>5424626</v>
          </cell>
          <cell r="P248">
            <v>726349.96799999988</v>
          </cell>
          <cell r="Q248"/>
          <cell r="R248"/>
          <cell r="S248">
            <v>87161.996159999981</v>
          </cell>
          <cell r="T248">
            <v>813511.96415999986</v>
          </cell>
          <cell r="U248">
            <v>0</v>
          </cell>
          <cell r="V248">
            <v>0</v>
          </cell>
          <cell r="W248">
            <v>4611114.03584</v>
          </cell>
          <cell r="X248">
            <v>15424</v>
          </cell>
          <cell r="Y248">
            <v>0</v>
          </cell>
          <cell r="Z248">
            <v>15424.41</v>
          </cell>
          <cell r="AA248">
            <v>-0.41</v>
          </cell>
          <cell r="AB248" t="str">
            <v>Not Executed</v>
          </cell>
          <cell r="AC248" t="str">
            <v>No as CL is not Executed</v>
          </cell>
          <cell r="AD248">
            <v>7.0989938090877808E-2</v>
          </cell>
          <cell r="AE248" t="str">
            <v>Less than 35%</v>
          </cell>
          <cell r="AF248" t="str">
            <v>UnRegistered</v>
          </cell>
        </row>
        <row r="249">
          <cell r="B249" t="str">
            <v>R4 103</v>
          </cell>
          <cell r="C249" t="str">
            <v>R4</v>
          </cell>
          <cell r="D249" t="str">
            <v>M3M Capital Walk in M3M Capital Phase-2</v>
          </cell>
          <cell r="E249" t="str">
            <v>cwBOOKING/00132/22-23</v>
          </cell>
          <cell r="F249" t="str">
            <v>Mr. AMIT DOOMRA</v>
          </cell>
          <cell r="G249" t="str">
            <v>cwFLAP/00126/22-23</v>
          </cell>
          <cell r="H249" t="str">
            <v>On Application of OC</v>
          </cell>
          <cell r="I249">
            <v>0</v>
          </cell>
          <cell r="J249">
            <v>44966</v>
          </cell>
          <cell r="K249">
            <v>46144</v>
          </cell>
          <cell r="L249">
            <v>46164</v>
          </cell>
          <cell r="M249">
            <v>6877489</v>
          </cell>
          <cell r="N249">
            <v>825298</v>
          </cell>
          <cell r="O249">
            <v>7702787</v>
          </cell>
          <cell r="P249"/>
          <cell r="Q249"/>
          <cell r="R249"/>
          <cell r="S249"/>
          <cell r="T249">
            <v>0</v>
          </cell>
          <cell r="U249">
            <v>0</v>
          </cell>
          <cell r="V249">
            <v>0</v>
          </cell>
          <cell r="W249">
            <v>7702787</v>
          </cell>
          <cell r="X249">
            <v>619.44000000000005</v>
          </cell>
          <cell r="Y249">
            <v>0</v>
          </cell>
          <cell r="Z249">
            <v>0</v>
          </cell>
          <cell r="AA249">
            <v>619.44000000000005</v>
          </cell>
          <cell r="AB249"/>
          <cell r="AC249"/>
          <cell r="AD249"/>
          <cell r="AE249"/>
          <cell r="AF249" t="str">
            <v>UnRegistered</v>
          </cell>
        </row>
        <row r="250">
          <cell r="B250" t="str">
            <v>R2 206</v>
          </cell>
          <cell r="C250" t="str">
            <v>R2</v>
          </cell>
          <cell r="D250" t="str">
            <v>M3M Capital Walk in M3M Capital Phase-2</v>
          </cell>
          <cell r="E250" t="str">
            <v>cwBOOKING/00132/23-24</v>
          </cell>
          <cell r="F250" t="str">
            <v>Mr. SHRUTI KANT RUSTAGI</v>
          </cell>
          <cell r="G250" t="str">
            <v>cwFLAP/00042/23-24</v>
          </cell>
          <cell r="H250" t="str">
            <v>On Application of OC</v>
          </cell>
          <cell r="I250">
            <v>0</v>
          </cell>
          <cell r="J250">
            <v>45440</v>
          </cell>
          <cell r="K250">
            <v>46144</v>
          </cell>
          <cell r="L250">
            <v>46164</v>
          </cell>
          <cell r="M250">
            <v>10974811</v>
          </cell>
          <cell r="N250">
            <v>1316978</v>
          </cell>
          <cell r="O250">
            <v>12291789</v>
          </cell>
          <cell r="P250">
            <v>528291.09200000006</v>
          </cell>
          <cell r="Q250"/>
          <cell r="R250"/>
          <cell r="S250">
            <v>63394.931040000003</v>
          </cell>
          <cell r="T250">
            <v>591686.02304000012</v>
          </cell>
          <cell r="U250">
            <v>0</v>
          </cell>
          <cell r="V250">
            <v>0</v>
          </cell>
          <cell r="W250">
            <v>11700102.97696</v>
          </cell>
          <cell r="X250">
            <v>90434</v>
          </cell>
          <cell r="Y250">
            <v>0</v>
          </cell>
          <cell r="Z250">
            <v>0</v>
          </cell>
          <cell r="AA250">
            <v>90434</v>
          </cell>
          <cell r="AB250" t="str">
            <v>Not Executed</v>
          </cell>
          <cell r="AC250" t="str">
            <v>No due to interest more than 75000 and also CL not executed</v>
          </cell>
          <cell r="AD250">
            <v>2.767620271845013E-2</v>
          </cell>
          <cell r="AE250" t="str">
            <v>Less than 35%</v>
          </cell>
          <cell r="AF250" t="str">
            <v>UnRegistered</v>
          </cell>
        </row>
        <row r="251">
          <cell r="B251" t="str">
            <v>R5 K 206</v>
          </cell>
          <cell r="C251" t="str">
            <v>R5</v>
          </cell>
          <cell r="D251" t="str">
            <v>M3M Capital Walk in M3M Capital Phase-2</v>
          </cell>
          <cell r="E251" t="str">
            <v>cwBOOKING/00133/22-23</v>
          </cell>
          <cell r="F251" t="str">
            <v>Ms. SHASHI RANI</v>
          </cell>
          <cell r="G251" t="str">
            <v>cwFLAP/00295/22-23</v>
          </cell>
          <cell r="H251" t="str">
            <v>On Application of OC</v>
          </cell>
          <cell r="I251">
            <v>0</v>
          </cell>
          <cell r="J251">
            <v>45061</v>
          </cell>
          <cell r="K251">
            <v>46144</v>
          </cell>
          <cell r="L251">
            <v>46164</v>
          </cell>
          <cell r="M251">
            <v>4268440</v>
          </cell>
          <cell r="N251">
            <v>512212</v>
          </cell>
          <cell r="O251">
            <v>4780652</v>
          </cell>
          <cell r="P251">
            <v>1004389.75</v>
          </cell>
          <cell r="Q251"/>
          <cell r="R251"/>
          <cell r="S251">
            <v>120526.76999999999</v>
          </cell>
          <cell r="T251">
            <v>1124916.52</v>
          </cell>
          <cell r="U251">
            <v>1</v>
          </cell>
          <cell r="V251">
            <v>0</v>
          </cell>
          <cell r="W251">
            <v>3655734.48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 t="str">
            <v>Executed</v>
          </cell>
          <cell r="AC251" t="str">
            <v>Yes</v>
          </cell>
          <cell r="AD251">
            <v>0.12685992080421402</v>
          </cell>
          <cell r="AE251" t="str">
            <v>Less than 35%</v>
          </cell>
          <cell r="AF251" t="str">
            <v>UnRegistered</v>
          </cell>
        </row>
        <row r="252">
          <cell r="B252" t="str">
            <v>R3 LG 19</v>
          </cell>
          <cell r="C252" t="str">
            <v>R3</v>
          </cell>
          <cell r="D252" t="str">
            <v>M3M Capital Walk in M3M Capital Phase-2</v>
          </cell>
          <cell r="E252" t="str">
            <v>cwBOOKING/00133/23-24</v>
          </cell>
          <cell r="F252" t="str">
            <v>Ms. RITU KUMARI</v>
          </cell>
          <cell r="G252" t="str">
            <v>cwFLAP/01048/22-23</v>
          </cell>
          <cell r="H252" t="str">
            <v>On Application of OC</v>
          </cell>
          <cell r="I252">
            <v>0</v>
          </cell>
          <cell r="J252">
            <v>45426</v>
          </cell>
          <cell r="K252">
            <v>46144</v>
          </cell>
          <cell r="L252">
            <v>46164</v>
          </cell>
          <cell r="M252">
            <v>3540050</v>
          </cell>
          <cell r="N252">
            <v>424806</v>
          </cell>
          <cell r="O252">
            <v>3964856</v>
          </cell>
          <cell r="P252"/>
          <cell r="Q252"/>
          <cell r="R252"/>
          <cell r="S252"/>
          <cell r="T252">
            <v>0</v>
          </cell>
          <cell r="U252">
            <v>0</v>
          </cell>
          <cell r="V252">
            <v>0</v>
          </cell>
          <cell r="W252">
            <v>3964856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/>
          <cell r="AC252"/>
          <cell r="AD252"/>
          <cell r="AE252"/>
          <cell r="AF252" t="str">
            <v>UnRegistered</v>
          </cell>
        </row>
        <row r="253">
          <cell r="B253" t="str">
            <v>R5 217</v>
          </cell>
          <cell r="C253" t="str">
            <v>R5</v>
          </cell>
          <cell r="D253" t="str">
            <v>M3M Capital Walk in M3M Capital Phase-2</v>
          </cell>
          <cell r="E253" t="str">
            <v>cwBOOKING/00134/22-23</v>
          </cell>
          <cell r="F253" t="str">
            <v>Dr. RAJENDRA KUMAR SINGH</v>
          </cell>
          <cell r="G253" t="str">
            <v>cwFLAP/00011/22-23</v>
          </cell>
          <cell r="H253" t="str">
            <v>On Application of OC</v>
          </cell>
          <cell r="I253">
            <v>0</v>
          </cell>
          <cell r="J253">
            <v>44942</v>
          </cell>
          <cell r="K253">
            <v>46144</v>
          </cell>
          <cell r="L253">
            <v>46164</v>
          </cell>
          <cell r="M253">
            <v>3502278</v>
          </cell>
          <cell r="N253">
            <v>420274</v>
          </cell>
          <cell r="O253">
            <v>3922552</v>
          </cell>
          <cell r="P253">
            <v>567954.625</v>
          </cell>
          <cell r="Q253"/>
          <cell r="R253"/>
          <cell r="S253">
            <v>68154.554999999993</v>
          </cell>
          <cell r="T253">
            <v>636109.17999999993</v>
          </cell>
          <cell r="U253">
            <v>0</v>
          </cell>
          <cell r="V253">
            <v>1</v>
          </cell>
          <cell r="W253">
            <v>3286443.8200000003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 t="str">
            <v>Executed</v>
          </cell>
          <cell r="AC253" t="str">
            <v>Yes</v>
          </cell>
          <cell r="AD253">
            <v>9.2226934428770321E-2</v>
          </cell>
          <cell r="AE253" t="str">
            <v>Less than 35%</v>
          </cell>
          <cell r="AF253" t="str">
            <v>UnRegistered</v>
          </cell>
        </row>
        <row r="254">
          <cell r="B254" t="str">
            <v>R3 LG 04</v>
          </cell>
          <cell r="C254" t="str">
            <v>R3</v>
          </cell>
          <cell r="D254" t="str">
            <v>M3M Capital Walk in M3M Capital Phase-2</v>
          </cell>
          <cell r="E254" t="str">
            <v>cwBOOKING/00134/23-24</v>
          </cell>
          <cell r="F254" t="str">
            <v>Mr. DEEPAK NAITHANI</v>
          </cell>
          <cell r="G254" t="str">
            <v>cwFLAP/00005/23-24</v>
          </cell>
          <cell r="H254" t="str">
            <v>On Application of OC</v>
          </cell>
          <cell r="I254">
            <v>0</v>
          </cell>
          <cell r="J254">
            <v>45230</v>
          </cell>
          <cell r="K254">
            <v>46144</v>
          </cell>
          <cell r="L254">
            <v>46164</v>
          </cell>
          <cell r="M254">
            <v>4860947</v>
          </cell>
          <cell r="N254">
            <v>583314</v>
          </cell>
          <cell r="O254">
            <v>5444261</v>
          </cell>
          <cell r="P254"/>
          <cell r="Q254"/>
          <cell r="R254"/>
          <cell r="S254"/>
          <cell r="T254">
            <v>0</v>
          </cell>
          <cell r="U254">
            <v>0</v>
          </cell>
          <cell r="V254">
            <v>40508</v>
          </cell>
          <cell r="W254">
            <v>5484769</v>
          </cell>
          <cell r="X254">
            <v>218568.6</v>
          </cell>
          <cell r="Y254">
            <v>0</v>
          </cell>
          <cell r="Z254">
            <v>100000</v>
          </cell>
          <cell r="AA254">
            <v>118568.6</v>
          </cell>
          <cell r="AB254"/>
          <cell r="AC254"/>
          <cell r="AD254"/>
          <cell r="AE254"/>
          <cell r="AF254" t="str">
            <v>UnRegistered</v>
          </cell>
        </row>
        <row r="255">
          <cell r="B255" t="str">
            <v>R1 205</v>
          </cell>
          <cell r="C255" t="str">
            <v>R1</v>
          </cell>
          <cell r="D255" t="str">
            <v>M3M Capital Walk in M3M Capital Phase-2</v>
          </cell>
          <cell r="E255" t="str">
            <v>cwBOOKING/00135/22-23</v>
          </cell>
          <cell r="F255" t="str">
            <v>Mr. KULDEEP KUMAR SHARMA</v>
          </cell>
          <cell r="G255" t="str">
            <v>cwFLAP/00069/22-23</v>
          </cell>
          <cell r="H255" t="str">
            <v>On Application of OC</v>
          </cell>
          <cell r="I255">
            <v>0</v>
          </cell>
          <cell r="J255">
            <v>45056</v>
          </cell>
          <cell r="K255">
            <v>46144</v>
          </cell>
          <cell r="L255">
            <v>46164</v>
          </cell>
          <cell r="M255">
            <v>1995709</v>
          </cell>
          <cell r="N255">
            <v>239486</v>
          </cell>
          <cell r="O255">
            <v>2235195</v>
          </cell>
          <cell r="P255">
            <v>156872.89848</v>
          </cell>
          <cell r="Q255"/>
          <cell r="R255"/>
          <cell r="S255">
            <v>18824.7478176</v>
          </cell>
          <cell r="T255">
            <v>175697.6462976</v>
          </cell>
          <cell r="U255">
            <v>0</v>
          </cell>
          <cell r="V255">
            <v>80943</v>
          </cell>
          <cell r="W255">
            <v>2140440.3537023999</v>
          </cell>
          <cell r="X255">
            <v>33332</v>
          </cell>
          <cell r="Y255">
            <v>0</v>
          </cell>
          <cell r="Z255">
            <v>0</v>
          </cell>
          <cell r="AA255">
            <v>33332</v>
          </cell>
          <cell r="AB255" t="str">
            <v>Executed</v>
          </cell>
          <cell r="AC255" t="str">
            <v>Yes due to interest less than 75000</v>
          </cell>
          <cell r="AD255">
            <v>4.6995886480169585E-2</v>
          </cell>
          <cell r="AE255" t="str">
            <v>Less than 35%</v>
          </cell>
          <cell r="AF255" t="str">
            <v>UnRegistered</v>
          </cell>
        </row>
        <row r="256">
          <cell r="B256" t="str">
            <v>R1 146</v>
          </cell>
          <cell r="C256" t="str">
            <v>R1</v>
          </cell>
          <cell r="D256" t="str">
            <v>M3M Capital Walk in M3M Capital Phase-2</v>
          </cell>
          <cell r="E256" t="str">
            <v>cwBOOKING/00135/23-24</v>
          </cell>
          <cell r="F256" t="str">
            <v>Ms. NEHA RANI</v>
          </cell>
          <cell r="G256" t="str">
            <v>cwFLAP/00673/22-23</v>
          </cell>
          <cell r="H256" t="str">
            <v>On Application of OC</v>
          </cell>
          <cell r="I256">
            <v>0</v>
          </cell>
          <cell r="J256">
            <v>45148</v>
          </cell>
          <cell r="K256">
            <v>46144</v>
          </cell>
          <cell r="L256">
            <v>46164</v>
          </cell>
          <cell r="M256">
            <v>4715992</v>
          </cell>
          <cell r="N256">
            <v>565920</v>
          </cell>
          <cell r="O256">
            <v>5281912</v>
          </cell>
          <cell r="P256"/>
          <cell r="Q256"/>
          <cell r="R256"/>
          <cell r="S256"/>
          <cell r="T256">
            <v>0</v>
          </cell>
          <cell r="U256">
            <v>1348</v>
          </cell>
          <cell r="V256">
            <v>0</v>
          </cell>
          <cell r="W256">
            <v>5280564</v>
          </cell>
          <cell r="X256">
            <v>1348</v>
          </cell>
          <cell r="Y256">
            <v>0</v>
          </cell>
          <cell r="Z256">
            <v>0</v>
          </cell>
          <cell r="AA256">
            <v>1348</v>
          </cell>
          <cell r="AB256"/>
          <cell r="AC256"/>
          <cell r="AD256"/>
          <cell r="AE256"/>
          <cell r="AF256" t="str">
            <v>UnRegistered</v>
          </cell>
        </row>
        <row r="257">
          <cell r="B257" t="str">
            <v>R5 216</v>
          </cell>
          <cell r="C257" t="str">
            <v>R5</v>
          </cell>
          <cell r="D257" t="str">
            <v>M3M Capital Walk in M3M Capital Phase-2</v>
          </cell>
          <cell r="E257" t="str">
            <v>cwBOOKING/00136/22-23</v>
          </cell>
          <cell r="F257" t="str">
            <v>Dr. RAJENDRA KUMAR SINGH</v>
          </cell>
          <cell r="G257" t="str">
            <v>cwFLAP/00012/22-23</v>
          </cell>
          <cell r="H257" t="str">
            <v>On Application of OC</v>
          </cell>
          <cell r="I257">
            <v>0</v>
          </cell>
          <cell r="J257">
            <v>44942</v>
          </cell>
          <cell r="K257">
            <v>46144</v>
          </cell>
          <cell r="L257">
            <v>46164</v>
          </cell>
          <cell r="M257">
            <v>5237493</v>
          </cell>
          <cell r="N257">
            <v>628500</v>
          </cell>
          <cell r="O257">
            <v>5865993</v>
          </cell>
          <cell r="P257">
            <v>998110.11635999999</v>
          </cell>
          <cell r="Q257"/>
          <cell r="R257"/>
          <cell r="S257">
            <v>119773.21396319999</v>
          </cell>
          <cell r="T257">
            <v>1117883.3303232</v>
          </cell>
          <cell r="U257">
            <v>0</v>
          </cell>
          <cell r="V257">
            <v>1</v>
          </cell>
          <cell r="W257">
            <v>4748110.6696768003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 t="str">
            <v>Executed</v>
          </cell>
          <cell r="AC257" t="str">
            <v>Yes</v>
          </cell>
          <cell r="AD257">
            <v>0.14492195570204255</v>
          </cell>
          <cell r="AE257" t="str">
            <v>Less than 35%</v>
          </cell>
          <cell r="AF257" t="str">
            <v>UnRegistered</v>
          </cell>
        </row>
        <row r="258">
          <cell r="B258" t="str">
            <v>R3 LG 17</v>
          </cell>
          <cell r="C258" t="str">
            <v>R3</v>
          </cell>
          <cell r="D258" t="str">
            <v>M3M Capital Walk in M3M Capital Phase-2</v>
          </cell>
          <cell r="E258" t="str">
            <v>cwBOOKING/00136/23-24</v>
          </cell>
          <cell r="F258" t="str">
            <v>Mr. ABHIJEET RAJ</v>
          </cell>
          <cell r="G258" t="str">
            <v>cwFLAP/00044/23-24</v>
          </cell>
          <cell r="H258" t="str">
            <v>On Application of OC</v>
          </cell>
          <cell r="I258">
            <v>0</v>
          </cell>
          <cell r="J258">
            <v>45267</v>
          </cell>
          <cell r="K258">
            <v>46144</v>
          </cell>
          <cell r="L258">
            <v>46164</v>
          </cell>
          <cell r="M258">
            <v>3279164</v>
          </cell>
          <cell r="N258">
            <v>393500</v>
          </cell>
          <cell r="O258">
            <v>3672664</v>
          </cell>
          <cell r="P258"/>
          <cell r="Q258"/>
          <cell r="R258"/>
          <cell r="S258"/>
          <cell r="T258">
            <v>0</v>
          </cell>
          <cell r="U258">
            <v>0</v>
          </cell>
          <cell r="V258">
            <v>0</v>
          </cell>
          <cell r="W258">
            <v>3672664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/>
          <cell r="AC258"/>
          <cell r="AD258"/>
          <cell r="AE258"/>
          <cell r="AF258" t="str">
            <v>UnRegistered</v>
          </cell>
        </row>
        <row r="259">
          <cell r="B259" t="str">
            <v>R5 G 09</v>
          </cell>
          <cell r="C259" t="str">
            <v>R5</v>
          </cell>
          <cell r="D259" t="str">
            <v>M3M Capital Walk in M3M Capital Phase-2</v>
          </cell>
          <cell r="E259" t="str">
            <v>cwBOOKING/00137/22-23</v>
          </cell>
          <cell r="F259" t="str">
            <v>M/S. PARSHEV JAIN HUF</v>
          </cell>
          <cell r="G259" t="str">
            <v>cwFLAP/00040/22-23</v>
          </cell>
          <cell r="H259" t="str">
            <v>On Application of OC</v>
          </cell>
          <cell r="I259">
            <v>0</v>
          </cell>
          <cell r="J259">
            <v>45147</v>
          </cell>
          <cell r="K259">
            <v>46144</v>
          </cell>
          <cell r="L259">
            <v>46164</v>
          </cell>
          <cell r="M259">
            <v>5927066</v>
          </cell>
          <cell r="N259">
            <v>711248</v>
          </cell>
          <cell r="O259">
            <v>6638314</v>
          </cell>
          <cell r="P259"/>
          <cell r="Q259"/>
          <cell r="R259"/>
          <cell r="S259"/>
          <cell r="T259">
            <v>0</v>
          </cell>
          <cell r="U259">
            <v>113082.89000000001</v>
          </cell>
          <cell r="V259">
            <v>0</v>
          </cell>
          <cell r="W259">
            <v>6525231.1100000003</v>
          </cell>
          <cell r="X259">
            <v>715026.48</v>
          </cell>
          <cell r="Y259">
            <v>0</v>
          </cell>
          <cell r="Z259">
            <v>0</v>
          </cell>
          <cell r="AA259">
            <v>715026.48</v>
          </cell>
          <cell r="AB259"/>
          <cell r="AC259"/>
          <cell r="AD259"/>
          <cell r="AE259"/>
          <cell r="AF259" t="str">
            <v>UnRegistered</v>
          </cell>
        </row>
        <row r="260">
          <cell r="B260" t="str">
            <v>R3 LG 38</v>
          </cell>
          <cell r="C260" t="str">
            <v>R3</v>
          </cell>
          <cell r="D260" t="str">
            <v>M3M Capital Walk in M3M Capital Phase-2</v>
          </cell>
          <cell r="E260" t="str">
            <v>cwBOOKING/00138/23-24</v>
          </cell>
          <cell r="F260" t="str">
            <v>Ms. BABITA BIJALWAN</v>
          </cell>
          <cell r="G260" t="str">
            <v>cwFLAP/00046/23-24</v>
          </cell>
          <cell r="H260" t="str">
            <v>On Application of OC</v>
          </cell>
          <cell r="I260">
            <v>0</v>
          </cell>
          <cell r="J260">
            <v>45177</v>
          </cell>
          <cell r="K260">
            <v>46144</v>
          </cell>
          <cell r="L260">
            <v>46164</v>
          </cell>
          <cell r="M260">
            <v>2561123</v>
          </cell>
          <cell r="N260">
            <v>307334</v>
          </cell>
          <cell r="O260">
            <v>2868457</v>
          </cell>
          <cell r="P260"/>
          <cell r="Q260"/>
          <cell r="R260"/>
          <cell r="S260"/>
          <cell r="T260">
            <v>0</v>
          </cell>
          <cell r="U260">
            <v>0</v>
          </cell>
          <cell r="V260">
            <v>0</v>
          </cell>
          <cell r="W260">
            <v>2868457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/>
          <cell r="AC260"/>
          <cell r="AD260"/>
          <cell r="AE260"/>
          <cell r="AF260" t="str">
            <v>UnRegistered</v>
          </cell>
        </row>
        <row r="261">
          <cell r="B261" t="str">
            <v>R1 242</v>
          </cell>
          <cell r="C261" t="str">
            <v>R1</v>
          </cell>
          <cell r="D261" t="str">
            <v>M3M Capital Walk in M3M Capital Phase-2</v>
          </cell>
          <cell r="E261" t="str">
            <v>cwBOOKING/00139/22-23</v>
          </cell>
          <cell r="F261" t="str">
            <v>Mr. ABINASH KUMAR</v>
          </cell>
          <cell r="G261" t="str">
            <v>cwFLAP/00057/22-23</v>
          </cell>
          <cell r="H261" t="str">
            <v>On Application of OC</v>
          </cell>
          <cell r="I261">
            <v>0</v>
          </cell>
          <cell r="J261">
            <v>44971</v>
          </cell>
          <cell r="K261">
            <v>46144</v>
          </cell>
          <cell r="L261">
            <v>46164</v>
          </cell>
          <cell r="M261">
            <v>2598259</v>
          </cell>
          <cell r="N261">
            <v>311792</v>
          </cell>
          <cell r="O261">
            <v>2910051</v>
          </cell>
          <cell r="P261">
            <v>1856751.14268</v>
          </cell>
          <cell r="Q261"/>
          <cell r="R261"/>
          <cell r="S261">
            <v>222810.13712160001</v>
          </cell>
          <cell r="T261">
            <v>2079561.2798016001</v>
          </cell>
          <cell r="U261">
            <v>1</v>
          </cell>
          <cell r="V261">
            <v>0</v>
          </cell>
          <cell r="W261">
            <v>830488.72019839985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 t="str">
            <v>Executed</v>
          </cell>
          <cell r="AC261" t="str">
            <v>Yes</v>
          </cell>
          <cell r="AD261">
            <v>0.28584551488704729</v>
          </cell>
          <cell r="AE261" t="str">
            <v>Less than 35%</v>
          </cell>
          <cell r="AF261" t="str">
            <v>UnRegistered</v>
          </cell>
        </row>
        <row r="262">
          <cell r="B262" t="str">
            <v>R3 UG 06</v>
          </cell>
          <cell r="C262" t="str">
            <v>R3</v>
          </cell>
          <cell r="D262" t="str">
            <v>M3M Capital Walk in M3M Capital Phase-2</v>
          </cell>
          <cell r="E262" t="str">
            <v>cwBOOKING/00139/23-24</v>
          </cell>
          <cell r="F262" t="str">
            <v>Ms. ANITA CHOPRA</v>
          </cell>
          <cell r="G262" t="str">
            <v>cwFLAP/01049/22-23</v>
          </cell>
          <cell r="H262" t="str">
            <v>On Application of OC</v>
          </cell>
          <cell r="I262">
            <v>0</v>
          </cell>
          <cell r="J262">
            <v>45161</v>
          </cell>
          <cell r="K262">
            <v>46144</v>
          </cell>
          <cell r="L262">
            <v>46164</v>
          </cell>
          <cell r="M262">
            <v>7067662</v>
          </cell>
          <cell r="N262">
            <v>848120</v>
          </cell>
          <cell r="O262">
            <v>7915782</v>
          </cell>
          <cell r="P262"/>
          <cell r="Q262"/>
          <cell r="R262"/>
          <cell r="S262"/>
          <cell r="T262">
            <v>0</v>
          </cell>
          <cell r="U262">
            <v>0</v>
          </cell>
          <cell r="V262">
            <v>0.67999999970197678</v>
          </cell>
          <cell r="W262">
            <v>7915782.6799999997</v>
          </cell>
          <cell r="X262">
            <v>11263.84</v>
          </cell>
          <cell r="Y262">
            <v>0</v>
          </cell>
          <cell r="Z262">
            <v>0</v>
          </cell>
          <cell r="AA262">
            <v>11263.84</v>
          </cell>
          <cell r="AB262"/>
          <cell r="AC262"/>
          <cell r="AD262"/>
          <cell r="AE262"/>
          <cell r="AF262" t="str">
            <v>UnRegistered</v>
          </cell>
        </row>
        <row r="263">
          <cell r="B263" t="str">
            <v>R5 K 211</v>
          </cell>
          <cell r="C263" t="str">
            <v>R5</v>
          </cell>
          <cell r="D263" t="str">
            <v>M3M Capital Walk in M3M Capital Phase-2</v>
          </cell>
          <cell r="E263" t="str">
            <v>cwBOOKING/00140/22-23</v>
          </cell>
          <cell r="F263" t="str">
            <v>Ms. CHARVI SARAF</v>
          </cell>
          <cell r="G263" t="str">
            <v>cwFLAP/00296/22-23</v>
          </cell>
          <cell r="H263" t="str">
            <v>On Application of OC</v>
          </cell>
          <cell r="I263">
            <v>0</v>
          </cell>
          <cell r="J263">
            <v>45022</v>
          </cell>
          <cell r="K263">
            <v>46144</v>
          </cell>
          <cell r="L263">
            <v>46164</v>
          </cell>
          <cell r="M263">
            <v>4645989</v>
          </cell>
          <cell r="N263">
            <v>557518</v>
          </cell>
          <cell r="O263">
            <v>5203507</v>
          </cell>
          <cell r="P263">
            <v>147371.54250000001</v>
          </cell>
          <cell r="Q263"/>
          <cell r="R263"/>
          <cell r="S263">
            <v>17684.5851</v>
          </cell>
          <cell r="T263">
            <v>165056.12760000001</v>
          </cell>
          <cell r="U263">
            <v>0</v>
          </cell>
          <cell r="V263">
            <v>0</v>
          </cell>
          <cell r="W263">
            <v>5038450.8723999998</v>
          </cell>
          <cell r="X263">
            <v>16345</v>
          </cell>
          <cell r="Y263">
            <v>0</v>
          </cell>
          <cell r="Z263">
            <v>0</v>
          </cell>
          <cell r="AA263">
            <v>16345</v>
          </cell>
          <cell r="AB263" t="str">
            <v>Executed</v>
          </cell>
          <cell r="AC263" t="str">
            <v>Yes due to interest less than 75000</v>
          </cell>
          <cell r="AD263">
            <v>1.7711705516511248E-2</v>
          </cell>
          <cell r="AE263" t="str">
            <v>Less than 35%</v>
          </cell>
          <cell r="AF263" t="str">
            <v>UnRegistered</v>
          </cell>
        </row>
        <row r="264">
          <cell r="B264" t="str">
            <v>R1 123</v>
          </cell>
          <cell r="C264" t="str">
            <v>R1</v>
          </cell>
          <cell r="D264" t="str">
            <v>M3M Capital Walk in M3M Capital Phase-2</v>
          </cell>
          <cell r="E264" t="str">
            <v>cwBOOKING/00140/23-24</v>
          </cell>
          <cell r="F264" t="str">
            <v>Mr. RADHEY SHYAM</v>
          </cell>
          <cell r="G264" t="str">
            <v>cwFLAP/01053/22-23</v>
          </cell>
          <cell r="H264" t="str">
            <v>On Application of OC</v>
          </cell>
          <cell r="I264">
            <v>0</v>
          </cell>
          <cell r="J264">
            <v>45323</v>
          </cell>
          <cell r="K264">
            <v>46144</v>
          </cell>
          <cell r="L264">
            <v>46164</v>
          </cell>
          <cell r="M264">
            <v>6683593</v>
          </cell>
          <cell r="N264">
            <v>802032</v>
          </cell>
          <cell r="O264">
            <v>7485625</v>
          </cell>
          <cell r="P264"/>
          <cell r="Q264"/>
          <cell r="R264"/>
          <cell r="S264"/>
          <cell r="T264">
            <v>0</v>
          </cell>
          <cell r="U264">
            <v>0</v>
          </cell>
          <cell r="V264">
            <v>0</v>
          </cell>
          <cell r="W264">
            <v>7485625</v>
          </cell>
          <cell r="X264">
            <v>2114.36</v>
          </cell>
          <cell r="Y264">
            <v>0</v>
          </cell>
          <cell r="Z264">
            <v>0</v>
          </cell>
          <cell r="AA264">
            <v>2114.36</v>
          </cell>
          <cell r="AB264"/>
          <cell r="AC264"/>
          <cell r="AD264"/>
          <cell r="AE264"/>
          <cell r="AF264" t="str">
            <v>UnRegistered</v>
          </cell>
        </row>
        <row r="265">
          <cell r="B265" t="str">
            <v>R1 121</v>
          </cell>
          <cell r="C265" t="str">
            <v>R1</v>
          </cell>
          <cell r="D265" t="str">
            <v>M3M Capital Walk in M3M Capital Phase-2</v>
          </cell>
          <cell r="E265" t="str">
            <v>cwBOOKING/00141/22-23</v>
          </cell>
          <cell r="F265" t="str">
            <v>Ms. SANTOSH DEVI</v>
          </cell>
          <cell r="G265" t="str">
            <v>cwFLAP/00242/22-23</v>
          </cell>
          <cell r="H265" t="str">
            <v>On Application of OC</v>
          </cell>
          <cell r="I265">
            <v>0</v>
          </cell>
          <cell r="J265">
            <v>45076</v>
          </cell>
          <cell r="K265">
            <v>46144</v>
          </cell>
          <cell r="L265">
            <v>46164</v>
          </cell>
          <cell r="M265">
            <v>5477514</v>
          </cell>
          <cell r="N265">
            <v>657302</v>
          </cell>
          <cell r="O265">
            <v>6134816</v>
          </cell>
          <cell r="P265"/>
          <cell r="Q265"/>
          <cell r="R265"/>
          <cell r="S265"/>
          <cell r="T265">
            <v>0</v>
          </cell>
          <cell r="U265">
            <v>0</v>
          </cell>
          <cell r="V265">
            <v>0</v>
          </cell>
          <cell r="W265">
            <v>6134816</v>
          </cell>
          <cell r="X265">
            <v>13747.36</v>
          </cell>
          <cell r="Y265">
            <v>0</v>
          </cell>
          <cell r="Z265">
            <v>0</v>
          </cell>
          <cell r="AA265">
            <v>13747.36</v>
          </cell>
          <cell r="AB265"/>
          <cell r="AC265"/>
          <cell r="AD265"/>
          <cell r="AE265"/>
          <cell r="AF265" t="str">
            <v>UnRegistered</v>
          </cell>
        </row>
        <row r="266">
          <cell r="B266" t="str">
            <v>R6 127</v>
          </cell>
          <cell r="C266" t="str">
            <v>R6</v>
          </cell>
          <cell r="D266" t="str">
            <v>M3M Capital Walk in M3M Capital Phase-2</v>
          </cell>
          <cell r="E266" t="str">
            <v>cwBOOKING/00142/22-23</v>
          </cell>
          <cell r="F266" t="str">
            <v>Ms. SANJEETA SEHRAWAT</v>
          </cell>
          <cell r="G266" t="str">
            <v>cwFLAP/00302/22-23</v>
          </cell>
          <cell r="H266" t="str">
            <v>On Application of OC</v>
          </cell>
          <cell r="I266">
            <v>0</v>
          </cell>
          <cell r="J266">
            <v>44958</v>
          </cell>
          <cell r="K266">
            <v>46144</v>
          </cell>
          <cell r="L266">
            <v>46164</v>
          </cell>
          <cell r="M266">
            <v>3467606</v>
          </cell>
          <cell r="N266">
            <v>416112</v>
          </cell>
          <cell r="O266">
            <v>3883718</v>
          </cell>
          <cell r="P266">
            <v>1713996.6476799999</v>
          </cell>
          <cell r="Q266"/>
          <cell r="R266"/>
          <cell r="S266">
            <v>205679.59772159997</v>
          </cell>
          <cell r="T266">
            <v>1919676.2454015999</v>
          </cell>
          <cell r="U266">
            <v>15220</v>
          </cell>
          <cell r="V266">
            <v>0</v>
          </cell>
          <cell r="W266">
            <v>1948821.7545984001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 t="str">
            <v>Executed</v>
          </cell>
          <cell r="AC266" t="str">
            <v>Yes</v>
          </cell>
          <cell r="AD266">
            <v>0.30916150847327534</v>
          </cell>
          <cell r="AE266" t="str">
            <v>Less than 35%</v>
          </cell>
          <cell r="AF266" t="str">
            <v>UnRegistered</v>
          </cell>
        </row>
        <row r="267">
          <cell r="B267" t="str">
            <v>R1 LG 16</v>
          </cell>
          <cell r="C267" t="str">
            <v>R1</v>
          </cell>
          <cell r="D267" t="str">
            <v>M3M Capital Walk in M3M Capital Phase-2</v>
          </cell>
          <cell r="E267" t="str">
            <v>cwBOOKING/00142/23-24</v>
          </cell>
          <cell r="F267" t="str">
            <v>Ms. RITA MALIK</v>
          </cell>
          <cell r="G267" t="str">
            <v>cwFLAP/01028/22-23</v>
          </cell>
          <cell r="H267" t="str">
            <v>On Application of OC</v>
          </cell>
          <cell r="I267">
            <v>0</v>
          </cell>
          <cell r="J267">
            <v>45098</v>
          </cell>
          <cell r="K267">
            <v>46144</v>
          </cell>
          <cell r="L267">
            <v>46164</v>
          </cell>
          <cell r="M267">
            <v>8266752</v>
          </cell>
          <cell r="N267">
            <v>992010</v>
          </cell>
          <cell r="O267">
            <v>9258762</v>
          </cell>
          <cell r="P267"/>
          <cell r="Q267"/>
          <cell r="R267"/>
          <cell r="S267"/>
          <cell r="T267">
            <v>0</v>
          </cell>
          <cell r="U267">
            <v>0</v>
          </cell>
          <cell r="V267">
            <v>1</v>
          </cell>
          <cell r="W267">
            <v>9258763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/>
          <cell r="AC267"/>
          <cell r="AD267"/>
          <cell r="AE267"/>
          <cell r="AF267" t="str">
            <v>UnRegistered</v>
          </cell>
        </row>
        <row r="268">
          <cell r="B268" t="str">
            <v>R6 120</v>
          </cell>
          <cell r="C268" t="str">
            <v>R6</v>
          </cell>
          <cell r="D268" t="str">
            <v>M3M Capital Walk in M3M Capital Phase-2</v>
          </cell>
          <cell r="E268" t="str">
            <v>cwBOOKING/00145/22-23</v>
          </cell>
          <cell r="F268" t="str">
            <v>Ms. SNEHA SINGH</v>
          </cell>
          <cell r="G268" t="str">
            <v>cwFLAP/00304/22-23</v>
          </cell>
          <cell r="H268" t="str">
            <v>On Application of OC</v>
          </cell>
          <cell r="I268">
            <v>0</v>
          </cell>
          <cell r="J268">
            <v>44956</v>
          </cell>
          <cell r="K268">
            <v>46144</v>
          </cell>
          <cell r="L268">
            <v>46164</v>
          </cell>
          <cell r="M268">
            <v>3600028</v>
          </cell>
          <cell r="N268">
            <v>432004</v>
          </cell>
          <cell r="O268">
            <v>4032032</v>
          </cell>
          <cell r="P268"/>
          <cell r="Q268"/>
          <cell r="R268"/>
          <cell r="S268"/>
          <cell r="T268">
            <v>0</v>
          </cell>
          <cell r="U268">
            <v>59961</v>
          </cell>
          <cell r="V268">
            <v>0</v>
          </cell>
          <cell r="W268">
            <v>3972071</v>
          </cell>
          <cell r="X268">
            <v>4010</v>
          </cell>
          <cell r="Y268">
            <v>0</v>
          </cell>
          <cell r="Z268">
            <v>0</v>
          </cell>
          <cell r="AA268">
            <v>4010</v>
          </cell>
          <cell r="AB268"/>
          <cell r="AC268"/>
          <cell r="AD268"/>
          <cell r="AE268"/>
          <cell r="AF268" t="str">
            <v>UnRegistered</v>
          </cell>
        </row>
        <row r="269">
          <cell r="B269" t="str">
            <v>R3 UG 28</v>
          </cell>
          <cell r="C269" t="str">
            <v>R3</v>
          </cell>
          <cell r="D269" t="str">
            <v>M3M Capital Walk in M3M Capital Phase-2</v>
          </cell>
          <cell r="E269" t="str">
            <v>cwBOOKING/00146/23-24</v>
          </cell>
          <cell r="F269" t="str">
            <v>Ms. VEENA MALIK</v>
          </cell>
          <cell r="G269" t="str">
            <v>cwFLAP/00700/22-23</v>
          </cell>
          <cell r="H269" t="str">
            <v>On Application of OC</v>
          </cell>
          <cell r="I269">
            <v>0</v>
          </cell>
          <cell r="J269">
            <v>45314</v>
          </cell>
          <cell r="K269">
            <v>46144</v>
          </cell>
          <cell r="L269">
            <v>46164</v>
          </cell>
          <cell r="M269">
            <v>8054845</v>
          </cell>
          <cell r="N269">
            <v>966582</v>
          </cell>
          <cell r="O269">
            <v>9021427</v>
          </cell>
          <cell r="P269">
            <v>737641.93536</v>
          </cell>
          <cell r="Q269"/>
          <cell r="R269"/>
          <cell r="S269">
            <v>88517.032243199996</v>
          </cell>
          <cell r="T269">
            <v>826158.9676032</v>
          </cell>
          <cell r="U269">
            <v>0</v>
          </cell>
          <cell r="V269">
            <v>0</v>
          </cell>
          <cell r="W269">
            <v>8195268.0323967999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 t="str">
            <v>Not Executed</v>
          </cell>
          <cell r="AC269" t="str">
            <v>No as CL is not Executed</v>
          </cell>
          <cell r="AD269">
            <v>5.1957536572432197E-2</v>
          </cell>
          <cell r="AE269" t="str">
            <v>Less than 35%</v>
          </cell>
          <cell r="AF269" t="str">
            <v>UnRegistered</v>
          </cell>
        </row>
        <row r="270">
          <cell r="B270" t="str">
            <v>R5 LG 03</v>
          </cell>
          <cell r="C270" t="str">
            <v>R5</v>
          </cell>
          <cell r="D270" t="str">
            <v>M3M Capital Walk in M3M Capital Phase-2</v>
          </cell>
          <cell r="E270" t="str">
            <v>cwBOOKING/00147/23-24</v>
          </cell>
          <cell r="F270" t="str">
            <v>Ms. BIMLA KUMARI</v>
          </cell>
          <cell r="G270" t="str">
            <v>cwFLAP/00693/22-23</v>
          </cell>
          <cell r="H270" t="str">
            <v>On Application of OC</v>
          </cell>
          <cell r="I270">
            <v>0</v>
          </cell>
          <cell r="J270">
            <v>45272</v>
          </cell>
          <cell r="K270">
            <v>46144</v>
          </cell>
          <cell r="L270">
            <v>46164</v>
          </cell>
          <cell r="M270">
            <v>5117734</v>
          </cell>
          <cell r="N270">
            <v>614128</v>
          </cell>
          <cell r="O270">
            <v>5731862</v>
          </cell>
          <cell r="P270"/>
          <cell r="Q270"/>
          <cell r="R270"/>
          <cell r="S270">
            <v>0</v>
          </cell>
          <cell r="T270">
            <v>0</v>
          </cell>
          <cell r="U270">
            <v>3995129.6</v>
          </cell>
          <cell r="V270">
            <v>0</v>
          </cell>
          <cell r="W270">
            <v>1736732.4</v>
          </cell>
          <cell r="X270">
            <v>2046</v>
          </cell>
          <cell r="Y270">
            <v>0</v>
          </cell>
          <cell r="Z270">
            <v>0</v>
          </cell>
          <cell r="AA270">
            <v>2046</v>
          </cell>
          <cell r="AB270"/>
          <cell r="AC270"/>
          <cell r="AD270">
            <v>0</v>
          </cell>
          <cell r="AE270" t="str">
            <v>Less than 35%</v>
          </cell>
          <cell r="AF270" t="str">
            <v>UnRegistered</v>
          </cell>
        </row>
        <row r="271">
          <cell r="B271" t="str">
            <v>R5 111</v>
          </cell>
          <cell r="C271" t="str">
            <v>R5</v>
          </cell>
          <cell r="D271" t="str">
            <v>M3M Capital Walk in M3M Capital Phase-2</v>
          </cell>
          <cell r="E271" t="str">
            <v>cwBOOKING/00148/22-23</v>
          </cell>
          <cell r="F271" t="str">
            <v>Ms. GEETA SATYAKUMAR SINGH</v>
          </cell>
          <cell r="G271" t="str">
            <v>cwFLAP/00308/22-23</v>
          </cell>
          <cell r="H271" t="str">
            <v>On Application of OC</v>
          </cell>
          <cell r="I271">
            <v>0</v>
          </cell>
          <cell r="J271">
            <v>44991</v>
          </cell>
          <cell r="K271">
            <v>46144</v>
          </cell>
          <cell r="L271">
            <v>46164</v>
          </cell>
          <cell r="M271">
            <v>6583509</v>
          </cell>
          <cell r="N271">
            <v>790022</v>
          </cell>
          <cell r="O271">
            <v>7373531</v>
          </cell>
          <cell r="P271">
            <v>3315846.9953333335</v>
          </cell>
          <cell r="Q271"/>
          <cell r="R271"/>
          <cell r="S271">
            <v>397901.63944</v>
          </cell>
          <cell r="T271">
            <v>3713748.6347733336</v>
          </cell>
          <cell r="U271">
            <v>0</v>
          </cell>
          <cell r="V271">
            <v>0</v>
          </cell>
          <cell r="W271">
            <v>3659782.3652266664</v>
          </cell>
          <cell r="X271">
            <v>6610</v>
          </cell>
          <cell r="Y271">
            <v>6610</v>
          </cell>
          <cell r="Z271">
            <v>0</v>
          </cell>
          <cell r="AA271">
            <v>0</v>
          </cell>
          <cell r="AB271" t="str">
            <v>Executed</v>
          </cell>
          <cell r="AC271" t="str">
            <v>Yes</v>
          </cell>
          <cell r="AD271">
            <v>0.30219752791332427</v>
          </cell>
          <cell r="AE271" t="str">
            <v>Less than 35%</v>
          </cell>
          <cell r="AF271" t="str">
            <v>UnRegistered</v>
          </cell>
        </row>
        <row r="272">
          <cell r="B272" t="str">
            <v>R5 151</v>
          </cell>
          <cell r="C272" t="str">
            <v>R5</v>
          </cell>
          <cell r="D272" t="str">
            <v>M3M Capital Walk in M3M Capital Phase-2</v>
          </cell>
          <cell r="E272" t="str">
            <v>cwBOOKING/00149/22-23</v>
          </cell>
          <cell r="F272" t="str">
            <v>Ms. SHAKUNTALA</v>
          </cell>
          <cell r="G272" t="str">
            <v>cwFLAP/00312/22-23</v>
          </cell>
          <cell r="H272" t="str">
            <v>On Application of OC</v>
          </cell>
          <cell r="I272">
            <v>0</v>
          </cell>
          <cell r="J272">
            <v>44951</v>
          </cell>
          <cell r="K272">
            <v>46144</v>
          </cell>
          <cell r="L272">
            <v>46164</v>
          </cell>
          <cell r="M272">
            <v>1088985</v>
          </cell>
          <cell r="N272">
            <v>130678</v>
          </cell>
          <cell r="O272">
            <v>1219663</v>
          </cell>
          <cell r="P272">
            <v>266045.89439999999</v>
          </cell>
          <cell r="Q272"/>
          <cell r="R272"/>
          <cell r="S272">
            <v>31925.507327999996</v>
          </cell>
          <cell r="T272">
            <v>297971.40172799997</v>
          </cell>
          <cell r="U272">
            <v>1</v>
          </cell>
          <cell r="V272">
            <v>0</v>
          </cell>
          <cell r="W272">
            <v>921690.59827199997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 t="str">
            <v>Executed</v>
          </cell>
          <cell r="AC272" t="str">
            <v>Yes</v>
          </cell>
          <cell r="AD272">
            <v>0.14983511613738282</v>
          </cell>
          <cell r="AE272" t="str">
            <v>Less than 35%</v>
          </cell>
          <cell r="AF272" t="str">
            <v>UnRegistered</v>
          </cell>
        </row>
        <row r="273">
          <cell r="B273" t="str">
            <v>R3 LG 66</v>
          </cell>
          <cell r="C273" t="str">
            <v>R3</v>
          </cell>
          <cell r="D273" t="str">
            <v>M3M Capital Walk in M3M Capital Phase-2</v>
          </cell>
          <cell r="E273" t="str">
            <v>cwBOOKING/00149/23-24</v>
          </cell>
          <cell r="F273" t="str">
            <v>Ms. HARSIMRAN TIWANA</v>
          </cell>
          <cell r="G273" t="str">
            <v>cwFLAP/00029/23-24</v>
          </cell>
          <cell r="H273" t="str">
            <v>On Application of OC</v>
          </cell>
          <cell r="I273">
            <v>0</v>
          </cell>
          <cell r="J273">
            <v>45357</v>
          </cell>
          <cell r="K273">
            <v>46144</v>
          </cell>
          <cell r="L273">
            <v>46164</v>
          </cell>
          <cell r="M273">
            <v>3936634</v>
          </cell>
          <cell r="N273">
            <v>472396</v>
          </cell>
          <cell r="O273">
            <v>4409030</v>
          </cell>
          <cell r="P273"/>
          <cell r="Q273"/>
          <cell r="R273"/>
          <cell r="S273"/>
          <cell r="T273">
            <v>0</v>
          </cell>
          <cell r="U273">
            <v>79</v>
          </cell>
          <cell r="V273">
            <v>0</v>
          </cell>
          <cell r="W273">
            <v>4408951</v>
          </cell>
          <cell r="X273">
            <v>8889</v>
          </cell>
          <cell r="Y273">
            <v>0</v>
          </cell>
          <cell r="Z273">
            <v>8889</v>
          </cell>
          <cell r="AA273">
            <v>0</v>
          </cell>
          <cell r="AB273"/>
          <cell r="AC273"/>
          <cell r="AD273"/>
          <cell r="AE273"/>
          <cell r="AF273" t="str">
            <v>UnRegistered</v>
          </cell>
        </row>
        <row r="274">
          <cell r="B274" t="str">
            <v>R2 UG 03</v>
          </cell>
          <cell r="C274" t="str">
            <v>R2</v>
          </cell>
          <cell r="D274" t="str">
            <v>M3M Capital Walk in M3M Capital Phase-2</v>
          </cell>
          <cell r="E274" t="str">
            <v>cwBOOKING/00150/22-23</v>
          </cell>
          <cell r="F274" t="str">
            <v>Mr. VINAY STEPHEN SINGH</v>
          </cell>
          <cell r="G274" t="str">
            <v>cwFLAP/00315/22-23</v>
          </cell>
          <cell r="H274" t="str">
            <v>On Application of OC</v>
          </cell>
          <cell r="I274">
            <v>0</v>
          </cell>
          <cell r="J274">
            <v>45044</v>
          </cell>
          <cell r="K274">
            <v>46144</v>
          </cell>
          <cell r="L274">
            <v>46164</v>
          </cell>
          <cell r="M274">
            <v>2576856</v>
          </cell>
          <cell r="N274">
            <v>309222</v>
          </cell>
          <cell r="O274">
            <v>2886078</v>
          </cell>
          <cell r="P274">
            <v>660508.54547999997</v>
          </cell>
          <cell r="Q274"/>
          <cell r="R274"/>
          <cell r="S274">
            <v>79261.025457600001</v>
          </cell>
          <cell r="T274">
            <v>739769.57093759999</v>
          </cell>
          <cell r="U274">
            <v>0</v>
          </cell>
          <cell r="V274">
            <v>0</v>
          </cell>
          <cell r="W274">
            <v>2146308.4290624</v>
          </cell>
          <cell r="X274">
            <v>2200</v>
          </cell>
          <cell r="Y274">
            <v>0</v>
          </cell>
          <cell r="Z274">
            <v>0</v>
          </cell>
          <cell r="AA274">
            <v>2200</v>
          </cell>
          <cell r="AB274" t="str">
            <v>Executed</v>
          </cell>
          <cell r="AC274" t="str">
            <v>Yes</v>
          </cell>
          <cell r="AD274">
            <v>0.15379402705322848</v>
          </cell>
          <cell r="AE274" t="str">
            <v>Less than 35%</v>
          </cell>
          <cell r="AF274" t="str">
            <v>UnRegistered</v>
          </cell>
        </row>
        <row r="275">
          <cell r="B275" t="str">
            <v>R5 110</v>
          </cell>
          <cell r="C275" t="str">
            <v>R5</v>
          </cell>
          <cell r="D275" t="str">
            <v>M3M Capital Walk in M3M Capital Phase-2</v>
          </cell>
          <cell r="E275" t="str">
            <v>cwBOOKING/00151/22-23</v>
          </cell>
          <cell r="F275" t="str">
            <v>Mr. PRASHANT VASHISTH</v>
          </cell>
          <cell r="G275" t="str">
            <v>cwFLAP/00316/22-23</v>
          </cell>
          <cell r="H275" t="str">
            <v>On Application of OC</v>
          </cell>
          <cell r="I275">
            <v>0</v>
          </cell>
          <cell r="J275">
            <v>45252</v>
          </cell>
          <cell r="K275">
            <v>46144</v>
          </cell>
          <cell r="L275">
            <v>46164</v>
          </cell>
          <cell r="M275">
            <v>5810263</v>
          </cell>
          <cell r="N275">
            <v>697232</v>
          </cell>
          <cell r="O275">
            <v>6507495</v>
          </cell>
          <cell r="P275">
            <v>702060.73397333326</v>
          </cell>
          <cell r="Q275"/>
          <cell r="R275"/>
          <cell r="S275">
            <v>84247.288076799989</v>
          </cell>
          <cell r="T275">
            <v>786308.02205013321</v>
          </cell>
          <cell r="U275">
            <v>2462</v>
          </cell>
          <cell r="V275">
            <v>0</v>
          </cell>
          <cell r="W275">
            <v>5718724.977949867</v>
          </cell>
          <cell r="X275">
            <v>52973.96</v>
          </cell>
          <cell r="Y275">
            <v>0</v>
          </cell>
          <cell r="Z275">
            <v>0</v>
          </cell>
          <cell r="AA275">
            <v>52973.96</v>
          </cell>
          <cell r="AB275" t="str">
            <v>Not Executed</v>
          </cell>
          <cell r="AC275" t="str">
            <v>No, due to CL not executed but interest is less than 75000</v>
          </cell>
          <cell r="AD275">
            <v>6.0960721403052406E-2</v>
          </cell>
          <cell r="AE275" t="str">
            <v>Less than 35%</v>
          </cell>
          <cell r="AF275" t="str">
            <v>UnRegistered</v>
          </cell>
        </row>
        <row r="276">
          <cell r="B276" t="str">
            <v>R5 208</v>
          </cell>
          <cell r="C276" t="str">
            <v>R5</v>
          </cell>
          <cell r="D276" t="str">
            <v>M3M Capital Walk in M3M Capital Phase-2</v>
          </cell>
          <cell r="E276" t="str">
            <v>cwBOOKING/00152/22-23</v>
          </cell>
          <cell r="F276" t="str">
            <v>Mr. VINOD KUMAR</v>
          </cell>
          <cell r="G276" t="str">
            <v>CCWFLAP/00014/22-23</v>
          </cell>
          <cell r="H276" t="str">
            <v>On Application of OC</v>
          </cell>
          <cell r="I276">
            <v>0</v>
          </cell>
          <cell r="J276">
            <v>45302</v>
          </cell>
          <cell r="K276">
            <v>46144</v>
          </cell>
          <cell r="L276">
            <v>46164</v>
          </cell>
          <cell r="M276">
            <v>2070435</v>
          </cell>
          <cell r="N276">
            <v>248452</v>
          </cell>
          <cell r="O276">
            <v>2318887</v>
          </cell>
          <cell r="P276"/>
          <cell r="Q276"/>
          <cell r="R276"/>
          <cell r="S276"/>
          <cell r="T276">
            <v>0</v>
          </cell>
          <cell r="U276">
            <v>0</v>
          </cell>
          <cell r="V276">
            <v>0</v>
          </cell>
          <cell r="W276">
            <v>2318887</v>
          </cell>
          <cell r="X276">
            <v>767.24</v>
          </cell>
          <cell r="Y276">
            <v>0</v>
          </cell>
          <cell r="Z276">
            <v>0</v>
          </cell>
          <cell r="AA276">
            <v>767.24</v>
          </cell>
          <cell r="AB276"/>
          <cell r="AC276"/>
          <cell r="AD276"/>
          <cell r="AE276"/>
          <cell r="AF276" t="str">
            <v>UnRegistered</v>
          </cell>
        </row>
        <row r="277">
          <cell r="B277" t="str">
            <v>R3 LG 94</v>
          </cell>
          <cell r="C277" t="str">
            <v>R3</v>
          </cell>
          <cell r="D277" t="str">
            <v>M3M Capital Walk in M3M Capital Phase-2</v>
          </cell>
          <cell r="E277" t="str">
            <v>cwBOOKING/00152/23-24</v>
          </cell>
          <cell r="F277" t="str">
            <v>Dr. GURJAP SINGH</v>
          </cell>
          <cell r="G277" t="str">
            <v>cwFLAP/00002/23-24</v>
          </cell>
          <cell r="H277" t="str">
            <v>On Application of OC</v>
          </cell>
          <cell r="I277">
            <v>0</v>
          </cell>
          <cell r="J277">
            <v>45251</v>
          </cell>
          <cell r="K277">
            <v>46144</v>
          </cell>
          <cell r="L277">
            <v>46164</v>
          </cell>
          <cell r="M277">
            <v>8017878</v>
          </cell>
          <cell r="N277">
            <v>962146</v>
          </cell>
          <cell r="O277">
            <v>8980024</v>
          </cell>
          <cell r="P277"/>
          <cell r="Q277"/>
          <cell r="R277"/>
          <cell r="S277"/>
          <cell r="T277">
            <v>0</v>
          </cell>
          <cell r="U277">
            <v>0</v>
          </cell>
          <cell r="V277">
            <v>0</v>
          </cell>
          <cell r="W277">
            <v>8980024</v>
          </cell>
          <cell r="X277">
            <v>30339</v>
          </cell>
          <cell r="Y277">
            <v>0</v>
          </cell>
          <cell r="Z277">
            <v>0</v>
          </cell>
          <cell r="AA277">
            <v>30339</v>
          </cell>
          <cell r="AB277"/>
          <cell r="AC277"/>
          <cell r="AD277"/>
          <cell r="AE277"/>
          <cell r="AF277" t="str">
            <v>UnRegistered</v>
          </cell>
        </row>
        <row r="278">
          <cell r="B278" t="str">
            <v>R4 240</v>
          </cell>
          <cell r="C278" t="str">
            <v>R4</v>
          </cell>
          <cell r="D278" t="str">
            <v>M3M Capital Walk in M3M Capital Phase-2</v>
          </cell>
          <cell r="E278" t="str">
            <v>cwBOOKING/00153/22-23</v>
          </cell>
          <cell r="F278" t="str">
            <v>Mr. CHHOTEY LAL</v>
          </cell>
          <cell r="G278" t="str">
            <v>cwFLAP/00285/22-23</v>
          </cell>
          <cell r="H278" t="str">
            <v>On Application of OC</v>
          </cell>
          <cell r="I278">
            <v>0</v>
          </cell>
          <cell r="J278">
            <v>44970</v>
          </cell>
          <cell r="K278">
            <v>46144</v>
          </cell>
          <cell r="L278">
            <v>46164</v>
          </cell>
          <cell r="M278">
            <v>2804760</v>
          </cell>
          <cell r="N278">
            <v>336572</v>
          </cell>
          <cell r="O278">
            <v>3141332</v>
          </cell>
          <cell r="P278"/>
          <cell r="Q278"/>
          <cell r="R278"/>
          <cell r="S278"/>
          <cell r="T278">
            <v>0</v>
          </cell>
          <cell r="U278">
            <v>0</v>
          </cell>
          <cell r="V278">
            <v>1</v>
          </cell>
          <cell r="W278">
            <v>3141333</v>
          </cell>
          <cell r="X278">
            <v>7026</v>
          </cell>
          <cell r="Y278">
            <v>0</v>
          </cell>
          <cell r="Z278">
            <v>0</v>
          </cell>
          <cell r="AA278">
            <v>7026</v>
          </cell>
          <cell r="AB278"/>
          <cell r="AC278"/>
          <cell r="AD278"/>
          <cell r="AE278"/>
          <cell r="AF278" t="str">
            <v>UnRegistered</v>
          </cell>
        </row>
        <row r="279">
          <cell r="B279" t="str">
            <v>R4 LG 16</v>
          </cell>
          <cell r="C279" t="str">
            <v>R4</v>
          </cell>
          <cell r="D279" t="str">
            <v>M3M Capital Walk in M3M Capital Phase-2</v>
          </cell>
          <cell r="E279" t="str">
            <v>cwBOOKING/00153/23-24</v>
          </cell>
          <cell r="F279" t="str">
            <v>Ms. RAMRATI</v>
          </cell>
          <cell r="G279" t="str">
            <v>cwFLAP/00784/22-23</v>
          </cell>
          <cell r="H279" t="str">
            <v>On Application of OC</v>
          </cell>
          <cell r="I279">
            <v>0</v>
          </cell>
          <cell r="J279">
            <v>45267</v>
          </cell>
          <cell r="K279">
            <v>46144</v>
          </cell>
          <cell r="L279">
            <v>46164</v>
          </cell>
          <cell r="M279">
            <v>5196126</v>
          </cell>
          <cell r="N279">
            <v>623536</v>
          </cell>
          <cell r="O279">
            <v>5819662</v>
          </cell>
          <cell r="P279"/>
          <cell r="Q279"/>
          <cell r="R279"/>
          <cell r="S279"/>
          <cell r="T279">
            <v>0</v>
          </cell>
          <cell r="U279">
            <v>0</v>
          </cell>
          <cell r="V279">
            <v>0</v>
          </cell>
          <cell r="W279">
            <v>5819662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/>
          <cell r="AC279"/>
          <cell r="AD279"/>
          <cell r="AE279"/>
          <cell r="AF279" t="str">
            <v>UnRegistered</v>
          </cell>
        </row>
        <row r="280">
          <cell r="B280" t="str">
            <v>R1 251</v>
          </cell>
          <cell r="C280" t="str">
            <v>R1</v>
          </cell>
          <cell r="D280" t="str">
            <v>M3M Capital Walk in M3M Capital Phase-2</v>
          </cell>
          <cell r="E280" t="str">
            <v>cwBOOKING/00154/22-23</v>
          </cell>
          <cell r="F280" t="str">
            <v>Mr. DILBAGH</v>
          </cell>
          <cell r="G280" t="str">
            <v>cwFLAP/00090/22-23</v>
          </cell>
          <cell r="H280" t="str">
            <v>On Application of OC</v>
          </cell>
          <cell r="I280">
            <v>0</v>
          </cell>
          <cell r="J280">
            <v>45048</v>
          </cell>
          <cell r="K280">
            <v>46144</v>
          </cell>
          <cell r="L280">
            <v>46164</v>
          </cell>
          <cell r="M280">
            <v>2637703</v>
          </cell>
          <cell r="N280">
            <v>316524</v>
          </cell>
          <cell r="O280">
            <v>2954227</v>
          </cell>
          <cell r="P280"/>
          <cell r="Q280"/>
          <cell r="R280"/>
          <cell r="S280"/>
          <cell r="T280">
            <v>0</v>
          </cell>
          <cell r="U280">
            <v>0</v>
          </cell>
          <cell r="V280">
            <v>0</v>
          </cell>
          <cell r="W280">
            <v>2954227</v>
          </cell>
          <cell r="X280">
            <v>12171</v>
          </cell>
          <cell r="Y280">
            <v>0</v>
          </cell>
          <cell r="Z280">
            <v>0</v>
          </cell>
          <cell r="AA280">
            <v>12171</v>
          </cell>
          <cell r="AB280"/>
          <cell r="AC280"/>
          <cell r="AD280"/>
          <cell r="AE280"/>
          <cell r="AF280" t="str">
            <v>UnRegistered</v>
          </cell>
        </row>
        <row r="281">
          <cell r="B281" t="str">
            <v>R3 LG 90</v>
          </cell>
          <cell r="C281" t="str">
            <v>R3</v>
          </cell>
          <cell r="D281" t="str">
            <v>M3M Capital Walk in M3M Capital Phase-2</v>
          </cell>
          <cell r="E281" t="str">
            <v>cwBOOKING/00154/23-24</v>
          </cell>
          <cell r="F281" t="str">
            <v>Ms. MONIKA GUPTA</v>
          </cell>
          <cell r="G281" t="str">
            <v>cwFLAP/00055/23-24</v>
          </cell>
          <cell r="H281" t="str">
            <v>On Application of OC</v>
          </cell>
          <cell r="I281">
            <v>0</v>
          </cell>
          <cell r="J281">
            <v>45357</v>
          </cell>
          <cell r="K281">
            <v>46144</v>
          </cell>
          <cell r="L281">
            <v>46164</v>
          </cell>
          <cell r="M281">
            <v>7916739</v>
          </cell>
          <cell r="N281">
            <v>950008</v>
          </cell>
          <cell r="O281">
            <v>8866747</v>
          </cell>
          <cell r="P281"/>
          <cell r="Q281"/>
          <cell r="R281"/>
          <cell r="S281">
            <v>0</v>
          </cell>
          <cell r="T281">
            <v>0</v>
          </cell>
          <cell r="U281">
            <v>1936666</v>
          </cell>
          <cell r="V281">
            <v>0</v>
          </cell>
          <cell r="W281">
            <v>6930081</v>
          </cell>
          <cell r="X281">
            <v>2760</v>
          </cell>
          <cell r="Y281">
            <v>0</v>
          </cell>
          <cell r="Z281">
            <v>0</v>
          </cell>
          <cell r="AA281">
            <v>2760</v>
          </cell>
          <cell r="AB281"/>
          <cell r="AC281"/>
          <cell r="AD281">
            <v>0</v>
          </cell>
          <cell r="AE281" t="str">
            <v>Less than 35%</v>
          </cell>
          <cell r="AF281" t="str">
            <v>UnRegistered</v>
          </cell>
        </row>
        <row r="282">
          <cell r="B282" t="str">
            <v>R6 212A</v>
          </cell>
          <cell r="C282" t="str">
            <v>R6</v>
          </cell>
          <cell r="D282" t="str">
            <v>M3M Capital Walk in M3M Capital Phase-2</v>
          </cell>
          <cell r="E282" t="str">
            <v>cwBOOKING/00156/22-23</v>
          </cell>
          <cell r="F282" t="str">
            <v>Ms. ANITA GILL</v>
          </cell>
          <cell r="G282" t="str">
            <v>cwFLAP/00139/22-23</v>
          </cell>
          <cell r="H282" t="str">
            <v>On Application of OC</v>
          </cell>
          <cell r="I282">
            <v>0</v>
          </cell>
          <cell r="J282">
            <v>44985</v>
          </cell>
          <cell r="K282">
            <v>46144</v>
          </cell>
          <cell r="L282">
            <v>46164</v>
          </cell>
          <cell r="M282">
            <v>3173668</v>
          </cell>
          <cell r="N282">
            <v>380840</v>
          </cell>
          <cell r="O282">
            <v>3554508</v>
          </cell>
          <cell r="P282"/>
          <cell r="Q282"/>
          <cell r="R282"/>
          <cell r="S282"/>
          <cell r="T282">
            <v>0</v>
          </cell>
          <cell r="U282">
            <v>0</v>
          </cell>
          <cell r="V282">
            <v>0</v>
          </cell>
          <cell r="W282">
            <v>3554508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/>
          <cell r="AC282"/>
          <cell r="AD282"/>
          <cell r="AE282"/>
          <cell r="AF282" t="str">
            <v>UnRegistered</v>
          </cell>
        </row>
        <row r="283">
          <cell r="B283" t="str">
            <v>R5 123</v>
          </cell>
          <cell r="C283" t="str">
            <v>R5</v>
          </cell>
          <cell r="D283" t="str">
            <v>M3M Capital Walk in M3M Capital Phase-2</v>
          </cell>
          <cell r="E283" t="str">
            <v>cwBOOKING/00158/22-23</v>
          </cell>
          <cell r="F283" t="str">
            <v>Mr. SUNIL KUMAR</v>
          </cell>
          <cell r="G283" t="str">
            <v>cwFLAP/00092/22-23</v>
          </cell>
          <cell r="H283" t="str">
            <v>On Application of OC</v>
          </cell>
          <cell r="I283">
            <v>0</v>
          </cell>
          <cell r="J283">
            <v>44988</v>
          </cell>
          <cell r="K283">
            <v>46144</v>
          </cell>
          <cell r="L283">
            <v>46164</v>
          </cell>
          <cell r="M283">
            <v>1882112</v>
          </cell>
          <cell r="N283">
            <v>225854</v>
          </cell>
          <cell r="O283">
            <v>2107966</v>
          </cell>
          <cell r="P283"/>
          <cell r="Q283"/>
          <cell r="R283"/>
          <cell r="S283"/>
          <cell r="T283">
            <v>0</v>
          </cell>
          <cell r="U283">
            <v>0</v>
          </cell>
          <cell r="V283">
            <v>1.4100000001490116</v>
          </cell>
          <cell r="W283">
            <v>2107967.41</v>
          </cell>
          <cell r="X283">
            <v>10895</v>
          </cell>
          <cell r="Y283">
            <v>0</v>
          </cell>
          <cell r="Z283">
            <v>0</v>
          </cell>
          <cell r="AA283">
            <v>10895</v>
          </cell>
          <cell r="AB283"/>
          <cell r="AC283"/>
          <cell r="AD283"/>
          <cell r="AE283"/>
          <cell r="AF283" t="str">
            <v>UnRegistered</v>
          </cell>
        </row>
        <row r="284">
          <cell r="B284" t="str">
            <v>R5 119</v>
          </cell>
          <cell r="C284" t="str">
            <v>R5</v>
          </cell>
          <cell r="D284" t="str">
            <v>M3M Capital Walk in M3M Capital Phase-2</v>
          </cell>
          <cell r="E284" t="str">
            <v>cwBOOKING/00159/22-23</v>
          </cell>
          <cell r="F284" t="str">
            <v>Mr. SUNIL KUMAR</v>
          </cell>
          <cell r="G284" t="str">
            <v>cwFLAP/00091/22-23</v>
          </cell>
          <cell r="H284" t="str">
            <v>On Application of OC</v>
          </cell>
          <cell r="I284">
            <v>0</v>
          </cell>
          <cell r="J284">
            <v>44988</v>
          </cell>
          <cell r="K284">
            <v>46144</v>
          </cell>
          <cell r="L284">
            <v>46164</v>
          </cell>
          <cell r="M284">
            <v>1882112</v>
          </cell>
          <cell r="N284">
            <v>225854</v>
          </cell>
          <cell r="O284">
            <v>2107966</v>
          </cell>
          <cell r="P284"/>
          <cell r="Q284"/>
          <cell r="R284"/>
          <cell r="S284"/>
          <cell r="T284">
            <v>0</v>
          </cell>
          <cell r="U284">
            <v>0</v>
          </cell>
          <cell r="V284">
            <v>1.4100000001490116</v>
          </cell>
          <cell r="W284">
            <v>2107967.41</v>
          </cell>
          <cell r="X284">
            <v>10916</v>
          </cell>
          <cell r="Y284">
            <v>0</v>
          </cell>
          <cell r="Z284">
            <v>0</v>
          </cell>
          <cell r="AA284">
            <v>10916</v>
          </cell>
          <cell r="AB284"/>
          <cell r="AC284"/>
          <cell r="AD284"/>
          <cell r="AE284"/>
          <cell r="AF284" t="str">
            <v>UnRegistered</v>
          </cell>
        </row>
        <row r="285">
          <cell r="B285" t="str">
            <v>R5 204</v>
          </cell>
          <cell r="C285" t="str">
            <v>R5</v>
          </cell>
          <cell r="D285" t="str">
            <v>M3M Capital Walk in M3M Capital Phase-2</v>
          </cell>
          <cell r="E285" t="str">
            <v>cwBOOKING/00160/22-23</v>
          </cell>
          <cell r="F285" t="str">
            <v>Mr. RAMESH KUMAR MEHAR</v>
          </cell>
          <cell r="G285" t="str">
            <v>cwFLAP/00331/22-23</v>
          </cell>
          <cell r="H285" t="str">
            <v>On Application of OC</v>
          </cell>
          <cell r="I285">
            <v>0</v>
          </cell>
          <cell r="J285">
            <v>45267</v>
          </cell>
          <cell r="K285">
            <v>46144</v>
          </cell>
          <cell r="L285">
            <v>46164</v>
          </cell>
          <cell r="M285">
            <v>3723981</v>
          </cell>
          <cell r="N285">
            <v>446878</v>
          </cell>
          <cell r="O285">
            <v>4170859</v>
          </cell>
          <cell r="P285">
            <v>861405.63666666672</v>
          </cell>
          <cell r="Q285"/>
          <cell r="R285"/>
          <cell r="S285">
            <v>103368.6764</v>
          </cell>
          <cell r="T285">
            <v>964774.31306666671</v>
          </cell>
          <cell r="U285">
            <v>2</v>
          </cell>
          <cell r="V285">
            <v>0</v>
          </cell>
          <cell r="W285">
            <v>3206082.6869333331</v>
          </cell>
          <cell r="X285">
            <v>20343</v>
          </cell>
          <cell r="Y285">
            <v>0</v>
          </cell>
          <cell r="Z285">
            <v>20343</v>
          </cell>
          <cell r="AA285">
            <v>0</v>
          </cell>
          <cell r="AB285" t="str">
            <v>Executed</v>
          </cell>
          <cell r="AC285" t="str">
            <v>Yes due to interest less than 75000</v>
          </cell>
          <cell r="AD285">
            <v>0.10904759883370518</v>
          </cell>
          <cell r="AE285" t="str">
            <v>Less than 35%</v>
          </cell>
          <cell r="AF285" t="str">
            <v>UnRegistered</v>
          </cell>
        </row>
        <row r="286">
          <cell r="B286" t="str">
            <v>R5 UG 48</v>
          </cell>
          <cell r="C286" t="str">
            <v>R5</v>
          </cell>
          <cell r="D286" t="str">
            <v>M3M Capital Walk in M3M Capital Phase-2</v>
          </cell>
          <cell r="E286" t="str">
            <v>cwBOOKING/00160/23-24</v>
          </cell>
          <cell r="F286" t="str">
            <v>Ms. PATASO DEVI</v>
          </cell>
          <cell r="G286" t="str">
            <v>cwFLAP/00059/23-24</v>
          </cell>
          <cell r="H286" t="str">
            <v>On Application of OC</v>
          </cell>
          <cell r="I286">
            <v>0</v>
          </cell>
          <cell r="J286">
            <v>45316</v>
          </cell>
          <cell r="K286">
            <v>46144</v>
          </cell>
          <cell r="L286">
            <v>46164</v>
          </cell>
          <cell r="M286">
            <v>4178186</v>
          </cell>
          <cell r="N286">
            <v>501382</v>
          </cell>
          <cell r="O286">
            <v>4679568</v>
          </cell>
          <cell r="P286"/>
          <cell r="Q286"/>
          <cell r="R286"/>
          <cell r="S286"/>
          <cell r="T286">
            <v>0</v>
          </cell>
          <cell r="U286">
            <v>0</v>
          </cell>
          <cell r="V286">
            <v>0</v>
          </cell>
          <cell r="W286">
            <v>4679568</v>
          </cell>
          <cell r="X286">
            <v>2364</v>
          </cell>
          <cell r="Y286">
            <v>0</v>
          </cell>
          <cell r="Z286">
            <v>0</v>
          </cell>
          <cell r="AA286">
            <v>2364</v>
          </cell>
          <cell r="AB286"/>
          <cell r="AC286"/>
          <cell r="AD286"/>
          <cell r="AE286"/>
          <cell r="AF286" t="str">
            <v>UnRegistered</v>
          </cell>
        </row>
        <row r="287">
          <cell r="B287" t="str">
            <v>R5 K 207</v>
          </cell>
          <cell r="C287" t="str">
            <v>R5</v>
          </cell>
          <cell r="D287" t="str">
            <v>M3M Capital Walk in M3M Capital Phase-2</v>
          </cell>
          <cell r="E287" t="str">
            <v>cwBOOKING/00161/22-23</v>
          </cell>
          <cell r="F287" t="str">
            <v>Mr. JARIN GEORGE MATHEW</v>
          </cell>
          <cell r="G287" t="str">
            <v>cwFLAP/00042/22-23</v>
          </cell>
          <cell r="H287" t="str">
            <v>On Application of OC</v>
          </cell>
          <cell r="I287">
            <v>0</v>
          </cell>
          <cell r="J287">
            <v>45009</v>
          </cell>
          <cell r="K287">
            <v>46144</v>
          </cell>
          <cell r="L287">
            <v>46164</v>
          </cell>
          <cell r="M287">
            <v>9631413</v>
          </cell>
          <cell r="N287">
            <v>1155770</v>
          </cell>
          <cell r="O287">
            <v>10787183</v>
          </cell>
          <cell r="P287">
            <v>4197305.7118300004</v>
          </cell>
          <cell r="Q287"/>
          <cell r="R287"/>
          <cell r="S287">
            <v>503676.68541960005</v>
          </cell>
          <cell r="T287">
            <v>4700982.3972496009</v>
          </cell>
          <cell r="U287">
            <v>0</v>
          </cell>
          <cell r="V287">
            <v>1</v>
          </cell>
          <cell r="W287">
            <v>6086201.6027503991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 t="str">
            <v>Executed</v>
          </cell>
          <cell r="AC287" t="str">
            <v>Yes</v>
          </cell>
          <cell r="AD287">
            <v>0.34863463141072598</v>
          </cell>
          <cell r="AE287" t="str">
            <v>Less than 35%</v>
          </cell>
          <cell r="AF287" t="str">
            <v>UnRegistered</v>
          </cell>
        </row>
        <row r="288">
          <cell r="B288" t="str">
            <v>R3 LG 18</v>
          </cell>
          <cell r="C288" t="str">
            <v>R3</v>
          </cell>
          <cell r="D288" t="str">
            <v>M3M Capital Walk in M3M Capital Phase-2</v>
          </cell>
          <cell r="E288" t="str">
            <v>cwBOOKING/00161/23-24</v>
          </cell>
          <cell r="F288" t="str">
            <v>Ms. RENUBALA</v>
          </cell>
          <cell r="G288" t="str">
            <v>cwFLAP/00060/23-24</v>
          </cell>
          <cell r="H288" t="str">
            <v>On Application of OC</v>
          </cell>
          <cell r="I288">
            <v>0</v>
          </cell>
          <cell r="J288">
            <v>45286</v>
          </cell>
          <cell r="K288">
            <v>46144</v>
          </cell>
          <cell r="L288">
            <v>46164</v>
          </cell>
          <cell r="M288">
            <v>3570000</v>
          </cell>
          <cell r="N288">
            <v>428400</v>
          </cell>
          <cell r="O288">
            <v>3998400</v>
          </cell>
          <cell r="P288"/>
          <cell r="Q288"/>
          <cell r="R288"/>
          <cell r="S288"/>
          <cell r="T288">
            <v>0</v>
          </cell>
          <cell r="U288">
            <v>0</v>
          </cell>
          <cell r="V288">
            <v>0</v>
          </cell>
          <cell r="W288">
            <v>3998400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/>
          <cell r="AC288"/>
          <cell r="AD288"/>
          <cell r="AE288"/>
          <cell r="AF288" t="str">
            <v>UnRegistered</v>
          </cell>
        </row>
        <row r="289">
          <cell r="B289" t="str">
            <v>R5 203</v>
          </cell>
          <cell r="C289" t="str">
            <v>R5</v>
          </cell>
          <cell r="D289" t="str">
            <v>M3M Capital Walk in M3M Capital Phase-2</v>
          </cell>
          <cell r="E289" t="str">
            <v>cwBOOKING/00162/22-23</v>
          </cell>
          <cell r="F289" t="str">
            <v>Ms. USHA NAYAR</v>
          </cell>
          <cell r="G289" t="str">
            <v>cwFLAP/00332/22-23</v>
          </cell>
          <cell r="H289" t="str">
            <v>On Application of OC</v>
          </cell>
          <cell r="I289">
            <v>0</v>
          </cell>
          <cell r="J289">
            <v>45330</v>
          </cell>
          <cell r="K289">
            <v>46144</v>
          </cell>
          <cell r="L289">
            <v>46164</v>
          </cell>
          <cell r="M289">
            <v>4270935</v>
          </cell>
          <cell r="N289">
            <v>512512</v>
          </cell>
          <cell r="O289">
            <v>4783447</v>
          </cell>
          <cell r="P289">
            <v>2223897.2616666667</v>
          </cell>
          <cell r="Q289"/>
          <cell r="R289"/>
          <cell r="S289">
            <v>266867.67139999999</v>
          </cell>
          <cell r="T289">
            <v>2490764.9330666666</v>
          </cell>
          <cell r="U289">
            <v>0</v>
          </cell>
          <cell r="V289">
            <v>1</v>
          </cell>
          <cell r="W289">
            <v>2292683.0669333334</v>
          </cell>
          <cell r="X289">
            <v>1190</v>
          </cell>
          <cell r="Y289">
            <v>0</v>
          </cell>
          <cell r="Z289">
            <v>0</v>
          </cell>
          <cell r="AA289">
            <v>1190</v>
          </cell>
          <cell r="AB289" t="str">
            <v>Executed</v>
          </cell>
          <cell r="AC289" t="str">
            <v>Yes</v>
          </cell>
          <cell r="AD289">
            <v>0.33589324047366448</v>
          </cell>
          <cell r="AE289" t="str">
            <v>Less than 35%</v>
          </cell>
          <cell r="AF289" t="str">
            <v>UnRegistered</v>
          </cell>
        </row>
        <row r="290">
          <cell r="B290" t="str">
            <v>R5 LG 26</v>
          </cell>
          <cell r="C290" t="str">
            <v>R5</v>
          </cell>
          <cell r="D290" t="str">
            <v>M3M Capital Walk in M3M Capital Phase-2</v>
          </cell>
          <cell r="E290" t="str">
            <v>cwBOOKING/00162/23-24</v>
          </cell>
          <cell r="F290" t="str">
            <v>Mr. JOGINDER JANGHU</v>
          </cell>
          <cell r="G290" t="str">
            <v>cwFLAP/00934/22-23</v>
          </cell>
          <cell r="H290" t="str">
            <v>On Application of OC</v>
          </cell>
          <cell r="I290">
            <v>0</v>
          </cell>
          <cell r="J290">
            <v>45363</v>
          </cell>
          <cell r="K290">
            <v>46144</v>
          </cell>
          <cell r="L290">
            <v>46164</v>
          </cell>
          <cell r="M290">
            <v>3727170</v>
          </cell>
          <cell r="N290">
            <v>447260</v>
          </cell>
          <cell r="O290">
            <v>4174430</v>
          </cell>
          <cell r="P290"/>
          <cell r="Q290"/>
          <cell r="R290"/>
          <cell r="S290"/>
          <cell r="T290">
            <v>0</v>
          </cell>
          <cell r="U290">
            <v>0</v>
          </cell>
          <cell r="V290">
            <v>0</v>
          </cell>
          <cell r="W290">
            <v>4174430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/>
          <cell r="AC290"/>
          <cell r="AD290"/>
          <cell r="AE290"/>
          <cell r="AF290" t="str">
            <v>UnRegistered</v>
          </cell>
        </row>
        <row r="291">
          <cell r="B291" t="str">
            <v>R5 109</v>
          </cell>
          <cell r="C291" t="str">
            <v>R5</v>
          </cell>
          <cell r="D291" t="str">
            <v>M3M Capital Walk in M3M Capital Phase-2</v>
          </cell>
          <cell r="E291" t="str">
            <v>cwBOOKING/00163/22-23</v>
          </cell>
          <cell r="F291" t="str">
            <v>Ms. POOJA KIRAN TAGRA</v>
          </cell>
          <cell r="G291" t="str">
            <v>cwFLAP/00168/22-23</v>
          </cell>
          <cell r="H291" t="str">
            <v>On Application of OC</v>
          </cell>
          <cell r="I291">
            <v>0</v>
          </cell>
          <cell r="J291">
            <v>44978</v>
          </cell>
          <cell r="K291">
            <v>46144</v>
          </cell>
          <cell r="L291">
            <v>46164</v>
          </cell>
          <cell r="M291">
            <v>5055886</v>
          </cell>
          <cell r="N291">
            <v>606706</v>
          </cell>
          <cell r="O291">
            <v>5662592</v>
          </cell>
          <cell r="P291">
            <v>470653.30799999996</v>
          </cell>
          <cell r="Q291"/>
          <cell r="R291"/>
          <cell r="S291">
            <v>56478.396959999991</v>
          </cell>
          <cell r="T291">
            <v>527131.70496</v>
          </cell>
          <cell r="U291">
            <v>0</v>
          </cell>
          <cell r="V291">
            <v>0</v>
          </cell>
          <cell r="W291">
            <v>5135460.2950400002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 t="str">
            <v>Executed</v>
          </cell>
          <cell r="AC291" t="str">
            <v>Yes</v>
          </cell>
          <cell r="AD291">
            <v>5.3388665244134895E-2</v>
          </cell>
          <cell r="AE291" t="str">
            <v>Less than 35%</v>
          </cell>
          <cell r="AF291" t="str">
            <v>UnRegistered</v>
          </cell>
        </row>
        <row r="292">
          <cell r="B292" t="str">
            <v>R1 LG 21</v>
          </cell>
          <cell r="C292" t="str">
            <v>R1</v>
          </cell>
          <cell r="D292" t="str">
            <v>M3M Capital Walk in M3M Capital Phase-2</v>
          </cell>
          <cell r="E292" t="str">
            <v>cwBOOKING/00164/23-24</v>
          </cell>
          <cell r="F292" t="str">
            <v>MOHD KASHIF</v>
          </cell>
          <cell r="G292" t="str">
            <v>cwFLAP/01045/22-23</v>
          </cell>
          <cell r="H292" t="str">
            <v>On Application of OC</v>
          </cell>
          <cell r="I292">
            <v>0</v>
          </cell>
          <cell r="J292">
            <v>45187</v>
          </cell>
          <cell r="K292">
            <v>46144</v>
          </cell>
          <cell r="L292">
            <v>46164</v>
          </cell>
          <cell r="M292">
            <v>6888960</v>
          </cell>
          <cell r="N292">
            <v>826676</v>
          </cell>
          <cell r="O292">
            <v>7715636</v>
          </cell>
          <cell r="P292"/>
          <cell r="Q292"/>
          <cell r="R292"/>
          <cell r="S292"/>
          <cell r="T292">
            <v>0</v>
          </cell>
          <cell r="U292">
            <v>35544</v>
          </cell>
          <cell r="V292">
            <v>0</v>
          </cell>
          <cell r="W292">
            <v>7680092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/>
          <cell r="AC292"/>
          <cell r="AD292"/>
          <cell r="AE292"/>
          <cell r="AF292" t="str">
            <v>UnRegistered</v>
          </cell>
        </row>
        <row r="293">
          <cell r="B293" t="str">
            <v>R5 173</v>
          </cell>
          <cell r="C293" t="str">
            <v>R5</v>
          </cell>
          <cell r="D293" t="str">
            <v>M3M Capital Walk in M3M Capital Phase-2</v>
          </cell>
          <cell r="E293" t="str">
            <v>cwBOOKING/00165/23-24</v>
          </cell>
          <cell r="F293" t="str">
            <v>Mr. Ravinder Hooda</v>
          </cell>
          <cell r="G293" t="str">
            <v>cwFLAP/00766/22-23</v>
          </cell>
          <cell r="H293" t="str">
            <v>On Application of OC</v>
          </cell>
          <cell r="I293">
            <v>0</v>
          </cell>
          <cell r="J293">
            <v>45281</v>
          </cell>
          <cell r="K293">
            <v>46144</v>
          </cell>
          <cell r="L293">
            <v>46164</v>
          </cell>
          <cell r="M293">
            <v>1714167</v>
          </cell>
          <cell r="N293">
            <v>205700</v>
          </cell>
          <cell r="O293">
            <v>1919867</v>
          </cell>
          <cell r="P293"/>
          <cell r="Q293"/>
          <cell r="R293"/>
          <cell r="S293"/>
          <cell r="T293">
            <v>0</v>
          </cell>
          <cell r="U293">
            <v>0</v>
          </cell>
          <cell r="V293">
            <v>0</v>
          </cell>
          <cell r="W293">
            <v>1919867</v>
          </cell>
          <cell r="X293">
            <v>8833</v>
          </cell>
          <cell r="Y293">
            <v>0</v>
          </cell>
          <cell r="Z293">
            <v>8833</v>
          </cell>
          <cell r="AA293">
            <v>0</v>
          </cell>
          <cell r="AB293"/>
          <cell r="AC293"/>
          <cell r="AD293"/>
          <cell r="AE293"/>
          <cell r="AF293" t="str">
            <v>UnRegistered</v>
          </cell>
        </row>
        <row r="294">
          <cell r="B294" t="str">
            <v>R4 102</v>
          </cell>
          <cell r="C294" t="str">
            <v>R4</v>
          </cell>
          <cell r="D294" t="str">
            <v>M3M Capital Walk in M3M Capital Phase-2</v>
          </cell>
          <cell r="E294" t="str">
            <v>cwBOOKING/00166/23-24</v>
          </cell>
          <cell r="F294" t="str">
            <v>Mr. KUSHMEET SINGH SAWHNEY</v>
          </cell>
          <cell r="G294" t="str">
            <v>cwFLAP/00063/23-24</v>
          </cell>
          <cell r="H294" t="str">
            <v>On Application of OC</v>
          </cell>
          <cell r="I294">
            <v>0</v>
          </cell>
          <cell r="J294">
            <v>45289</v>
          </cell>
          <cell r="K294">
            <v>46144</v>
          </cell>
          <cell r="L294">
            <v>46164</v>
          </cell>
          <cell r="M294">
            <v>6789921</v>
          </cell>
          <cell r="N294">
            <v>814790</v>
          </cell>
          <cell r="O294">
            <v>7604711</v>
          </cell>
          <cell r="P294"/>
          <cell r="Q294"/>
          <cell r="R294"/>
          <cell r="S294"/>
          <cell r="T294">
            <v>0</v>
          </cell>
          <cell r="U294">
            <v>0</v>
          </cell>
          <cell r="V294">
            <v>33228</v>
          </cell>
          <cell r="W294">
            <v>7637939</v>
          </cell>
          <cell r="X294">
            <v>24967</v>
          </cell>
          <cell r="Y294">
            <v>0</v>
          </cell>
          <cell r="Z294">
            <v>0</v>
          </cell>
          <cell r="AA294">
            <v>24967</v>
          </cell>
          <cell r="AB294"/>
          <cell r="AC294"/>
          <cell r="AD294"/>
          <cell r="AE294"/>
          <cell r="AF294" t="str">
            <v>UnRegistered</v>
          </cell>
        </row>
        <row r="295">
          <cell r="B295" t="str">
            <v>R4 234</v>
          </cell>
          <cell r="C295" t="str">
            <v>R4</v>
          </cell>
          <cell r="D295" t="str">
            <v>M3M Capital Walk in M3M Capital Phase-2</v>
          </cell>
          <cell r="E295" t="str">
            <v>cwBOOKING/00167/22-23</v>
          </cell>
          <cell r="F295" t="str">
            <v>Ms. MINAKSHI KAPOOR</v>
          </cell>
          <cell r="G295" t="str">
            <v>cwFLAP/00216/22-23</v>
          </cell>
          <cell r="H295" t="str">
            <v>On Application of OC</v>
          </cell>
          <cell r="I295">
            <v>0</v>
          </cell>
          <cell r="J295">
            <v>45058</v>
          </cell>
          <cell r="K295">
            <v>46144</v>
          </cell>
          <cell r="L295">
            <v>46164</v>
          </cell>
          <cell r="M295">
            <v>3448040</v>
          </cell>
          <cell r="N295">
            <v>413764</v>
          </cell>
          <cell r="O295">
            <v>3861804</v>
          </cell>
          <cell r="P295">
            <v>419873.685</v>
          </cell>
          <cell r="Q295"/>
          <cell r="R295"/>
          <cell r="S295">
            <v>50384.842199999999</v>
          </cell>
          <cell r="T295">
            <v>470258.52720000001</v>
          </cell>
          <cell r="U295">
            <v>0</v>
          </cell>
          <cell r="V295">
            <v>0</v>
          </cell>
          <cell r="W295">
            <v>3391545.4728000001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 t="str">
            <v>Executed</v>
          </cell>
          <cell r="AC295" t="str">
            <v>Yes</v>
          </cell>
          <cell r="AD295">
            <v>9.1099975145316606E-2</v>
          </cell>
          <cell r="AE295" t="str">
            <v>Less than 35%</v>
          </cell>
          <cell r="AF295" t="str">
            <v>UnRegistered</v>
          </cell>
        </row>
        <row r="296">
          <cell r="B296" t="str">
            <v>R6 104</v>
          </cell>
          <cell r="C296" t="str">
            <v>R6</v>
          </cell>
          <cell r="D296" t="str">
            <v>M3M Capital Walk in M3M Capital Phase-2</v>
          </cell>
          <cell r="E296" t="str">
            <v>cwBOOKING/00167/23-24</v>
          </cell>
          <cell r="F296" t="str">
            <v>Mr. RAJ PAL</v>
          </cell>
          <cell r="G296" t="str">
            <v>cwFLAP/00049/23-24</v>
          </cell>
          <cell r="H296" t="str">
            <v>On Application of OC</v>
          </cell>
          <cell r="I296">
            <v>0</v>
          </cell>
          <cell r="J296">
            <v>45236</v>
          </cell>
          <cell r="K296">
            <v>46144</v>
          </cell>
          <cell r="L296">
            <v>46164</v>
          </cell>
          <cell r="M296">
            <v>9398927</v>
          </cell>
          <cell r="N296">
            <v>1127872</v>
          </cell>
          <cell r="O296">
            <v>10526799</v>
          </cell>
          <cell r="P296"/>
          <cell r="Q296"/>
          <cell r="R296"/>
          <cell r="S296"/>
          <cell r="T296">
            <v>0</v>
          </cell>
          <cell r="U296">
            <v>0</v>
          </cell>
          <cell r="V296">
            <v>12517.290000000037</v>
          </cell>
          <cell r="W296">
            <v>10539316.289999999</v>
          </cell>
          <cell r="X296">
            <v>5676</v>
          </cell>
          <cell r="Y296">
            <v>0</v>
          </cell>
          <cell r="Z296">
            <v>0</v>
          </cell>
          <cell r="AA296">
            <v>5676</v>
          </cell>
          <cell r="AB296"/>
          <cell r="AC296"/>
          <cell r="AD296"/>
          <cell r="AE296"/>
          <cell r="AF296" t="str">
            <v>UnRegistered</v>
          </cell>
        </row>
        <row r="297">
          <cell r="B297" t="str">
            <v>R4 141</v>
          </cell>
          <cell r="C297" t="str">
            <v>R4</v>
          </cell>
          <cell r="D297" t="str">
            <v>M3M Capital Walk in M3M Capital Phase-2</v>
          </cell>
          <cell r="E297" t="str">
            <v>cwBOOKING/00168/23-24</v>
          </cell>
          <cell r="F297" t="str">
            <v>Mr. SANJIT SINGH</v>
          </cell>
          <cell r="G297" t="str">
            <v>cwCWA/00001/23-24</v>
          </cell>
          <cell r="H297" t="str">
            <v>On Application of OC</v>
          </cell>
          <cell r="I297">
            <v>0</v>
          </cell>
          <cell r="J297">
            <v>45321</v>
          </cell>
          <cell r="K297">
            <v>46144</v>
          </cell>
          <cell r="L297">
            <v>46164</v>
          </cell>
          <cell r="M297">
            <v>4951904</v>
          </cell>
          <cell r="N297">
            <v>594228</v>
          </cell>
          <cell r="O297">
            <v>5546132</v>
          </cell>
          <cell r="P297"/>
          <cell r="Q297"/>
          <cell r="R297"/>
          <cell r="S297"/>
          <cell r="T297">
            <v>0</v>
          </cell>
          <cell r="U297">
            <v>101</v>
          </cell>
          <cell r="V297">
            <v>0</v>
          </cell>
          <cell r="W297">
            <v>5546031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/>
          <cell r="AC297"/>
          <cell r="AD297"/>
          <cell r="AE297"/>
          <cell r="AF297" t="str">
            <v>UnRegistered</v>
          </cell>
        </row>
        <row r="298">
          <cell r="B298" t="str">
            <v>R6 222</v>
          </cell>
          <cell r="C298" t="str">
            <v>R6</v>
          </cell>
          <cell r="D298" t="str">
            <v>M3M Capital Walk in M3M Capital Phase-2</v>
          </cell>
          <cell r="E298" t="str">
            <v>cwBOOKING/00169/22-23</v>
          </cell>
          <cell r="F298" t="str">
            <v>M/S. CDG BROADCAST PRIVATE LIMITED</v>
          </cell>
          <cell r="G298" t="str">
            <v>cwFLAP/00214/22-23</v>
          </cell>
          <cell r="H298" t="str">
            <v>On Application of OC</v>
          </cell>
          <cell r="I298">
            <v>0</v>
          </cell>
          <cell r="J298">
            <v>44966</v>
          </cell>
          <cell r="K298">
            <v>46144</v>
          </cell>
          <cell r="L298">
            <v>46164</v>
          </cell>
          <cell r="M298">
            <v>5450825</v>
          </cell>
          <cell r="N298">
            <v>654098</v>
          </cell>
          <cell r="O298">
            <v>6104923</v>
          </cell>
          <cell r="P298"/>
          <cell r="Q298"/>
          <cell r="R298"/>
          <cell r="S298"/>
          <cell r="T298">
            <v>0</v>
          </cell>
          <cell r="U298">
            <v>0</v>
          </cell>
          <cell r="V298">
            <v>0</v>
          </cell>
          <cell r="W298">
            <v>6104923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/>
          <cell r="AC298"/>
          <cell r="AD298"/>
          <cell r="AE298"/>
          <cell r="AF298" t="str">
            <v>07AACCC9217E1ZV</v>
          </cell>
        </row>
        <row r="299">
          <cell r="B299" t="str">
            <v>R6 221</v>
          </cell>
          <cell r="C299" t="str">
            <v>R6</v>
          </cell>
          <cell r="D299" t="str">
            <v>M3M Capital Walk in M3M Capital Phase-2</v>
          </cell>
          <cell r="E299" t="str">
            <v>cwBOOKING/00170/22-23</v>
          </cell>
          <cell r="F299" t="str">
            <v>M/S. CDG BROADCAST PRIVATE LIMITED</v>
          </cell>
          <cell r="G299" t="str">
            <v>cwFLAP/00230/22-23</v>
          </cell>
          <cell r="H299" t="str">
            <v>On Application of OC</v>
          </cell>
          <cell r="I299">
            <v>0</v>
          </cell>
          <cell r="J299">
            <v>44966</v>
          </cell>
          <cell r="K299">
            <v>46144</v>
          </cell>
          <cell r="L299">
            <v>46164</v>
          </cell>
          <cell r="M299">
            <v>6470857</v>
          </cell>
          <cell r="N299">
            <v>776502</v>
          </cell>
          <cell r="O299">
            <v>7247359</v>
          </cell>
          <cell r="P299"/>
          <cell r="Q299"/>
          <cell r="R299"/>
          <cell r="S299"/>
          <cell r="T299">
            <v>0</v>
          </cell>
          <cell r="U299">
            <v>0</v>
          </cell>
          <cell r="V299">
            <v>0</v>
          </cell>
          <cell r="W299">
            <v>7247359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/>
          <cell r="AC299"/>
          <cell r="AD299"/>
          <cell r="AE299"/>
          <cell r="AF299" t="str">
            <v>07AACCC9217E1ZV</v>
          </cell>
        </row>
        <row r="300">
          <cell r="B300" t="str">
            <v>R5 153</v>
          </cell>
          <cell r="C300" t="str">
            <v>R5</v>
          </cell>
          <cell r="D300" t="str">
            <v>M3M Capital Walk in M3M Capital Phase-2</v>
          </cell>
          <cell r="E300" t="str">
            <v>cwBOOKING/00171/22-23</v>
          </cell>
          <cell r="F300" t="str">
            <v>M/S. BLISS INFOSOFT PRIVATE LIMITED</v>
          </cell>
          <cell r="G300" t="str">
            <v>cwFLAP/00335/22-23</v>
          </cell>
          <cell r="H300" t="str">
            <v>On Application of OC</v>
          </cell>
          <cell r="I300">
            <v>0</v>
          </cell>
          <cell r="J300">
            <v>45335</v>
          </cell>
          <cell r="K300">
            <v>46144</v>
          </cell>
          <cell r="L300">
            <v>46164</v>
          </cell>
          <cell r="M300">
            <v>1594957</v>
          </cell>
          <cell r="N300">
            <v>191394</v>
          </cell>
          <cell r="O300">
            <v>1786351</v>
          </cell>
          <cell r="P300"/>
          <cell r="Q300"/>
          <cell r="R300"/>
          <cell r="S300"/>
          <cell r="T300">
            <v>0</v>
          </cell>
          <cell r="U300">
            <v>0</v>
          </cell>
          <cell r="V300">
            <v>0</v>
          </cell>
          <cell r="W300">
            <v>1786351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/>
          <cell r="AC300"/>
          <cell r="AD300"/>
          <cell r="AE300"/>
          <cell r="AF300" t="str">
            <v>07AAFCB0373D1Z4</v>
          </cell>
        </row>
        <row r="301">
          <cell r="B301" t="str">
            <v>R2 204</v>
          </cell>
          <cell r="C301" t="str">
            <v>R2</v>
          </cell>
          <cell r="D301" t="str">
            <v>M3M Capital Walk in M3M Capital Phase-2</v>
          </cell>
          <cell r="E301" t="str">
            <v>cwBOOKING/00171/23-24</v>
          </cell>
          <cell r="F301" t="str">
            <v>Mr. ASHISH SHARMA</v>
          </cell>
          <cell r="G301" t="str">
            <v>cwFLAP/01023/22-23</v>
          </cell>
          <cell r="H301" t="str">
            <v>On Application of OC</v>
          </cell>
          <cell r="I301">
            <v>0</v>
          </cell>
          <cell r="J301">
            <v>45307</v>
          </cell>
          <cell r="K301">
            <v>46144</v>
          </cell>
          <cell r="L301">
            <v>46164</v>
          </cell>
          <cell r="M301">
            <v>6045160</v>
          </cell>
          <cell r="N301">
            <v>725420</v>
          </cell>
          <cell r="O301">
            <v>6770580</v>
          </cell>
          <cell r="P301"/>
          <cell r="Q301"/>
          <cell r="R301"/>
          <cell r="S301"/>
          <cell r="T301">
            <v>0</v>
          </cell>
          <cell r="U301">
            <v>0</v>
          </cell>
          <cell r="V301">
            <v>10564</v>
          </cell>
          <cell r="W301">
            <v>6781144</v>
          </cell>
          <cell r="X301">
            <v>13409</v>
          </cell>
          <cell r="Y301">
            <v>0</v>
          </cell>
          <cell r="Z301">
            <v>0</v>
          </cell>
          <cell r="AA301">
            <v>13409</v>
          </cell>
          <cell r="AB301"/>
          <cell r="AC301"/>
          <cell r="AD301"/>
          <cell r="AE301"/>
          <cell r="AF301" t="str">
            <v>UnRegistered</v>
          </cell>
        </row>
        <row r="302">
          <cell r="B302" t="str">
            <v>R5 152</v>
          </cell>
          <cell r="C302" t="str">
            <v>R5</v>
          </cell>
          <cell r="D302" t="str">
            <v>M3M Capital Walk in M3M Capital Phase-2</v>
          </cell>
          <cell r="E302" t="str">
            <v>cwBOOKING/00172/22-23</v>
          </cell>
          <cell r="F302" t="str">
            <v>M/S. BLISS INFOSOFT PRIVATE LIMITED</v>
          </cell>
          <cell r="G302" t="str">
            <v>cwFLAP/00336/22-23</v>
          </cell>
          <cell r="H302" t="str">
            <v>On Application of OC</v>
          </cell>
          <cell r="I302">
            <v>0</v>
          </cell>
          <cell r="J302">
            <v>45335</v>
          </cell>
          <cell r="K302">
            <v>46144</v>
          </cell>
          <cell r="L302">
            <v>46164</v>
          </cell>
          <cell r="M302">
            <v>1594957</v>
          </cell>
          <cell r="N302">
            <v>191394</v>
          </cell>
          <cell r="O302">
            <v>1786351</v>
          </cell>
          <cell r="P302"/>
          <cell r="Q302"/>
          <cell r="R302"/>
          <cell r="S302"/>
          <cell r="T302">
            <v>0</v>
          </cell>
          <cell r="U302">
            <v>0</v>
          </cell>
          <cell r="V302">
            <v>0</v>
          </cell>
          <cell r="W302">
            <v>1786351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/>
          <cell r="AC302"/>
          <cell r="AD302"/>
          <cell r="AE302"/>
          <cell r="AF302" t="str">
            <v>07AAFCB0373D1Z4</v>
          </cell>
        </row>
        <row r="303">
          <cell r="B303" t="str">
            <v>R1 LG 15</v>
          </cell>
          <cell r="C303" t="str">
            <v>R1</v>
          </cell>
          <cell r="D303" t="str">
            <v>M3M Capital Walk in M3M Capital Phase-2</v>
          </cell>
          <cell r="E303" t="str">
            <v>cwBOOKING/00172/23-24</v>
          </cell>
          <cell r="F303" t="str">
            <v>M/S. Jasmin Infrasolutions Private Limited</v>
          </cell>
          <cell r="G303" t="str">
            <v>cwFLAP/01052/22-23</v>
          </cell>
          <cell r="H303" t="str">
            <v>On Application of OC</v>
          </cell>
          <cell r="I303">
            <v>0</v>
          </cell>
          <cell r="J303">
            <v>45187</v>
          </cell>
          <cell r="K303">
            <v>46144</v>
          </cell>
          <cell r="L303">
            <v>46164</v>
          </cell>
          <cell r="M303">
            <v>6417040</v>
          </cell>
          <cell r="N303">
            <v>770044</v>
          </cell>
          <cell r="O303">
            <v>7187084</v>
          </cell>
          <cell r="P303"/>
          <cell r="Q303"/>
          <cell r="R303"/>
          <cell r="S303"/>
          <cell r="T303">
            <v>0</v>
          </cell>
          <cell r="U303">
            <v>101614</v>
          </cell>
          <cell r="V303">
            <v>0</v>
          </cell>
          <cell r="W303">
            <v>7085470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/>
          <cell r="AC303"/>
          <cell r="AD303"/>
          <cell r="AE303"/>
          <cell r="AF303" t="str">
            <v>UnRegistered</v>
          </cell>
        </row>
        <row r="304">
          <cell r="B304" t="str">
            <v>R4 246</v>
          </cell>
          <cell r="C304" t="str">
            <v>R4</v>
          </cell>
          <cell r="D304" t="str">
            <v>M3M Capital Walk in M3M Capital Phase-2</v>
          </cell>
          <cell r="E304" t="str">
            <v>cwBOOKING/00173/22-23</v>
          </cell>
          <cell r="F304" t="str">
            <v>Mr. OM KAILASH</v>
          </cell>
          <cell r="G304" t="str">
            <v>cwFLAP/00072/22-23</v>
          </cell>
          <cell r="H304" t="str">
            <v>On Application of OC</v>
          </cell>
          <cell r="I304">
            <v>0</v>
          </cell>
          <cell r="J304">
            <v>45006</v>
          </cell>
          <cell r="K304">
            <v>46144</v>
          </cell>
          <cell r="L304">
            <v>46164</v>
          </cell>
          <cell r="M304">
            <v>2764020</v>
          </cell>
          <cell r="N304">
            <v>331682</v>
          </cell>
          <cell r="O304">
            <v>3095702</v>
          </cell>
          <cell r="P304">
            <v>582679.23456000001</v>
          </cell>
          <cell r="Q304"/>
          <cell r="R304"/>
          <cell r="S304">
            <v>69921.508147200002</v>
          </cell>
          <cell r="T304">
            <v>652600.7427072</v>
          </cell>
          <cell r="U304">
            <v>0</v>
          </cell>
          <cell r="V304">
            <v>0</v>
          </cell>
          <cell r="W304">
            <v>2443101.2572928001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 t="str">
            <v>Executed</v>
          </cell>
          <cell r="AC304" t="str">
            <v>Yes</v>
          </cell>
          <cell r="AD304">
            <v>0.12053569479850097</v>
          </cell>
          <cell r="AE304" t="str">
            <v>Less than 35%</v>
          </cell>
          <cell r="AF304" t="str">
            <v>UnRegistered</v>
          </cell>
        </row>
        <row r="305">
          <cell r="B305" t="str">
            <v>R3 LG 73</v>
          </cell>
          <cell r="C305" t="str">
            <v>R3</v>
          </cell>
          <cell r="D305" t="str">
            <v>M3M Capital Walk in M3M Capital Phase-2</v>
          </cell>
          <cell r="E305" t="str">
            <v>cwBOOKING/00174/23-24</v>
          </cell>
          <cell r="F305" t="str">
            <v>Mr. GAURAV DWIVEDI</v>
          </cell>
          <cell r="G305" t="str">
            <v>cwFLAP/00065/23-24</v>
          </cell>
          <cell r="H305" t="str">
            <v>On Application of OC</v>
          </cell>
          <cell r="I305">
            <v>0</v>
          </cell>
          <cell r="J305">
            <v>45155</v>
          </cell>
          <cell r="K305">
            <v>46144</v>
          </cell>
          <cell r="L305">
            <v>46164</v>
          </cell>
          <cell r="M305">
            <v>1361520</v>
          </cell>
          <cell r="N305">
            <v>163382</v>
          </cell>
          <cell r="O305">
            <v>1524902</v>
          </cell>
          <cell r="P305"/>
          <cell r="Q305"/>
          <cell r="R305"/>
          <cell r="S305"/>
          <cell r="T305">
            <v>0</v>
          </cell>
          <cell r="U305">
            <v>0</v>
          </cell>
          <cell r="V305">
            <v>0</v>
          </cell>
          <cell r="W305">
            <v>1524902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/>
          <cell r="AC305"/>
          <cell r="AD305"/>
          <cell r="AE305"/>
          <cell r="AF305" t="str">
            <v>UnRegistered</v>
          </cell>
        </row>
        <row r="306">
          <cell r="B306" t="str">
            <v>R2 UG 12</v>
          </cell>
          <cell r="C306" t="str">
            <v>R2</v>
          </cell>
          <cell r="D306" t="str">
            <v>M3M Capital Walk in M3M Capital Phase-2</v>
          </cell>
          <cell r="E306" t="str">
            <v>cwBOOKING/00175/22-23</v>
          </cell>
          <cell r="F306" t="str">
            <v>Mrs. KAMLESH SOBTI</v>
          </cell>
          <cell r="G306" t="str">
            <v>cwFLAP/00283/22-23</v>
          </cell>
          <cell r="H306" t="str">
            <v>On Application of OC</v>
          </cell>
          <cell r="I306">
            <v>0</v>
          </cell>
          <cell r="J306">
            <v>44980</v>
          </cell>
          <cell r="K306">
            <v>46144</v>
          </cell>
          <cell r="L306">
            <v>46164</v>
          </cell>
          <cell r="M306">
            <v>2869641</v>
          </cell>
          <cell r="N306">
            <v>344356</v>
          </cell>
          <cell r="O306">
            <v>3213997</v>
          </cell>
          <cell r="P306">
            <v>861354.40370000014</v>
          </cell>
          <cell r="Q306"/>
          <cell r="R306"/>
          <cell r="S306">
            <v>103362.52844400001</v>
          </cell>
          <cell r="T306">
            <v>964716.93214400019</v>
          </cell>
          <cell r="U306">
            <v>0</v>
          </cell>
          <cell r="V306">
            <v>0</v>
          </cell>
          <cell r="W306">
            <v>2249280.0678559998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 t="str">
            <v>Executed</v>
          </cell>
          <cell r="AC306" t="str">
            <v>Yes</v>
          </cell>
          <cell r="AD306">
            <v>0.13490863336387035</v>
          </cell>
          <cell r="AE306" t="str">
            <v>Less than 35%</v>
          </cell>
          <cell r="AF306" t="str">
            <v>UnRegistered</v>
          </cell>
        </row>
        <row r="307">
          <cell r="B307" t="str">
            <v>R3 UG 02</v>
          </cell>
          <cell r="C307" t="str">
            <v>R3</v>
          </cell>
          <cell r="D307" t="str">
            <v>M3M Capital Walk in M3M Capital Phase-2</v>
          </cell>
          <cell r="E307" t="str">
            <v>cwBOOKING/00175/23-24</v>
          </cell>
          <cell r="F307" t="str">
            <v>Mr. M P SHARMA</v>
          </cell>
          <cell r="G307" t="str">
            <v>cwFLAP/00974/22-23</v>
          </cell>
          <cell r="H307" t="str">
            <v>On Application of OC</v>
          </cell>
          <cell r="I307">
            <v>0</v>
          </cell>
          <cell r="J307">
            <v>45174</v>
          </cell>
          <cell r="K307">
            <v>46144</v>
          </cell>
          <cell r="L307">
            <v>46164</v>
          </cell>
          <cell r="M307">
            <v>6758112</v>
          </cell>
          <cell r="N307">
            <v>810974</v>
          </cell>
          <cell r="O307">
            <v>7569086</v>
          </cell>
          <cell r="P307"/>
          <cell r="Q307"/>
          <cell r="R307"/>
          <cell r="S307"/>
          <cell r="T307">
            <v>0</v>
          </cell>
          <cell r="U307">
            <v>8365.52</v>
          </cell>
          <cell r="V307">
            <v>0</v>
          </cell>
          <cell r="W307">
            <v>7560720.4800000004</v>
          </cell>
          <cell r="X307">
            <v>72441.84</v>
          </cell>
          <cell r="Y307">
            <v>0</v>
          </cell>
          <cell r="Z307">
            <v>72466.48</v>
          </cell>
          <cell r="AA307">
            <v>-24.64</v>
          </cell>
          <cell r="AB307"/>
          <cell r="AC307"/>
          <cell r="AD307"/>
          <cell r="AE307"/>
          <cell r="AF307" t="str">
            <v>UnRegistered</v>
          </cell>
        </row>
        <row r="308">
          <cell r="B308" t="str">
            <v>R6 125</v>
          </cell>
          <cell r="C308" t="str">
            <v>R6</v>
          </cell>
          <cell r="D308" t="str">
            <v>M3M Capital Walk in M3M Capital Phase-2</v>
          </cell>
          <cell r="E308" t="str">
            <v>cwBOOKING/00177/22-23</v>
          </cell>
          <cell r="F308" t="str">
            <v>Ms. KIRAN CHOUDHARY</v>
          </cell>
          <cell r="G308" t="str">
            <v>cwFLAP/00337/22-23</v>
          </cell>
          <cell r="H308" t="str">
            <v>On Application of OC</v>
          </cell>
          <cell r="I308">
            <v>0</v>
          </cell>
          <cell r="J308">
            <v>45267</v>
          </cell>
          <cell r="K308">
            <v>46144</v>
          </cell>
          <cell r="L308">
            <v>46164</v>
          </cell>
          <cell r="M308">
            <v>4736140</v>
          </cell>
          <cell r="N308">
            <v>568336</v>
          </cell>
          <cell r="O308">
            <v>5304476</v>
          </cell>
          <cell r="P308">
            <v>1117705.1322166668</v>
          </cell>
          <cell r="Q308"/>
          <cell r="R308"/>
          <cell r="S308">
            <v>134124.61586600001</v>
          </cell>
          <cell r="T308">
            <v>1251829.7480826669</v>
          </cell>
          <cell r="U308">
            <v>0</v>
          </cell>
          <cell r="V308">
            <v>0</v>
          </cell>
          <cell r="W308">
            <v>4052646.2519173333</v>
          </cell>
          <cell r="X308">
            <v>12550.36</v>
          </cell>
          <cell r="Y308">
            <v>0</v>
          </cell>
          <cell r="Z308">
            <v>0</v>
          </cell>
          <cell r="AA308">
            <v>12550.36</v>
          </cell>
          <cell r="AB308" t="str">
            <v>Not Executed</v>
          </cell>
          <cell r="AC308" t="str">
            <v>No, due to CL not executed but interest is less than 75000</v>
          </cell>
          <cell r="AD308">
            <v>0.13901538051059864</v>
          </cell>
          <cell r="AE308" t="str">
            <v>Less than 35%</v>
          </cell>
          <cell r="AF308" t="str">
            <v>UnRegistered</v>
          </cell>
        </row>
        <row r="309">
          <cell r="B309" t="str">
            <v>R4 210</v>
          </cell>
          <cell r="C309" t="str">
            <v>R4</v>
          </cell>
          <cell r="D309" t="str">
            <v>M3M Capital Walk in M3M Capital Phase-2</v>
          </cell>
          <cell r="E309" t="str">
            <v>cwBOOKING/00178/22-23</v>
          </cell>
          <cell r="F309" t="str">
            <v>Mr. ABHINAV GUPTA</v>
          </cell>
          <cell r="G309" t="str">
            <v>cwFLAP/00154/22-23</v>
          </cell>
          <cell r="H309" t="str">
            <v>On Application of OC</v>
          </cell>
          <cell r="I309">
            <v>0</v>
          </cell>
          <cell r="J309">
            <v>44965</v>
          </cell>
          <cell r="K309">
            <v>46144</v>
          </cell>
          <cell r="L309">
            <v>46164</v>
          </cell>
          <cell r="M309">
            <v>3897493</v>
          </cell>
          <cell r="N309">
            <v>467700</v>
          </cell>
          <cell r="O309">
            <v>4365193</v>
          </cell>
          <cell r="P309"/>
          <cell r="Q309"/>
          <cell r="R309"/>
          <cell r="S309"/>
          <cell r="T309">
            <v>0</v>
          </cell>
          <cell r="U309">
            <v>0</v>
          </cell>
          <cell r="V309">
            <v>205.43999999994412</v>
          </cell>
          <cell r="W309">
            <v>4365398.4399999995</v>
          </cell>
          <cell r="X309">
            <v>194.76</v>
          </cell>
          <cell r="Y309">
            <v>0</v>
          </cell>
          <cell r="Z309">
            <v>0</v>
          </cell>
          <cell r="AA309">
            <v>194.76</v>
          </cell>
          <cell r="AB309"/>
          <cell r="AC309"/>
          <cell r="AD309"/>
          <cell r="AE309"/>
          <cell r="AF309" t="str">
            <v>UnRegistered</v>
          </cell>
        </row>
        <row r="310">
          <cell r="B310" t="str">
            <v>R5 K 218</v>
          </cell>
          <cell r="C310" t="str">
            <v>R5</v>
          </cell>
          <cell r="D310" t="str">
            <v>M3M Capital Walk in M3M Capital Phase-2</v>
          </cell>
          <cell r="E310" t="str">
            <v>cwBOOKING/00179/22-23</v>
          </cell>
          <cell r="F310" t="str">
            <v>Ms. ARUNA YADAV</v>
          </cell>
          <cell r="G310" t="str">
            <v>cwFLAP/00212/22-23</v>
          </cell>
          <cell r="H310" t="str">
            <v>On Application of OC</v>
          </cell>
          <cell r="I310">
            <v>0</v>
          </cell>
          <cell r="J310">
            <v>45358</v>
          </cell>
          <cell r="K310">
            <v>46144</v>
          </cell>
          <cell r="L310">
            <v>46164</v>
          </cell>
          <cell r="M310">
            <v>5013557</v>
          </cell>
          <cell r="N310">
            <v>601626</v>
          </cell>
          <cell r="O310">
            <v>5615183</v>
          </cell>
          <cell r="P310">
            <v>1537311.9125000003</v>
          </cell>
          <cell r="Q310"/>
          <cell r="R310"/>
          <cell r="S310">
            <v>184477.42950000003</v>
          </cell>
          <cell r="T310">
            <v>1721789.3420000004</v>
          </cell>
          <cell r="U310">
            <v>0</v>
          </cell>
          <cell r="V310">
            <v>0</v>
          </cell>
          <cell r="W310">
            <v>3893393.6579999998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 t="str">
            <v>Executed</v>
          </cell>
          <cell r="AC310" t="str">
            <v>Yes</v>
          </cell>
          <cell r="AD310">
            <v>0.17500818654699335</v>
          </cell>
          <cell r="AE310" t="str">
            <v>Less than 35%</v>
          </cell>
          <cell r="AF310" t="str">
            <v>UnRegistered</v>
          </cell>
        </row>
        <row r="311">
          <cell r="B311" t="str">
            <v>R5 LG 42</v>
          </cell>
          <cell r="C311" t="str">
            <v>R5</v>
          </cell>
          <cell r="D311" t="str">
            <v>M3M Capital Walk in M3M Capital Phase-2</v>
          </cell>
          <cell r="E311" t="str">
            <v>cwBOOKING/00180/22-23</v>
          </cell>
          <cell r="F311" t="str">
            <v>Ms. CHARU DAGAR</v>
          </cell>
          <cell r="G311" t="str">
            <v>cwFLAP/00346/22-23</v>
          </cell>
          <cell r="H311" t="str">
            <v>On Application of OC</v>
          </cell>
          <cell r="I311">
            <v>0</v>
          </cell>
          <cell r="J311">
            <v>45021</v>
          </cell>
          <cell r="K311">
            <v>46144</v>
          </cell>
          <cell r="L311">
            <v>46164</v>
          </cell>
          <cell r="M311">
            <v>2853194</v>
          </cell>
          <cell r="N311">
            <v>342384</v>
          </cell>
          <cell r="O311">
            <v>3195578</v>
          </cell>
          <cell r="P311">
            <v>593474.149125</v>
          </cell>
          <cell r="Q311"/>
          <cell r="R311"/>
          <cell r="S311">
            <v>71216.897895000002</v>
          </cell>
          <cell r="T311">
            <v>664691.04701999994</v>
          </cell>
          <cell r="U311">
            <v>0</v>
          </cell>
          <cell r="V311">
            <v>0</v>
          </cell>
          <cell r="W311">
            <v>2530886.9529800001</v>
          </cell>
          <cell r="X311">
            <v>8900</v>
          </cell>
          <cell r="Y311">
            <v>0</v>
          </cell>
          <cell r="Z311">
            <v>0</v>
          </cell>
          <cell r="AA311">
            <v>8900</v>
          </cell>
          <cell r="AB311" t="str">
            <v>Executed</v>
          </cell>
          <cell r="AC311" t="str">
            <v>Yes</v>
          </cell>
          <cell r="AD311">
            <v>0.12809617402582385</v>
          </cell>
          <cell r="AE311" t="str">
            <v>Less than 35%</v>
          </cell>
          <cell r="AF311" t="str">
            <v>UnRegistered</v>
          </cell>
        </row>
        <row r="312">
          <cell r="B312" t="str">
            <v>R4 119</v>
          </cell>
          <cell r="C312" t="str">
            <v>R4</v>
          </cell>
          <cell r="D312" t="str">
            <v>M3M Capital Walk in M3M Capital Phase-2</v>
          </cell>
          <cell r="E312" t="str">
            <v>cwBOOKING/00181/22-23</v>
          </cell>
          <cell r="F312" t="str">
            <v>Mr. DARSHAN LAL GAURI</v>
          </cell>
          <cell r="G312" t="str">
            <v>cwFLAP/00327/22-23</v>
          </cell>
          <cell r="H312" t="str">
            <v>On Application of OC</v>
          </cell>
          <cell r="I312">
            <v>0</v>
          </cell>
          <cell r="J312">
            <v>44937</v>
          </cell>
          <cell r="K312">
            <v>46144</v>
          </cell>
          <cell r="L312">
            <v>46164</v>
          </cell>
          <cell r="M312">
            <v>871886</v>
          </cell>
          <cell r="N312">
            <v>104626</v>
          </cell>
          <cell r="O312">
            <v>976512</v>
          </cell>
          <cell r="P312"/>
          <cell r="Q312"/>
          <cell r="R312"/>
          <cell r="S312"/>
          <cell r="T312">
            <v>0</v>
          </cell>
          <cell r="U312">
            <v>0</v>
          </cell>
          <cell r="V312">
            <v>1.0899999998509884</v>
          </cell>
          <cell r="W312">
            <v>976513.08999999985</v>
          </cell>
          <cell r="X312">
            <v>175.04</v>
          </cell>
          <cell r="Y312">
            <v>0</v>
          </cell>
          <cell r="Z312">
            <v>0</v>
          </cell>
          <cell r="AA312">
            <v>175.04</v>
          </cell>
          <cell r="AB312"/>
          <cell r="AC312"/>
          <cell r="AD312"/>
          <cell r="AE312"/>
          <cell r="AF312" t="str">
            <v>UnRegistered</v>
          </cell>
        </row>
        <row r="313">
          <cell r="B313" t="str">
            <v>R1 LG 19</v>
          </cell>
          <cell r="C313" t="str">
            <v>R1</v>
          </cell>
          <cell r="D313" t="str">
            <v>M3M Capital Walk in M3M Capital Phase-2</v>
          </cell>
          <cell r="E313" t="str">
            <v>cwBOOKING/00182/23-24</v>
          </cell>
          <cell r="F313" t="str">
            <v>Mr. SHYAM SUNDER SHARMA</v>
          </cell>
          <cell r="G313" t="str">
            <v>cwFLAP/01036/22-23</v>
          </cell>
          <cell r="H313" t="str">
            <v>On Application of OC</v>
          </cell>
          <cell r="I313">
            <v>0</v>
          </cell>
          <cell r="J313">
            <v>45253</v>
          </cell>
          <cell r="K313">
            <v>46144</v>
          </cell>
          <cell r="L313">
            <v>46164</v>
          </cell>
          <cell r="M313">
            <v>11022336</v>
          </cell>
          <cell r="N313">
            <v>1322680</v>
          </cell>
          <cell r="O313">
            <v>12345016</v>
          </cell>
          <cell r="P313"/>
          <cell r="Q313"/>
          <cell r="R313"/>
          <cell r="S313"/>
          <cell r="T313">
            <v>0</v>
          </cell>
          <cell r="U313">
            <v>0</v>
          </cell>
          <cell r="V313">
            <v>1</v>
          </cell>
          <cell r="W313">
            <v>12345017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/>
          <cell r="AC313"/>
          <cell r="AD313"/>
          <cell r="AE313"/>
          <cell r="AF313" t="str">
            <v>UnRegistered</v>
          </cell>
        </row>
        <row r="314">
          <cell r="B314" t="str">
            <v>R6 LG 09</v>
          </cell>
          <cell r="C314" t="str">
            <v>R6</v>
          </cell>
          <cell r="D314" t="str">
            <v>M3M Capital Walk in M3M Capital Phase-2</v>
          </cell>
          <cell r="E314" t="str">
            <v>cwBOOKING/00183/22-23</v>
          </cell>
          <cell r="F314" t="str">
            <v>Mr. AYUSH AGGARWAL</v>
          </cell>
          <cell r="G314" t="str">
            <v>cwFLAP/00348/22-23</v>
          </cell>
          <cell r="H314" t="str">
            <v>On Application of OC</v>
          </cell>
          <cell r="I314">
            <v>0</v>
          </cell>
          <cell r="J314">
            <v>45328</v>
          </cell>
          <cell r="K314">
            <v>46144</v>
          </cell>
          <cell r="L314">
            <v>46164</v>
          </cell>
          <cell r="M314">
            <v>10356996</v>
          </cell>
          <cell r="N314">
            <v>1242840</v>
          </cell>
          <cell r="O314">
            <v>11599836</v>
          </cell>
          <cell r="P314"/>
          <cell r="Q314"/>
          <cell r="R314"/>
          <cell r="S314">
            <v>0</v>
          </cell>
          <cell r="T314">
            <v>0</v>
          </cell>
          <cell r="U314">
            <v>100000</v>
          </cell>
          <cell r="V314">
            <v>0</v>
          </cell>
          <cell r="W314">
            <v>11499836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/>
          <cell r="AC314"/>
          <cell r="AD314">
            <v>0</v>
          </cell>
          <cell r="AE314" t="str">
            <v>Less than 35%</v>
          </cell>
          <cell r="AF314" t="str">
            <v>UnRegistered</v>
          </cell>
        </row>
        <row r="315">
          <cell r="B315" t="str">
            <v>R2 201</v>
          </cell>
          <cell r="C315" t="str">
            <v>R2</v>
          </cell>
          <cell r="D315" t="str">
            <v>M3M Capital Walk in M3M Capital Phase-2</v>
          </cell>
          <cell r="E315" t="str">
            <v>cwBOOKING/00183/23-24</v>
          </cell>
          <cell r="F315" t="str">
            <v>Ms. KAMLESH PHALSWAL</v>
          </cell>
          <cell r="G315" t="str">
            <v>cwFLAP/00014/23-24</v>
          </cell>
          <cell r="H315" t="str">
            <v>On Application of OC</v>
          </cell>
          <cell r="I315">
            <v>0</v>
          </cell>
          <cell r="J315">
            <v>45289</v>
          </cell>
          <cell r="K315">
            <v>46144</v>
          </cell>
          <cell r="L315">
            <v>46164</v>
          </cell>
          <cell r="M315">
            <v>8938666</v>
          </cell>
          <cell r="N315">
            <v>1072640</v>
          </cell>
          <cell r="O315">
            <v>10011306</v>
          </cell>
          <cell r="P315">
            <v>564329.92223999987</v>
          </cell>
          <cell r="Q315"/>
          <cell r="R315"/>
          <cell r="S315">
            <v>67719.590668799981</v>
          </cell>
          <cell r="T315">
            <v>632049.51290879981</v>
          </cell>
          <cell r="U315">
            <v>0</v>
          </cell>
          <cell r="V315">
            <v>0</v>
          </cell>
          <cell r="W315">
            <v>9379256.4870912004</v>
          </cell>
          <cell r="X315">
            <v>11913.96</v>
          </cell>
          <cell r="Y315">
            <v>0</v>
          </cell>
          <cell r="Z315">
            <v>11913</v>
          </cell>
          <cell r="AA315">
            <v>0.96</v>
          </cell>
          <cell r="AB315" t="str">
            <v>Executed</v>
          </cell>
          <cell r="AC315" t="str">
            <v>Yes due to interest less than 75000</v>
          </cell>
          <cell r="AD315">
            <v>4.2440419890132225E-2</v>
          </cell>
          <cell r="AE315" t="str">
            <v>Less than 35%</v>
          </cell>
          <cell r="AF315" t="str">
            <v>UnRegistered</v>
          </cell>
        </row>
        <row r="316">
          <cell r="B316" t="str">
            <v>R6 LG 08</v>
          </cell>
          <cell r="C316" t="str">
            <v>R6</v>
          </cell>
          <cell r="D316" t="str">
            <v>M3M Capital Walk in M3M Capital Phase-2</v>
          </cell>
          <cell r="E316" t="str">
            <v>cwBOOKING/00184/22-23</v>
          </cell>
          <cell r="F316" t="str">
            <v>Ms. ANITA AGGARWAL</v>
          </cell>
          <cell r="G316" t="str">
            <v>cwFLAP/00349/22-23</v>
          </cell>
          <cell r="H316" t="str">
            <v>On Application of OC</v>
          </cell>
          <cell r="I316">
            <v>0</v>
          </cell>
          <cell r="J316">
            <v>45328</v>
          </cell>
          <cell r="K316">
            <v>46144</v>
          </cell>
          <cell r="L316">
            <v>46164</v>
          </cell>
          <cell r="M316">
            <v>10356996</v>
          </cell>
          <cell r="N316">
            <v>1242840</v>
          </cell>
          <cell r="O316">
            <v>11599836</v>
          </cell>
          <cell r="P316"/>
          <cell r="Q316"/>
          <cell r="R316"/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11599836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/>
          <cell r="AC316"/>
          <cell r="AD316">
            <v>0</v>
          </cell>
          <cell r="AE316" t="str">
            <v>Less than 35%</v>
          </cell>
          <cell r="AF316" t="str">
            <v>UnRegistered</v>
          </cell>
        </row>
        <row r="317">
          <cell r="B317" t="str">
            <v>R6 UG 07</v>
          </cell>
          <cell r="C317" t="str">
            <v>R6</v>
          </cell>
          <cell r="D317" t="str">
            <v>M3M Capital Walk in M3M Capital Phase-2</v>
          </cell>
          <cell r="E317" t="str">
            <v>cwBOOKING/00186/22-23</v>
          </cell>
          <cell r="F317" t="str">
            <v>Mr. ANKIT KUMAR</v>
          </cell>
          <cell r="G317" t="str">
            <v>cwFLAP/00350/22-23</v>
          </cell>
          <cell r="H317" t="str">
            <v>On Application of OC</v>
          </cell>
          <cell r="I317">
            <v>0</v>
          </cell>
          <cell r="J317">
            <v>44929</v>
          </cell>
          <cell r="K317">
            <v>46144</v>
          </cell>
          <cell r="L317">
            <v>46164</v>
          </cell>
          <cell r="M317">
            <v>7469396</v>
          </cell>
          <cell r="N317">
            <v>896328</v>
          </cell>
          <cell r="O317">
            <v>8365724</v>
          </cell>
          <cell r="P317"/>
          <cell r="Q317"/>
          <cell r="R317"/>
          <cell r="S317">
            <v>0</v>
          </cell>
          <cell r="T317">
            <v>0</v>
          </cell>
          <cell r="U317">
            <v>150</v>
          </cell>
          <cell r="V317">
            <v>0</v>
          </cell>
          <cell r="W317">
            <v>8365574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/>
          <cell r="AC317"/>
          <cell r="AD317">
            <v>0</v>
          </cell>
          <cell r="AE317" t="str">
            <v>Less than 35%</v>
          </cell>
          <cell r="AF317" t="str">
            <v>UnRegistered</v>
          </cell>
        </row>
        <row r="318">
          <cell r="B318" t="str">
            <v>R6 230</v>
          </cell>
          <cell r="C318" t="str">
            <v>R6</v>
          </cell>
          <cell r="D318" t="str">
            <v>M3M Capital Walk in M3M Capital Phase-2</v>
          </cell>
          <cell r="E318" t="str">
            <v>cwBOOKING/00186/23-24</v>
          </cell>
          <cell r="F318" t="str">
            <v>Ms. KIRAN KOUSHAL</v>
          </cell>
          <cell r="G318" t="str">
            <v>cwFLAP/01051/22-23</v>
          </cell>
          <cell r="H318" t="str">
            <v>On Application of OC</v>
          </cell>
          <cell r="I318">
            <v>0</v>
          </cell>
          <cell r="J318">
            <v>45163</v>
          </cell>
          <cell r="K318">
            <v>46144</v>
          </cell>
          <cell r="L318">
            <v>46164</v>
          </cell>
          <cell r="M318">
            <v>3042182</v>
          </cell>
          <cell r="N318">
            <v>365062</v>
          </cell>
          <cell r="O318">
            <v>3407244</v>
          </cell>
          <cell r="P318"/>
          <cell r="Q318"/>
          <cell r="R318"/>
          <cell r="S318"/>
          <cell r="T318">
            <v>0</v>
          </cell>
          <cell r="U318">
            <v>0</v>
          </cell>
          <cell r="V318">
            <v>0</v>
          </cell>
          <cell r="W318">
            <v>3407244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/>
          <cell r="AC318"/>
          <cell r="AD318"/>
          <cell r="AE318"/>
          <cell r="AF318" t="str">
            <v>UnRegistered</v>
          </cell>
        </row>
        <row r="319">
          <cell r="B319" t="str">
            <v>R5 163</v>
          </cell>
          <cell r="C319" t="str">
            <v>R5</v>
          </cell>
          <cell r="D319" t="str">
            <v>M3M Capital Walk in M3M Capital Phase-2</v>
          </cell>
          <cell r="E319" t="str">
            <v>cwBOOKING/00187/22-23</v>
          </cell>
          <cell r="F319" t="str">
            <v>Ms. SEENA DEVI</v>
          </cell>
          <cell r="G319" t="str">
            <v>cwFLAP/00289/22-23</v>
          </cell>
          <cell r="H319" t="str">
            <v>On Application of OC</v>
          </cell>
          <cell r="I319">
            <v>0</v>
          </cell>
          <cell r="J319">
            <v>45037</v>
          </cell>
          <cell r="K319">
            <v>46144</v>
          </cell>
          <cell r="L319">
            <v>46164</v>
          </cell>
          <cell r="M319">
            <v>2490214</v>
          </cell>
          <cell r="N319">
            <v>298826</v>
          </cell>
          <cell r="O319">
            <v>2789040</v>
          </cell>
          <cell r="P319">
            <v>777610.74699999997</v>
          </cell>
          <cell r="Q319"/>
          <cell r="R319"/>
          <cell r="S319">
            <v>93313.289639999988</v>
          </cell>
          <cell r="T319">
            <v>870924.03663999995</v>
          </cell>
          <cell r="U319">
            <v>17</v>
          </cell>
          <cell r="V319">
            <v>0</v>
          </cell>
          <cell r="W319">
            <v>1918098.9633599999</v>
          </cell>
          <cell r="X319">
            <v>915</v>
          </cell>
          <cell r="Y319">
            <v>0</v>
          </cell>
          <cell r="Z319">
            <v>0</v>
          </cell>
          <cell r="AA319">
            <v>915</v>
          </cell>
          <cell r="AB319" t="str">
            <v>Executed</v>
          </cell>
          <cell r="AC319" t="str">
            <v>Yes</v>
          </cell>
          <cell r="AD319">
            <v>0.15613324376371662</v>
          </cell>
          <cell r="AE319" t="str">
            <v>Less than 35%</v>
          </cell>
          <cell r="AF319" t="str">
            <v>UnRegistered</v>
          </cell>
        </row>
        <row r="320">
          <cell r="B320" t="str">
            <v>R5 G 03</v>
          </cell>
          <cell r="C320" t="str">
            <v>R5</v>
          </cell>
          <cell r="D320" t="str">
            <v>M3M Capital Walk in M3M Capital Phase-2</v>
          </cell>
          <cell r="E320" t="str">
            <v>cwBOOKING/00187/23-24</v>
          </cell>
          <cell r="F320" t="str">
            <v>M/S. TRIUMPH EDUDEVELOPERS PRIVATE LIMITED</v>
          </cell>
          <cell r="G320" t="str">
            <v>cwFLAP/00070/23-24</v>
          </cell>
          <cell r="H320" t="str">
            <v>On Application of OC</v>
          </cell>
          <cell r="I320">
            <v>0</v>
          </cell>
          <cell r="J320">
            <v>45155</v>
          </cell>
          <cell r="K320">
            <v>46144</v>
          </cell>
          <cell r="L320">
            <v>46164</v>
          </cell>
          <cell r="M320">
            <v>29759143</v>
          </cell>
          <cell r="N320">
            <v>3571098</v>
          </cell>
          <cell r="O320">
            <v>33330241</v>
          </cell>
          <cell r="P320"/>
          <cell r="Q320"/>
          <cell r="R320"/>
          <cell r="S320"/>
          <cell r="T320">
            <v>0</v>
          </cell>
          <cell r="U320">
            <v>0</v>
          </cell>
          <cell r="V320">
            <v>0</v>
          </cell>
          <cell r="W320">
            <v>33330241</v>
          </cell>
          <cell r="X320">
            <v>196733</v>
          </cell>
          <cell r="Y320">
            <v>0</v>
          </cell>
          <cell r="Z320">
            <v>0</v>
          </cell>
          <cell r="AA320">
            <v>196733</v>
          </cell>
          <cell r="AB320" t="str">
            <v>Not Executed</v>
          </cell>
          <cell r="AC320" t="str">
            <v>Recovery Case</v>
          </cell>
          <cell r="AD320">
            <v>-3.8855836657763342E-2</v>
          </cell>
          <cell r="AE320" t="str">
            <v>Recovery Case</v>
          </cell>
          <cell r="AF320" t="str">
            <v>UnRegistered</v>
          </cell>
        </row>
        <row r="321">
          <cell r="B321" t="str">
            <v>R4 150</v>
          </cell>
          <cell r="C321" t="str">
            <v>R4</v>
          </cell>
          <cell r="D321" t="str">
            <v>M3M Capital Walk in M3M Capital Phase-2</v>
          </cell>
          <cell r="E321" t="str">
            <v>cwBOOKING/00188/23-24</v>
          </cell>
          <cell r="F321" t="str">
            <v>Mr. ANAND KUMAR</v>
          </cell>
          <cell r="G321" t="str">
            <v>cwFLAP/00057/23-24</v>
          </cell>
          <cell r="H321" t="str">
            <v>On Application of OC</v>
          </cell>
          <cell r="I321">
            <v>0</v>
          </cell>
          <cell r="J321">
            <v>45174</v>
          </cell>
          <cell r="K321">
            <v>46144</v>
          </cell>
          <cell r="L321">
            <v>46164</v>
          </cell>
          <cell r="M321">
            <v>4768166</v>
          </cell>
          <cell r="N321">
            <v>572180</v>
          </cell>
          <cell r="O321">
            <v>5340346</v>
          </cell>
          <cell r="P321"/>
          <cell r="Q321"/>
          <cell r="R321"/>
          <cell r="S321"/>
          <cell r="T321">
            <v>0</v>
          </cell>
          <cell r="U321">
            <v>104</v>
          </cell>
          <cell r="V321">
            <v>0</v>
          </cell>
          <cell r="W321">
            <v>5340242</v>
          </cell>
          <cell r="X321">
            <v>2746</v>
          </cell>
          <cell r="Y321">
            <v>0</v>
          </cell>
          <cell r="Z321">
            <v>2747</v>
          </cell>
          <cell r="AA321">
            <v>-1</v>
          </cell>
          <cell r="AB321"/>
          <cell r="AC321"/>
          <cell r="AD321"/>
          <cell r="AE321"/>
          <cell r="AF321" t="str">
            <v>UnRegistered</v>
          </cell>
        </row>
        <row r="322">
          <cell r="B322" t="str">
            <v>R5 210</v>
          </cell>
          <cell r="C322" t="str">
            <v>R5</v>
          </cell>
          <cell r="D322" t="str">
            <v>M3M Capital Walk in M3M Capital Phase-2</v>
          </cell>
          <cell r="E322" t="str">
            <v>cwBOOKING/00189/22-23</v>
          </cell>
          <cell r="F322" t="str">
            <v>Mr. SANKRANT SANU</v>
          </cell>
          <cell r="G322" t="str">
            <v>cwFLAP/00022/22-23</v>
          </cell>
          <cell r="H322" t="str">
            <v>On Application of OC</v>
          </cell>
          <cell r="I322">
            <v>0</v>
          </cell>
          <cell r="J322">
            <v>45250</v>
          </cell>
          <cell r="K322">
            <v>46144</v>
          </cell>
          <cell r="L322">
            <v>46164</v>
          </cell>
          <cell r="M322">
            <v>3773220</v>
          </cell>
          <cell r="N322">
            <v>452786</v>
          </cell>
          <cell r="O322">
            <v>4226006</v>
          </cell>
          <cell r="P322"/>
          <cell r="Q322"/>
          <cell r="R322"/>
          <cell r="S322"/>
          <cell r="T322">
            <v>0</v>
          </cell>
          <cell r="U322">
            <v>0</v>
          </cell>
          <cell r="V322">
            <v>1</v>
          </cell>
          <cell r="W322">
            <v>4226007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/>
          <cell r="AC322"/>
          <cell r="AD322"/>
          <cell r="AE322"/>
          <cell r="AF322" t="str">
            <v>UnRegistered</v>
          </cell>
        </row>
        <row r="323">
          <cell r="B323" t="str">
            <v>R5 UG 20</v>
          </cell>
          <cell r="C323" t="str">
            <v>R5</v>
          </cell>
          <cell r="D323" t="str">
            <v>M3M Capital Walk in M3M Capital Phase-2</v>
          </cell>
          <cell r="E323" t="str">
            <v>cwBOOKING/00189/23-24</v>
          </cell>
          <cell r="F323" t="str">
            <v>Mr. VIMAL KUMAR VERMA</v>
          </cell>
          <cell r="G323" t="str">
            <v>cwFLAP/00033/23-24</v>
          </cell>
          <cell r="H323" t="str">
            <v>On Application of OC</v>
          </cell>
          <cell r="I323">
            <v>0</v>
          </cell>
          <cell r="J323">
            <v>45281</v>
          </cell>
          <cell r="K323">
            <v>46144</v>
          </cell>
          <cell r="L323">
            <v>46164</v>
          </cell>
          <cell r="M323">
            <v>3394248</v>
          </cell>
          <cell r="N323">
            <v>407310</v>
          </cell>
          <cell r="O323">
            <v>3801558</v>
          </cell>
          <cell r="P323"/>
          <cell r="Q323"/>
          <cell r="R323"/>
          <cell r="S323"/>
          <cell r="T323">
            <v>0</v>
          </cell>
          <cell r="U323">
            <v>0</v>
          </cell>
          <cell r="V323">
            <v>0</v>
          </cell>
          <cell r="W323">
            <v>3801558</v>
          </cell>
          <cell r="X323">
            <v>7608</v>
          </cell>
          <cell r="Y323">
            <v>0</v>
          </cell>
          <cell r="Z323">
            <v>0</v>
          </cell>
          <cell r="AA323">
            <v>7608</v>
          </cell>
          <cell r="AB323"/>
          <cell r="AC323"/>
          <cell r="AD323"/>
          <cell r="AE323"/>
          <cell r="AF323" t="str">
            <v>UnRegistered</v>
          </cell>
        </row>
        <row r="324">
          <cell r="B324" t="str">
            <v>R1 LG 17</v>
          </cell>
          <cell r="C324" t="str">
            <v>R1</v>
          </cell>
          <cell r="D324" t="str">
            <v>M3M Capital Walk in M3M Capital Phase-2</v>
          </cell>
          <cell r="E324" t="str">
            <v>cwBOOKING/00190/23-24</v>
          </cell>
          <cell r="F324" t="str">
            <v>Ms. MEENAKSHI TOMAR</v>
          </cell>
          <cell r="G324" t="str">
            <v>cwFLAP/00071/23-24</v>
          </cell>
          <cell r="H324" t="str">
            <v>On Application of OC</v>
          </cell>
          <cell r="I324">
            <v>0</v>
          </cell>
          <cell r="J324">
            <v>45253</v>
          </cell>
          <cell r="K324">
            <v>46144</v>
          </cell>
          <cell r="L324">
            <v>46164</v>
          </cell>
          <cell r="M324">
            <v>9954548</v>
          </cell>
          <cell r="N324">
            <v>1194546</v>
          </cell>
          <cell r="O324">
            <v>11149094</v>
          </cell>
          <cell r="P324"/>
          <cell r="Q324"/>
          <cell r="R324"/>
          <cell r="S324"/>
          <cell r="T324">
            <v>0</v>
          </cell>
          <cell r="U324">
            <v>0.89</v>
          </cell>
          <cell r="V324">
            <v>0</v>
          </cell>
          <cell r="W324">
            <v>11149093.109999999</v>
          </cell>
          <cell r="X324">
            <v>84210</v>
          </cell>
          <cell r="Y324">
            <v>0</v>
          </cell>
          <cell r="Z324">
            <v>76159</v>
          </cell>
          <cell r="AA324">
            <v>8051</v>
          </cell>
          <cell r="AB324"/>
          <cell r="AC324"/>
          <cell r="AD324"/>
          <cell r="AE324"/>
          <cell r="AF324" t="str">
            <v>UnRegistered</v>
          </cell>
        </row>
        <row r="325">
          <cell r="B325" t="str">
            <v>R4 203</v>
          </cell>
          <cell r="C325" t="str">
            <v>R4</v>
          </cell>
          <cell r="D325" t="str">
            <v>M3M Capital Walk in M3M Capital Phase-2</v>
          </cell>
          <cell r="E325" t="str">
            <v>cwBOOKING/00191/22-23</v>
          </cell>
          <cell r="F325" t="str">
            <v>Mr. ANKUR KUMAR SINGH</v>
          </cell>
          <cell r="G325" t="str">
            <v>cwFLAP/00017/22-23</v>
          </cell>
          <cell r="H325" t="str">
            <v>On Application of OC</v>
          </cell>
          <cell r="I325">
            <v>0</v>
          </cell>
          <cell r="J325">
            <v>45357</v>
          </cell>
          <cell r="K325">
            <v>46144</v>
          </cell>
          <cell r="L325">
            <v>46164</v>
          </cell>
          <cell r="M325">
            <v>5331880</v>
          </cell>
          <cell r="N325">
            <v>639826</v>
          </cell>
          <cell r="O325">
            <v>5971706</v>
          </cell>
          <cell r="P325">
            <v>821107.20999999985</v>
          </cell>
          <cell r="Q325"/>
          <cell r="R325"/>
          <cell r="S325">
            <v>98532.865199999971</v>
          </cell>
          <cell r="T325">
            <v>919640.07519999985</v>
          </cell>
          <cell r="U325">
            <v>0</v>
          </cell>
          <cell r="V325">
            <v>0</v>
          </cell>
          <cell r="W325">
            <v>5052065.9248000002</v>
          </cell>
          <cell r="X325">
            <v>5041</v>
          </cell>
          <cell r="Y325">
            <v>0</v>
          </cell>
          <cell r="Z325">
            <v>0</v>
          </cell>
          <cell r="AA325">
            <v>5041</v>
          </cell>
          <cell r="AB325" t="str">
            <v>Executed</v>
          </cell>
          <cell r="AC325" t="str">
            <v>Yes</v>
          </cell>
          <cell r="AD325">
            <v>8.5555299583070968E-2</v>
          </cell>
          <cell r="AE325" t="str">
            <v>Less than 35%</v>
          </cell>
          <cell r="AF325" t="str">
            <v>UnRegistered</v>
          </cell>
        </row>
        <row r="326">
          <cell r="B326" t="str">
            <v>R6 217</v>
          </cell>
          <cell r="C326" t="str">
            <v>R6</v>
          </cell>
          <cell r="D326" t="str">
            <v>M3M Capital Walk in M3M Capital Phase-2</v>
          </cell>
          <cell r="E326" t="str">
            <v>cwBOOKING/00192/22-23</v>
          </cell>
          <cell r="F326" t="str">
            <v>Mr. NARAIN SINGH</v>
          </cell>
          <cell r="G326" t="str">
            <v>cwFLAP/00070/22-23</v>
          </cell>
          <cell r="H326" t="str">
            <v>On Application of OC</v>
          </cell>
          <cell r="I326">
            <v>0</v>
          </cell>
          <cell r="J326">
            <v>45006</v>
          </cell>
          <cell r="K326">
            <v>46144</v>
          </cell>
          <cell r="L326">
            <v>46164</v>
          </cell>
          <cell r="M326">
            <v>3384173</v>
          </cell>
          <cell r="N326">
            <v>406100</v>
          </cell>
          <cell r="O326">
            <v>3790273</v>
          </cell>
          <cell r="P326">
            <v>653505.12651666673</v>
          </cell>
          <cell r="Q326"/>
          <cell r="R326"/>
          <cell r="S326">
            <v>78420.615182000009</v>
          </cell>
          <cell r="T326">
            <v>731925.74169866671</v>
          </cell>
          <cell r="U326">
            <v>0</v>
          </cell>
          <cell r="V326">
            <v>0</v>
          </cell>
          <cell r="W326">
            <v>3058347.2583013335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 t="str">
            <v>Executed</v>
          </cell>
          <cell r="AC326" t="str">
            <v>Yes</v>
          </cell>
          <cell r="AD326">
            <v>0.1217642673620134</v>
          </cell>
          <cell r="AE326" t="str">
            <v>Less than 35%</v>
          </cell>
          <cell r="AF326" t="str">
            <v>UnRegistered</v>
          </cell>
        </row>
        <row r="327">
          <cell r="B327" t="str">
            <v>R4 139</v>
          </cell>
          <cell r="C327" t="str">
            <v>R4</v>
          </cell>
          <cell r="D327" t="str">
            <v>M3M Capital Walk in M3M Capital Phase-2</v>
          </cell>
          <cell r="E327" t="str">
            <v>cwBOOKING/00194/23-24</v>
          </cell>
          <cell r="F327" t="str">
            <v>Mr. YOGENDRA BAJPAI</v>
          </cell>
          <cell r="G327" t="str">
            <v>cwFLAP/00056/23-24</v>
          </cell>
          <cell r="H327" t="str">
            <v>On Application of OC</v>
          </cell>
          <cell r="I327">
            <v>0</v>
          </cell>
          <cell r="J327">
            <v>45267</v>
          </cell>
          <cell r="K327">
            <v>46144</v>
          </cell>
          <cell r="L327">
            <v>46164</v>
          </cell>
          <cell r="M327">
            <v>6814500</v>
          </cell>
          <cell r="N327">
            <v>817740</v>
          </cell>
          <cell r="O327">
            <v>7632240</v>
          </cell>
          <cell r="P327"/>
          <cell r="Q327"/>
          <cell r="R327"/>
          <cell r="S327"/>
          <cell r="T327">
            <v>0</v>
          </cell>
          <cell r="U327">
            <v>0</v>
          </cell>
          <cell r="V327">
            <v>0</v>
          </cell>
          <cell r="W327">
            <v>7632240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/>
          <cell r="AC327"/>
          <cell r="AD327"/>
          <cell r="AE327"/>
          <cell r="AF327" t="str">
            <v>UnRegistered</v>
          </cell>
        </row>
        <row r="328">
          <cell r="B328" t="str">
            <v>R6 UG 17</v>
          </cell>
          <cell r="C328" t="str">
            <v>R6</v>
          </cell>
          <cell r="D328" t="str">
            <v>M3M Capital Walk in M3M Capital Phase-2</v>
          </cell>
          <cell r="E328" t="str">
            <v>cwBOOKING/00195/22-23</v>
          </cell>
          <cell r="F328" t="str">
            <v>Mr. RAJIV KHANIJO</v>
          </cell>
          <cell r="G328" t="str">
            <v>cwFLAP/00294/22-23</v>
          </cell>
          <cell r="H328" t="str">
            <v>On Application of OC</v>
          </cell>
          <cell r="I328">
            <v>0</v>
          </cell>
          <cell r="J328">
            <v>44965</v>
          </cell>
          <cell r="K328">
            <v>46144</v>
          </cell>
          <cell r="L328">
            <v>46164</v>
          </cell>
          <cell r="M328">
            <v>3657407</v>
          </cell>
          <cell r="N328">
            <v>438888</v>
          </cell>
          <cell r="O328">
            <v>4096295</v>
          </cell>
          <cell r="P328">
            <v>222979.71360000005</v>
          </cell>
          <cell r="Q328"/>
          <cell r="R328"/>
          <cell r="S328">
            <v>26757.565632000005</v>
          </cell>
          <cell r="T328">
            <v>249737.27923200006</v>
          </cell>
          <cell r="U328">
            <v>84822</v>
          </cell>
          <cell r="V328">
            <v>0</v>
          </cell>
          <cell r="W328">
            <v>3761735.720768</v>
          </cell>
          <cell r="X328">
            <v>3254</v>
          </cell>
          <cell r="Y328">
            <v>0</v>
          </cell>
          <cell r="Z328">
            <v>0</v>
          </cell>
          <cell r="AA328">
            <v>3254</v>
          </cell>
          <cell r="AB328" t="str">
            <v>Executed</v>
          </cell>
          <cell r="AC328" t="str">
            <v>Yes</v>
          </cell>
          <cell r="AD328">
            <v>1.6531235746304E-2</v>
          </cell>
          <cell r="AE328" t="str">
            <v>Less than 35%</v>
          </cell>
          <cell r="AF328" t="str">
            <v>UnRegistered</v>
          </cell>
        </row>
        <row r="329">
          <cell r="B329" t="str">
            <v>R2 UG 15</v>
          </cell>
          <cell r="C329" t="str">
            <v>R2</v>
          </cell>
          <cell r="D329" t="str">
            <v>M3M Capital Walk in M3M Capital Phase-2</v>
          </cell>
          <cell r="E329" t="str">
            <v>cwBOOKING/00195/23-24</v>
          </cell>
          <cell r="F329" t="str">
            <v>Mr. Iknoor Singh Sandhu</v>
          </cell>
          <cell r="G329" t="str">
            <v>cwFLAP/00040/23-24</v>
          </cell>
          <cell r="H329" t="str">
            <v>On Application of OC</v>
          </cell>
          <cell r="I329">
            <v>0</v>
          </cell>
          <cell r="J329">
            <v>45314</v>
          </cell>
          <cell r="K329">
            <v>46144</v>
          </cell>
          <cell r="L329">
            <v>46164</v>
          </cell>
          <cell r="M329">
            <v>9747840</v>
          </cell>
          <cell r="N329">
            <v>1169740</v>
          </cell>
          <cell r="O329">
            <v>10917580</v>
          </cell>
          <cell r="P329"/>
          <cell r="Q329"/>
          <cell r="R329"/>
          <cell r="S329"/>
          <cell r="T329">
            <v>0</v>
          </cell>
          <cell r="U329">
            <v>0</v>
          </cell>
          <cell r="V329">
            <v>1591</v>
          </cell>
          <cell r="W329">
            <v>10919171</v>
          </cell>
          <cell r="X329">
            <v>525</v>
          </cell>
          <cell r="Y329">
            <v>0</v>
          </cell>
          <cell r="Z329">
            <v>0</v>
          </cell>
          <cell r="AA329">
            <v>525</v>
          </cell>
          <cell r="AB329"/>
          <cell r="AC329"/>
          <cell r="AD329"/>
          <cell r="AE329"/>
          <cell r="AF329" t="str">
            <v>UnRegistered</v>
          </cell>
        </row>
        <row r="330">
          <cell r="B330" t="str">
            <v>R4 238</v>
          </cell>
          <cell r="C330" t="str">
            <v>R4</v>
          </cell>
          <cell r="D330" t="str">
            <v>M3M Capital Walk in M3M Capital Phase-2</v>
          </cell>
          <cell r="E330" t="str">
            <v>cwBOOKING/00196/22-23</v>
          </cell>
          <cell r="F330" t="str">
            <v>Mr. SEELAM SINGH TYAGI</v>
          </cell>
          <cell r="G330" t="str">
            <v>cwFLAP/00071/22-23</v>
          </cell>
          <cell r="H330" t="str">
            <v>On Application of OC</v>
          </cell>
          <cell r="I330">
            <v>0</v>
          </cell>
          <cell r="J330">
            <v>44959</v>
          </cell>
          <cell r="K330">
            <v>46144</v>
          </cell>
          <cell r="L330">
            <v>46164</v>
          </cell>
          <cell r="M330">
            <v>2241356</v>
          </cell>
          <cell r="N330">
            <v>268962</v>
          </cell>
          <cell r="O330">
            <v>2510318</v>
          </cell>
          <cell r="P330">
            <v>436883.08083333337</v>
          </cell>
          <cell r="Q330"/>
          <cell r="R330"/>
          <cell r="S330">
            <v>52425.969700000001</v>
          </cell>
          <cell r="T330">
            <v>489309.05053333339</v>
          </cell>
          <cell r="U330">
            <v>0</v>
          </cell>
          <cell r="V330">
            <v>0</v>
          </cell>
          <cell r="W330">
            <v>2021008.9494666667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 t="str">
            <v>Executed</v>
          </cell>
          <cell r="AC330" t="str">
            <v>Yes</v>
          </cell>
          <cell r="AD330">
            <v>0.11446018518518519</v>
          </cell>
          <cell r="AE330" t="str">
            <v>Less than 35%</v>
          </cell>
          <cell r="AF330" t="str">
            <v>UnRegistered</v>
          </cell>
        </row>
        <row r="331">
          <cell r="B331" t="str">
            <v>R5 137</v>
          </cell>
          <cell r="C331" t="str">
            <v>R5</v>
          </cell>
          <cell r="D331" t="str">
            <v>M3M Capital Walk in M3M Capital Phase-2</v>
          </cell>
          <cell r="E331" t="str">
            <v>cwBOOKING/00197/22-23</v>
          </cell>
          <cell r="F331" t="str">
            <v>Ms. ANITA PANDAY</v>
          </cell>
          <cell r="G331" t="str">
            <v>cwFLAP/00306/22-23</v>
          </cell>
          <cell r="H331" t="str">
            <v>On Application of OC</v>
          </cell>
          <cell r="I331">
            <v>0</v>
          </cell>
          <cell r="J331">
            <v>45327</v>
          </cell>
          <cell r="K331">
            <v>46144</v>
          </cell>
          <cell r="L331">
            <v>46164</v>
          </cell>
          <cell r="M331">
            <v>1953000</v>
          </cell>
          <cell r="N331">
            <v>234360</v>
          </cell>
          <cell r="O331">
            <v>2187360</v>
          </cell>
          <cell r="P331">
            <v>357184.71250000002</v>
          </cell>
          <cell r="Q331"/>
          <cell r="R331"/>
          <cell r="S331">
            <v>42862.165500000003</v>
          </cell>
          <cell r="T331">
            <v>400046.87800000003</v>
          </cell>
          <cell r="U331">
            <v>0</v>
          </cell>
          <cell r="V331">
            <v>0</v>
          </cell>
          <cell r="W331">
            <v>1787313.122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 t="str">
            <v>Executed</v>
          </cell>
          <cell r="AC331" t="str">
            <v>Yes</v>
          </cell>
          <cell r="AD331">
            <v>0.10973416666666667</v>
          </cell>
          <cell r="AE331" t="str">
            <v>Less than 35%</v>
          </cell>
          <cell r="AF331" t="str">
            <v>UnRegistered</v>
          </cell>
        </row>
        <row r="332">
          <cell r="B332" t="str">
            <v>R4 206</v>
          </cell>
          <cell r="C332" t="str">
            <v>R4</v>
          </cell>
          <cell r="D332" t="str">
            <v>M3M Capital Walk in M3M Capital Phase-2</v>
          </cell>
          <cell r="E332" t="str">
            <v>cwBOOKING/00198/22-23</v>
          </cell>
          <cell r="F332" t="str">
            <v>Ms. SEEMA CHAUDHARY</v>
          </cell>
          <cell r="G332" t="str">
            <v>cwFLAP/00190/22-23</v>
          </cell>
          <cell r="H332" t="str">
            <v>On Application of OC</v>
          </cell>
          <cell r="I332">
            <v>0</v>
          </cell>
          <cell r="J332">
            <v>45302</v>
          </cell>
          <cell r="K332">
            <v>46144</v>
          </cell>
          <cell r="L332">
            <v>46164</v>
          </cell>
          <cell r="M332">
            <v>3098425</v>
          </cell>
          <cell r="N332">
            <v>371812</v>
          </cell>
          <cell r="O332">
            <v>3470237</v>
          </cell>
          <cell r="P332"/>
          <cell r="Q332"/>
          <cell r="R332"/>
          <cell r="S332"/>
          <cell r="T332">
            <v>0</v>
          </cell>
          <cell r="U332">
            <v>0</v>
          </cell>
          <cell r="V332">
            <v>0</v>
          </cell>
          <cell r="W332">
            <v>3470237</v>
          </cell>
          <cell r="X332">
            <v>326</v>
          </cell>
          <cell r="Y332">
            <v>0</v>
          </cell>
          <cell r="Z332">
            <v>0</v>
          </cell>
          <cell r="AA332">
            <v>326</v>
          </cell>
          <cell r="AB332"/>
          <cell r="AC332"/>
          <cell r="AD332"/>
          <cell r="AE332"/>
          <cell r="AF332" t="str">
            <v>UnRegistered</v>
          </cell>
        </row>
        <row r="333">
          <cell r="B333" t="str">
            <v>R6 106</v>
          </cell>
          <cell r="C333" t="str">
            <v>R6</v>
          </cell>
          <cell r="D333" t="str">
            <v>M3M Capital Walk in M3M Capital Phase-2</v>
          </cell>
          <cell r="E333" t="str">
            <v>cwBOOKING/00199/22-23</v>
          </cell>
          <cell r="F333" t="str">
            <v>Ms. SUDESH</v>
          </cell>
          <cell r="G333" t="str">
            <v>cwFLAP/00356/22-23</v>
          </cell>
          <cell r="H333" t="str">
            <v>On Application of OC</v>
          </cell>
          <cell r="I333">
            <v>0</v>
          </cell>
          <cell r="J333">
            <v>45232</v>
          </cell>
          <cell r="K333">
            <v>46144</v>
          </cell>
          <cell r="L333">
            <v>46164</v>
          </cell>
          <cell r="M333">
            <v>4293576</v>
          </cell>
          <cell r="N333">
            <v>515230</v>
          </cell>
          <cell r="O333">
            <v>4808806</v>
          </cell>
          <cell r="P333">
            <v>813787.69779999997</v>
          </cell>
          <cell r="Q333"/>
          <cell r="R333"/>
          <cell r="S333">
            <v>97654.523735999988</v>
          </cell>
          <cell r="T333">
            <v>911442.22153599991</v>
          </cell>
          <cell r="U333">
            <v>0</v>
          </cell>
          <cell r="V333">
            <v>1</v>
          </cell>
          <cell r="W333">
            <v>3897364.7784640002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 t="str">
            <v>executed</v>
          </cell>
          <cell r="AC333" t="str">
            <v>Yes</v>
          </cell>
          <cell r="AD333">
            <v>0.11372162693697736</v>
          </cell>
          <cell r="AE333" t="str">
            <v>Less than 35%</v>
          </cell>
          <cell r="AF333" t="str">
            <v>UnRegistered</v>
          </cell>
        </row>
        <row r="334">
          <cell r="B334" t="str">
            <v>R5 LG 41</v>
          </cell>
          <cell r="C334" t="str">
            <v>R5</v>
          </cell>
          <cell r="D334" t="str">
            <v>M3M Capital Walk in M3M Capital Phase-2</v>
          </cell>
          <cell r="E334" t="str">
            <v>cwBOOKING/00200/22-23</v>
          </cell>
          <cell r="F334" t="str">
            <v>Ms. VINAYA SANDHU</v>
          </cell>
          <cell r="G334" t="str">
            <v>cwFLAP/00161/22-23</v>
          </cell>
          <cell r="H334" t="str">
            <v>On Application of OC</v>
          </cell>
          <cell r="I334">
            <v>0</v>
          </cell>
          <cell r="J334">
            <v>45279</v>
          </cell>
          <cell r="K334">
            <v>46144</v>
          </cell>
          <cell r="L334">
            <v>46164</v>
          </cell>
          <cell r="M334">
            <v>2803254</v>
          </cell>
          <cell r="N334">
            <v>336390</v>
          </cell>
          <cell r="O334">
            <v>3139644</v>
          </cell>
          <cell r="P334">
            <v>197373.33000000002</v>
          </cell>
          <cell r="Q334"/>
          <cell r="R334"/>
          <cell r="S334">
            <v>23684.799600000002</v>
          </cell>
          <cell r="T334">
            <v>221058.12960000001</v>
          </cell>
          <cell r="U334">
            <v>0</v>
          </cell>
          <cell r="V334">
            <v>0</v>
          </cell>
          <cell r="W334">
            <v>2918585.8703999999</v>
          </cell>
          <cell r="X334">
            <v>6358</v>
          </cell>
          <cell r="Y334">
            <v>0</v>
          </cell>
          <cell r="Z334">
            <v>0</v>
          </cell>
          <cell r="AA334">
            <v>6358</v>
          </cell>
          <cell r="AB334" t="str">
            <v>Executed</v>
          </cell>
          <cell r="AC334" t="str">
            <v>Yes</v>
          </cell>
          <cell r="AD334">
            <v>3.8451077712501579E-2</v>
          </cell>
          <cell r="AE334" t="str">
            <v>Less than 35%</v>
          </cell>
          <cell r="AF334" t="str">
            <v>UnRegistered</v>
          </cell>
        </row>
        <row r="335">
          <cell r="B335" t="str">
            <v>R4 233</v>
          </cell>
          <cell r="C335" t="str">
            <v>R4</v>
          </cell>
          <cell r="D335" t="str">
            <v>M3M Capital Walk in M3M Capital Phase-2</v>
          </cell>
          <cell r="E335" t="str">
            <v>cwBOOKING/00202/22-23</v>
          </cell>
          <cell r="F335" t="str">
            <v>Ms. PRABHATI VARMA</v>
          </cell>
          <cell r="G335" t="str">
            <v>cwFLAP/00358/22-23</v>
          </cell>
          <cell r="H335" t="str">
            <v>On Application of OC</v>
          </cell>
          <cell r="I335">
            <v>0</v>
          </cell>
          <cell r="J335">
            <v>44956</v>
          </cell>
          <cell r="K335">
            <v>46144</v>
          </cell>
          <cell r="L335">
            <v>46164</v>
          </cell>
          <cell r="M335">
            <v>3505950</v>
          </cell>
          <cell r="N335">
            <v>420714</v>
          </cell>
          <cell r="O335">
            <v>3926664</v>
          </cell>
          <cell r="P335"/>
          <cell r="Q335"/>
          <cell r="R335"/>
          <cell r="S335"/>
          <cell r="T335">
            <v>0</v>
          </cell>
          <cell r="U335">
            <v>0</v>
          </cell>
          <cell r="V335">
            <v>0</v>
          </cell>
          <cell r="W335">
            <v>3926664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/>
          <cell r="AC335"/>
          <cell r="AD335"/>
          <cell r="AE335"/>
          <cell r="AF335" t="str">
            <v>UnRegistered</v>
          </cell>
        </row>
        <row r="336">
          <cell r="B336" t="str">
            <v>R5 K 216</v>
          </cell>
          <cell r="C336" t="str">
            <v>R5</v>
          </cell>
          <cell r="D336" t="str">
            <v>M3M Capital Walk in M3M Capital Phase-2</v>
          </cell>
          <cell r="E336" t="str">
            <v>cwBOOKING/00203/22-23</v>
          </cell>
          <cell r="F336" t="str">
            <v>Ms. RITIKA</v>
          </cell>
          <cell r="G336" t="str">
            <v>cwFLAP/00357/22-23</v>
          </cell>
          <cell r="H336" t="str">
            <v>On Application of OC</v>
          </cell>
          <cell r="I336">
            <v>0</v>
          </cell>
          <cell r="J336">
            <v>45371</v>
          </cell>
          <cell r="K336">
            <v>46144</v>
          </cell>
          <cell r="L336">
            <v>46164</v>
          </cell>
          <cell r="M336">
            <v>4736792</v>
          </cell>
          <cell r="N336">
            <v>568416</v>
          </cell>
          <cell r="O336">
            <v>5305208</v>
          </cell>
          <cell r="P336">
            <v>1180581.0304166668</v>
          </cell>
          <cell r="Q336"/>
          <cell r="R336"/>
          <cell r="S336">
            <v>141669.72365</v>
          </cell>
          <cell r="T336">
            <v>1322250.7540666668</v>
          </cell>
          <cell r="U336">
            <v>28334.7</v>
          </cell>
          <cell r="V336">
            <v>0</v>
          </cell>
          <cell r="W336">
            <v>3954622.5459333332</v>
          </cell>
          <cell r="X336">
            <v>733.72</v>
          </cell>
          <cell r="Y336">
            <v>0</v>
          </cell>
          <cell r="Z336">
            <v>0</v>
          </cell>
          <cell r="AA336">
            <v>733.72</v>
          </cell>
          <cell r="AB336" t="str">
            <v>Executed</v>
          </cell>
          <cell r="AC336" t="str">
            <v>Yes</v>
          </cell>
          <cell r="AD336">
            <v>0.13166177367417908</v>
          </cell>
          <cell r="AE336" t="str">
            <v>Less than 35%</v>
          </cell>
          <cell r="AF336" t="str">
            <v>UnRegistered</v>
          </cell>
        </row>
        <row r="337">
          <cell r="B337" t="str">
            <v>R4 114</v>
          </cell>
          <cell r="C337" t="str">
            <v>R4</v>
          </cell>
          <cell r="D337" t="str">
            <v>M3M Capital Walk in M3M Capital Phase-2</v>
          </cell>
          <cell r="E337" t="str">
            <v>cwBOOKING/00204/22-23</v>
          </cell>
          <cell r="F337" t="str">
            <v>M/S. EQUITY LOGISTIC SOLUTIONS PRIVATE LIMITED</v>
          </cell>
          <cell r="G337" t="str">
            <v>cwFLAP/00068/22-23</v>
          </cell>
          <cell r="H337" t="str">
            <v>On Application of OC</v>
          </cell>
          <cell r="I337">
            <v>0</v>
          </cell>
          <cell r="J337">
            <v>45300</v>
          </cell>
          <cell r="K337">
            <v>46144</v>
          </cell>
          <cell r="L337">
            <v>46164</v>
          </cell>
          <cell r="M337">
            <v>6925396</v>
          </cell>
          <cell r="N337">
            <v>831048</v>
          </cell>
          <cell r="O337">
            <v>7756444</v>
          </cell>
          <cell r="P337">
            <v>838027.09644666663</v>
          </cell>
          <cell r="Q337"/>
          <cell r="R337"/>
          <cell r="S337">
            <v>100563.25157359999</v>
          </cell>
          <cell r="T337">
            <v>938590.34802026663</v>
          </cell>
          <cell r="U337">
            <v>346.4</v>
          </cell>
          <cell r="V337">
            <v>0</v>
          </cell>
          <cell r="W337">
            <v>6817507.2519797329</v>
          </cell>
          <cell r="X337">
            <v>128.6</v>
          </cell>
          <cell r="Y337">
            <v>0</v>
          </cell>
          <cell r="Z337">
            <v>128.6</v>
          </cell>
          <cell r="AA337">
            <v>0</v>
          </cell>
          <cell r="AB337" t="str">
            <v>Executed</v>
          </cell>
          <cell r="AC337" t="str">
            <v>Yes</v>
          </cell>
          <cell r="AD337">
            <v>8.8154230729989208E-2</v>
          </cell>
          <cell r="AE337" t="str">
            <v>Less than 35%</v>
          </cell>
          <cell r="AF337" t="str">
            <v>07AADCE6288J1Z8</v>
          </cell>
        </row>
        <row r="338">
          <cell r="B338" t="str">
            <v>R5 G 01</v>
          </cell>
          <cell r="C338" t="str">
            <v>R5</v>
          </cell>
          <cell r="D338" t="str">
            <v>M3M Capital Walk in M3M Capital Phase-2</v>
          </cell>
          <cell r="E338" t="str">
            <v>cwBOOKING/00205/22-23</v>
          </cell>
          <cell r="F338" t="str">
            <v>M/S. SHAILI ENGINEERING</v>
          </cell>
          <cell r="G338" t="str">
            <v>cwFLAP/00360/22-23</v>
          </cell>
          <cell r="H338" t="str">
            <v>On Application of OC</v>
          </cell>
          <cell r="I338">
            <v>0</v>
          </cell>
          <cell r="J338">
            <v>45077</v>
          </cell>
          <cell r="K338">
            <v>46144</v>
          </cell>
          <cell r="L338">
            <v>46164</v>
          </cell>
          <cell r="M338">
            <v>10023308</v>
          </cell>
          <cell r="N338">
            <v>1202796</v>
          </cell>
          <cell r="O338">
            <v>11226104</v>
          </cell>
          <cell r="P338"/>
          <cell r="Q338"/>
          <cell r="R338"/>
          <cell r="S338"/>
          <cell r="T338">
            <v>0</v>
          </cell>
          <cell r="U338">
            <v>0</v>
          </cell>
          <cell r="V338">
            <v>0</v>
          </cell>
          <cell r="W338">
            <v>11226104</v>
          </cell>
          <cell r="X338">
            <v>9324</v>
          </cell>
          <cell r="Y338">
            <v>0</v>
          </cell>
          <cell r="Z338">
            <v>0</v>
          </cell>
          <cell r="AA338">
            <v>9324</v>
          </cell>
          <cell r="AB338" t="str">
            <v>Executed</v>
          </cell>
          <cell r="AC338" t="str">
            <v>Recovery Case</v>
          </cell>
          <cell r="AD338">
            <v>-4.7271384968300308E-2</v>
          </cell>
          <cell r="AE338" t="str">
            <v>Recovery Case</v>
          </cell>
          <cell r="AF338" t="str">
            <v>06DBBPS0771M1ZC</v>
          </cell>
        </row>
        <row r="339">
          <cell r="B339" t="str">
            <v>R4 247</v>
          </cell>
          <cell r="C339" t="str">
            <v>R4</v>
          </cell>
          <cell r="D339" t="str">
            <v>M3M Capital Walk in M3M Capital Phase-2</v>
          </cell>
          <cell r="E339" t="str">
            <v>cwBOOKING/00206/22-23</v>
          </cell>
          <cell r="F339" t="str">
            <v>Mr. RAKESH DAHIYA</v>
          </cell>
          <cell r="G339" t="str">
            <v>cwFLAP/00317/22-23</v>
          </cell>
          <cell r="H339" t="str">
            <v>On Application of OC</v>
          </cell>
          <cell r="I339">
            <v>0</v>
          </cell>
          <cell r="J339">
            <v>45035</v>
          </cell>
          <cell r="K339">
            <v>46144</v>
          </cell>
          <cell r="L339">
            <v>46164</v>
          </cell>
          <cell r="M339">
            <v>2840620</v>
          </cell>
          <cell r="N339">
            <v>340874</v>
          </cell>
          <cell r="O339">
            <v>3181494</v>
          </cell>
          <cell r="P339">
            <v>1973574.3962000001</v>
          </cell>
          <cell r="Q339"/>
          <cell r="R339"/>
          <cell r="S339">
            <v>236828.92754400001</v>
          </cell>
          <cell r="T339">
            <v>2210403.3237439999</v>
          </cell>
          <cell r="U339">
            <v>46000</v>
          </cell>
          <cell r="V339">
            <v>0</v>
          </cell>
          <cell r="W339">
            <v>925090.67625600006</v>
          </cell>
          <cell r="X339">
            <v>6054</v>
          </cell>
          <cell r="Y339">
            <v>0</v>
          </cell>
          <cell r="Z339">
            <v>6010</v>
          </cell>
          <cell r="AA339">
            <v>44</v>
          </cell>
          <cell r="AB339" t="str">
            <v>Executed</v>
          </cell>
          <cell r="AC339" t="str">
            <v>Yes</v>
          </cell>
          <cell r="AD339">
            <v>0.34738317698347887</v>
          </cell>
          <cell r="AE339" t="str">
            <v>Less than 35%</v>
          </cell>
          <cell r="AF339" t="str">
            <v>UnRegistered</v>
          </cell>
        </row>
        <row r="340">
          <cell r="B340" t="str">
            <v>R1 208</v>
          </cell>
          <cell r="C340" t="str">
            <v>R1</v>
          </cell>
          <cell r="D340" t="str">
            <v>M3M Capital Walk in M3M Capital Phase-2</v>
          </cell>
          <cell r="E340" t="str">
            <v>cwBOOKING/00208/22-23</v>
          </cell>
          <cell r="F340" t="str">
            <v>Ms. SUNITA SHARMA</v>
          </cell>
          <cell r="G340" t="str">
            <v>cwFLAP/00176/22-23</v>
          </cell>
          <cell r="H340" t="str">
            <v>On Application of OC</v>
          </cell>
          <cell r="I340">
            <v>0</v>
          </cell>
          <cell r="J340">
            <v>44944</v>
          </cell>
          <cell r="K340">
            <v>46144</v>
          </cell>
          <cell r="L340">
            <v>46164</v>
          </cell>
          <cell r="M340">
            <v>2038039</v>
          </cell>
          <cell r="N340">
            <v>244564</v>
          </cell>
          <cell r="O340">
            <v>2282603</v>
          </cell>
          <cell r="P340"/>
          <cell r="Q340"/>
          <cell r="R340"/>
          <cell r="S340"/>
          <cell r="T340">
            <v>0</v>
          </cell>
          <cell r="U340">
            <v>0.55000000000000004</v>
          </cell>
          <cell r="V340">
            <v>0</v>
          </cell>
          <cell r="W340">
            <v>2282602.4500000002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/>
          <cell r="AC340"/>
          <cell r="AD340"/>
          <cell r="AE340"/>
          <cell r="AF340" t="str">
            <v>UnRegistered</v>
          </cell>
        </row>
        <row r="341">
          <cell r="B341" t="str">
            <v>R1 UG 25</v>
          </cell>
          <cell r="C341" t="str">
            <v>R1</v>
          </cell>
          <cell r="D341" t="str">
            <v>M3M Capital Walk in M3M Capital Phase-2</v>
          </cell>
          <cell r="E341" t="str">
            <v>cwBOOKING/00211/22-23</v>
          </cell>
          <cell r="F341" t="str">
            <v>Ms. SMRITI BHATHEJA</v>
          </cell>
          <cell r="G341" t="str">
            <v>cwFLAP/00171/22-23</v>
          </cell>
          <cell r="H341" t="str">
            <v>On Application of OC</v>
          </cell>
          <cell r="I341">
            <v>0</v>
          </cell>
          <cell r="J341">
            <v>44945</v>
          </cell>
          <cell r="K341">
            <v>46144</v>
          </cell>
          <cell r="L341">
            <v>46164</v>
          </cell>
          <cell r="M341">
            <v>1638136</v>
          </cell>
          <cell r="N341">
            <v>196576</v>
          </cell>
          <cell r="O341">
            <v>1834712</v>
          </cell>
          <cell r="P341">
            <v>289058.04774000007</v>
          </cell>
          <cell r="Q341"/>
          <cell r="R341"/>
          <cell r="S341">
            <v>34686.965728800009</v>
          </cell>
          <cell r="T341">
            <v>323745.01346880005</v>
          </cell>
          <cell r="U341">
            <v>0.24</v>
          </cell>
          <cell r="V341">
            <v>0</v>
          </cell>
          <cell r="W341">
            <v>1510966.7465311999</v>
          </cell>
          <cell r="X341">
            <v>8678.8799999999992</v>
          </cell>
          <cell r="Y341">
            <v>0</v>
          </cell>
          <cell r="Z341">
            <v>0</v>
          </cell>
          <cell r="AA341">
            <v>8678.8799999999992</v>
          </cell>
          <cell r="AB341" t="str">
            <v>Not Executed</v>
          </cell>
          <cell r="AC341" t="str">
            <v>No as CL is not Executed</v>
          </cell>
          <cell r="AD341">
            <v>7.756186620648714E-2</v>
          </cell>
          <cell r="AE341" t="str">
            <v>Less than 35%</v>
          </cell>
          <cell r="AF341" t="str">
            <v>UnRegistered</v>
          </cell>
        </row>
        <row r="342">
          <cell r="B342" t="str">
            <v>R5 162</v>
          </cell>
          <cell r="C342" t="str">
            <v>R5</v>
          </cell>
          <cell r="D342" t="str">
            <v>M3M Capital Walk in M3M Capital Phase-2</v>
          </cell>
          <cell r="E342" t="str">
            <v>cwBOOKING/00212/22-23</v>
          </cell>
          <cell r="F342" t="str">
            <v>Ms. SUSHEELA</v>
          </cell>
          <cell r="G342" t="str">
            <v>cwFLAP/00180/22-23</v>
          </cell>
          <cell r="H342" t="str">
            <v>On Application of OC</v>
          </cell>
          <cell r="I342">
            <v>0</v>
          </cell>
          <cell r="J342">
            <v>45047</v>
          </cell>
          <cell r="K342">
            <v>46144</v>
          </cell>
          <cell r="L342">
            <v>46164</v>
          </cell>
          <cell r="M342">
            <v>1862241</v>
          </cell>
          <cell r="N342">
            <v>223468</v>
          </cell>
          <cell r="O342">
            <v>2085709</v>
          </cell>
          <cell r="P342">
            <v>490748.74784000003</v>
          </cell>
          <cell r="Q342"/>
          <cell r="R342"/>
          <cell r="S342">
            <v>58889.849740800004</v>
          </cell>
          <cell r="T342">
            <v>549638.59758080007</v>
          </cell>
          <cell r="U342">
            <v>0</v>
          </cell>
          <cell r="V342">
            <v>0</v>
          </cell>
          <cell r="W342">
            <v>1536070.4024191999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 t="str">
            <v>Executed</v>
          </cell>
          <cell r="AC342" t="str">
            <v>Yes</v>
          </cell>
          <cell r="AD342">
            <v>0.13221323939398824</v>
          </cell>
          <cell r="AE342" t="str">
            <v>Less than 35%</v>
          </cell>
          <cell r="AF342" t="str">
            <v>UnRegistered</v>
          </cell>
        </row>
        <row r="343">
          <cell r="B343" t="str">
            <v>R4 109</v>
          </cell>
          <cell r="C343" t="str">
            <v>R4</v>
          </cell>
          <cell r="D343" t="str">
            <v>M3M Capital Walk in M3M Capital Phase-2</v>
          </cell>
          <cell r="E343" t="str">
            <v>cwBOOKING/00213/22-23</v>
          </cell>
          <cell r="F343" t="str">
            <v>Ms. TANYA SARIN</v>
          </cell>
          <cell r="G343" t="str">
            <v>cwFLAP/00185/22-23</v>
          </cell>
          <cell r="H343" t="str">
            <v>On Application of OC</v>
          </cell>
          <cell r="I343">
            <v>0</v>
          </cell>
          <cell r="J343">
            <v>44970</v>
          </cell>
          <cell r="K343">
            <v>46144</v>
          </cell>
          <cell r="L343">
            <v>46164</v>
          </cell>
          <cell r="M343">
            <v>1877462</v>
          </cell>
          <cell r="N343">
            <v>225296</v>
          </cell>
          <cell r="O343">
            <v>2102758</v>
          </cell>
          <cell r="P343"/>
          <cell r="Q343"/>
          <cell r="R343"/>
          <cell r="S343"/>
          <cell r="T343">
            <v>0</v>
          </cell>
          <cell r="U343">
            <v>0</v>
          </cell>
          <cell r="V343">
            <v>0</v>
          </cell>
          <cell r="W343">
            <v>2102758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/>
          <cell r="AC343"/>
          <cell r="AD343"/>
          <cell r="AE343"/>
          <cell r="AF343" t="str">
            <v>UnRegistered</v>
          </cell>
        </row>
        <row r="344">
          <cell r="B344" t="str">
            <v>R5 G 07</v>
          </cell>
          <cell r="C344" t="str">
            <v>R5</v>
          </cell>
          <cell r="D344" t="str">
            <v>M3M Capital Walk in M3M Capital Phase-2</v>
          </cell>
          <cell r="E344" t="str">
            <v>cwBOOKING/00214/22-23</v>
          </cell>
          <cell r="F344" t="str">
            <v>Mr. NAVNEET VATS</v>
          </cell>
          <cell r="G344" t="str">
            <v>cwFLAP/00367/22-23</v>
          </cell>
          <cell r="H344" t="str">
            <v>On Application of OC</v>
          </cell>
          <cell r="I344">
            <v>0</v>
          </cell>
          <cell r="J344">
            <v>45421</v>
          </cell>
          <cell r="K344">
            <v>46144</v>
          </cell>
          <cell r="L344">
            <v>46164</v>
          </cell>
          <cell r="M344">
            <v>9978225</v>
          </cell>
          <cell r="N344">
            <v>1197388</v>
          </cell>
          <cell r="O344">
            <v>11175613</v>
          </cell>
          <cell r="P344"/>
          <cell r="Q344"/>
          <cell r="R344"/>
          <cell r="S344"/>
          <cell r="T344">
            <v>0</v>
          </cell>
          <cell r="U344">
            <v>0</v>
          </cell>
          <cell r="V344">
            <v>0</v>
          </cell>
          <cell r="W344">
            <v>11175613</v>
          </cell>
          <cell r="X344">
            <v>826480</v>
          </cell>
          <cell r="Y344">
            <v>0</v>
          </cell>
          <cell r="Z344">
            <v>536494</v>
          </cell>
          <cell r="AA344">
            <v>289986</v>
          </cell>
          <cell r="AB344"/>
          <cell r="AC344"/>
          <cell r="AD344"/>
          <cell r="AE344"/>
          <cell r="AF344" t="str">
            <v>UnRegistered</v>
          </cell>
        </row>
        <row r="345">
          <cell r="B345" t="str">
            <v>R4 239</v>
          </cell>
          <cell r="C345" t="str">
            <v>R4</v>
          </cell>
          <cell r="D345" t="str">
            <v>M3M Capital Walk in M3M Capital Phase-2</v>
          </cell>
          <cell r="E345" t="str">
            <v>cwBOOKING/00215/22-23</v>
          </cell>
          <cell r="F345" t="str">
            <v>M/S. UBUNTU &amp; ORENDA PRIVATE LIMITED</v>
          </cell>
          <cell r="G345" t="str">
            <v>cwFLAP/00197/22-23</v>
          </cell>
          <cell r="H345" t="str">
            <v>On Application of OC</v>
          </cell>
          <cell r="I345">
            <v>0</v>
          </cell>
          <cell r="J345">
            <v>45002</v>
          </cell>
          <cell r="K345">
            <v>46144</v>
          </cell>
          <cell r="L345">
            <v>46164</v>
          </cell>
          <cell r="M345">
            <v>4395098</v>
          </cell>
          <cell r="N345">
            <v>527412</v>
          </cell>
          <cell r="O345">
            <v>4922510</v>
          </cell>
          <cell r="P345"/>
          <cell r="Q345"/>
          <cell r="R345"/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4922510</v>
          </cell>
          <cell r="X345">
            <v>17399</v>
          </cell>
          <cell r="Y345">
            <v>7137</v>
          </cell>
          <cell r="Z345">
            <v>10262</v>
          </cell>
          <cell r="AA345">
            <v>0</v>
          </cell>
          <cell r="AB345"/>
          <cell r="AC345"/>
          <cell r="AD345">
            <v>0</v>
          </cell>
          <cell r="AE345" t="str">
            <v>Less than 35%</v>
          </cell>
          <cell r="AF345" t="str">
            <v>07AACCU5965D1Z8</v>
          </cell>
        </row>
        <row r="346">
          <cell r="B346" t="str">
            <v>R6 UG 26</v>
          </cell>
          <cell r="C346" t="str">
            <v>R6</v>
          </cell>
          <cell r="D346" t="str">
            <v>M3M Capital Walk in M3M Capital Phase-2</v>
          </cell>
          <cell r="E346" t="str">
            <v>cwBOOKING/00216/22-23</v>
          </cell>
          <cell r="F346" t="str">
            <v>Mr. RITESH AWTANEY</v>
          </cell>
          <cell r="G346" t="str">
            <v>cwFLAP/00368/22-23</v>
          </cell>
          <cell r="H346" t="str">
            <v>On Application of OC</v>
          </cell>
          <cell r="I346">
            <v>0</v>
          </cell>
          <cell r="J346">
            <v>45071</v>
          </cell>
          <cell r="K346">
            <v>46144</v>
          </cell>
          <cell r="L346">
            <v>46164</v>
          </cell>
          <cell r="M346">
            <v>5116516</v>
          </cell>
          <cell r="N346">
            <v>613982</v>
          </cell>
          <cell r="O346">
            <v>5730498</v>
          </cell>
          <cell r="P346">
            <v>571344.28666666662</v>
          </cell>
          <cell r="Q346"/>
          <cell r="R346"/>
          <cell r="S346">
            <v>68561.314399999988</v>
          </cell>
          <cell r="T346">
            <v>639905.60106666666</v>
          </cell>
          <cell r="U346">
            <v>0</v>
          </cell>
          <cell r="V346">
            <v>0.95000000018626451</v>
          </cell>
          <cell r="W346">
            <v>5090593.3489333335</v>
          </cell>
          <cell r="X346">
            <v>25394</v>
          </cell>
          <cell r="Y346">
            <v>0</v>
          </cell>
          <cell r="Z346">
            <v>25394</v>
          </cell>
          <cell r="AA346">
            <v>0</v>
          </cell>
          <cell r="AB346" t="str">
            <v>Executed</v>
          </cell>
          <cell r="AC346" t="str">
            <v>Yes due to interest less than 75000</v>
          </cell>
          <cell r="AD346">
            <v>6.2037020533760596E-2</v>
          </cell>
          <cell r="AE346" t="str">
            <v>Less than 35%</v>
          </cell>
          <cell r="AF346" t="str">
            <v>UnRegistered</v>
          </cell>
        </row>
        <row r="347">
          <cell r="B347" t="str">
            <v>R6 UG 04</v>
          </cell>
          <cell r="C347" t="str">
            <v>R6</v>
          </cell>
          <cell r="D347" t="str">
            <v>M3M Capital Walk in M3M Capital Phase-2</v>
          </cell>
          <cell r="E347" t="str">
            <v>cwBOOKING/00218/22-23</v>
          </cell>
          <cell r="F347" t="str">
            <v>Ms. RIMPY KAKKAR</v>
          </cell>
          <cell r="G347" t="str">
            <v>cwFLAP/00118/22-23</v>
          </cell>
          <cell r="H347" t="str">
            <v>On Application of OC</v>
          </cell>
          <cell r="I347">
            <v>0</v>
          </cell>
          <cell r="J347">
            <v>44984</v>
          </cell>
          <cell r="K347">
            <v>46144</v>
          </cell>
          <cell r="L347">
            <v>46164</v>
          </cell>
          <cell r="M347">
            <v>10961347</v>
          </cell>
          <cell r="N347">
            <v>1315362</v>
          </cell>
          <cell r="O347">
            <v>12276709</v>
          </cell>
          <cell r="P347">
            <v>2408893.9795200001</v>
          </cell>
          <cell r="Q347"/>
          <cell r="R347"/>
          <cell r="S347">
            <v>289067.2775424</v>
          </cell>
          <cell r="T347">
            <v>2697961.2570624002</v>
          </cell>
          <cell r="U347">
            <v>0</v>
          </cell>
          <cell r="V347">
            <v>199.38000000081956</v>
          </cell>
          <cell r="W347">
            <v>9578947.1229376011</v>
          </cell>
          <cell r="X347">
            <v>1198.8800000000001</v>
          </cell>
          <cell r="Y347">
            <v>0</v>
          </cell>
          <cell r="Z347">
            <v>0</v>
          </cell>
          <cell r="AA347">
            <v>1198.8800000000001</v>
          </cell>
          <cell r="AB347" t="str">
            <v>Executed</v>
          </cell>
          <cell r="AC347" t="str">
            <v>Yes</v>
          </cell>
          <cell r="AD347">
            <v>9.4723430891994365E-2</v>
          </cell>
          <cell r="AE347" t="str">
            <v>Less than 35%</v>
          </cell>
          <cell r="AF347" t="str">
            <v>UnRegistered</v>
          </cell>
        </row>
        <row r="348">
          <cell r="B348" t="str">
            <v>R4 237</v>
          </cell>
          <cell r="C348" t="str">
            <v>R4</v>
          </cell>
          <cell r="D348" t="str">
            <v>M3M Capital Walk in M3M Capital Phase-2</v>
          </cell>
          <cell r="E348" t="str">
            <v>cwBOOKING/00220/22-23</v>
          </cell>
          <cell r="F348" t="str">
            <v>Mr. RAJAN ANAND</v>
          </cell>
          <cell r="G348" t="str">
            <v>cwFLAP/00262/22-23</v>
          </cell>
          <cell r="H348" t="str">
            <v>On Application of OC</v>
          </cell>
          <cell r="I348">
            <v>0</v>
          </cell>
          <cell r="J348">
            <v>44958</v>
          </cell>
          <cell r="K348">
            <v>46144</v>
          </cell>
          <cell r="L348">
            <v>46164</v>
          </cell>
          <cell r="M348">
            <v>2371620</v>
          </cell>
          <cell r="N348">
            <v>284594</v>
          </cell>
          <cell r="O348">
            <v>2656214</v>
          </cell>
          <cell r="P348">
            <v>322242.59868</v>
          </cell>
          <cell r="Q348"/>
          <cell r="R348"/>
          <cell r="S348">
            <v>38669.111841599995</v>
          </cell>
          <cell r="T348">
            <v>360911.71052159998</v>
          </cell>
          <cell r="U348">
            <v>0</v>
          </cell>
          <cell r="V348">
            <v>0</v>
          </cell>
          <cell r="W348">
            <v>2295302.2894783998</v>
          </cell>
          <cell r="X348">
            <v>3671</v>
          </cell>
          <cell r="Y348">
            <v>0</v>
          </cell>
          <cell r="Z348">
            <v>0</v>
          </cell>
          <cell r="AA348">
            <v>3671</v>
          </cell>
          <cell r="AB348" t="str">
            <v>Executed</v>
          </cell>
          <cell r="AC348" t="str">
            <v>Yes</v>
          </cell>
          <cell r="AD348">
            <v>6.681393589469177E-2</v>
          </cell>
          <cell r="AE348" t="str">
            <v>Less than 35%</v>
          </cell>
          <cell r="AF348" t="str">
            <v>UnRegistered</v>
          </cell>
        </row>
        <row r="349">
          <cell r="B349" t="str">
            <v>R1 LG 12A</v>
          </cell>
          <cell r="C349" t="str">
            <v>R1</v>
          </cell>
          <cell r="D349" t="str">
            <v>M3M Capital Walk in M3M Capital Phase-2</v>
          </cell>
          <cell r="E349" t="str">
            <v>cwBOOKING/00222/22-23</v>
          </cell>
          <cell r="F349" t="str">
            <v>Ms. SHARDA DEVI</v>
          </cell>
          <cell r="G349" t="str">
            <v>cwFLAP/00378/22-23</v>
          </cell>
          <cell r="H349" t="str">
            <v>On Application of OC</v>
          </cell>
          <cell r="I349">
            <v>0</v>
          </cell>
          <cell r="J349">
            <v>45062</v>
          </cell>
          <cell r="K349">
            <v>46144</v>
          </cell>
          <cell r="L349">
            <v>46164</v>
          </cell>
          <cell r="M349">
            <v>2508052</v>
          </cell>
          <cell r="N349">
            <v>300966</v>
          </cell>
          <cell r="O349">
            <v>2809018</v>
          </cell>
          <cell r="P349">
            <v>473283.6482</v>
          </cell>
          <cell r="Q349"/>
          <cell r="R349"/>
          <cell r="S349">
            <v>56794.037784</v>
          </cell>
          <cell r="T349">
            <v>530077.68598399998</v>
          </cell>
          <cell r="U349">
            <v>0</v>
          </cell>
          <cell r="V349">
            <v>1030</v>
          </cell>
          <cell r="W349">
            <v>2279970.3140159999</v>
          </cell>
          <cell r="X349">
            <v>7470.2</v>
          </cell>
          <cell r="Y349">
            <v>0</v>
          </cell>
          <cell r="Z349">
            <v>0</v>
          </cell>
          <cell r="AA349">
            <v>7470.2</v>
          </cell>
          <cell r="AB349" t="str">
            <v>Executed</v>
          </cell>
          <cell r="AC349" t="str">
            <v>Yes</v>
          </cell>
          <cell r="AD349">
            <v>0.10610430405757457</v>
          </cell>
          <cell r="AE349" t="str">
            <v>Less than 35%</v>
          </cell>
          <cell r="AF349" t="str">
            <v>UnRegistered</v>
          </cell>
        </row>
        <row r="350">
          <cell r="B350" t="str">
            <v>R4 G 05</v>
          </cell>
          <cell r="C350" t="str">
            <v>R4</v>
          </cell>
          <cell r="D350" t="str">
            <v>M3M Capital Walk in M3M Capital Phase-2</v>
          </cell>
          <cell r="E350" t="str">
            <v>cwBOOKING/00224/22-23</v>
          </cell>
          <cell r="F350" t="str">
            <v>Ms. Rekha Verma</v>
          </cell>
          <cell r="G350" t="str">
            <v>cwFLAP/00053/22-23</v>
          </cell>
          <cell r="H350" t="str">
            <v>On Application of OC</v>
          </cell>
          <cell r="I350">
            <v>0</v>
          </cell>
          <cell r="J350">
            <v>44986</v>
          </cell>
          <cell r="K350">
            <v>46144</v>
          </cell>
          <cell r="L350">
            <v>46164</v>
          </cell>
          <cell r="M350">
            <v>9713779</v>
          </cell>
          <cell r="N350">
            <v>1165654</v>
          </cell>
          <cell r="O350">
            <v>10879433</v>
          </cell>
          <cell r="P350"/>
          <cell r="Q350"/>
          <cell r="R350"/>
          <cell r="S350"/>
          <cell r="T350">
            <v>0</v>
          </cell>
          <cell r="U350">
            <v>1</v>
          </cell>
          <cell r="V350">
            <v>0</v>
          </cell>
          <cell r="W350">
            <v>10879432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/>
          <cell r="AC350"/>
          <cell r="AD350"/>
          <cell r="AE350"/>
          <cell r="AF350" t="str">
            <v>UnRegistered</v>
          </cell>
        </row>
        <row r="351">
          <cell r="B351" t="str">
            <v>R3 LG 77</v>
          </cell>
          <cell r="C351" t="str">
            <v>R3</v>
          </cell>
          <cell r="D351" t="str">
            <v>M3M Capital Walk in M3M Capital Phase-2</v>
          </cell>
          <cell r="E351" t="str">
            <v>cwBOOKING/00225/23-24</v>
          </cell>
          <cell r="F351" t="str">
            <v>Ms. Sunita Yadav</v>
          </cell>
          <cell r="G351" t="str">
            <v>cwFLAP/00052/23-24</v>
          </cell>
          <cell r="H351" t="str">
            <v>On Application of OC</v>
          </cell>
          <cell r="I351">
            <v>0</v>
          </cell>
          <cell r="J351">
            <v>45238</v>
          </cell>
          <cell r="K351">
            <v>46144</v>
          </cell>
          <cell r="L351">
            <v>46164</v>
          </cell>
          <cell r="M351">
            <v>4102964</v>
          </cell>
          <cell r="N351">
            <v>492356</v>
          </cell>
          <cell r="O351">
            <v>4595320</v>
          </cell>
          <cell r="P351"/>
          <cell r="Q351"/>
          <cell r="R351"/>
          <cell r="S351"/>
          <cell r="T351">
            <v>0</v>
          </cell>
          <cell r="U351">
            <v>0</v>
          </cell>
          <cell r="V351">
            <v>0</v>
          </cell>
          <cell r="W351">
            <v>4595320</v>
          </cell>
          <cell r="X351">
            <v>209</v>
          </cell>
          <cell r="Y351">
            <v>0</v>
          </cell>
          <cell r="Z351">
            <v>0</v>
          </cell>
          <cell r="AA351">
            <v>209</v>
          </cell>
          <cell r="AB351"/>
          <cell r="AC351"/>
          <cell r="AD351"/>
          <cell r="AE351"/>
          <cell r="AF351" t="str">
            <v>UnRegistered</v>
          </cell>
        </row>
        <row r="352">
          <cell r="B352" t="str">
            <v>R4 112</v>
          </cell>
          <cell r="C352" t="str">
            <v>R4</v>
          </cell>
          <cell r="D352" t="str">
            <v>M3M Capital Walk in M3M Capital Phase-2</v>
          </cell>
          <cell r="E352" t="str">
            <v>cwBOOKING/00226/22-23</v>
          </cell>
          <cell r="F352" t="str">
            <v>Mr. PAWAN AGGARWAL</v>
          </cell>
          <cell r="G352" t="str">
            <v>cwFLAP/00116/22-23</v>
          </cell>
          <cell r="H352" t="str">
            <v>On Application of OC</v>
          </cell>
          <cell r="I352">
            <v>0</v>
          </cell>
          <cell r="J352">
            <v>45001</v>
          </cell>
          <cell r="K352">
            <v>46144</v>
          </cell>
          <cell r="L352">
            <v>46164</v>
          </cell>
          <cell r="M352">
            <v>3379358</v>
          </cell>
          <cell r="N352">
            <v>405522</v>
          </cell>
          <cell r="O352">
            <v>3784880</v>
          </cell>
          <cell r="P352"/>
          <cell r="Q352"/>
          <cell r="R352"/>
          <cell r="S352"/>
          <cell r="T352">
            <v>0</v>
          </cell>
          <cell r="U352">
            <v>0</v>
          </cell>
          <cell r="V352">
            <v>0</v>
          </cell>
          <cell r="W352">
            <v>3784880</v>
          </cell>
          <cell r="X352">
            <v>89912.24</v>
          </cell>
          <cell r="Y352">
            <v>0</v>
          </cell>
          <cell r="Z352">
            <v>0</v>
          </cell>
          <cell r="AA352">
            <v>89912.24</v>
          </cell>
          <cell r="AB352"/>
          <cell r="AC352"/>
          <cell r="AD352"/>
          <cell r="AE352"/>
          <cell r="AF352" t="str">
            <v>UnRegistered</v>
          </cell>
        </row>
        <row r="353">
          <cell r="B353" t="str">
            <v>R4 UG 24</v>
          </cell>
          <cell r="C353" t="str">
            <v>R4</v>
          </cell>
          <cell r="D353" t="str">
            <v>M3M Capital Walk in M3M Capital Phase-2</v>
          </cell>
          <cell r="E353" t="str">
            <v>cwBOOKING/00227/22-23</v>
          </cell>
          <cell r="F353" t="str">
            <v>Mr. SUNIL KUMAR</v>
          </cell>
          <cell r="G353" t="str">
            <v>cwFLAP/00385/22-23</v>
          </cell>
          <cell r="H353" t="str">
            <v>On Application of OC</v>
          </cell>
          <cell r="I353">
            <v>0</v>
          </cell>
          <cell r="J353">
            <v>44960</v>
          </cell>
          <cell r="K353">
            <v>46144</v>
          </cell>
          <cell r="L353">
            <v>46164</v>
          </cell>
          <cell r="M353">
            <v>4498971</v>
          </cell>
          <cell r="N353">
            <v>539876</v>
          </cell>
          <cell r="O353">
            <v>5038847</v>
          </cell>
          <cell r="P353"/>
          <cell r="Q353"/>
          <cell r="R353"/>
          <cell r="S353"/>
          <cell r="T353">
            <v>0</v>
          </cell>
          <cell r="U353">
            <v>0</v>
          </cell>
          <cell r="V353">
            <v>0</v>
          </cell>
          <cell r="W353">
            <v>5038847</v>
          </cell>
          <cell r="X353">
            <v>4917</v>
          </cell>
          <cell r="Y353">
            <v>0</v>
          </cell>
          <cell r="Z353">
            <v>0</v>
          </cell>
          <cell r="AA353">
            <v>4917</v>
          </cell>
          <cell r="AB353"/>
          <cell r="AC353"/>
          <cell r="AD353"/>
          <cell r="AE353"/>
          <cell r="AF353" t="str">
            <v>UnRegistered</v>
          </cell>
        </row>
        <row r="354">
          <cell r="B354" t="str">
            <v>R6 220</v>
          </cell>
          <cell r="C354" t="str">
            <v>R6</v>
          </cell>
          <cell r="D354" t="str">
            <v>M3M Capital Walk in M3M Capital Phase-2</v>
          </cell>
          <cell r="E354" t="str">
            <v>cwBOOKING/00228/22-23</v>
          </cell>
          <cell r="F354" t="str">
            <v>Ms. Mamta Rani</v>
          </cell>
          <cell r="G354" t="str">
            <v>cwFLAP/00379/22-23</v>
          </cell>
          <cell r="H354" t="str">
            <v>On Application of OC</v>
          </cell>
          <cell r="I354">
            <v>0</v>
          </cell>
          <cell r="J354">
            <v>44960</v>
          </cell>
          <cell r="K354">
            <v>46144</v>
          </cell>
          <cell r="L354">
            <v>46164</v>
          </cell>
          <cell r="M354">
            <v>3731117</v>
          </cell>
          <cell r="N354">
            <v>447734</v>
          </cell>
          <cell r="O354">
            <v>4178851</v>
          </cell>
          <cell r="P354">
            <v>626827.61400000006</v>
          </cell>
          <cell r="Q354"/>
          <cell r="R354"/>
          <cell r="S354">
            <v>75219.313680000007</v>
          </cell>
          <cell r="T354">
            <v>702046.92768000008</v>
          </cell>
          <cell r="U354">
            <v>3674</v>
          </cell>
          <cell r="V354">
            <v>0</v>
          </cell>
          <cell r="W354">
            <v>3473130.0723199998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 t="str">
            <v>Executed</v>
          </cell>
          <cell r="AC354" t="str">
            <v>Yes</v>
          </cell>
          <cell r="AD354">
            <v>0.10114571236831407</v>
          </cell>
          <cell r="AE354" t="str">
            <v>Less than 35%</v>
          </cell>
          <cell r="AF354" t="str">
            <v>UnRegistered</v>
          </cell>
        </row>
        <row r="355">
          <cell r="B355" t="str">
            <v>R4 207</v>
          </cell>
          <cell r="C355" t="str">
            <v>R4</v>
          </cell>
          <cell r="D355" t="str">
            <v>M3M Capital Walk in M3M Capital Phase-2</v>
          </cell>
          <cell r="E355" t="str">
            <v>cwBOOKING/00229/22-23</v>
          </cell>
          <cell r="F355" t="str">
            <v>Ms. NEELAM KUMARI</v>
          </cell>
          <cell r="G355" t="str">
            <v>cwFLAP/00227/22-23</v>
          </cell>
          <cell r="H355" t="str">
            <v>On Application of OC</v>
          </cell>
          <cell r="I355">
            <v>0</v>
          </cell>
          <cell r="J355">
            <v>44972</v>
          </cell>
          <cell r="K355">
            <v>46144</v>
          </cell>
          <cell r="L355">
            <v>46164</v>
          </cell>
          <cell r="M355">
            <v>3946405</v>
          </cell>
          <cell r="N355">
            <v>473568</v>
          </cell>
          <cell r="O355">
            <v>4419973</v>
          </cell>
          <cell r="P355">
            <v>530292.50339999993</v>
          </cell>
          <cell r="Q355">
            <v>782760</v>
          </cell>
          <cell r="R355"/>
          <cell r="S355">
            <v>157566.30040799998</v>
          </cell>
          <cell r="T355">
            <v>1470618.8038079997</v>
          </cell>
          <cell r="U355">
            <v>0</v>
          </cell>
          <cell r="V355">
            <v>303.14999999990687</v>
          </cell>
          <cell r="W355">
            <v>2949657.3461920004</v>
          </cell>
          <cell r="X355">
            <v>7546.52</v>
          </cell>
          <cell r="Y355">
            <v>0</v>
          </cell>
          <cell r="Z355">
            <v>0</v>
          </cell>
          <cell r="AA355">
            <v>7546.52</v>
          </cell>
          <cell r="AB355" t="str">
            <v>Executed</v>
          </cell>
          <cell r="AC355" t="str">
            <v>Yes</v>
          </cell>
          <cell r="AD355">
            <v>0.15750066200710849</v>
          </cell>
          <cell r="AE355" t="str">
            <v>Less than 35%</v>
          </cell>
          <cell r="AF355" t="str">
            <v>UnRegistered</v>
          </cell>
        </row>
        <row r="356">
          <cell r="B356" t="str">
            <v>R5 169</v>
          </cell>
          <cell r="C356" t="str">
            <v>R5</v>
          </cell>
          <cell r="D356" t="str">
            <v>M3M Capital Walk in M3M Capital Phase-2</v>
          </cell>
          <cell r="E356" t="str">
            <v>cwBOOKING/00230/22-23</v>
          </cell>
          <cell r="F356" t="str">
            <v>Mr. ROHIT SHARMA</v>
          </cell>
          <cell r="G356" t="str">
            <v>cwFLAP/00391/22-23</v>
          </cell>
          <cell r="H356" t="str">
            <v>On Application of OC</v>
          </cell>
          <cell r="I356">
            <v>0</v>
          </cell>
          <cell r="J356">
            <v>44966</v>
          </cell>
          <cell r="K356">
            <v>46144</v>
          </cell>
          <cell r="L356">
            <v>46164</v>
          </cell>
          <cell r="M356">
            <v>2506338</v>
          </cell>
          <cell r="N356">
            <v>300760</v>
          </cell>
          <cell r="O356">
            <v>2807098</v>
          </cell>
          <cell r="P356">
            <v>595266.99647999986</v>
          </cell>
          <cell r="Q356"/>
          <cell r="R356"/>
          <cell r="S356">
            <v>71432.039577599979</v>
          </cell>
          <cell r="T356">
            <v>666699.03605759982</v>
          </cell>
          <cell r="U356">
            <v>0</v>
          </cell>
          <cell r="V356">
            <v>0</v>
          </cell>
          <cell r="W356">
            <v>2140398.9639424002</v>
          </cell>
          <cell r="X356">
            <v>5034</v>
          </cell>
          <cell r="Y356">
            <v>5034</v>
          </cell>
          <cell r="Z356">
            <v>0</v>
          </cell>
          <cell r="AA356">
            <v>0</v>
          </cell>
          <cell r="AB356" t="str">
            <v>Executed</v>
          </cell>
          <cell r="AC356" t="str">
            <v>Yes</v>
          </cell>
          <cell r="AD356">
            <v>0.10857512426757689</v>
          </cell>
          <cell r="AE356" t="str">
            <v>Less than 35%</v>
          </cell>
          <cell r="AF356" t="str">
            <v>UnRegistered</v>
          </cell>
        </row>
        <row r="357">
          <cell r="B357" t="str">
            <v>R5 165</v>
          </cell>
          <cell r="C357" t="str">
            <v>R5</v>
          </cell>
          <cell r="D357" t="str">
            <v>M3M Capital Walk in M3M Capital Phase-2</v>
          </cell>
          <cell r="E357" t="str">
            <v>cwBOOKING/00234/22-23</v>
          </cell>
          <cell r="F357" t="str">
            <v>Mr. RAGHAV KAHOL</v>
          </cell>
          <cell r="G357" t="str">
            <v>cwFLAP/00270/22-23</v>
          </cell>
          <cell r="H357" t="str">
            <v>On Application of OC</v>
          </cell>
          <cell r="I357">
            <v>0</v>
          </cell>
          <cell r="J357">
            <v>44963</v>
          </cell>
          <cell r="K357">
            <v>46144</v>
          </cell>
          <cell r="L357">
            <v>46164</v>
          </cell>
          <cell r="M357">
            <v>2000086</v>
          </cell>
          <cell r="N357">
            <v>240010</v>
          </cell>
          <cell r="O357">
            <v>2240096</v>
          </cell>
          <cell r="P357">
            <v>369759.22940000001</v>
          </cell>
          <cell r="Q357"/>
          <cell r="R357"/>
          <cell r="S357">
            <v>44371.107528</v>
          </cell>
          <cell r="T357">
            <v>414130.33692800003</v>
          </cell>
          <cell r="U357">
            <v>0</v>
          </cell>
          <cell r="V357">
            <v>0</v>
          </cell>
          <cell r="W357">
            <v>1825965.663072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 t="str">
            <v>Executed</v>
          </cell>
          <cell r="AC357" t="str">
            <v>Yes</v>
          </cell>
          <cell r="AD357">
            <v>8.1260582268203069E-2</v>
          </cell>
          <cell r="AE357" t="str">
            <v>Less than 35%</v>
          </cell>
          <cell r="AF357" t="str">
            <v>UnRegistered</v>
          </cell>
        </row>
        <row r="358">
          <cell r="B358" t="str">
            <v>R1 249</v>
          </cell>
          <cell r="C358" t="str">
            <v>R1</v>
          </cell>
          <cell r="D358" t="str">
            <v>M3M Capital Walk in M3M Capital Phase-2</v>
          </cell>
          <cell r="E358" t="str">
            <v>cwBOOKING/00235/22-23</v>
          </cell>
          <cell r="F358" t="str">
            <v>Mr. HARIOM</v>
          </cell>
          <cell r="G358" t="str">
            <v>cwFLAP/00392/22-23</v>
          </cell>
          <cell r="H358" t="str">
            <v>On Application of OC</v>
          </cell>
          <cell r="I358">
            <v>0</v>
          </cell>
          <cell r="J358">
            <v>45048</v>
          </cell>
          <cell r="K358">
            <v>46144</v>
          </cell>
          <cell r="L358">
            <v>46164</v>
          </cell>
          <cell r="M358">
            <v>2685469</v>
          </cell>
          <cell r="N358">
            <v>322256</v>
          </cell>
          <cell r="O358">
            <v>3007725</v>
          </cell>
          <cell r="P358"/>
          <cell r="Q358"/>
          <cell r="R358"/>
          <cell r="S358"/>
          <cell r="T358">
            <v>0</v>
          </cell>
          <cell r="U358">
            <v>1</v>
          </cell>
          <cell r="V358">
            <v>0</v>
          </cell>
          <cell r="W358">
            <v>3007724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/>
          <cell r="AC358"/>
          <cell r="AD358"/>
          <cell r="AE358"/>
          <cell r="AF358" t="str">
            <v>UnRegistered</v>
          </cell>
        </row>
        <row r="359">
          <cell r="B359" t="str">
            <v>R5 124</v>
          </cell>
          <cell r="C359" t="str">
            <v>R5</v>
          </cell>
          <cell r="D359" t="str">
            <v>M3M Capital Walk in M3M Capital Phase-2</v>
          </cell>
          <cell r="E359" t="str">
            <v>cwBOOKING/00236/22-23</v>
          </cell>
          <cell r="F359" t="str">
            <v>Ms. OSHIMA REEHAL</v>
          </cell>
          <cell r="G359" t="str">
            <v>cwFLAP/00191/22-23</v>
          </cell>
          <cell r="H359" t="str">
            <v>On Application of OC</v>
          </cell>
          <cell r="I359">
            <v>0</v>
          </cell>
          <cell r="J359">
            <v>45302</v>
          </cell>
          <cell r="K359">
            <v>46144</v>
          </cell>
          <cell r="L359">
            <v>46164</v>
          </cell>
          <cell r="M359">
            <v>2974100</v>
          </cell>
          <cell r="N359">
            <v>356892</v>
          </cell>
          <cell r="O359">
            <v>3330992</v>
          </cell>
          <cell r="P359"/>
          <cell r="Q359"/>
          <cell r="R359"/>
          <cell r="S359"/>
          <cell r="T359">
            <v>0</v>
          </cell>
          <cell r="U359">
            <v>0</v>
          </cell>
          <cell r="V359">
            <v>0</v>
          </cell>
          <cell r="W359">
            <v>3330992</v>
          </cell>
          <cell r="X359">
            <v>114119</v>
          </cell>
          <cell r="Y359">
            <v>0</v>
          </cell>
          <cell r="Z359">
            <v>0</v>
          </cell>
          <cell r="AA359">
            <v>114119</v>
          </cell>
          <cell r="AB359"/>
          <cell r="AC359"/>
          <cell r="AD359"/>
          <cell r="AE359"/>
          <cell r="AF359" t="str">
            <v>UnRegistered</v>
          </cell>
        </row>
        <row r="360">
          <cell r="B360" t="str">
            <v>R6 UG 23</v>
          </cell>
          <cell r="C360" t="str">
            <v>R6</v>
          </cell>
          <cell r="D360" t="str">
            <v>M3M Capital Walk in M3M Capital Phase-2</v>
          </cell>
          <cell r="E360" t="str">
            <v>cwBOOKING/00237/22-23</v>
          </cell>
          <cell r="F360" t="str">
            <v>Mr. AMIT KUMAR TOKAS</v>
          </cell>
          <cell r="G360" t="str">
            <v>cwFLAP/00162/22-23</v>
          </cell>
          <cell r="H360" t="str">
            <v>On Application of OC</v>
          </cell>
          <cell r="I360">
            <v>0</v>
          </cell>
          <cell r="J360">
            <v>45042</v>
          </cell>
          <cell r="K360">
            <v>46144</v>
          </cell>
          <cell r="L360">
            <v>46164</v>
          </cell>
          <cell r="M360">
            <v>3352288</v>
          </cell>
          <cell r="N360">
            <v>402274</v>
          </cell>
          <cell r="O360">
            <v>3754562</v>
          </cell>
          <cell r="P360"/>
          <cell r="Q360"/>
          <cell r="R360"/>
          <cell r="S360"/>
          <cell r="T360">
            <v>0</v>
          </cell>
          <cell r="U360">
            <v>0</v>
          </cell>
          <cell r="V360">
            <v>0</v>
          </cell>
          <cell r="W360">
            <v>3754562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/>
          <cell r="AC360"/>
          <cell r="AD360"/>
          <cell r="AE360"/>
          <cell r="AF360" t="str">
            <v>UnRegistered</v>
          </cell>
        </row>
        <row r="361">
          <cell r="B361" t="str">
            <v>R4 209</v>
          </cell>
          <cell r="C361" t="str">
            <v>R4</v>
          </cell>
          <cell r="D361" t="str">
            <v>M3M Capital Walk in M3M Capital Phase-2</v>
          </cell>
          <cell r="E361" t="str">
            <v>cwBOOKING/00238/22-23</v>
          </cell>
          <cell r="F361" t="str">
            <v>Ms. LAXMI SHARMA</v>
          </cell>
          <cell r="G361" t="str">
            <v>cwFLAP/00158/22-23</v>
          </cell>
          <cell r="H361" t="str">
            <v>On Application of OC</v>
          </cell>
          <cell r="I361">
            <v>0</v>
          </cell>
          <cell r="J361">
            <v>45302</v>
          </cell>
          <cell r="K361">
            <v>46144</v>
          </cell>
          <cell r="L361">
            <v>46164</v>
          </cell>
          <cell r="M361">
            <v>4382282</v>
          </cell>
          <cell r="N361">
            <v>525874</v>
          </cell>
          <cell r="O361">
            <v>4908156</v>
          </cell>
          <cell r="P361"/>
          <cell r="Q361"/>
          <cell r="R361"/>
          <cell r="S361"/>
          <cell r="T361">
            <v>0</v>
          </cell>
          <cell r="U361">
            <v>0</v>
          </cell>
          <cell r="V361">
            <v>21910</v>
          </cell>
          <cell r="W361">
            <v>4930066</v>
          </cell>
          <cell r="X361">
            <v>8823</v>
          </cell>
          <cell r="Y361">
            <v>0</v>
          </cell>
          <cell r="Z361">
            <v>0</v>
          </cell>
          <cell r="AA361">
            <v>8823</v>
          </cell>
          <cell r="AB361"/>
          <cell r="AC361"/>
          <cell r="AD361"/>
          <cell r="AE361"/>
          <cell r="AF361" t="str">
            <v>UnRegistered</v>
          </cell>
        </row>
        <row r="362">
          <cell r="B362" t="str">
            <v>R4 208</v>
          </cell>
          <cell r="C362" t="str">
            <v>R4</v>
          </cell>
          <cell r="D362" t="str">
            <v>M3M Capital Walk in M3M Capital Phase-2</v>
          </cell>
          <cell r="E362" t="str">
            <v>cwBOOKING/00239/22-23</v>
          </cell>
          <cell r="F362" t="str">
            <v>Mr. VIRENDRA KUMAR AGRAWAL</v>
          </cell>
          <cell r="G362" t="str">
            <v>cwFLAP/00164/22-23</v>
          </cell>
          <cell r="H362" t="str">
            <v>On Application of OC</v>
          </cell>
          <cell r="I362">
            <v>0</v>
          </cell>
          <cell r="J362">
            <v>45078</v>
          </cell>
          <cell r="K362">
            <v>46144</v>
          </cell>
          <cell r="L362">
            <v>46164</v>
          </cell>
          <cell r="M362">
            <v>4382282</v>
          </cell>
          <cell r="N362">
            <v>525874</v>
          </cell>
          <cell r="O362">
            <v>4908156</v>
          </cell>
          <cell r="P362"/>
          <cell r="Q362"/>
          <cell r="R362"/>
          <cell r="S362"/>
          <cell r="T362">
            <v>0</v>
          </cell>
          <cell r="U362">
            <v>782</v>
          </cell>
          <cell r="V362">
            <v>0</v>
          </cell>
          <cell r="W362">
            <v>4907374</v>
          </cell>
          <cell r="X362">
            <v>6034</v>
          </cell>
          <cell r="Y362">
            <v>0</v>
          </cell>
          <cell r="Z362">
            <v>0</v>
          </cell>
          <cell r="AA362">
            <v>6034</v>
          </cell>
          <cell r="AB362"/>
          <cell r="AC362"/>
          <cell r="AD362"/>
          <cell r="AE362"/>
          <cell r="AF362" t="str">
            <v>UnRegistered</v>
          </cell>
        </row>
        <row r="363">
          <cell r="B363" t="str">
            <v>R5 G 14</v>
          </cell>
          <cell r="C363" t="str">
            <v>R5</v>
          </cell>
          <cell r="D363" t="str">
            <v>M3M Capital Walk in M3M Capital Phase-2</v>
          </cell>
          <cell r="E363" t="str">
            <v>cwBOOKING/00240/22-23</v>
          </cell>
          <cell r="F363" t="str">
            <v>M/S. H S ASSOCIATES</v>
          </cell>
          <cell r="G363" t="str">
            <v>cwFLAP/00393/22-23</v>
          </cell>
          <cell r="H363" t="str">
            <v>On Application of OC</v>
          </cell>
          <cell r="I363">
            <v>0</v>
          </cell>
          <cell r="J363">
            <v>45162</v>
          </cell>
          <cell r="K363">
            <v>46144</v>
          </cell>
          <cell r="L363">
            <v>46164</v>
          </cell>
          <cell r="M363">
            <v>14962916</v>
          </cell>
          <cell r="N363">
            <v>1795550</v>
          </cell>
          <cell r="O363">
            <v>16758466</v>
          </cell>
          <cell r="P363"/>
          <cell r="Q363"/>
          <cell r="R363"/>
          <cell r="S363"/>
          <cell r="T363">
            <v>0</v>
          </cell>
          <cell r="U363">
            <v>0</v>
          </cell>
          <cell r="V363">
            <v>0</v>
          </cell>
          <cell r="W363">
            <v>16758466</v>
          </cell>
          <cell r="X363">
            <v>81754</v>
          </cell>
          <cell r="Y363">
            <v>0</v>
          </cell>
          <cell r="Z363">
            <v>0</v>
          </cell>
          <cell r="AA363">
            <v>81754</v>
          </cell>
          <cell r="AB363"/>
          <cell r="AC363"/>
          <cell r="AD363"/>
          <cell r="AE363"/>
          <cell r="AF363" t="str">
            <v>UnRegistered</v>
          </cell>
        </row>
        <row r="364">
          <cell r="B364" t="str">
            <v>R4 UG 16</v>
          </cell>
          <cell r="C364" t="str">
            <v>R4</v>
          </cell>
          <cell r="D364" t="str">
            <v>M3M Capital Walk in M3M Capital Phase-2</v>
          </cell>
          <cell r="E364" t="str">
            <v>cwBOOKING/00241/22-23</v>
          </cell>
          <cell r="F364" t="str">
            <v>Mr. VIRAT KHULLAR</v>
          </cell>
          <cell r="G364" t="str">
            <v>cwFLAP/00251/22-23</v>
          </cell>
          <cell r="H364" t="str">
            <v>On Application of OC</v>
          </cell>
          <cell r="I364">
            <v>0</v>
          </cell>
          <cell r="J364">
            <v>45413</v>
          </cell>
          <cell r="K364">
            <v>46144</v>
          </cell>
          <cell r="L364">
            <v>46164</v>
          </cell>
          <cell r="M364">
            <v>5350865</v>
          </cell>
          <cell r="N364">
            <v>642104</v>
          </cell>
          <cell r="O364">
            <v>5992969</v>
          </cell>
          <cell r="P364"/>
          <cell r="Q364"/>
          <cell r="R364"/>
          <cell r="S364"/>
          <cell r="T364">
            <v>0</v>
          </cell>
          <cell r="U364">
            <v>1</v>
          </cell>
          <cell r="V364">
            <v>0</v>
          </cell>
          <cell r="W364">
            <v>5992968</v>
          </cell>
          <cell r="X364">
            <v>7597</v>
          </cell>
          <cell r="Y364">
            <v>0</v>
          </cell>
          <cell r="Z364">
            <v>0</v>
          </cell>
          <cell r="AA364">
            <v>7597</v>
          </cell>
          <cell r="AB364"/>
          <cell r="AC364"/>
          <cell r="AD364"/>
          <cell r="AE364"/>
          <cell r="AF364" t="str">
            <v>UnRegistered</v>
          </cell>
        </row>
        <row r="365">
          <cell r="B365" t="str">
            <v>R2 UG 02</v>
          </cell>
          <cell r="C365" t="str">
            <v>R2</v>
          </cell>
          <cell r="D365" t="str">
            <v>M3M Capital Walk in M3M Capital Phase-2</v>
          </cell>
          <cell r="E365" t="str">
            <v>cwBOOKING/00242/22-23</v>
          </cell>
          <cell r="F365" t="str">
            <v>Mr. SUDERSHAN ARORA</v>
          </cell>
          <cell r="G365" t="str">
            <v>cwFLAP/00205/22-23</v>
          </cell>
          <cell r="H365" t="str">
            <v>On Application of OC</v>
          </cell>
          <cell r="I365">
            <v>0</v>
          </cell>
          <cell r="J365">
            <v>44978</v>
          </cell>
          <cell r="K365">
            <v>46144</v>
          </cell>
          <cell r="L365">
            <v>46164</v>
          </cell>
          <cell r="M365">
            <v>2969850</v>
          </cell>
          <cell r="N365">
            <v>356382</v>
          </cell>
          <cell r="O365">
            <v>3326232</v>
          </cell>
          <cell r="P365">
            <v>627089.25300000003</v>
          </cell>
          <cell r="Q365"/>
          <cell r="R365"/>
          <cell r="S365">
            <v>75250.710359999997</v>
          </cell>
          <cell r="T365">
            <v>702339.96336000005</v>
          </cell>
          <cell r="U365">
            <v>0</v>
          </cell>
          <cell r="V365">
            <v>0</v>
          </cell>
          <cell r="W365">
            <v>2623892.0366400001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 t="str">
            <v>Executed</v>
          </cell>
          <cell r="AC365" t="str">
            <v>Yes</v>
          </cell>
          <cell r="AD365">
            <v>0.11965172704194933</v>
          </cell>
          <cell r="AE365" t="str">
            <v>Less than 35%</v>
          </cell>
          <cell r="AF365" t="str">
            <v>UnRegistered</v>
          </cell>
        </row>
        <row r="366">
          <cell r="B366" t="str">
            <v>R3 LG 86</v>
          </cell>
          <cell r="C366" t="str">
            <v>R3</v>
          </cell>
          <cell r="D366" t="str">
            <v>M3M Capital Walk in M3M Capital Phase-2</v>
          </cell>
          <cell r="E366" t="str">
            <v>cwBOOKING/00242/23-24</v>
          </cell>
          <cell r="F366" t="str">
            <v>Mr. Bharat Meena</v>
          </cell>
          <cell r="G366" t="str">
            <v>cwFLAP/00073/23-24</v>
          </cell>
          <cell r="H366" t="str">
            <v>On Application of OC</v>
          </cell>
          <cell r="I366">
            <v>0</v>
          </cell>
          <cell r="J366">
            <v>45232</v>
          </cell>
          <cell r="K366">
            <v>46144</v>
          </cell>
          <cell r="L366">
            <v>46164</v>
          </cell>
          <cell r="M366">
            <v>3100000</v>
          </cell>
          <cell r="N366">
            <v>372000</v>
          </cell>
          <cell r="O366">
            <v>3472000</v>
          </cell>
          <cell r="P366"/>
          <cell r="Q366"/>
          <cell r="R366"/>
          <cell r="S366"/>
          <cell r="T366">
            <v>0</v>
          </cell>
          <cell r="U366">
            <v>0</v>
          </cell>
          <cell r="V366">
            <v>2</v>
          </cell>
          <cell r="W366">
            <v>3472002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/>
          <cell r="AC366"/>
          <cell r="AD366"/>
          <cell r="AE366"/>
          <cell r="AF366" t="str">
            <v>UnRegistered</v>
          </cell>
        </row>
        <row r="367">
          <cell r="B367" t="str">
            <v>R4 UG 26</v>
          </cell>
          <cell r="C367" t="str">
            <v>R4</v>
          </cell>
          <cell r="D367" t="str">
            <v>M3M Capital Walk in M3M Capital Phase-2</v>
          </cell>
          <cell r="E367" t="str">
            <v>cwBOOKING/00243/23-24</v>
          </cell>
          <cell r="F367" t="str">
            <v>Ms. Sushma Devi</v>
          </cell>
          <cell r="G367" t="str">
            <v>cwFLAP/01039/22-23</v>
          </cell>
          <cell r="H367" t="str">
            <v>On Application of OC</v>
          </cell>
          <cell r="I367">
            <v>0</v>
          </cell>
          <cell r="J367">
            <v>45279</v>
          </cell>
          <cell r="K367">
            <v>46144</v>
          </cell>
          <cell r="L367">
            <v>46164</v>
          </cell>
          <cell r="M367">
            <v>6131487</v>
          </cell>
          <cell r="N367">
            <v>735778</v>
          </cell>
          <cell r="O367">
            <v>6867265</v>
          </cell>
          <cell r="P367"/>
          <cell r="Q367"/>
          <cell r="R367"/>
          <cell r="S367"/>
          <cell r="T367">
            <v>0</v>
          </cell>
          <cell r="U367">
            <v>32</v>
          </cell>
          <cell r="V367">
            <v>0</v>
          </cell>
          <cell r="W367">
            <v>6867233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/>
          <cell r="AC367"/>
          <cell r="AD367"/>
          <cell r="AE367"/>
          <cell r="AF367" t="str">
            <v>UnRegistered</v>
          </cell>
        </row>
        <row r="368">
          <cell r="B368" t="str">
            <v>R6 214</v>
          </cell>
          <cell r="C368" t="str">
            <v>R6</v>
          </cell>
          <cell r="D368" t="str">
            <v>M3M Capital Walk in M3M Capital Phase-2</v>
          </cell>
          <cell r="E368" t="str">
            <v>cwBOOKING/00244/22-23</v>
          </cell>
          <cell r="F368" t="str">
            <v>Ms. SONIA SANGA</v>
          </cell>
          <cell r="G368" t="str">
            <v>cwFLAP/00359/22-23</v>
          </cell>
          <cell r="H368" t="str">
            <v>On Application of OC</v>
          </cell>
          <cell r="I368">
            <v>0</v>
          </cell>
          <cell r="J368">
            <v>45077</v>
          </cell>
          <cell r="K368">
            <v>46144</v>
          </cell>
          <cell r="L368">
            <v>46164</v>
          </cell>
          <cell r="M368">
            <v>1999196</v>
          </cell>
          <cell r="N368">
            <v>239904</v>
          </cell>
          <cell r="O368">
            <v>2239100</v>
          </cell>
          <cell r="P368"/>
          <cell r="Q368"/>
          <cell r="R368"/>
          <cell r="S368"/>
          <cell r="T368">
            <v>0</v>
          </cell>
          <cell r="U368">
            <v>0</v>
          </cell>
          <cell r="V368">
            <v>1</v>
          </cell>
          <cell r="W368">
            <v>2239101</v>
          </cell>
          <cell r="X368">
            <v>5171</v>
          </cell>
          <cell r="Y368">
            <v>0</v>
          </cell>
          <cell r="Z368">
            <v>0</v>
          </cell>
          <cell r="AA368">
            <v>5171</v>
          </cell>
          <cell r="AB368"/>
          <cell r="AC368"/>
          <cell r="AD368"/>
          <cell r="AE368"/>
          <cell r="AF368" t="str">
            <v>UnRegistered</v>
          </cell>
        </row>
        <row r="369">
          <cell r="B369" t="str">
            <v>R3 UG 08</v>
          </cell>
          <cell r="C369" t="str">
            <v>R3</v>
          </cell>
          <cell r="D369" t="str">
            <v>M3M Capital Walk in M3M Capital Phase-2</v>
          </cell>
          <cell r="E369" t="str">
            <v>cwBOOKING/00244/23-24</v>
          </cell>
          <cell r="F369" t="str">
            <v>M/S. Vishnu Kumar HUF</v>
          </cell>
          <cell r="G369" t="str">
            <v>cwFLAP/00115/23-24</v>
          </cell>
          <cell r="H369" t="str">
            <v>On Application of OC</v>
          </cell>
          <cell r="I369">
            <v>0</v>
          </cell>
          <cell r="J369">
            <v>45247</v>
          </cell>
          <cell r="K369">
            <v>46144</v>
          </cell>
          <cell r="L369">
            <v>46164</v>
          </cell>
          <cell r="M369">
            <v>2441285</v>
          </cell>
          <cell r="N369">
            <v>292954</v>
          </cell>
          <cell r="O369">
            <v>2734239</v>
          </cell>
          <cell r="P369"/>
          <cell r="Q369"/>
          <cell r="R369"/>
          <cell r="S369"/>
          <cell r="T369">
            <v>0</v>
          </cell>
          <cell r="U369">
            <v>0</v>
          </cell>
          <cell r="V369">
            <v>1</v>
          </cell>
          <cell r="W369">
            <v>2734240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/>
          <cell r="AC369"/>
          <cell r="AD369"/>
          <cell r="AE369"/>
          <cell r="AF369" t="str">
            <v>UnRegistered</v>
          </cell>
        </row>
        <row r="370">
          <cell r="B370" t="str">
            <v>R5 167</v>
          </cell>
          <cell r="C370" t="str">
            <v>R5</v>
          </cell>
          <cell r="D370" t="str">
            <v>M3M Capital Walk in M3M Capital Phase-2</v>
          </cell>
          <cell r="E370" t="str">
            <v>cwBOOKING/00245/22-23</v>
          </cell>
          <cell r="F370" t="str">
            <v>Ms. SANGEETA SAINI</v>
          </cell>
          <cell r="G370" t="str">
            <v>cwFLAP/00229/22-23</v>
          </cell>
          <cell r="H370" t="str">
            <v>On Application of OC</v>
          </cell>
          <cell r="I370">
            <v>0</v>
          </cell>
          <cell r="J370">
            <v>45000</v>
          </cell>
          <cell r="K370">
            <v>46144</v>
          </cell>
          <cell r="L370">
            <v>46164</v>
          </cell>
          <cell r="M370">
            <v>1562319</v>
          </cell>
          <cell r="N370">
            <v>187478</v>
          </cell>
          <cell r="O370">
            <v>1749797</v>
          </cell>
          <cell r="P370">
            <v>329578.30955000001</v>
          </cell>
          <cell r="Q370"/>
          <cell r="R370"/>
          <cell r="S370">
            <v>39549.397145999996</v>
          </cell>
          <cell r="T370">
            <v>369127.70669600001</v>
          </cell>
          <cell r="U370">
            <v>0</v>
          </cell>
          <cell r="V370">
            <v>0</v>
          </cell>
          <cell r="W370">
            <v>1380669.293304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 t="str">
            <v>Executed</v>
          </cell>
          <cell r="AC370" t="str">
            <v>Yes</v>
          </cell>
          <cell r="AD370">
            <v>9.6769643063479641E-2</v>
          </cell>
          <cell r="AE370" t="str">
            <v>Less than 35%</v>
          </cell>
          <cell r="AF370" t="str">
            <v>UnRegistered</v>
          </cell>
        </row>
        <row r="371">
          <cell r="B371" t="str">
            <v>R1 159</v>
          </cell>
          <cell r="C371" t="str">
            <v>R1</v>
          </cell>
          <cell r="D371" t="str">
            <v>M3M Capital Walk in M3M Capital Phase-2</v>
          </cell>
          <cell r="E371" t="str">
            <v>cwBOOKING/00245/23-24</v>
          </cell>
          <cell r="F371" t="str">
            <v>Mr. Jitendra Panchal</v>
          </cell>
          <cell r="G371" t="str">
            <v>cwFLAP/00134/23-24</v>
          </cell>
          <cell r="H371" t="str">
            <v>On Application of OC</v>
          </cell>
          <cell r="I371">
            <v>0</v>
          </cell>
          <cell r="J371">
            <v>45258</v>
          </cell>
          <cell r="K371">
            <v>46144</v>
          </cell>
          <cell r="L371">
            <v>46164</v>
          </cell>
          <cell r="M371">
            <v>6138143</v>
          </cell>
          <cell r="N371">
            <v>736578</v>
          </cell>
          <cell r="O371">
            <v>6874721</v>
          </cell>
          <cell r="P371"/>
          <cell r="Q371"/>
          <cell r="R371"/>
          <cell r="S371"/>
          <cell r="T371">
            <v>0</v>
          </cell>
          <cell r="U371">
            <v>0</v>
          </cell>
          <cell r="V371">
            <v>0</v>
          </cell>
          <cell r="W371">
            <v>6874721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/>
          <cell r="AC371"/>
          <cell r="AD371"/>
          <cell r="AE371"/>
          <cell r="AF371" t="str">
            <v>UnRegistered</v>
          </cell>
        </row>
        <row r="372">
          <cell r="B372" t="str">
            <v>R5 164</v>
          </cell>
          <cell r="C372" t="str">
            <v>R5</v>
          </cell>
          <cell r="D372" t="str">
            <v>M3M Capital Walk in M3M Capital Phase-2</v>
          </cell>
          <cell r="E372" t="str">
            <v>cwBOOKING/00247/22-23</v>
          </cell>
          <cell r="F372" t="str">
            <v>Ms. INDU CHAWLA</v>
          </cell>
          <cell r="G372" t="str">
            <v>cwFLAP/00149/22-23</v>
          </cell>
          <cell r="H372" t="str">
            <v>On Application of OC</v>
          </cell>
          <cell r="I372">
            <v>0</v>
          </cell>
          <cell r="J372">
            <v>44931</v>
          </cell>
          <cell r="K372">
            <v>46144</v>
          </cell>
          <cell r="L372">
            <v>46164</v>
          </cell>
          <cell r="M372">
            <v>1921905</v>
          </cell>
          <cell r="N372">
            <v>230628</v>
          </cell>
          <cell r="O372">
            <v>2152533</v>
          </cell>
          <cell r="P372">
            <v>377060.85839999997</v>
          </cell>
          <cell r="Q372"/>
          <cell r="R372"/>
          <cell r="S372">
            <v>45247.303007999995</v>
          </cell>
          <cell r="T372">
            <v>422308.16140799999</v>
          </cell>
          <cell r="U372">
            <v>0</v>
          </cell>
          <cell r="V372">
            <v>0</v>
          </cell>
          <cell r="W372">
            <v>1730224.8385920001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 t="str">
            <v>Executed</v>
          </cell>
          <cell r="AC372" t="str">
            <v>Yes</v>
          </cell>
          <cell r="AD372">
            <v>0.12752428936190771</v>
          </cell>
          <cell r="AE372" t="str">
            <v>Less than 35%</v>
          </cell>
          <cell r="AF372" t="str">
            <v>UnRegistered</v>
          </cell>
        </row>
        <row r="373">
          <cell r="B373" t="str">
            <v>R5 159</v>
          </cell>
          <cell r="C373" t="str">
            <v>R5</v>
          </cell>
          <cell r="D373" t="str">
            <v>M3M Capital Walk in M3M Capital Phase-2</v>
          </cell>
          <cell r="E373" t="str">
            <v>cwBOOKING/00248/22-23</v>
          </cell>
          <cell r="F373" t="str">
            <v>Ms. SAVITA YADAV</v>
          </cell>
          <cell r="G373" t="str">
            <v>cwFLAP/00172/22-23</v>
          </cell>
          <cell r="H373" t="str">
            <v>On Application of OC</v>
          </cell>
          <cell r="I373">
            <v>0</v>
          </cell>
          <cell r="J373">
            <v>45000</v>
          </cell>
          <cell r="K373">
            <v>46144</v>
          </cell>
          <cell r="L373">
            <v>46164</v>
          </cell>
          <cell r="M373">
            <v>1875445</v>
          </cell>
          <cell r="N373">
            <v>225054</v>
          </cell>
          <cell r="O373">
            <v>2100499</v>
          </cell>
          <cell r="P373">
            <v>396197.54090000002</v>
          </cell>
          <cell r="Q373"/>
          <cell r="R373"/>
          <cell r="S373">
            <v>47543.704908</v>
          </cell>
          <cell r="T373">
            <v>443741.24580800004</v>
          </cell>
          <cell r="U373">
            <v>2</v>
          </cell>
          <cell r="V373">
            <v>0</v>
          </cell>
          <cell r="W373">
            <v>1656755.754192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 t="str">
            <v>Executed</v>
          </cell>
          <cell r="AC373" t="str">
            <v>Yes</v>
          </cell>
          <cell r="AD373">
            <v>9.6769576093572313E-2</v>
          </cell>
          <cell r="AE373" t="str">
            <v>Less than 35%</v>
          </cell>
          <cell r="AF373" t="str">
            <v>UnRegistered</v>
          </cell>
        </row>
        <row r="374">
          <cell r="B374" t="str">
            <v>R4 125</v>
          </cell>
          <cell r="C374" t="str">
            <v>R4</v>
          </cell>
          <cell r="D374" t="str">
            <v>M3M Capital Walk in M3M Capital Phase-2</v>
          </cell>
          <cell r="E374" t="str">
            <v>cwBOOKING/00249/22-23</v>
          </cell>
          <cell r="F374" t="str">
            <v>M/S. RAJENDRA SINGH HUF</v>
          </cell>
          <cell r="G374" t="str">
            <v>cwFLAP/00097/22-23</v>
          </cell>
          <cell r="H374" t="str">
            <v>On Application of OC</v>
          </cell>
          <cell r="I374">
            <v>0</v>
          </cell>
          <cell r="J374">
            <v>45140</v>
          </cell>
          <cell r="K374">
            <v>46144</v>
          </cell>
          <cell r="L374">
            <v>46164</v>
          </cell>
          <cell r="M374">
            <v>5257151</v>
          </cell>
          <cell r="N374">
            <v>630858</v>
          </cell>
          <cell r="O374">
            <v>5888009</v>
          </cell>
          <cell r="P374">
            <v>1380038.2522199999</v>
          </cell>
          <cell r="Q374">
            <v>1170895.5</v>
          </cell>
          <cell r="R374"/>
          <cell r="S374">
            <v>306112.05026639998</v>
          </cell>
          <cell r="T374">
            <v>2857045.8024864001</v>
          </cell>
          <cell r="U374">
            <v>0</v>
          </cell>
          <cell r="V374">
            <v>2</v>
          </cell>
          <cell r="W374">
            <v>3030965.1975135999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 t="str">
            <v>Executed</v>
          </cell>
          <cell r="AC374" t="str">
            <v>Yes</v>
          </cell>
          <cell r="AD374">
            <v>0.33705071812198401</v>
          </cell>
          <cell r="AE374" t="str">
            <v>Less than 35%</v>
          </cell>
          <cell r="AF374" t="str">
            <v>UnRegistered</v>
          </cell>
        </row>
        <row r="375">
          <cell r="B375" t="str">
            <v>R5 G 06</v>
          </cell>
          <cell r="C375" t="str">
            <v>R5</v>
          </cell>
          <cell r="D375" t="str">
            <v>M3M Capital Walk in M3M Capital Phase-2</v>
          </cell>
          <cell r="E375" t="str">
            <v>cwBOOKING/00250/22-23</v>
          </cell>
          <cell r="F375" t="str">
            <v>Mrs. SHUBHANGEE SHARMA</v>
          </cell>
          <cell r="G375" t="str">
            <v>cwFLAP/00402/22-23</v>
          </cell>
          <cell r="H375" t="str">
            <v>On Application of OC</v>
          </cell>
          <cell r="I375">
            <v>0</v>
          </cell>
          <cell r="J375">
            <v>45105</v>
          </cell>
          <cell r="K375">
            <v>46144</v>
          </cell>
          <cell r="L375">
            <v>46164</v>
          </cell>
          <cell r="M375">
            <v>14929076</v>
          </cell>
          <cell r="N375">
            <v>1791490</v>
          </cell>
          <cell r="O375">
            <v>16720566</v>
          </cell>
          <cell r="P375"/>
          <cell r="Q375"/>
          <cell r="R375"/>
          <cell r="S375"/>
          <cell r="T375">
            <v>0</v>
          </cell>
          <cell r="U375">
            <v>414.58</v>
          </cell>
          <cell r="V375">
            <v>0</v>
          </cell>
          <cell r="W375">
            <v>16720151.42</v>
          </cell>
          <cell r="X375">
            <v>27027.72</v>
          </cell>
          <cell r="Y375">
            <v>0</v>
          </cell>
          <cell r="Z375">
            <v>29585</v>
          </cell>
          <cell r="AA375">
            <v>-2557.2800000000002</v>
          </cell>
          <cell r="AB375"/>
          <cell r="AC375"/>
          <cell r="AD375"/>
          <cell r="AE375"/>
          <cell r="AF375" t="str">
            <v>UnRegistered</v>
          </cell>
        </row>
        <row r="376">
          <cell r="B376" t="str">
            <v>R5 K 208</v>
          </cell>
          <cell r="C376" t="str">
            <v>R5</v>
          </cell>
          <cell r="D376" t="str">
            <v>M3M Capital Walk in M3M Capital Phase-2</v>
          </cell>
          <cell r="E376" t="str">
            <v>cwBOOKING/00251/22-23</v>
          </cell>
          <cell r="F376" t="str">
            <v>Mr. VIKRAM SHARMA</v>
          </cell>
          <cell r="G376" t="str">
            <v>cwFLAP/00375/22-23</v>
          </cell>
          <cell r="H376" t="str">
            <v>On Application of OC</v>
          </cell>
          <cell r="I376">
            <v>0</v>
          </cell>
          <cell r="J376">
            <v>45093</v>
          </cell>
          <cell r="K376">
            <v>46144</v>
          </cell>
          <cell r="L376">
            <v>46164</v>
          </cell>
          <cell r="M376">
            <v>4035488</v>
          </cell>
          <cell r="N376">
            <v>484258</v>
          </cell>
          <cell r="O376">
            <v>4519746</v>
          </cell>
          <cell r="P376"/>
          <cell r="Q376"/>
          <cell r="R376"/>
          <cell r="S376"/>
          <cell r="T376">
            <v>0</v>
          </cell>
          <cell r="U376">
            <v>254</v>
          </cell>
          <cell r="V376">
            <v>0</v>
          </cell>
          <cell r="W376">
            <v>4519492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/>
          <cell r="AC376"/>
          <cell r="AD376"/>
          <cell r="AE376"/>
          <cell r="AF376" t="str">
            <v>UnRegistered</v>
          </cell>
        </row>
        <row r="377">
          <cell r="B377" t="str">
            <v>R1 221</v>
          </cell>
          <cell r="C377" t="str">
            <v>R1</v>
          </cell>
          <cell r="D377" t="str">
            <v>M3M Capital Walk in M3M Capital Phase-2</v>
          </cell>
          <cell r="E377" t="str">
            <v>cwBOOKING/00253/22-23</v>
          </cell>
          <cell r="F377" t="str">
            <v>Ms. ANJALI PRAKASH</v>
          </cell>
          <cell r="G377" t="str">
            <v>cwFLAP/00414/22-23</v>
          </cell>
          <cell r="H377" t="str">
            <v>On Application of OC</v>
          </cell>
          <cell r="I377">
            <v>0</v>
          </cell>
          <cell r="J377">
            <v>44984</v>
          </cell>
          <cell r="K377">
            <v>46144</v>
          </cell>
          <cell r="L377">
            <v>46164</v>
          </cell>
          <cell r="M377">
            <v>2645886</v>
          </cell>
          <cell r="N377">
            <v>317506</v>
          </cell>
          <cell r="O377">
            <v>2963392</v>
          </cell>
          <cell r="P377">
            <v>257711.73375000001</v>
          </cell>
          <cell r="Q377"/>
          <cell r="R377"/>
          <cell r="S377">
            <v>30925.408050000002</v>
          </cell>
          <cell r="T377">
            <v>288637.14180000004</v>
          </cell>
          <cell r="U377">
            <v>0</v>
          </cell>
          <cell r="V377">
            <v>0</v>
          </cell>
          <cell r="W377">
            <v>2674754.8582000001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 t="str">
            <v>Executed</v>
          </cell>
          <cell r="AC377" t="str">
            <v>Yes</v>
          </cell>
          <cell r="AD377">
            <v>3.896036216326098E-2</v>
          </cell>
          <cell r="AE377" t="str">
            <v>Less than 35%</v>
          </cell>
          <cell r="AF377" t="str">
            <v>UnRegistered</v>
          </cell>
        </row>
        <row r="378">
          <cell r="B378" t="str">
            <v>R4 226</v>
          </cell>
          <cell r="C378" t="str">
            <v>R4</v>
          </cell>
          <cell r="D378" t="str">
            <v>M3M Capital Walk in M3M Capital Phase-2</v>
          </cell>
          <cell r="E378" t="str">
            <v>cwBOOKING/00254/22-23</v>
          </cell>
          <cell r="F378" t="str">
            <v>Ms. NAMRATA KAPUR</v>
          </cell>
          <cell r="G378" t="str">
            <v>cwFLAP/00155/22-23</v>
          </cell>
          <cell r="H378" t="str">
            <v>On Application of OC</v>
          </cell>
          <cell r="I378">
            <v>0</v>
          </cell>
          <cell r="J378">
            <v>44986</v>
          </cell>
          <cell r="K378">
            <v>46144</v>
          </cell>
          <cell r="L378">
            <v>46164</v>
          </cell>
          <cell r="M378">
            <v>3241288</v>
          </cell>
          <cell r="N378">
            <v>388954</v>
          </cell>
          <cell r="O378">
            <v>3630242</v>
          </cell>
          <cell r="P378">
            <v>391928.48099999991</v>
          </cell>
          <cell r="Q378"/>
          <cell r="R378"/>
          <cell r="S378">
            <v>47031.41771999999</v>
          </cell>
          <cell r="T378">
            <v>438959.89871999988</v>
          </cell>
          <cell r="U378">
            <v>0</v>
          </cell>
          <cell r="V378">
            <v>6401</v>
          </cell>
          <cell r="W378">
            <v>3197683.1012800001</v>
          </cell>
          <cell r="X378">
            <v>2581</v>
          </cell>
          <cell r="Y378">
            <v>0</v>
          </cell>
          <cell r="Z378">
            <v>0</v>
          </cell>
          <cell r="AA378">
            <v>2581</v>
          </cell>
          <cell r="AB378" t="str">
            <v>Executed</v>
          </cell>
          <cell r="AC378" t="str">
            <v>Yes</v>
          </cell>
          <cell r="AD378">
            <v>9.1394685115505095E-2</v>
          </cell>
          <cell r="AE378" t="str">
            <v>Less than 35%</v>
          </cell>
          <cell r="AF378" t="str">
            <v>UnRegistered</v>
          </cell>
        </row>
        <row r="379">
          <cell r="B379" t="str">
            <v>R1 220</v>
          </cell>
          <cell r="C379" t="str">
            <v>R1</v>
          </cell>
          <cell r="D379" t="str">
            <v>M3M Capital Walk in M3M Capital Phase-2</v>
          </cell>
          <cell r="E379" t="str">
            <v>cwBOOKING/00255/22-23</v>
          </cell>
          <cell r="F379" t="str">
            <v>Ms. RITU SHARMA</v>
          </cell>
          <cell r="G379" t="str">
            <v>cwFLAP/00177/22-23</v>
          </cell>
          <cell r="H379" t="str">
            <v>On Application of OC</v>
          </cell>
          <cell r="I379">
            <v>0</v>
          </cell>
          <cell r="J379">
            <v>44984</v>
          </cell>
          <cell r="K379">
            <v>46144</v>
          </cell>
          <cell r="L379">
            <v>46164</v>
          </cell>
          <cell r="M379">
            <v>2972906</v>
          </cell>
          <cell r="N379">
            <v>356748</v>
          </cell>
          <cell r="O379">
            <v>3329654</v>
          </cell>
          <cell r="P379"/>
          <cell r="Q379"/>
          <cell r="R379"/>
          <cell r="S379"/>
          <cell r="T379">
            <v>0</v>
          </cell>
          <cell r="U379">
            <v>0</v>
          </cell>
          <cell r="V379">
            <v>0</v>
          </cell>
          <cell r="W379">
            <v>3329654</v>
          </cell>
          <cell r="X379">
            <v>17946</v>
          </cell>
          <cell r="Y379">
            <v>0</v>
          </cell>
          <cell r="Z379">
            <v>0</v>
          </cell>
          <cell r="AA379">
            <v>17946</v>
          </cell>
          <cell r="AB379"/>
          <cell r="AC379"/>
          <cell r="AD379"/>
          <cell r="AE379"/>
          <cell r="AF379" t="str">
            <v>UnRegistered</v>
          </cell>
        </row>
        <row r="380">
          <cell r="B380" t="str">
            <v>R1 255</v>
          </cell>
          <cell r="C380" t="str">
            <v>R1</v>
          </cell>
          <cell r="D380" t="str">
            <v>M3M Capital Walk in M3M Capital Phase-2</v>
          </cell>
          <cell r="E380" t="str">
            <v>cwBOOKING/00255/23-24</v>
          </cell>
          <cell r="F380" t="str">
            <v>Ms. Rekha Bishnoi</v>
          </cell>
          <cell r="G380" t="str">
            <v>cwFLAP/00153/23-24</v>
          </cell>
          <cell r="H380" t="str">
            <v>On Application of OC</v>
          </cell>
          <cell r="I380">
            <v>0</v>
          </cell>
          <cell r="J380">
            <v>45357</v>
          </cell>
          <cell r="K380">
            <v>46144</v>
          </cell>
          <cell r="L380">
            <v>46164</v>
          </cell>
          <cell r="M380">
            <v>3603192</v>
          </cell>
          <cell r="N380">
            <v>432384</v>
          </cell>
          <cell r="O380">
            <v>4035576</v>
          </cell>
          <cell r="P380"/>
          <cell r="Q380"/>
          <cell r="R380"/>
          <cell r="S380"/>
          <cell r="T380">
            <v>0</v>
          </cell>
          <cell r="U380">
            <v>0</v>
          </cell>
          <cell r="V380">
            <v>0</v>
          </cell>
          <cell r="W380">
            <v>4035576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/>
          <cell r="AC380"/>
          <cell r="AD380"/>
          <cell r="AE380"/>
          <cell r="AF380" t="str">
            <v>UnRegistered</v>
          </cell>
        </row>
        <row r="381">
          <cell r="B381" t="str">
            <v>R6 205</v>
          </cell>
          <cell r="C381" t="str">
            <v>R6</v>
          </cell>
          <cell r="D381" t="str">
            <v>M3M Capital Walk in M3M Capital Phase-2</v>
          </cell>
          <cell r="E381" t="str">
            <v>cwBOOKING/00256/22-23</v>
          </cell>
          <cell r="F381" t="str">
            <v>Mr. PANKAJ MALIK</v>
          </cell>
          <cell r="G381" t="str">
            <v>cwFLAP/00282/22-23</v>
          </cell>
          <cell r="H381" t="str">
            <v>On Application of OC</v>
          </cell>
          <cell r="I381">
            <v>0</v>
          </cell>
          <cell r="J381">
            <v>45105</v>
          </cell>
          <cell r="K381">
            <v>46144</v>
          </cell>
          <cell r="L381">
            <v>46164</v>
          </cell>
          <cell r="M381">
            <v>3138939</v>
          </cell>
          <cell r="N381">
            <v>376672</v>
          </cell>
          <cell r="O381">
            <v>3515611</v>
          </cell>
          <cell r="P381"/>
          <cell r="Q381"/>
          <cell r="R381"/>
          <cell r="S381"/>
          <cell r="T381">
            <v>0</v>
          </cell>
          <cell r="U381">
            <v>0</v>
          </cell>
          <cell r="V381">
            <v>0</v>
          </cell>
          <cell r="W381">
            <v>3515611</v>
          </cell>
          <cell r="X381">
            <v>2879</v>
          </cell>
          <cell r="Y381">
            <v>0</v>
          </cell>
          <cell r="Z381">
            <v>0</v>
          </cell>
          <cell r="AA381">
            <v>2879</v>
          </cell>
          <cell r="AB381"/>
          <cell r="AC381"/>
          <cell r="AD381"/>
          <cell r="AE381"/>
          <cell r="AF381" t="str">
            <v>UnRegistered</v>
          </cell>
        </row>
        <row r="382">
          <cell r="B382" t="str">
            <v>R5 LG 51</v>
          </cell>
          <cell r="C382" t="str">
            <v>R5</v>
          </cell>
          <cell r="D382" t="str">
            <v>M3M Capital Walk in M3M Capital Phase-2</v>
          </cell>
          <cell r="E382" t="str">
            <v>cwBOOKING/00256/23-24</v>
          </cell>
          <cell r="F382" t="str">
            <v>Mr. Bharat Meena</v>
          </cell>
          <cell r="G382" t="str">
            <v>cwFLAP/00135/23-24</v>
          </cell>
          <cell r="H382" t="str">
            <v>On Application of OC</v>
          </cell>
          <cell r="I382">
            <v>0</v>
          </cell>
          <cell r="J382">
            <v>45232</v>
          </cell>
          <cell r="K382">
            <v>46144</v>
          </cell>
          <cell r="L382">
            <v>46164</v>
          </cell>
          <cell r="M382">
            <v>3150000</v>
          </cell>
          <cell r="N382">
            <v>378000</v>
          </cell>
          <cell r="O382">
            <v>3528000</v>
          </cell>
          <cell r="P382"/>
          <cell r="Q382"/>
          <cell r="R382"/>
          <cell r="S382"/>
          <cell r="T382">
            <v>0</v>
          </cell>
          <cell r="U382">
            <v>0</v>
          </cell>
          <cell r="V382">
            <v>0</v>
          </cell>
          <cell r="W382">
            <v>3528000</v>
          </cell>
          <cell r="X382">
            <v>20.239999999999998</v>
          </cell>
          <cell r="Y382">
            <v>0</v>
          </cell>
          <cell r="Z382">
            <v>0</v>
          </cell>
          <cell r="AA382">
            <v>20.239999999999998</v>
          </cell>
          <cell r="AB382"/>
          <cell r="AC382"/>
          <cell r="AD382"/>
          <cell r="AE382"/>
          <cell r="AF382" t="str">
            <v>UnRegistered</v>
          </cell>
        </row>
        <row r="383">
          <cell r="B383" t="str">
            <v>R6 102</v>
          </cell>
          <cell r="C383" t="str">
            <v>R6</v>
          </cell>
          <cell r="D383" t="str">
            <v>M3M Capital Walk in M3M Capital Phase-2</v>
          </cell>
          <cell r="E383" t="str">
            <v>cwBOOKING/00258/22-23</v>
          </cell>
          <cell r="F383" t="str">
            <v>Mr. ANIL KANT</v>
          </cell>
          <cell r="G383" t="str">
            <v>cwFLAP/00006/22-23</v>
          </cell>
          <cell r="H383" t="str">
            <v>On Application of OC</v>
          </cell>
          <cell r="I383">
            <v>0</v>
          </cell>
          <cell r="J383">
            <v>44960</v>
          </cell>
          <cell r="K383">
            <v>46144</v>
          </cell>
          <cell r="L383">
            <v>46164</v>
          </cell>
          <cell r="M383">
            <v>3973800</v>
          </cell>
          <cell r="N383">
            <v>476856</v>
          </cell>
          <cell r="O383">
            <v>4450656</v>
          </cell>
          <cell r="P383"/>
          <cell r="Q383"/>
          <cell r="R383"/>
          <cell r="S383"/>
          <cell r="T383">
            <v>0</v>
          </cell>
          <cell r="U383">
            <v>2515915</v>
          </cell>
          <cell r="V383">
            <v>0</v>
          </cell>
          <cell r="W383">
            <v>1934741</v>
          </cell>
          <cell r="X383">
            <v>399</v>
          </cell>
          <cell r="Y383">
            <v>0</v>
          </cell>
          <cell r="Z383">
            <v>0</v>
          </cell>
          <cell r="AA383">
            <v>399</v>
          </cell>
          <cell r="AB383"/>
          <cell r="AC383"/>
          <cell r="AD383"/>
          <cell r="AE383"/>
          <cell r="AF383" t="str">
            <v>UnRegistered</v>
          </cell>
        </row>
        <row r="384">
          <cell r="B384" t="str">
            <v>R3 LG 85</v>
          </cell>
          <cell r="C384" t="str">
            <v>R3</v>
          </cell>
          <cell r="D384" t="str">
            <v>M3M Capital Walk in M3M Capital Phase-2</v>
          </cell>
          <cell r="E384" t="str">
            <v>cwBOOKING/00258/23-24</v>
          </cell>
          <cell r="F384" t="str">
            <v>Ms. Rajni Devi</v>
          </cell>
          <cell r="G384" t="str">
            <v>cwFLAP/00136/23-24</v>
          </cell>
          <cell r="H384" t="str">
            <v>On Application of OC</v>
          </cell>
          <cell r="I384">
            <v>0</v>
          </cell>
          <cell r="J384">
            <v>45238</v>
          </cell>
          <cell r="K384">
            <v>46144</v>
          </cell>
          <cell r="L384">
            <v>46164</v>
          </cell>
          <cell r="M384">
            <v>4876732</v>
          </cell>
          <cell r="N384">
            <v>585208</v>
          </cell>
          <cell r="O384">
            <v>5461940</v>
          </cell>
          <cell r="P384"/>
          <cell r="Q384"/>
          <cell r="R384"/>
          <cell r="S384"/>
          <cell r="T384">
            <v>0</v>
          </cell>
          <cell r="U384">
            <v>0.52</v>
          </cell>
          <cell r="V384">
            <v>0</v>
          </cell>
          <cell r="W384">
            <v>5461939.4800000004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/>
          <cell r="AC384"/>
          <cell r="AD384"/>
          <cell r="AE384"/>
          <cell r="AF384" t="str">
            <v>UnRegistered</v>
          </cell>
        </row>
        <row r="385">
          <cell r="B385" t="str">
            <v>R2 UG 11</v>
          </cell>
          <cell r="C385" t="str">
            <v>R2</v>
          </cell>
          <cell r="D385" t="str">
            <v>M3M Capital Walk in M3M Capital Phase-2</v>
          </cell>
          <cell r="E385" t="str">
            <v>cwBOOKING/00259/22-23</v>
          </cell>
          <cell r="F385" t="str">
            <v>Mr. RAJENDER KAUSHIK</v>
          </cell>
          <cell r="G385" t="str">
            <v>cwFLAP/00087/22-23</v>
          </cell>
          <cell r="H385" t="str">
            <v>On Application of OC</v>
          </cell>
          <cell r="I385">
            <v>0</v>
          </cell>
          <cell r="J385">
            <v>45047</v>
          </cell>
          <cell r="K385">
            <v>46144</v>
          </cell>
          <cell r="L385">
            <v>46164</v>
          </cell>
          <cell r="M385">
            <v>3926707</v>
          </cell>
          <cell r="N385">
            <v>471204</v>
          </cell>
          <cell r="O385">
            <v>4397911</v>
          </cell>
          <cell r="P385">
            <v>757951.03037499997</v>
          </cell>
          <cell r="Q385">
            <v>1446690</v>
          </cell>
          <cell r="R385"/>
          <cell r="S385">
            <v>264556.92364499997</v>
          </cell>
          <cell r="T385">
            <v>2469197.9540200001</v>
          </cell>
          <cell r="U385">
            <v>11</v>
          </cell>
          <cell r="V385">
            <v>0</v>
          </cell>
          <cell r="W385">
            <v>1928702.0459799999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 t="str">
            <v>Executed</v>
          </cell>
          <cell r="AC385" t="str">
            <v>Yes</v>
          </cell>
          <cell r="AD385">
            <v>0.33686864076965245</v>
          </cell>
          <cell r="AE385" t="str">
            <v>Less than 35%</v>
          </cell>
          <cell r="AF385" t="str">
            <v>UnRegistered</v>
          </cell>
        </row>
        <row r="386">
          <cell r="B386" t="str">
            <v>R4 K 302</v>
          </cell>
          <cell r="C386" t="str">
            <v>R4</v>
          </cell>
          <cell r="D386" t="str">
            <v>M3M Capital Walk in M3M Capital Phase-2</v>
          </cell>
          <cell r="E386" t="str">
            <v>cwBOOKING/00260/22-23</v>
          </cell>
          <cell r="F386" t="str">
            <v>Ms. NEHA MALHOTRA</v>
          </cell>
          <cell r="G386" t="str">
            <v>cwFLAP/00344/22-23</v>
          </cell>
          <cell r="H386" t="str">
            <v>On Application of OC</v>
          </cell>
          <cell r="I386">
            <v>0</v>
          </cell>
          <cell r="J386">
            <v>44995</v>
          </cell>
          <cell r="K386">
            <v>46144</v>
          </cell>
          <cell r="L386">
            <v>46164</v>
          </cell>
          <cell r="M386">
            <v>11569858</v>
          </cell>
          <cell r="N386">
            <v>1388382</v>
          </cell>
          <cell r="O386">
            <v>12958240</v>
          </cell>
          <cell r="P386"/>
          <cell r="Q386"/>
          <cell r="R386"/>
          <cell r="S386"/>
          <cell r="T386">
            <v>0</v>
          </cell>
          <cell r="U386">
            <v>0.69</v>
          </cell>
          <cell r="V386">
            <v>0</v>
          </cell>
          <cell r="W386">
            <v>12958239.310000001</v>
          </cell>
          <cell r="X386">
            <v>103024.08</v>
          </cell>
          <cell r="Y386">
            <v>0</v>
          </cell>
          <cell r="Z386">
            <v>0</v>
          </cell>
          <cell r="AA386">
            <v>103024.08</v>
          </cell>
          <cell r="AB386"/>
          <cell r="AC386"/>
          <cell r="AD386"/>
          <cell r="AE386"/>
          <cell r="AF386" t="str">
            <v>UnRegistered</v>
          </cell>
        </row>
        <row r="387">
          <cell r="B387" t="str">
            <v>R4 LG 17</v>
          </cell>
          <cell r="C387" t="str">
            <v>R4</v>
          </cell>
          <cell r="D387" t="str">
            <v>M3M Capital Walk in M3M Capital Phase-2</v>
          </cell>
          <cell r="E387" t="str">
            <v>cwBOOKING/00261/22-23</v>
          </cell>
          <cell r="F387" t="str">
            <v>Ms. SADHNA SINGH</v>
          </cell>
          <cell r="G387" t="str">
            <v>cwFLAP/00218/22-23</v>
          </cell>
          <cell r="H387" t="str">
            <v>On Application of OC</v>
          </cell>
          <cell r="I387">
            <v>0</v>
          </cell>
          <cell r="J387">
            <v>45236</v>
          </cell>
          <cell r="K387">
            <v>46144</v>
          </cell>
          <cell r="L387">
            <v>46164</v>
          </cell>
          <cell r="M387">
            <v>8745827</v>
          </cell>
          <cell r="N387">
            <v>1049500</v>
          </cell>
          <cell r="O387">
            <v>9795327</v>
          </cell>
          <cell r="P387">
            <v>4819862.2169599999</v>
          </cell>
          <cell r="Q387"/>
          <cell r="R387"/>
          <cell r="S387">
            <v>578383.46603519993</v>
          </cell>
          <cell r="T387">
            <v>5398245.6829952002</v>
          </cell>
          <cell r="U387">
            <v>0</v>
          </cell>
          <cell r="V387">
            <v>0</v>
          </cell>
          <cell r="W387">
            <v>4397081.3170047998</v>
          </cell>
          <cell r="X387">
            <v>24908</v>
          </cell>
          <cell r="Y387">
            <v>24908</v>
          </cell>
          <cell r="Z387">
            <v>0</v>
          </cell>
          <cell r="AA387">
            <v>0</v>
          </cell>
          <cell r="AB387" t="str">
            <v>Executed</v>
          </cell>
          <cell r="AC387" t="str">
            <v>Yes</v>
          </cell>
          <cell r="AD387">
            <v>0.23146376817849906</v>
          </cell>
          <cell r="AE387" t="str">
            <v>Less than 35%</v>
          </cell>
          <cell r="AF387" t="str">
            <v>UnRegistered</v>
          </cell>
        </row>
        <row r="388">
          <cell r="B388" t="str">
            <v>R4 LG 26</v>
          </cell>
          <cell r="C388" t="str">
            <v>R4</v>
          </cell>
          <cell r="D388" t="str">
            <v>M3M Capital Walk in M3M Capital Phase-2</v>
          </cell>
          <cell r="E388" t="str">
            <v>cwBOOKING/00262/22-23</v>
          </cell>
          <cell r="F388" t="str">
            <v>Ms. ANITA</v>
          </cell>
          <cell r="G388" t="str">
            <v>cwFLAP/00429/22-23</v>
          </cell>
          <cell r="H388" t="str">
            <v>On Application of OC</v>
          </cell>
          <cell r="I388">
            <v>0</v>
          </cell>
          <cell r="J388">
            <v>44988</v>
          </cell>
          <cell r="K388">
            <v>46144</v>
          </cell>
          <cell r="L388">
            <v>46164</v>
          </cell>
          <cell r="M388">
            <v>4377668</v>
          </cell>
          <cell r="N388">
            <v>525320</v>
          </cell>
          <cell r="O388">
            <v>4902988</v>
          </cell>
          <cell r="P388"/>
          <cell r="Q388"/>
          <cell r="R388"/>
          <cell r="S388"/>
          <cell r="T388">
            <v>0</v>
          </cell>
          <cell r="U388">
            <v>1</v>
          </cell>
          <cell r="V388">
            <v>0</v>
          </cell>
          <cell r="W388">
            <v>4902987</v>
          </cell>
          <cell r="X388">
            <v>3054.24</v>
          </cell>
          <cell r="Y388">
            <v>0</v>
          </cell>
          <cell r="Z388">
            <v>0</v>
          </cell>
          <cell r="AA388">
            <v>3054.24</v>
          </cell>
          <cell r="AB388"/>
          <cell r="AC388"/>
          <cell r="AD388"/>
          <cell r="AE388"/>
          <cell r="AF388" t="str">
            <v>UnRegistered</v>
          </cell>
        </row>
        <row r="389">
          <cell r="B389" t="str">
            <v>R6 211</v>
          </cell>
          <cell r="C389" t="str">
            <v>R6</v>
          </cell>
          <cell r="D389" t="str">
            <v>M3M Capital Walk in M3M Capital Phase-2</v>
          </cell>
          <cell r="E389" t="str">
            <v>cwBOOKING/00263/23-24</v>
          </cell>
          <cell r="F389" t="str">
            <v>Mr. Azad Singh</v>
          </cell>
          <cell r="G389" t="str">
            <v>cwFLAP/00146/23-24</v>
          </cell>
          <cell r="H389" t="str">
            <v>On Application of OC</v>
          </cell>
          <cell r="I389">
            <v>0</v>
          </cell>
          <cell r="J389">
            <v>45288</v>
          </cell>
          <cell r="K389">
            <v>46144</v>
          </cell>
          <cell r="L389">
            <v>46164</v>
          </cell>
          <cell r="M389">
            <v>7210880</v>
          </cell>
          <cell r="N389">
            <v>865306</v>
          </cell>
          <cell r="O389">
            <v>8076186</v>
          </cell>
          <cell r="P389"/>
          <cell r="Q389"/>
          <cell r="R389"/>
          <cell r="S389"/>
          <cell r="T389">
            <v>0</v>
          </cell>
          <cell r="U389">
            <v>0</v>
          </cell>
          <cell r="V389">
            <v>0</v>
          </cell>
          <cell r="W389">
            <v>8076186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/>
          <cell r="AC389"/>
          <cell r="AD389"/>
          <cell r="AE389"/>
          <cell r="AF389" t="str">
            <v>UnRegistered</v>
          </cell>
        </row>
        <row r="390">
          <cell r="B390" t="str">
            <v>R5 166</v>
          </cell>
          <cell r="C390" t="str">
            <v>R5</v>
          </cell>
          <cell r="D390" t="str">
            <v>M3M Capital Walk in M3M Capital Phase-2</v>
          </cell>
          <cell r="E390" t="str">
            <v>cwBOOKING/00264/22-23</v>
          </cell>
          <cell r="F390" t="str">
            <v>Ms. SURBHI VERMA</v>
          </cell>
          <cell r="G390" t="str">
            <v>cwFLAP/00338/22-23</v>
          </cell>
          <cell r="H390" t="str">
            <v>On Application of OC</v>
          </cell>
          <cell r="I390">
            <v>0</v>
          </cell>
          <cell r="J390">
            <v>45091</v>
          </cell>
          <cell r="K390">
            <v>46144</v>
          </cell>
          <cell r="L390">
            <v>46164</v>
          </cell>
          <cell r="M390">
            <v>2030126</v>
          </cell>
          <cell r="N390">
            <v>243616</v>
          </cell>
          <cell r="O390">
            <v>2273742</v>
          </cell>
          <cell r="P390">
            <v>370656.83059999999</v>
          </cell>
          <cell r="Q390"/>
          <cell r="R390"/>
          <cell r="S390">
            <v>44478.819671999998</v>
          </cell>
          <cell r="T390">
            <v>415135.650272</v>
          </cell>
          <cell r="U390">
            <v>25376.559999999998</v>
          </cell>
          <cell r="V390">
            <v>0</v>
          </cell>
          <cell r="W390">
            <v>1833229.7897279998</v>
          </cell>
          <cell r="X390">
            <v>253</v>
          </cell>
          <cell r="Y390">
            <v>0</v>
          </cell>
          <cell r="Z390">
            <v>0</v>
          </cell>
          <cell r="AA390">
            <v>253</v>
          </cell>
          <cell r="AB390" t="str">
            <v>Executed</v>
          </cell>
          <cell r="AC390" t="str">
            <v>Yes</v>
          </cell>
          <cell r="AD390">
            <v>7.3031280295351067E-2</v>
          </cell>
          <cell r="AE390" t="str">
            <v>Less than 35%</v>
          </cell>
          <cell r="AF390" t="str">
            <v>UnRegistered</v>
          </cell>
        </row>
        <row r="391">
          <cell r="B391" t="str">
            <v>R3 LG 10</v>
          </cell>
          <cell r="C391" t="str">
            <v>R3</v>
          </cell>
          <cell r="D391" t="str">
            <v>M3M Capital Walk in M3M Capital Phase-2</v>
          </cell>
          <cell r="E391" t="str">
            <v>cwBOOKING/00264/23-24</v>
          </cell>
          <cell r="F391" t="str">
            <v>Mr. Yogesh Chand Kaushik</v>
          </cell>
          <cell r="G391" t="str">
            <v>cwFLAP/00041/23-24</v>
          </cell>
          <cell r="H391" t="str">
            <v>On Application of OC</v>
          </cell>
          <cell r="I391">
            <v>0</v>
          </cell>
          <cell r="J391">
            <v>45470</v>
          </cell>
          <cell r="K391">
            <v>46144</v>
          </cell>
          <cell r="L391">
            <v>46164</v>
          </cell>
          <cell r="M391">
            <v>2989826</v>
          </cell>
          <cell r="N391">
            <v>358780</v>
          </cell>
          <cell r="O391">
            <v>3348606</v>
          </cell>
          <cell r="P391"/>
          <cell r="Q391"/>
          <cell r="R391"/>
          <cell r="S391"/>
          <cell r="T391">
            <v>0</v>
          </cell>
          <cell r="U391">
            <v>0</v>
          </cell>
          <cell r="V391">
            <v>0</v>
          </cell>
          <cell r="W391">
            <v>3348606</v>
          </cell>
          <cell r="X391">
            <v>5997.96</v>
          </cell>
          <cell r="Y391">
            <v>0</v>
          </cell>
          <cell r="Z391">
            <v>0</v>
          </cell>
          <cell r="AA391">
            <v>5997.96</v>
          </cell>
          <cell r="AB391"/>
          <cell r="AC391"/>
          <cell r="AD391"/>
          <cell r="AE391"/>
          <cell r="AF391" t="str">
            <v>UnRegistered</v>
          </cell>
        </row>
        <row r="392">
          <cell r="B392" t="str">
            <v>R4 214</v>
          </cell>
          <cell r="C392" t="str">
            <v>R4</v>
          </cell>
          <cell r="D392" t="str">
            <v>M3M Capital Walk in M3M Capital Phase-2</v>
          </cell>
          <cell r="E392" t="str">
            <v>cwBOOKING/00265/22-23</v>
          </cell>
          <cell r="F392" t="str">
            <v>Mr. ARJUN SINGH</v>
          </cell>
          <cell r="G392" t="str">
            <v>cwFLAP/00339/22-23</v>
          </cell>
          <cell r="H392" t="str">
            <v>On Application of OC</v>
          </cell>
          <cell r="I392">
            <v>0</v>
          </cell>
          <cell r="J392">
            <v>45047</v>
          </cell>
          <cell r="K392">
            <v>46144</v>
          </cell>
          <cell r="L392">
            <v>46164</v>
          </cell>
          <cell r="M392">
            <v>4980078</v>
          </cell>
          <cell r="N392">
            <v>597610</v>
          </cell>
          <cell r="O392">
            <v>5577688</v>
          </cell>
          <cell r="P392"/>
          <cell r="Q392"/>
          <cell r="R392"/>
          <cell r="S392"/>
          <cell r="T392">
            <v>0</v>
          </cell>
          <cell r="U392">
            <v>0</v>
          </cell>
          <cell r="V392">
            <v>0</v>
          </cell>
          <cell r="W392">
            <v>5577688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/>
          <cell r="AC392"/>
          <cell r="AD392"/>
          <cell r="AE392"/>
          <cell r="AF392" t="str">
            <v>UnRegistered</v>
          </cell>
        </row>
        <row r="393">
          <cell r="B393" t="str">
            <v>R5 K 301</v>
          </cell>
          <cell r="C393" t="str">
            <v>R5</v>
          </cell>
          <cell r="D393" t="str">
            <v>M3M Capital Walk in M3M Capital Phase-2</v>
          </cell>
          <cell r="E393" t="str">
            <v>cwBOOKING/00266/22-23</v>
          </cell>
          <cell r="F393" t="str">
            <v>Ms. NEHA MALHOTRA</v>
          </cell>
          <cell r="G393" t="str">
            <v>cwFLAP/00345/22-23</v>
          </cell>
          <cell r="H393" t="str">
            <v>On Application of OC</v>
          </cell>
          <cell r="I393">
            <v>0</v>
          </cell>
          <cell r="J393">
            <v>44995</v>
          </cell>
          <cell r="K393">
            <v>46144</v>
          </cell>
          <cell r="L393">
            <v>46164</v>
          </cell>
          <cell r="M393">
            <v>11569856</v>
          </cell>
          <cell r="N393">
            <v>1388382</v>
          </cell>
          <cell r="O393">
            <v>12958238</v>
          </cell>
          <cell r="P393"/>
          <cell r="Q393"/>
          <cell r="R393"/>
          <cell r="S393"/>
          <cell r="T393">
            <v>0</v>
          </cell>
          <cell r="U393">
            <v>0.69</v>
          </cell>
          <cell r="V393">
            <v>0</v>
          </cell>
          <cell r="W393">
            <v>12958237.310000001</v>
          </cell>
          <cell r="X393">
            <v>103024.08</v>
          </cell>
          <cell r="Y393">
            <v>0</v>
          </cell>
          <cell r="Z393">
            <v>0</v>
          </cell>
          <cell r="AA393">
            <v>103024.08</v>
          </cell>
          <cell r="AB393"/>
          <cell r="AC393"/>
          <cell r="AD393"/>
          <cell r="AE393"/>
          <cell r="AF393" t="str">
            <v>UnRegistered</v>
          </cell>
        </row>
        <row r="394">
          <cell r="B394" t="str">
            <v>R6 UG 06</v>
          </cell>
          <cell r="C394" t="str">
            <v>R6</v>
          </cell>
          <cell r="D394" t="str">
            <v>M3M Capital Walk in M3M Capital Phase-2</v>
          </cell>
          <cell r="E394" t="str">
            <v>cwBOOKING/00266/23-24</v>
          </cell>
          <cell r="F394" t="str">
            <v>Ms. Madhu Jha</v>
          </cell>
          <cell r="G394" t="str">
            <v>cwFLAP/00114/23-24</v>
          </cell>
          <cell r="H394" t="str">
            <v>On Application of OC</v>
          </cell>
          <cell r="I394">
            <v>0</v>
          </cell>
          <cell r="J394">
            <v>45247</v>
          </cell>
          <cell r="K394">
            <v>46144</v>
          </cell>
          <cell r="L394">
            <v>46164</v>
          </cell>
          <cell r="M394">
            <v>3100000</v>
          </cell>
          <cell r="N394">
            <v>372000</v>
          </cell>
          <cell r="O394">
            <v>3472000</v>
          </cell>
          <cell r="P394"/>
          <cell r="Q394"/>
          <cell r="R394"/>
          <cell r="S394"/>
          <cell r="T394">
            <v>0</v>
          </cell>
          <cell r="U394">
            <v>0</v>
          </cell>
          <cell r="V394">
            <v>0</v>
          </cell>
          <cell r="W394">
            <v>3472000</v>
          </cell>
          <cell r="X394">
            <v>1211.5999999999999</v>
          </cell>
          <cell r="Y394">
            <v>0</v>
          </cell>
          <cell r="Z394">
            <v>0</v>
          </cell>
          <cell r="AA394">
            <v>1211.5999999999999</v>
          </cell>
          <cell r="AB394"/>
          <cell r="AC394"/>
          <cell r="AD394"/>
          <cell r="AE394"/>
          <cell r="AF394" t="str">
            <v>UnRegistered</v>
          </cell>
        </row>
        <row r="395">
          <cell r="B395" t="str">
            <v>R5 K 221</v>
          </cell>
          <cell r="C395" t="str">
            <v>R5</v>
          </cell>
          <cell r="D395" t="str">
            <v>M3M Capital Walk in M3M Capital Phase-2</v>
          </cell>
          <cell r="E395" t="str">
            <v>cwBOOKING/00267/22-23</v>
          </cell>
          <cell r="F395" t="str">
            <v>Ms. SIMRAN</v>
          </cell>
          <cell r="G395" t="str">
            <v>cwFLAP/00432/22-23</v>
          </cell>
          <cell r="H395" t="str">
            <v>On Application of OC</v>
          </cell>
          <cell r="I395">
            <v>0</v>
          </cell>
          <cell r="J395">
            <v>44972</v>
          </cell>
          <cell r="K395">
            <v>46144</v>
          </cell>
          <cell r="L395">
            <v>46164</v>
          </cell>
          <cell r="M395">
            <v>4461958</v>
          </cell>
          <cell r="N395">
            <v>535434</v>
          </cell>
          <cell r="O395">
            <v>4997392</v>
          </cell>
          <cell r="P395">
            <v>580354.77500000002</v>
          </cell>
          <cell r="Q395"/>
          <cell r="R395"/>
          <cell r="S395">
            <v>69642.573000000004</v>
          </cell>
          <cell r="T395">
            <v>649997.348</v>
          </cell>
          <cell r="U395">
            <v>1</v>
          </cell>
          <cell r="V395">
            <v>0</v>
          </cell>
          <cell r="W395">
            <v>4347393.6519999998</v>
          </cell>
          <cell r="X395">
            <v>3200</v>
          </cell>
          <cell r="Y395">
            <v>0</v>
          </cell>
          <cell r="Z395">
            <v>0</v>
          </cell>
          <cell r="AA395">
            <v>3200</v>
          </cell>
          <cell r="AB395" t="str">
            <v>Executed</v>
          </cell>
          <cell r="AC395" t="str">
            <v>Yes</v>
          </cell>
          <cell r="AD395">
            <v>8.755075075075075E-2</v>
          </cell>
          <cell r="AE395" t="str">
            <v>Less than 35%</v>
          </cell>
          <cell r="AF395" t="str">
            <v>UnRegistered</v>
          </cell>
        </row>
        <row r="396">
          <cell r="B396" t="str">
            <v>R3 LG 40</v>
          </cell>
          <cell r="C396" t="str">
            <v>R3</v>
          </cell>
          <cell r="D396" t="str">
            <v>M3M Capital Walk in M3M Capital Phase-2</v>
          </cell>
          <cell r="E396" t="str">
            <v>cwBOOKING/00267/23-24</v>
          </cell>
          <cell r="F396" t="str">
            <v>Ms. Namita Kumari</v>
          </cell>
          <cell r="G396" t="str">
            <v>cwFLAP/00068/23-24</v>
          </cell>
          <cell r="H396" t="str">
            <v>On Application of OC</v>
          </cell>
          <cell r="I396">
            <v>0</v>
          </cell>
          <cell r="J396">
            <v>45237</v>
          </cell>
          <cell r="K396">
            <v>46144</v>
          </cell>
          <cell r="L396">
            <v>46164</v>
          </cell>
          <cell r="M396">
            <v>2800000</v>
          </cell>
          <cell r="N396">
            <v>336000</v>
          </cell>
          <cell r="O396">
            <v>3136000</v>
          </cell>
          <cell r="P396"/>
          <cell r="Q396"/>
          <cell r="R396"/>
          <cell r="S396"/>
          <cell r="T396">
            <v>0</v>
          </cell>
          <cell r="U396">
            <v>0</v>
          </cell>
          <cell r="V396">
            <v>0</v>
          </cell>
          <cell r="W396">
            <v>3136000</v>
          </cell>
          <cell r="X396">
            <v>2610</v>
          </cell>
          <cell r="Y396">
            <v>0</v>
          </cell>
          <cell r="Z396">
            <v>0</v>
          </cell>
          <cell r="AA396">
            <v>2610</v>
          </cell>
          <cell r="AB396"/>
          <cell r="AC396"/>
          <cell r="AD396"/>
          <cell r="AE396"/>
          <cell r="AF396" t="str">
            <v>UnRegistered</v>
          </cell>
        </row>
        <row r="397">
          <cell r="B397" t="str">
            <v>R5 UG 40</v>
          </cell>
          <cell r="C397" t="str">
            <v>R5</v>
          </cell>
          <cell r="D397" t="str">
            <v>M3M Capital Walk in M3M Capital Phase-2</v>
          </cell>
          <cell r="E397" t="str">
            <v>cwBOOKING/00268/22-23</v>
          </cell>
          <cell r="F397" t="str">
            <v>Ms. RAJNI AGARWAL</v>
          </cell>
          <cell r="G397" t="str">
            <v>cwFLAP/00394/22-23</v>
          </cell>
          <cell r="H397" t="str">
            <v>On Application of OC</v>
          </cell>
          <cell r="I397">
            <v>0</v>
          </cell>
          <cell r="J397">
            <v>45159</v>
          </cell>
          <cell r="K397">
            <v>46144</v>
          </cell>
          <cell r="L397">
            <v>46164</v>
          </cell>
          <cell r="M397">
            <v>1624316</v>
          </cell>
          <cell r="N397">
            <v>194918</v>
          </cell>
          <cell r="O397">
            <v>1819234</v>
          </cell>
          <cell r="P397"/>
          <cell r="Q397"/>
          <cell r="R397"/>
          <cell r="S397"/>
          <cell r="T397">
            <v>0</v>
          </cell>
          <cell r="U397">
            <v>0</v>
          </cell>
          <cell r="V397">
            <v>0</v>
          </cell>
          <cell r="W397">
            <v>1819234</v>
          </cell>
          <cell r="X397">
            <v>3760</v>
          </cell>
          <cell r="Y397">
            <v>0</v>
          </cell>
          <cell r="Z397">
            <v>0</v>
          </cell>
          <cell r="AA397">
            <v>3760</v>
          </cell>
          <cell r="AB397"/>
          <cell r="AC397"/>
          <cell r="AD397"/>
          <cell r="AE397"/>
          <cell r="AF397" t="str">
            <v>UnRegistered</v>
          </cell>
        </row>
        <row r="398">
          <cell r="B398" t="str">
            <v>R5 UG 45</v>
          </cell>
          <cell r="C398" t="str">
            <v>R5</v>
          </cell>
          <cell r="D398" t="str">
            <v>M3M Capital Walk in M3M Capital Phase-2</v>
          </cell>
          <cell r="E398" t="str">
            <v>cwBOOKING/00268/23-24</v>
          </cell>
          <cell r="F398" t="str">
            <v>Ms. Bharti</v>
          </cell>
          <cell r="G398" t="str">
            <v>cwFLAP/00160/23-24</v>
          </cell>
          <cell r="H398" t="str">
            <v>On Application of OC</v>
          </cell>
          <cell r="I398">
            <v>0</v>
          </cell>
          <cell r="J398">
            <v>45335</v>
          </cell>
          <cell r="K398">
            <v>46144</v>
          </cell>
          <cell r="L398">
            <v>46164</v>
          </cell>
          <cell r="M398">
            <v>4488292</v>
          </cell>
          <cell r="N398">
            <v>538596</v>
          </cell>
          <cell r="O398">
            <v>5026888</v>
          </cell>
          <cell r="P398">
            <v>18072.334440000002</v>
          </cell>
          <cell r="Q398"/>
          <cell r="R398"/>
          <cell r="S398">
            <v>2168.6801328000001</v>
          </cell>
          <cell r="T398">
            <v>20241.014572800002</v>
          </cell>
          <cell r="U398">
            <v>1000000</v>
          </cell>
          <cell r="V398">
            <v>0</v>
          </cell>
          <cell r="W398">
            <v>4006646.9854271999</v>
          </cell>
          <cell r="X398">
            <v>11451</v>
          </cell>
          <cell r="Y398">
            <v>0</v>
          </cell>
          <cell r="Z398">
            <v>0</v>
          </cell>
          <cell r="AA398">
            <v>11451</v>
          </cell>
          <cell r="AB398" t="str">
            <v>Executed</v>
          </cell>
          <cell r="AC398" t="str">
            <v>Yes due to interest less than 75000</v>
          </cell>
          <cell r="AD398">
            <v>2.4450613050029683E-3</v>
          </cell>
          <cell r="AE398" t="str">
            <v>Less than 35%</v>
          </cell>
          <cell r="AF398" t="str">
            <v>UnRegistered</v>
          </cell>
        </row>
        <row r="399">
          <cell r="B399" t="str">
            <v>R4 217</v>
          </cell>
          <cell r="C399" t="str">
            <v>R4</v>
          </cell>
          <cell r="D399" t="str">
            <v>M3M Capital Walk in M3M Capital Phase-2</v>
          </cell>
          <cell r="E399" t="str">
            <v>cwBOOKING/00269/22-23</v>
          </cell>
          <cell r="F399" t="str">
            <v>Mr. DEEPAK UPPAL</v>
          </cell>
          <cell r="G399" t="str">
            <v>cwFLAP/00416/22-23</v>
          </cell>
          <cell r="H399" t="str">
            <v>On Application of OC</v>
          </cell>
          <cell r="I399">
            <v>0</v>
          </cell>
          <cell r="J399">
            <v>45064</v>
          </cell>
          <cell r="K399">
            <v>46144</v>
          </cell>
          <cell r="L399">
            <v>46164</v>
          </cell>
          <cell r="M399">
            <v>4184082</v>
          </cell>
          <cell r="N399">
            <v>502090</v>
          </cell>
          <cell r="O399">
            <v>4686172</v>
          </cell>
          <cell r="P399"/>
          <cell r="Q399"/>
          <cell r="R399"/>
          <cell r="S399"/>
          <cell r="T399">
            <v>0</v>
          </cell>
          <cell r="U399">
            <v>0</v>
          </cell>
          <cell r="V399">
            <v>3</v>
          </cell>
          <cell r="W399">
            <v>4686175</v>
          </cell>
          <cell r="X399">
            <v>4789</v>
          </cell>
          <cell r="Y399">
            <v>0</v>
          </cell>
          <cell r="Z399">
            <v>0</v>
          </cell>
          <cell r="AA399">
            <v>4789</v>
          </cell>
          <cell r="AB399"/>
          <cell r="AC399"/>
          <cell r="AD399"/>
          <cell r="AE399"/>
          <cell r="AF399" t="str">
            <v>UnRegistered</v>
          </cell>
        </row>
        <row r="400">
          <cell r="B400" t="str">
            <v>R3 LG 75</v>
          </cell>
          <cell r="C400" t="str">
            <v>R3</v>
          </cell>
          <cell r="D400" t="str">
            <v>M3M Capital Walk in M3M Capital Phase-2</v>
          </cell>
          <cell r="E400" t="str">
            <v>cwBOOKING/00270/23-24</v>
          </cell>
          <cell r="F400" t="str">
            <v>Mr. Didar Singh</v>
          </cell>
          <cell r="G400" t="str">
            <v>cwFLAP/00161/23-24</v>
          </cell>
          <cell r="H400" t="str">
            <v>On Application of OC</v>
          </cell>
          <cell r="I400">
            <v>0</v>
          </cell>
          <cell r="J400">
            <v>45232</v>
          </cell>
          <cell r="K400">
            <v>46144</v>
          </cell>
          <cell r="L400">
            <v>46164</v>
          </cell>
          <cell r="M400">
            <v>4078761</v>
          </cell>
          <cell r="N400">
            <v>489452</v>
          </cell>
          <cell r="O400">
            <v>4568213</v>
          </cell>
          <cell r="P400"/>
          <cell r="Q400"/>
          <cell r="R400"/>
          <cell r="S400"/>
          <cell r="T400">
            <v>0</v>
          </cell>
          <cell r="U400">
            <v>0</v>
          </cell>
          <cell r="V400">
            <v>6000</v>
          </cell>
          <cell r="W400">
            <v>4574213</v>
          </cell>
          <cell r="X400">
            <v>1878.16</v>
          </cell>
          <cell r="Y400">
            <v>0</v>
          </cell>
          <cell r="Z400">
            <v>0</v>
          </cell>
          <cell r="AA400">
            <v>1878.16</v>
          </cell>
          <cell r="AB400"/>
          <cell r="AC400"/>
          <cell r="AD400"/>
          <cell r="AE400"/>
          <cell r="AF400" t="str">
            <v>UnRegistered</v>
          </cell>
        </row>
        <row r="401">
          <cell r="B401" t="str">
            <v>R6 UG 14</v>
          </cell>
          <cell r="C401" t="str">
            <v>R6</v>
          </cell>
          <cell r="D401" t="str">
            <v>M3M Capital Walk in M3M Capital Phase-2</v>
          </cell>
          <cell r="E401" t="str">
            <v>cwBOOKING/00271/22-23</v>
          </cell>
          <cell r="F401" t="str">
            <v>Ms. MONIKA TOMAR</v>
          </cell>
          <cell r="G401" t="str">
            <v>cwFLAP/00439/22-23</v>
          </cell>
          <cell r="H401" t="str">
            <v>On Application of OC</v>
          </cell>
          <cell r="I401">
            <v>0</v>
          </cell>
          <cell r="J401">
            <v>45012</v>
          </cell>
          <cell r="K401">
            <v>46144</v>
          </cell>
          <cell r="L401">
            <v>46164</v>
          </cell>
          <cell r="M401">
            <v>6483080</v>
          </cell>
          <cell r="N401">
            <v>777970</v>
          </cell>
          <cell r="O401">
            <v>7261050</v>
          </cell>
          <cell r="P401">
            <v>867141.93923000013</v>
          </cell>
          <cell r="Q401"/>
          <cell r="R401"/>
          <cell r="S401">
            <v>104057.03270760001</v>
          </cell>
          <cell r="T401">
            <v>971198.97193760017</v>
          </cell>
          <cell r="U401">
            <v>119</v>
          </cell>
          <cell r="V401">
            <v>0</v>
          </cell>
          <cell r="W401">
            <v>6289732.0280623995</v>
          </cell>
          <cell r="X401">
            <v>6051</v>
          </cell>
          <cell r="Y401">
            <v>0</v>
          </cell>
          <cell r="Z401">
            <v>6051</v>
          </cell>
          <cell r="AA401">
            <v>0</v>
          </cell>
          <cell r="AB401" t="str">
            <v>Executed</v>
          </cell>
          <cell r="AC401" t="str">
            <v>Yes</v>
          </cell>
          <cell r="AD401">
            <v>8.5368189111975648E-2</v>
          </cell>
          <cell r="AE401" t="str">
            <v>Less than 35%</v>
          </cell>
          <cell r="AF401" t="str">
            <v>UnRegistered</v>
          </cell>
        </row>
        <row r="402">
          <cell r="B402" t="str">
            <v>R3 LG 62</v>
          </cell>
          <cell r="C402" t="str">
            <v>R3</v>
          </cell>
          <cell r="D402" t="str">
            <v>M3M Capital Walk in M3M Capital Phase-2</v>
          </cell>
          <cell r="E402" t="str">
            <v>cwBOOKING/00271/23-24</v>
          </cell>
          <cell r="F402" t="str">
            <v>Ms. Neelam Sharma</v>
          </cell>
          <cell r="G402" t="str">
            <v>cwFLAP/00149/23-24</v>
          </cell>
          <cell r="H402" t="str">
            <v>On Application of OC</v>
          </cell>
          <cell r="I402">
            <v>0</v>
          </cell>
          <cell r="J402">
            <v>45230</v>
          </cell>
          <cell r="K402">
            <v>46144</v>
          </cell>
          <cell r="L402">
            <v>46164</v>
          </cell>
          <cell r="M402">
            <v>3479961</v>
          </cell>
          <cell r="N402">
            <v>417596</v>
          </cell>
          <cell r="O402">
            <v>3897557</v>
          </cell>
          <cell r="P402"/>
          <cell r="Q402"/>
          <cell r="R402"/>
          <cell r="S402"/>
          <cell r="T402">
            <v>0</v>
          </cell>
          <cell r="U402">
            <v>0</v>
          </cell>
          <cell r="V402">
            <v>0</v>
          </cell>
          <cell r="W402">
            <v>3897557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/>
          <cell r="AC402"/>
          <cell r="AD402"/>
          <cell r="AE402"/>
          <cell r="AF402" t="str">
            <v>UnRegistered</v>
          </cell>
        </row>
        <row r="403">
          <cell r="B403" t="str">
            <v>R4 105</v>
          </cell>
          <cell r="C403" t="str">
            <v>R4</v>
          </cell>
          <cell r="D403" t="str">
            <v>M3M Capital Walk in M3M Capital Phase-2</v>
          </cell>
          <cell r="E403" t="str">
            <v>cwBOOKING/00273/22-23</v>
          </cell>
          <cell r="F403" t="str">
            <v>Ms. RACHNA GOEL</v>
          </cell>
          <cell r="G403" t="str">
            <v>cwFLAP/00440/22-23</v>
          </cell>
          <cell r="H403" t="str">
            <v>On Application of OC</v>
          </cell>
          <cell r="I403">
            <v>0</v>
          </cell>
          <cell r="J403">
            <v>44998</v>
          </cell>
          <cell r="K403">
            <v>46144</v>
          </cell>
          <cell r="L403">
            <v>46164</v>
          </cell>
          <cell r="M403">
            <v>1340767</v>
          </cell>
          <cell r="N403">
            <v>160892</v>
          </cell>
          <cell r="O403">
            <v>1501659</v>
          </cell>
          <cell r="P403"/>
          <cell r="Q403"/>
          <cell r="R403"/>
          <cell r="S403"/>
          <cell r="T403">
            <v>0</v>
          </cell>
          <cell r="U403">
            <v>13414.99</v>
          </cell>
          <cell r="V403">
            <v>0</v>
          </cell>
          <cell r="W403">
            <v>1488244.01</v>
          </cell>
          <cell r="X403">
            <v>17791</v>
          </cell>
          <cell r="Y403">
            <v>0</v>
          </cell>
          <cell r="Z403">
            <v>0</v>
          </cell>
          <cell r="AA403">
            <v>17791</v>
          </cell>
          <cell r="AB403"/>
          <cell r="AC403"/>
          <cell r="AD403"/>
          <cell r="AE403"/>
          <cell r="AF403" t="str">
            <v>UnRegistered</v>
          </cell>
        </row>
        <row r="404">
          <cell r="B404" t="str">
            <v>R5 161</v>
          </cell>
          <cell r="C404" t="str">
            <v>R5</v>
          </cell>
          <cell r="D404" t="str">
            <v>M3M Capital Walk in M3M Capital Phase-2</v>
          </cell>
          <cell r="E404" t="str">
            <v>cwBOOKING/00274/22-23</v>
          </cell>
          <cell r="F404" t="str">
            <v>Ms. Geeta</v>
          </cell>
          <cell r="G404" t="str">
            <v>cwFLAP/00135/22-23</v>
          </cell>
          <cell r="H404" t="str">
            <v>On Application of OC</v>
          </cell>
          <cell r="I404">
            <v>0</v>
          </cell>
          <cell r="J404">
            <v>44986</v>
          </cell>
          <cell r="K404">
            <v>46144</v>
          </cell>
          <cell r="L404">
            <v>46164</v>
          </cell>
          <cell r="M404">
            <v>2493452</v>
          </cell>
          <cell r="N404">
            <v>299214</v>
          </cell>
          <cell r="O404">
            <v>2792666</v>
          </cell>
          <cell r="P404"/>
          <cell r="Q404"/>
          <cell r="R404"/>
          <cell r="S404"/>
          <cell r="T404">
            <v>0</v>
          </cell>
          <cell r="U404">
            <v>0</v>
          </cell>
          <cell r="V404">
            <v>0</v>
          </cell>
          <cell r="W404">
            <v>2792666</v>
          </cell>
          <cell r="X404">
            <v>244</v>
          </cell>
          <cell r="Y404">
            <v>0</v>
          </cell>
          <cell r="Z404">
            <v>0</v>
          </cell>
          <cell r="AA404">
            <v>244</v>
          </cell>
          <cell r="AB404"/>
          <cell r="AC404"/>
          <cell r="AD404"/>
          <cell r="AE404"/>
          <cell r="AF404" t="str">
            <v>UnRegistered</v>
          </cell>
        </row>
        <row r="405">
          <cell r="B405" t="str">
            <v>R4 G 11</v>
          </cell>
          <cell r="C405" t="str">
            <v>R4</v>
          </cell>
          <cell r="D405" t="str">
            <v>M3M Capital Walk in M3M Capital Phase-2</v>
          </cell>
          <cell r="E405" t="str">
            <v>cwBOOKING/00275/22-23</v>
          </cell>
          <cell r="F405" t="str">
            <v>Ms. NAVYA BAJAJ</v>
          </cell>
          <cell r="G405" t="str">
            <v>cwFLAP/00099/22-23</v>
          </cell>
          <cell r="H405" t="str">
            <v>On Application of OC</v>
          </cell>
          <cell r="I405">
            <v>0</v>
          </cell>
          <cell r="J405">
            <v>45188</v>
          </cell>
          <cell r="K405">
            <v>46144</v>
          </cell>
          <cell r="L405">
            <v>46164</v>
          </cell>
          <cell r="M405">
            <v>8735230</v>
          </cell>
          <cell r="N405">
            <v>1048228</v>
          </cell>
          <cell r="O405">
            <v>9783458</v>
          </cell>
          <cell r="P405"/>
          <cell r="Q405"/>
          <cell r="R405"/>
          <cell r="S405"/>
          <cell r="T405">
            <v>0</v>
          </cell>
          <cell r="U405">
            <v>1</v>
          </cell>
          <cell r="V405">
            <v>0</v>
          </cell>
          <cell r="W405">
            <v>9783457</v>
          </cell>
          <cell r="X405">
            <v>168829</v>
          </cell>
          <cell r="Y405">
            <v>0</v>
          </cell>
          <cell r="Z405">
            <v>0</v>
          </cell>
          <cell r="AA405">
            <v>168829</v>
          </cell>
          <cell r="AB405"/>
          <cell r="AC405"/>
          <cell r="AD405"/>
          <cell r="AE405"/>
          <cell r="AF405" t="str">
            <v>UnRegistered</v>
          </cell>
        </row>
        <row r="406">
          <cell r="B406" t="str">
            <v>R6 UG 25</v>
          </cell>
          <cell r="C406" t="str">
            <v>R6</v>
          </cell>
          <cell r="D406" t="str">
            <v>M3M Capital Walk in M3M Capital Phase-2</v>
          </cell>
          <cell r="E406" t="str">
            <v>cwBOOKING/00277/22-23</v>
          </cell>
          <cell r="F406" t="str">
            <v>Ms. ANU SHARMA</v>
          </cell>
          <cell r="G406" t="str">
            <v>cwFLAP/00163/22-23</v>
          </cell>
          <cell r="H406" t="str">
            <v>On Application of OC</v>
          </cell>
          <cell r="I406">
            <v>0</v>
          </cell>
          <cell r="J406">
            <v>45048</v>
          </cell>
          <cell r="K406">
            <v>46144</v>
          </cell>
          <cell r="L406">
            <v>46164</v>
          </cell>
          <cell r="M406">
            <v>4236930</v>
          </cell>
          <cell r="N406">
            <v>508432</v>
          </cell>
          <cell r="O406">
            <v>4745362</v>
          </cell>
          <cell r="P406"/>
          <cell r="Q406"/>
          <cell r="R406"/>
          <cell r="S406"/>
          <cell r="T406">
            <v>0</v>
          </cell>
          <cell r="U406">
            <v>0</v>
          </cell>
          <cell r="V406">
            <v>0</v>
          </cell>
          <cell r="W406">
            <v>4745362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/>
          <cell r="AC406"/>
          <cell r="AD406"/>
          <cell r="AE406"/>
          <cell r="AF406" t="str">
            <v>UnRegistered</v>
          </cell>
        </row>
        <row r="407">
          <cell r="B407" t="str">
            <v>R1 233</v>
          </cell>
          <cell r="C407" t="str">
            <v>R1</v>
          </cell>
          <cell r="D407" t="str">
            <v>M3M Capital Walk in M3M Capital Phase-2</v>
          </cell>
          <cell r="E407" t="str">
            <v>cwBOOKING/00278/22-23</v>
          </cell>
          <cell r="F407" t="str">
            <v>Ms. NELLA MANOJ DAVIS</v>
          </cell>
          <cell r="G407" t="str">
            <v>cwFLAP/00362/22-23</v>
          </cell>
          <cell r="H407" t="str">
            <v>On Application of OC</v>
          </cell>
          <cell r="I407">
            <v>0</v>
          </cell>
          <cell r="J407">
            <v>44963</v>
          </cell>
          <cell r="K407">
            <v>46144</v>
          </cell>
          <cell r="L407">
            <v>46164</v>
          </cell>
          <cell r="M407">
            <v>3027465</v>
          </cell>
          <cell r="N407">
            <v>363296</v>
          </cell>
          <cell r="O407">
            <v>3390761</v>
          </cell>
          <cell r="P407"/>
          <cell r="Q407"/>
          <cell r="R407"/>
          <cell r="S407"/>
          <cell r="T407">
            <v>0</v>
          </cell>
          <cell r="U407">
            <v>0</v>
          </cell>
          <cell r="V407">
            <v>1</v>
          </cell>
          <cell r="W407">
            <v>3390762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/>
          <cell r="AC407"/>
          <cell r="AD407"/>
          <cell r="AE407"/>
          <cell r="AF407" t="str">
            <v>UnRegistered</v>
          </cell>
        </row>
        <row r="408">
          <cell r="B408" t="str">
            <v>R5 105</v>
          </cell>
          <cell r="C408" t="str">
            <v>R5</v>
          </cell>
          <cell r="D408" t="str">
            <v>M3M Capital Walk in M3M Capital Phase-2</v>
          </cell>
          <cell r="E408" t="str">
            <v>cwBOOKING/00279/22-23</v>
          </cell>
          <cell r="F408" t="str">
            <v>Ms. LEKHA SONI</v>
          </cell>
          <cell r="G408" t="str">
            <v>cwFLAP/00188/22-23</v>
          </cell>
          <cell r="H408" t="str">
            <v>On Application of OC</v>
          </cell>
          <cell r="I408">
            <v>0</v>
          </cell>
          <cell r="J408">
            <v>45048</v>
          </cell>
          <cell r="K408">
            <v>46144</v>
          </cell>
          <cell r="L408">
            <v>46164</v>
          </cell>
          <cell r="M408">
            <v>1671642</v>
          </cell>
          <cell r="N408">
            <v>200598</v>
          </cell>
          <cell r="O408">
            <v>1872240</v>
          </cell>
          <cell r="P408">
            <v>77346.773010000019</v>
          </cell>
          <cell r="Q408"/>
          <cell r="R408"/>
          <cell r="S408">
            <v>9281.6127612000018</v>
          </cell>
          <cell r="T408">
            <v>86628.385771200017</v>
          </cell>
          <cell r="U408">
            <v>0</v>
          </cell>
          <cell r="V408">
            <v>0</v>
          </cell>
          <cell r="W408">
            <v>1785611.6142287999</v>
          </cell>
          <cell r="X408">
            <v>5746</v>
          </cell>
          <cell r="Y408">
            <v>0</v>
          </cell>
          <cell r="Z408">
            <v>0</v>
          </cell>
          <cell r="AA408">
            <v>5746</v>
          </cell>
          <cell r="AB408" t="str">
            <v>Executed</v>
          </cell>
          <cell r="AC408" t="str">
            <v>Yes</v>
          </cell>
          <cell r="AD408">
            <v>9.5402916358617706E-3</v>
          </cell>
          <cell r="AE408" t="str">
            <v>Less than 35%</v>
          </cell>
          <cell r="AF408" t="str">
            <v>UnRegistered</v>
          </cell>
        </row>
        <row r="409">
          <cell r="B409" t="str">
            <v>R1 143</v>
          </cell>
          <cell r="C409" t="str">
            <v>R1</v>
          </cell>
          <cell r="D409" t="str">
            <v>M3M Capital Walk in M3M Capital Phase-2</v>
          </cell>
          <cell r="E409" t="str">
            <v>cwBOOKING/00279/23-24</v>
          </cell>
          <cell r="F409" t="str">
            <v>Ms. Jyoti Sharma</v>
          </cell>
          <cell r="G409" t="str">
            <v>cwFLAP/00176/23-24</v>
          </cell>
          <cell r="H409" t="str">
            <v>On Application of OC</v>
          </cell>
          <cell r="I409">
            <v>0</v>
          </cell>
          <cell r="J409">
            <v>45546</v>
          </cell>
          <cell r="K409">
            <v>46144</v>
          </cell>
          <cell r="L409">
            <v>46164</v>
          </cell>
          <cell r="M409">
            <v>6419830</v>
          </cell>
          <cell r="N409">
            <v>770380</v>
          </cell>
          <cell r="O409">
            <v>7190210</v>
          </cell>
          <cell r="P409"/>
          <cell r="Q409"/>
          <cell r="R409"/>
          <cell r="S409"/>
          <cell r="T409">
            <v>0</v>
          </cell>
          <cell r="U409">
            <v>0</v>
          </cell>
          <cell r="V409">
            <v>20626</v>
          </cell>
          <cell r="W409">
            <v>7210836</v>
          </cell>
          <cell r="X409">
            <v>58053</v>
          </cell>
          <cell r="Y409">
            <v>0</v>
          </cell>
          <cell r="Z409">
            <v>52671</v>
          </cell>
          <cell r="AA409">
            <v>5382</v>
          </cell>
          <cell r="AB409"/>
          <cell r="AC409"/>
          <cell r="AD409"/>
          <cell r="AE409"/>
          <cell r="AF409" t="str">
            <v>UnRegistered</v>
          </cell>
        </row>
        <row r="410">
          <cell r="B410" t="str">
            <v>R5 104</v>
          </cell>
          <cell r="C410" t="str">
            <v>R5</v>
          </cell>
          <cell r="D410" t="str">
            <v>M3M Capital Walk in M3M Capital Phase-2</v>
          </cell>
          <cell r="E410" t="str">
            <v>cwBOOKING/00280/22-23</v>
          </cell>
          <cell r="F410" t="str">
            <v>Ms. LEKHA SONI</v>
          </cell>
          <cell r="G410" t="str">
            <v>cwFLAP/00174/22-23</v>
          </cell>
          <cell r="H410" t="str">
            <v>On Application of OC</v>
          </cell>
          <cell r="I410">
            <v>0</v>
          </cell>
          <cell r="J410">
            <v>45048</v>
          </cell>
          <cell r="K410">
            <v>46144</v>
          </cell>
          <cell r="L410">
            <v>46164</v>
          </cell>
          <cell r="M410">
            <v>1671642</v>
          </cell>
          <cell r="N410">
            <v>200598</v>
          </cell>
          <cell r="O410">
            <v>1872240</v>
          </cell>
          <cell r="P410">
            <v>77346.773010000019</v>
          </cell>
          <cell r="Q410"/>
          <cell r="R410"/>
          <cell r="S410">
            <v>9281.6127612000018</v>
          </cell>
          <cell r="T410">
            <v>86628.385771200017</v>
          </cell>
          <cell r="U410">
            <v>0</v>
          </cell>
          <cell r="V410">
            <v>0</v>
          </cell>
          <cell r="W410">
            <v>1785611.6142287999</v>
          </cell>
          <cell r="X410">
            <v>5746</v>
          </cell>
          <cell r="Y410">
            <v>0</v>
          </cell>
          <cell r="Z410">
            <v>0</v>
          </cell>
          <cell r="AA410">
            <v>5746</v>
          </cell>
          <cell r="AB410" t="str">
            <v>Executed</v>
          </cell>
          <cell r="AC410" t="str">
            <v>Yes</v>
          </cell>
          <cell r="AD410">
            <v>9.5402916358617706E-3</v>
          </cell>
          <cell r="AE410" t="str">
            <v>Less than 35%</v>
          </cell>
          <cell r="AF410" t="str">
            <v>UnRegistered</v>
          </cell>
        </row>
        <row r="411">
          <cell r="B411" t="str">
            <v>R1 LG 18</v>
          </cell>
          <cell r="C411" t="str">
            <v>R1</v>
          </cell>
          <cell r="D411" t="str">
            <v>M3M Capital Walk in M3M Capital Phase-2</v>
          </cell>
          <cell r="E411" t="str">
            <v>cwBOOKING/00280/23-24</v>
          </cell>
          <cell r="F411" t="str">
            <v>Mr. SIKANDERDEEP SINGH</v>
          </cell>
          <cell r="G411" t="str">
            <v>cwFLAP/00170/23-24</v>
          </cell>
          <cell r="H411" t="str">
            <v>On Application of OC</v>
          </cell>
          <cell r="I411">
            <v>0</v>
          </cell>
          <cell r="J411">
            <v>45321</v>
          </cell>
          <cell r="K411">
            <v>46144</v>
          </cell>
          <cell r="L411">
            <v>46164</v>
          </cell>
          <cell r="M411">
            <v>6888960</v>
          </cell>
          <cell r="N411">
            <v>826676</v>
          </cell>
          <cell r="O411">
            <v>7715636</v>
          </cell>
          <cell r="P411"/>
          <cell r="Q411"/>
          <cell r="R411"/>
          <cell r="S411"/>
          <cell r="T411">
            <v>0</v>
          </cell>
          <cell r="U411">
            <v>35545</v>
          </cell>
          <cell r="V411">
            <v>0</v>
          </cell>
          <cell r="W411">
            <v>7680091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/>
          <cell r="AC411"/>
          <cell r="AD411"/>
          <cell r="AE411"/>
          <cell r="AF411" t="str">
            <v>UnRegistered</v>
          </cell>
        </row>
        <row r="412">
          <cell r="B412" t="str">
            <v>R4 204</v>
          </cell>
          <cell r="C412" t="str">
            <v>R4</v>
          </cell>
          <cell r="D412" t="str">
            <v>M3M Capital Walk in M3M Capital Phase-2</v>
          </cell>
          <cell r="E412" t="str">
            <v>cwBOOKING/00281/22-23</v>
          </cell>
          <cell r="F412" t="str">
            <v>Ms. ASHA MEENA</v>
          </cell>
          <cell r="G412" t="str">
            <v>cwFLAP/00321/22-23</v>
          </cell>
          <cell r="H412" t="str">
            <v>On Application of OC</v>
          </cell>
          <cell r="I412">
            <v>0</v>
          </cell>
          <cell r="J412">
            <v>44964</v>
          </cell>
          <cell r="K412">
            <v>46144</v>
          </cell>
          <cell r="L412">
            <v>46164</v>
          </cell>
          <cell r="M412">
            <v>2988625</v>
          </cell>
          <cell r="N412">
            <v>358636</v>
          </cell>
          <cell r="O412">
            <v>3347261</v>
          </cell>
          <cell r="P412">
            <v>2682101.4961199998</v>
          </cell>
          <cell r="Q412"/>
          <cell r="R412"/>
          <cell r="S412">
            <v>321852.17953439994</v>
          </cell>
          <cell r="T412">
            <v>3003953.6756543997</v>
          </cell>
          <cell r="U412">
            <v>0</v>
          </cell>
          <cell r="V412">
            <v>0</v>
          </cell>
          <cell r="W412">
            <v>343307.32434560033</v>
          </cell>
          <cell r="X412">
            <v>97</v>
          </cell>
          <cell r="Y412">
            <v>0</v>
          </cell>
          <cell r="Z412">
            <v>0</v>
          </cell>
          <cell r="AA412">
            <v>97</v>
          </cell>
          <cell r="AB412" t="str">
            <v>Executed</v>
          </cell>
          <cell r="AC412" t="str">
            <v>Yes</v>
          </cell>
          <cell r="AD412">
            <v>0.53846087362759365</v>
          </cell>
          <cell r="AE412" t="str">
            <v>Above 35%</v>
          </cell>
          <cell r="AF412" t="str">
            <v>UnRegistered</v>
          </cell>
        </row>
        <row r="413">
          <cell r="B413" t="str">
            <v>R5 106</v>
          </cell>
          <cell r="C413" t="str">
            <v>R5</v>
          </cell>
          <cell r="D413" t="str">
            <v>M3M Capital Walk in M3M Capital Phase-2</v>
          </cell>
          <cell r="E413" t="str">
            <v>cwBOOKING/00282/22-23</v>
          </cell>
          <cell r="F413" t="str">
            <v>Ms. LEKHA SONI</v>
          </cell>
          <cell r="G413" t="str">
            <v>cwFLAP/00187/22-23</v>
          </cell>
          <cell r="H413" t="str">
            <v>On Application of OC</v>
          </cell>
          <cell r="I413">
            <v>0</v>
          </cell>
          <cell r="J413">
            <v>45048</v>
          </cell>
          <cell r="K413">
            <v>46144</v>
          </cell>
          <cell r="L413">
            <v>46164</v>
          </cell>
          <cell r="M413">
            <v>1671642</v>
          </cell>
          <cell r="N413">
            <v>200598</v>
          </cell>
          <cell r="O413">
            <v>1872240</v>
          </cell>
          <cell r="P413">
            <v>77346.773010000019</v>
          </cell>
          <cell r="Q413"/>
          <cell r="R413"/>
          <cell r="S413">
            <v>9281.6127612000018</v>
          </cell>
          <cell r="T413">
            <v>86628.385771200017</v>
          </cell>
          <cell r="U413">
            <v>0</v>
          </cell>
          <cell r="V413">
            <v>0</v>
          </cell>
          <cell r="W413">
            <v>1785611.6142287999</v>
          </cell>
          <cell r="X413">
            <v>5746</v>
          </cell>
          <cell r="Y413">
            <v>0</v>
          </cell>
          <cell r="Z413">
            <v>0</v>
          </cell>
          <cell r="AA413">
            <v>5746</v>
          </cell>
          <cell r="AB413" t="str">
            <v>Executed</v>
          </cell>
          <cell r="AC413" t="str">
            <v>Yes</v>
          </cell>
          <cell r="AD413">
            <v>9.5402916358617706E-3</v>
          </cell>
          <cell r="AE413" t="str">
            <v>Less than 35%</v>
          </cell>
          <cell r="AF413" t="str">
            <v>UnRegistered</v>
          </cell>
        </row>
        <row r="414">
          <cell r="B414" t="str">
            <v>R5 LG 52</v>
          </cell>
          <cell r="C414" t="str">
            <v>R5</v>
          </cell>
          <cell r="D414" t="str">
            <v>M3M Capital Walk in M3M Capital Phase-2</v>
          </cell>
          <cell r="E414" t="str">
            <v>cwBOOKING/00282/23-24</v>
          </cell>
          <cell r="F414" t="str">
            <v>Ms. ASHA MEENA</v>
          </cell>
          <cell r="G414" t="str">
            <v>cwFLAP/00163/23-24</v>
          </cell>
          <cell r="H414" t="str">
            <v>On Application of OC</v>
          </cell>
          <cell r="I414">
            <v>0</v>
          </cell>
          <cell r="J414">
            <v>45272</v>
          </cell>
          <cell r="K414">
            <v>46144</v>
          </cell>
          <cell r="L414">
            <v>46164</v>
          </cell>
          <cell r="M414">
            <v>2720900</v>
          </cell>
          <cell r="N414">
            <v>326508</v>
          </cell>
          <cell r="O414">
            <v>3047408</v>
          </cell>
          <cell r="P414"/>
          <cell r="Q414"/>
          <cell r="R414"/>
          <cell r="S414"/>
          <cell r="T414">
            <v>0</v>
          </cell>
          <cell r="U414">
            <v>300</v>
          </cell>
          <cell r="V414">
            <v>0</v>
          </cell>
          <cell r="W414">
            <v>3047108</v>
          </cell>
          <cell r="X414">
            <v>217</v>
          </cell>
          <cell r="Y414">
            <v>0</v>
          </cell>
          <cell r="Z414">
            <v>0</v>
          </cell>
          <cell r="AA414">
            <v>217</v>
          </cell>
          <cell r="AB414"/>
          <cell r="AC414"/>
          <cell r="AD414"/>
          <cell r="AE414"/>
          <cell r="AF414" t="str">
            <v>UnRegistered</v>
          </cell>
        </row>
        <row r="415">
          <cell r="B415" t="str">
            <v>R5 103</v>
          </cell>
          <cell r="C415" t="str">
            <v>R5</v>
          </cell>
          <cell r="D415" t="str">
            <v>M3M Capital Walk in M3M Capital Phase-2</v>
          </cell>
          <cell r="E415" t="str">
            <v>cwBOOKING/00283/22-23</v>
          </cell>
          <cell r="F415" t="str">
            <v>Ms. LEKHA SONI</v>
          </cell>
          <cell r="G415" t="str">
            <v>cwFLAP/00175/22-23</v>
          </cell>
          <cell r="H415" t="str">
            <v>On Application of OC</v>
          </cell>
          <cell r="I415">
            <v>0</v>
          </cell>
          <cell r="J415">
            <v>45048</v>
          </cell>
          <cell r="K415">
            <v>46144</v>
          </cell>
          <cell r="L415">
            <v>46164</v>
          </cell>
          <cell r="M415">
            <v>1805246</v>
          </cell>
          <cell r="N415">
            <v>216630</v>
          </cell>
          <cell r="O415">
            <v>2021876</v>
          </cell>
          <cell r="P415">
            <v>77339.247300000003</v>
          </cell>
          <cell r="Q415"/>
          <cell r="R415"/>
          <cell r="S415">
            <v>9280.7096760000004</v>
          </cell>
          <cell r="T415">
            <v>86619.956976000001</v>
          </cell>
          <cell r="U415">
            <v>0</v>
          </cell>
          <cell r="V415">
            <v>0</v>
          </cell>
          <cell r="W415">
            <v>1935256.043024</v>
          </cell>
          <cell r="X415">
            <v>5746</v>
          </cell>
          <cell r="Y415">
            <v>0</v>
          </cell>
          <cell r="Z415">
            <v>0</v>
          </cell>
          <cell r="AA415">
            <v>5746</v>
          </cell>
          <cell r="AB415" t="str">
            <v>Executed</v>
          </cell>
          <cell r="AC415" t="str">
            <v>Yes</v>
          </cell>
          <cell r="AD415">
            <v>9.3678348898273076E-3</v>
          </cell>
          <cell r="AE415" t="str">
            <v>Less than 35%</v>
          </cell>
          <cell r="AF415" t="str">
            <v>UnRegistered</v>
          </cell>
        </row>
        <row r="416">
          <cell r="B416" t="str">
            <v>R1 202</v>
          </cell>
          <cell r="C416" t="str">
            <v>R1</v>
          </cell>
          <cell r="D416" t="str">
            <v>M3M Capital Walk in M3M Capital Phase-2</v>
          </cell>
          <cell r="E416" t="str">
            <v>cwBOOKING/00283/23-24</v>
          </cell>
          <cell r="F416" t="str">
            <v>Ms. Geeta</v>
          </cell>
          <cell r="G416" t="str">
            <v>cwFLAP/00177/23-24</v>
          </cell>
          <cell r="H416" t="str">
            <v>On Application of OC</v>
          </cell>
          <cell r="I416">
            <v>0</v>
          </cell>
          <cell r="J416">
            <v>45237</v>
          </cell>
          <cell r="K416">
            <v>46144</v>
          </cell>
          <cell r="L416">
            <v>46164</v>
          </cell>
          <cell r="M416">
            <v>2382238</v>
          </cell>
          <cell r="N416">
            <v>285868</v>
          </cell>
          <cell r="O416">
            <v>2668106</v>
          </cell>
          <cell r="P416">
            <v>1053944.9773333333</v>
          </cell>
          <cell r="Q416"/>
          <cell r="R416"/>
          <cell r="S416">
            <v>126473.39727999999</v>
          </cell>
          <cell r="T416">
            <v>1180418.3746133333</v>
          </cell>
          <cell r="U416">
            <v>0</v>
          </cell>
          <cell r="V416">
            <v>0</v>
          </cell>
          <cell r="W416">
            <v>1487687.6253866667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 t="str">
            <v>Executed</v>
          </cell>
          <cell r="AC416" t="str">
            <v>Yes</v>
          </cell>
          <cell r="AD416">
            <v>0.19060147434716432</v>
          </cell>
          <cell r="AE416" t="str">
            <v>Less than 35%</v>
          </cell>
          <cell r="AF416" t="str">
            <v>UnRegistered</v>
          </cell>
        </row>
        <row r="417">
          <cell r="B417" t="str">
            <v>R1 214</v>
          </cell>
          <cell r="C417" t="str">
            <v>R1</v>
          </cell>
          <cell r="D417" t="str">
            <v>M3M Capital Walk in M3M Capital Phase-2</v>
          </cell>
          <cell r="E417" t="str">
            <v>cwBOOKING/00284/22-23</v>
          </cell>
          <cell r="F417" t="str">
            <v>Ms. PUSHP LATA</v>
          </cell>
          <cell r="G417" t="str">
            <v>cwFLAP/00388/22-23</v>
          </cell>
          <cell r="H417" t="str">
            <v>On Application of OC</v>
          </cell>
          <cell r="I417">
            <v>0</v>
          </cell>
          <cell r="J417">
            <v>45099</v>
          </cell>
          <cell r="K417">
            <v>46144</v>
          </cell>
          <cell r="L417">
            <v>46164</v>
          </cell>
          <cell r="M417">
            <v>2396196</v>
          </cell>
          <cell r="N417">
            <v>287544</v>
          </cell>
          <cell r="O417">
            <v>2683740</v>
          </cell>
          <cell r="P417">
            <v>976130.37047999993</v>
          </cell>
          <cell r="Q417"/>
          <cell r="R417"/>
          <cell r="S417">
            <v>117135.64445759999</v>
          </cell>
          <cell r="T417">
            <v>1093266.0149375999</v>
          </cell>
          <cell r="U417">
            <v>2</v>
          </cell>
          <cell r="V417">
            <v>0</v>
          </cell>
          <cell r="W417">
            <v>1590471.9850624001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 t="str">
            <v>Executed</v>
          </cell>
          <cell r="AC417" t="str">
            <v>Yes</v>
          </cell>
          <cell r="AD417">
            <v>0.24441968137879072</v>
          </cell>
          <cell r="AE417" t="str">
            <v>Less than 35%</v>
          </cell>
          <cell r="AF417" t="str">
            <v>UnRegistered</v>
          </cell>
        </row>
        <row r="418">
          <cell r="B418" t="str">
            <v>R5 LG 49</v>
          </cell>
          <cell r="C418" t="str">
            <v>R5</v>
          </cell>
          <cell r="D418" t="str">
            <v>M3M Capital Walk in M3M Capital Phase-2</v>
          </cell>
          <cell r="E418" t="str">
            <v>cwBOOKING/00284/23-24</v>
          </cell>
          <cell r="F418" t="str">
            <v>Ms. Dolly Chandel</v>
          </cell>
          <cell r="G418" t="str">
            <v>cwFLAP/00182/23-24</v>
          </cell>
          <cell r="H418" t="str">
            <v>On Application of OC</v>
          </cell>
          <cell r="I418">
            <v>0</v>
          </cell>
          <cell r="J418">
            <v>45300</v>
          </cell>
          <cell r="K418">
            <v>46144</v>
          </cell>
          <cell r="L418">
            <v>46164</v>
          </cell>
          <cell r="M418">
            <v>4324946</v>
          </cell>
          <cell r="N418">
            <v>518994</v>
          </cell>
          <cell r="O418">
            <v>4843940</v>
          </cell>
          <cell r="P418"/>
          <cell r="Q418"/>
          <cell r="R418"/>
          <cell r="S418"/>
          <cell r="T418">
            <v>0</v>
          </cell>
          <cell r="U418">
            <v>0</v>
          </cell>
          <cell r="V418">
            <v>0</v>
          </cell>
          <cell r="W418">
            <v>4843940</v>
          </cell>
          <cell r="X418">
            <v>5617.84</v>
          </cell>
          <cell r="Y418">
            <v>0</v>
          </cell>
          <cell r="Z418">
            <v>0</v>
          </cell>
          <cell r="AA418">
            <v>5617.84</v>
          </cell>
          <cell r="AB418"/>
          <cell r="AC418"/>
          <cell r="AD418"/>
          <cell r="AE418"/>
          <cell r="AF418" t="str">
            <v>UnRegistered</v>
          </cell>
        </row>
        <row r="419">
          <cell r="B419" t="str">
            <v>R1 104</v>
          </cell>
          <cell r="C419" t="str">
            <v>R1</v>
          </cell>
          <cell r="D419" t="str">
            <v>M3M Capital Walk in M3M Capital Phase-2</v>
          </cell>
          <cell r="E419" t="str">
            <v>cwBOOKING/00285/22-23</v>
          </cell>
          <cell r="F419" t="str">
            <v>Mr. SHAILENDRA KUMAR PANDEY</v>
          </cell>
          <cell r="G419" t="str">
            <v>cwFLAP/00309/22-23</v>
          </cell>
          <cell r="H419" t="str">
            <v>On Application of OC</v>
          </cell>
          <cell r="I419">
            <v>0</v>
          </cell>
          <cell r="J419">
            <v>45237</v>
          </cell>
          <cell r="K419">
            <v>46144</v>
          </cell>
          <cell r="L419">
            <v>46164</v>
          </cell>
          <cell r="M419">
            <v>2576138</v>
          </cell>
          <cell r="N419">
            <v>309136</v>
          </cell>
          <cell r="O419">
            <v>2885274</v>
          </cell>
          <cell r="P419"/>
          <cell r="Q419"/>
          <cell r="R419"/>
          <cell r="S419"/>
          <cell r="T419">
            <v>0</v>
          </cell>
          <cell r="U419">
            <v>0</v>
          </cell>
          <cell r="V419">
            <v>0</v>
          </cell>
          <cell r="W419">
            <v>2885274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/>
          <cell r="AC419"/>
          <cell r="AD419"/>
          <cell r="AE419"/>
          <cell r="AF419" t="str">
            <v>UnRegistered</v>
          </cell>
        </row>
        <row r="420">
          <cell r="B420" t="str">
            <v>R4 242</v>
          </cell>
          <cell r="C420" t="str">
            <v>R4</v>
          </cell>
          <cell r="D420" t="str">
            <v>M3M Capital Walk in M3M Capital Phase-2</v>
          </cell>
          <cell r="E420" t="str">
            <v>cwBOOKING/00285/23-24</v>
          </cell>
          <cell r="F420" t="str">
            <v>Mr. Sunil Kumanna Chougule</v>
          </cell>
          <cell r="G420" t="str">
            <v>cwFLAP/00183/23-24</v>
          </cell>
          <cell r="H420" t="str">
            <v>On Application of OC</v>
          </cell>
          <cell r="I420">
            <v>0</v>
          </cell>
          <cell r="J420">
            <v>45254</v>
          </cell>
          <cell r="K420">
            <v>46144</v>
          </cell>
          <cell r="L420">
            <v>46164</v>
          </cell>
          <cell r="M420">
            <v>3966320</v>
          </cell>
          <cell r="N420">
            <v>475958</v>
          </cell>
          <cell r="O420">
            <v>4442278</v>
          </cell>
          <cell r="P420"/>
          <cell r="Q420"/>
          <cell r="R420"/>
          <cell r="S420"/>
          <cell r="T420">
            <v>0</v>
          </cell>
          <cell r="U420">
            <v>0</v>
          </cell>
          <cell r="V420">
            <v>0</v>
          </cell>
          <cell r="W420">
            <v>4442278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/>
          <cell r="AC420"/>
          <cell r="AD420"/>
          <cell r="AE420"/>
          <cell r="AF420" t="str">
            <v>UnRegistered</v>
          </cell>
        </row>
        <row r="421">
          <cell r="B421" t="str">
            <v>R5 117</v>
          </cell>
          <cell r="C421" t="str">
            <v>R5</v>
          </cell>
          <cell r="D421" t="str">
            <v>M3M Capital Walk in M3M Capital Phase-2</v>
          </cell>
          <cell r="E421" t="str">
            <v>cwBOOKING/00286/22-23</v>
          </cell>
          <cell r="F421" t="str">
            <v>Ms. JASVEEN KHARBANDA</v>
          </cell>
          <cell r="G421" t="str">
            <v>cwFLAP/00206/22-23</v>
          </cell>
          <cell r="H421" t="str">
            <v>On Application of OC</v>
          </cell>
          <cell r="I421">
            <v>0</v>
          </cell>
          <cell r="J421">
            <v>45034</v>
          </cell>
          <cell r="K421">
            <v>46144</v>
          </cell>
          <cell r="L421">
            <v>46164</v>
          </cell>
          <cell r="M421">
            <v>3445604</v>
          </cell>
          <cell r="N421">
            <v>413472</v>
          </cell>
          <cell r="O421">
            <v>3859076</v>
          </cell>
          <cell r="P421"/>
          <cell r="Q421"/>
          <cell r="R421"/>
          <cell r="S421"/>
          <cell r="T421">
            <v>0</v>
          </cell>
          <cell r="U421">
            <v>0</v>
          </cell>
          <cell r="V421">
            <v>0</v>
          </cell>
          <cell r="W421">
            <v>3859076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/>
          <cell r="AC421"/>
          <cell r="AD421"/>
          <cell r="AE421"/>
          <cell r="AF421" t="str">
            <v>UnRegistered</v>
          </cell>
        </row>
        <row r="422">
          <cell r="B422" t="str">
            <v>R6 LG 19</v>
          </cell>
          <cell r="C422" t="str">
            <v>R6</v>
          </cell>
          <cell r="D422" t="str">
            <v>M3M Capital Walk in M3M Capital Phase-2</v>
          </cell>
          <cell r="E422" t="str">
            <v>cwBOOKING/00288/22-23</v>
          </cell>
          <cell r="F422" t="str">
            <v>M/S. MOHIT SHINGHAL HUF</v>
          </cell>
          <cell r="G422" t="str">
            <v>cwFLAP/00132/22-23</v>
          </cell>
          <cell r="H422" t="str">
            <v>On Application of OC</v>
          </cell>
          <cell r="I422">
            <v>0</v>
          </cell>
          <cell r="J422">
            <v>44977</v>
          </cell>
          <cell r="K422">
            <v>46144</v>
          </cell>
          <cell r="L422">
            <v>46164</v>
          </cell>
          <cell r="M422">
            <v>8676000</v>
          </cell>
          <cell r="N422">
            <v>1041120</v>
          </cell>
          <cell r="O422">
            <v>9717120</v>
          </cell>
          <cell r="P422">
            <v>8435616.9600000009</v>
          </cell>
          <cell r="Q422"/>
          <cell r="R422"/>
          <cell r="S422">
            <v>1012274.0352</v>
          </cell>
          <cell r="T422">
            <v>9447890.9952000007</v>
          </cell>
          <cell r="U422">
            <v>0</v>
          </cell>
          <cell r="V422">
            <v>0</v>
          </cell>
          <cell r="W422">
            <v>269229.0047999993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 t="str">
            <v>Executed</v>
          </cell>
          <cell r="AC422" t="str">
            <v>Yes</v>
          </cell>
          <cell r="AD422">
            <v>0.77783466666666667</v>
          </cell>
          <cell r="AE422" t="str">
            <v>Above 35%</v>
          </cell>
          <cell r="AF422" t="str">
            <v>UnRegistered</v>
          </cell>
        </row>
        <row r="423">
          <cell r="B423" t="str">
            <v>R2 LG 10</v>
          </cell>
          <cell r="C423" t="str">
            <v>R2</v>
          </cell>
          <cell r="D423" t="str">
            <v>M3M Capital Walk in M3M Capital Phase-2</v>
          </cell>
          <cell r="E423" t="str">
            <v>cwBOOKING/00288/23-24</v>
          </cell>
          <cell r="F423" t="str">
            <v>Mr. Ravi Kumar Meena</v>
          </cell>
          <cell r="G423" t="str">
            <v>cwFLAP/00150/23-24</v>
          </cell>
          <cell r="H423" t="str">
            <v>On Application of OC</v>
          </cell>
          <cell r="I423">
            <v>0</v>
          </cell>
          <cell r="J423">
            <v>45267</v>
          </cell>
          <cell r="K423">
            <v>46144</v>
          </cell>
          <cell r="L423">
            <v>46164</v>
          </cell>
          <cell r="M423">
            <v>8141250</v>
          </cell>
          <cell r="N423">
            <v>976950</v>
          </cell>
          <cell r="O423">
            <v>9118200</v>
          </cell>
          <cell r="P423"/>
          <cell r="Q423"/>
          <cell r="R423"/>
          <cell r="S423"/>
          <cell r="T423">
            <v>0</v>
          </cell>
          <cell r="U423">
            <v>0</v>
          </cell>
          <cell r="V423">
            <v>0</v>
          </cell>
          <cell r="W423">
            <v>9118200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/>
          <cell r="AC423"/>
          <cell r="AD423"/>
          <cell r="AE423"/>
          <cell r="AF423" t="str">
            <v>UnRegistered</v>
          </cell>
        </row>
        <row r="424">
          <cell r="B424" t="str">
            <v>R1 149</v>
          </cell>
          <cell r="C424" t="str">
            <v>R1</v>
          </cell>
          <cell r="D424" t="str">
            <v>M3M Capital Walk in M3M Capital Phase-2</v>
          </cell>
          <cell r="E424" t="str">
            <v>cwBOOKING/00289/22-23</v>
          </cell>
          <cell r="F424" t="str">
            <v>Mr. GAURAV GUPTA</v>
          </cell>
          <cell r="G424" t="str">
            <v>cwFLAP/00447/22-23</v>
          </cell>
          <cell r="H424" t="str">
            <v>On Application of OC</v>
          </cell>
          <cell r="I424">
            <v>0</v>
          </cell>
          <cell r="J424">
            <v>45327</v>
          </cell>
          <cell r="K424">
            <v>46144</v>
          </cell>
          <cell r="L424">
            <v>46164</v>
          </cell>
          <cell r="M424">
            <v>3120464</v>
          </cell>
          <cell r="N424">
            <v>374456</v>
          </cell>
          <cell r="O424">
            <v>3494920</v>
          </cell>
          <cell r="P424"/>
          <cell r="Q424"/>
          <cell r="R424"/>
          <cell r="S424"/>
          <cell r="T424">
            <v>0</v>
          </cell>
          <cell r="U424">
            <v>1</v>
          </cell>
          <cell r="V424">
            <v>0</v>
          </cell>
          <cell r="W424">
            <v>3494919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/>
          <cell r="AC424"/>
          <cell r="AD424"/>
          <cell r="AE424"/>
          <cell r="AF424" t="str">
            <v>UnRegistered</v>
          </cell>
        </row>
        <row r="425">
          <cell r="B425" t="str">
            <v>R3 LG 05</v>
          </cell>
          <cell r="C425" t="str">
            <v>R3</v>
          </cell>
          <cell r="D425" t="str">
            <v>M3M Capital Walk in M3M Capital Phase-2</v>
          </cell>
          <cell r="E425" t="str">
            <v>cwBOOKING/00289/23-24</v>
          </cell>
          <cell r="F425" t="str">
            <v>Ms. Nandita Kumari</v>
          </cell>
          <cell r="G425" t="str">
            <v>cwFLAP/00172/23-24</v>
          </cell>
          <cell r="H425" t="str">
            <v>On Application of OC</v>
          </cell>
          <cell r="I425">
            <v>0</v>
          </cell>
          <cell r="J425">
            <v>45260</v>
          </cell>
          <cell r="K425">
            <v>46144</v>
          </cell>
          <cell r="L425">
            <v>46164</v>
          </cell>
          <cell r="M425">
            <v>5859084</v>
          </cell>
          <cell r="N425">
            <v>703090</v>
          </cell>
          <cell r="O425">
            <v>6562174</v>
          </cell>
          <cell r="P425"/>
          <cell r="Q425"/>
          <cell r="R425"/>
          <cell r="S425"/>
          <cell r="T425">
            <v>0</v>
          </cell>
          <cell r="U425">
            <v>0</v>
          </cell>
          <cell r="V425">
            <v>0</v>
          </cell>
          <cell r="W425">
            <v>6562174</v>
          </cell>
          <cell r="X425">
            <v>49761.599999999999</v>
          </cell>
          <cell r="Y425">
            <v>0</v>
          </cell>
          <cell r="Z425">
            <v>0</v>
          </cell>
          <cell r="AA425">
            <v>49761.599999999999</v>
          </cell>
          <cell r="AB425"/>
          <cell r="AC425"/>
          <cell r="AD425"/>
          <cell r="AE425"/>
          <cell r="AF425" t="str">
            <v>UnRegistered</v>
          </cell>
        </row>
        <row r="426">
          <cell r="B426" t="str">
            <v>R4 248</v>
          </cell>
          <cell r="C426" t="str">
            <v>R4</v>
          </cell>
          <cell r="D426" t="str">
            <v>M3M Capital Walk in M3M Capital Phase-2</v>
          </cell>
          <cell r="E426" t="str">
            <v>cwBOOKING/00290/22-23</v>
          </cell>
          <cell r="F426" t="str">
            <v>Ms. MEENA SINGLA</v>
          </cell>
          <cell r="G426" t="str">
            <v>cwFLAP/00291/22-23</v>
          </cell>
          <cell r="H426" t="str">
            <v>On Application of OC</v>
          </cell>
          <cell r="I426">
            <v>0</v>
          </cell>
          <cell r="J426">
            <v>44967</v>
          </cell>
          <cell r="K426">
            <v>46144</v>
          </cell>
          <cell r="L426">
            <v>46164</v>
          </cell>
          <cell r="M426">
            <v>3544787</v>
          </cell>
          <cell r="N426">
            <v>425374</v>
          </cell>
          <cell r="O426">
            <v>3970161</v>
          </cell>
          <cell r="P426"/>
          <cell r="Q426"/>
          <cell r="R426"/>
          <cell r="S426"/>
          <cell r="T426">
            <v>0</v>
          </cell>
          <cell r="U426">
            <v>0</v>
          </cell>
          <cell r="V426">
            <v>0</v>
          </cell>
          <cell r="W426">
            <v>3970161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/>
          <cell r="AC426"/>
          <cell r="AD426"/>
          <cell r="AE426"/>
          <cell r="AF426" t="str">
            <v>UnRegistered</v>
          </cell>
        </row>
        <row r="427">
          <cell r="B427" t="str">
            <v>R2 LG 04</v>
          </cell>
          <cell r="C427" t="str">
            <v>R2</v>
          </cell>
          <cell r="D427" t="str">
            <v>M3M Capital Walk in M3M Capital Phase-2</v>
          </cell>
          <cell r="E427" t="str">
            <v>cwBOOKING/00290/23-24</v>
          </cell>
          <cell r="F427" t="str">
            <v>Mr. Pranav Sood</v>
          </cell>
          <cell r="G427" t="str">
            <v>cwFLAP/00190/23-24</v>
          </cell>
          <cell r="H427" t="str">
            <v>On Application of OC</v>
          </cell>
          <cell r="I427">
            <v>0</v>
          </cell>
          <cell r="J427">
            <v>45302</v>
          </cell>
          <cell r="K427">
            <v>46144</v>
          </cell>
          <cell r="L427">
            <v>46164</v>
          </cell>
          <cell r="M427">
            <v>7664525</v>
          </cell>
          <cell r="N427">
            <v>919742</v>
          </cell>
          <cell r="O427">
            <v>8584267</v>
          </cell>
          <cell r="P427"/>
          <cell r="Q427"/>
          <cell r="R427"/>
          <cell r="S427"/>
          <cell r="T427">
            <v>0</v>
          </cell>
          <cell r="U427">
            <v>0</v>
          </cell>
          <cell r="V427">
            <v>0</v>
          </cell>
          <cell r="W427">
            <v>8584267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/>
          <cell r="AC427"/>
          <cell r="AD427"/>
          <cell r="AE427"/>
          <cell r="AF427" t="str">
            <v>UnRegistered</v>
          </cell>
        </row>
        <row r="428">
          <cell r="B428" t="str">
            <v>R1 151</v>
          </cell>
          <cell r="C428" t="str">
            <v>R1</v>
          </cell>
          <cell r="D428" t="str">
            <v>M3M Capital Walk in M3M Capital Phase-2</v>
          </cell>
          <cell r="E428" t="str">
            <v>cwBOOKING/00291/22-23</v>
          </cell>
          <cell r="F428" t="str">
            <v>Ms. TANU</v>
          </cell>
          <cell r="G428" t="str">
            <v>cwFLAP/00448/22-23</v>
          </cell>
          <cell r="H428" t="str">
            <v>On Application of OC</v>
          </cell>
          <cell r="I428">
            <v>0</v>
          </cell>
          <cell r="J428">
            <v>45250</v>
          </cell>
          <cell r="K428">
            <v>46144</v>
          </cell>
          <cell r="L428">
            <v>46164</v>
          </cell>
          <cell r="M428">
            <v>3120464</v>
          </cell>
          <cell r="N428">
            <v>374456</v>
          </cell>
          <cell r="O428">
            <v>3494920</v>
          </cell>
          <cell r="P428"/>
          <cell r="Q428"/>
          <cell r="R428"/>
          <cell r="S428"/>
          <cell r="T428">
            <v>0</v>
          </cell>
          <cell r="U428">
            <v>1</v>
          </cell>
          <cell r="V428">
            <v>0</v>
          </cell>
          <cell r="W428">
            <v>3494919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/>
          <cell r="AC428"/>
          <cell r="AD428"/>
          <cell r="AE428"/>
          <cell r="AF428" t="str">
            <v>UnRegistered</v>
          </cell>
        </row>
        <row r="429">
          <cell r="B429" t="str">
            <v>R3 LG 84</v>
          </cell>
          <cell r="C429" t="str">
            <v>R3</v>
          </cell>
          <cell r="D429" t="str">
            <v>M3M Capital Walk in M3M Capital Phase-2</v>
          </cell>
          <cell r="E429" t="str">
            <v>cwBOOKING/00291/23-24</v>
          </cell>
          <cell r="F429" t="str">
            <v>Mr. Rajvir Singh Solanki</v>
          </cell>
          <cell r="G429" t="str">
            <v>cwFLAP/00178/23-24</v>
          </cell>
          <cell r="H429" t="str">
            <v>On Application of OC</v>
          </cell>
          <cell r="I429">
            <v>0</v>
          </cell>
          <cell r="J429">
            <v>45267</v>
          </cell>
          <cell r="K429">
            <v>46144</v>
          </cell>
          <cell r="L429">
            <v>46164</v>
          </cell>
          <cell r="M429">
            <v>5786705</v>
          </cell>
          <cell r="N429">
            <v>694404</v>
          </cell>
          <cell r="O429">
            <v>6481109</v>
          </cell>
          <cell r="P429"/>
          <cell r="Q429"/>
          <cell r="R429"/>
          <cell r="S429"/>
          <cell r="T429">
            <v>0</v>
          </cell>
          <cell r="U429">
            <v>12.69</v>
          </cell>
          <cell r="V429">
            <v>0</v>
          </cell>
          <cell r="W429">
            <v>6481096.3099999996</v>
          </cell>
          <cell r="X429">
            <v>410</v>
          </cell>
          <cell r="Y429">
            <v>0</v>
          </cell>
          <cell r="Z429">
            <v>0</v>
          </cell>
          <cell r="AA429">
            <v>410</v>
          </cell>
          <cell r="AB429"/>
          <cell r="AC429"/>
          <cell r="AD429"/>
          <cell r="AE429"/>
          <cell r="AF429" t="str">
            <v>UnRegistered</v>
          </cell>
        </row>
        <row r="430">
          <cell r="B430" t="str">
            <v>R5 K 222</v>
          </cell>
          <cell r="C430" t="str">
            <v>R5</v>
          </cell>
          <cell r="D430" t="str">
            <v>M3M Capital Walk in M3M Capital Phase-2</v>
          </cell>
          <cell r="E430" t="str">
            <v>cwBOOKING/00292/22-23</v>
          </cell>
          <cell r="F430" t="str">
            <v>Mr. GAURAV LAKHANPAL</v>
          </cell>
          <cell r="G430" t="str">
            <v>cwFLAP/00058/22-23</v>
          </cell>
          <cell r="H430" t="str">
            <v>On Application of OC</v>
          </cell>
          <cell r="I430">
            <v>0</v>
          </cell>
          <cell r="J430">
            <v>44986</v>
          </cell>
          <cell r="K430">
            <v>46144</v>
          </cell>
          <cell r="L430">
            <v>46164</v>
          </cell>
          <cell r="M430">
            <v>4543448</v>
          </cell>
          <cell r="N430">
            <v>545214</v>
          </cell>
          <cell r="O430">
            <v>5088662</v>
          </cell>
          <cell r="P430">
            <v>672030.7533333333</v>
          </cell>
          <cell r="Q430">
            <v>955500</v>
          </cell>
          <cell r="R430"/>
          <cell r="S430">
            <v>195303.69039999999</v>
          </cell>
          <cell r="T430">
            <v>1822834.4437333334</v>
          </cell>
          <cell r="U430">
            <v>0</v>
          </cell>
          <cell r="V430">
            <v>1</v>
          </cell>
          <cell r="W430">
            <v>3265828.5562666664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 t="str">
            <v>Not Executed</v>
          </cell>
          <cell r="AC430" t="str">
            <v>No as CL is not Executed</v>
          </cell>
          <cell r="AD430">
            <v>0.17868021489578786</v>
          </cell>
          <cell r="AE430" t="str">
            <v>Less than 35%</v>
          </cell>
          <cell r="AF430" t="str">
            <v>UnRegistered</v>
          </cell>
        </row>
        <row r="431">
          <cell r="B431" t="str">
            <v>R5 149</v>
          </cell>
          <cell r="C431" t="str">
            <v>R5</v>
          </cell>
          <cell r="D431" t="str">
            <v>M3M Capital Walk in M3M Capital Phase-2</v>
          </cell>
          <cell r="E431" t="str">
            <v>cwBOOKING/00292/23-24</v>
          </cell>
          <cell r="F431" t="str">
            <v>Ms. Sarika Jain</v>
          </cell>
          <cell r="G431" t="str">
            <v>cwFLAP/00165/23-24</v>
          </cell>
          <cell r="H431" t="str">
            <v>On Application of OC</v>
          </cell>
          <cell r="I431">
            <v>0</v>
          </cell>
          <cell r="J431">
            <v>45341</v>
          </cell>
          <cell r="K431">
            <v>46144</v>
          </cell>
          <cell r="L431">
            <v>46164</v>
          </cell>
          <cell r="M431">
            <v>3485836</v>
          </cell>
          <cell r="N431">
            <v>418300</v>
          </cell>
          <cell r="O431">
            <v>3904136</v>
          </cell>
          <cell r="P431"/>
          <cell r="Q431"/>
          <cell r="R431"/>
          <cell r="S431"/>
          <cell r="T431">
            <v>0</v>
          </cell>
          <cell r="U431">
            <v>0</v>
          </cell>
          <cell r="V431">
            <v>1</v>
          </cell>
          <cell r="W431">
            <v>3904137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/>
          <cell r="AC431"/>
          <cell r="AD431"/>
          <cell r="AE431"/>
          <cell r="AF431" t="str">
            <v>UnRegistered</v>
          </cell>
        </row>
        <row r="432">
          <cell r="B432" t="str">
            <v>R4 138</v>
          </cell>
          <cell r="C432" t="str">
            <v>R4</v>
          </cell>
          <cell r="D432" t="str">
            <v>M3M Capital Walk in M3M Capital Phase-2</v>
          </cell>
          <cell r="E432" t="str">
            <v>cwBOOKING/00293/22-23</v>
          </cell>
          <cell r="F432" t="str">
            <v>Mr. Rakesh Kumar</v>
          </cell>
          <cell r="G432" t="str">
            <v>cwFLAP/00340/22-23</v>
          </cell>
          <cell r="H432" t="str">
            <v>On Application of OC</v>
          </cell>
          <cell r="I432">
            <v>0</v>
          </cell>
          <cell r="J432">
            <v>44963</v>
          </cell>
          <cell r="K432">
            <v>46144</v>
          </cell>
          <cell r="L432">
            <v>46164</v>
          </cell>
          <cell r="M432">
            <v>4300242</v>
          </cell>
          <cell r="N432">
            <v>516030</v>
          </cell>
          <cell r="O432">
            <v>4816272</v>
          </cell>
          <cell r="P432">
            <v>903428.52366666659</v>
          </cell>
          <cell r="Q432"/>
          <cell r="R432"/>
          <cell r="S432">
            <v>108411.42283999998</v>
          </cell>
          <cell r="T432">
            <v>0</v>
          </cell>
          <cell r="U432">
            <v>0</v>
          </cell>
          <cell r="V432">
            <v>0</v>
          </cell>
          <cell r="W432">
            <v>4816272</v>
          </cell>
          <cell r="X432">
            <v>6083</v>
          </cell>
          <cell r="Y432">
            <v>0</v>
          </cell>
          <cell r="Z432">
            <v>6083</v>
          </cell>
          <cell r="AA432">
            <v>0</v>
          </cell>
          <cell r="AB432"/>
          <cell r="AC432"/>
          <cell r="AD432">
            <v>0.12535555399400708</v>
          </cell>
          <cell r="AE432" t="str">
            <v>Less than 35%</v>
          </cell>
          <cell r="AF432" t="str">
            <v>UnRegistered</v>
          </cell>
        </row>
        <row r="433">
          <cell r="B433" t="str">
            <v>R5 LG 50</v>
          </cell>
          <cell r="C433" t="str">
            <v>R5</v>
          </cell>
          <cell r="D433" t="str">
            <v>M3M Capital Walk in M3M Capital Phase-2</v>
          </cell>
          <cell r="E433" t="str">
            <v>cwBOOKING/00293/23-24</v>
          </cell>
          <cell r="F433" t="str">
            <v>Ms. Rajni Devi</v>
          </cell>
          <cell r="G433" t="str">
            <v>cwFLAP/00180/23-24</v>
          </cell>
          <cell r="H433" t="str">
            <v>On Application of OC</v>
          </cell>
          <cell r="I433">
            <v>0</v>
          </cell>
          <cell r="J433">
            <v>45267</v>
          </cell>
          <cell r="K433">
            <v>46144</v>
          </cell>
          <cell r="L433">
            <v>46164</v>
          </cell>
          <cell r="M433">
            <v>5518520</v>
          </cell>
          <cell r="N433">
            <v>662222</v>
          </cell>
          <cell r="O433">
            <v>6180742</v>
          </cell>
          <cell r="P433"/>
          <cell r="Q433"/>
          <cell r="R433"/>
          <cell r="S433"/>
          <cell r="T433">
            <v>0</v>
          </cell>
          <cell r="U433">
            <v>0</v>
          </cell>
          <cell r="V433">
            <v>0</v>
          </cell>
          <cell r="W433">
            <v>6180742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/>
          <cell r="AC433"/>
          <cell r="AD433"/>
          <cell r="AE433"/>
          <cell r="AF433" t="str">
            <v>UnRegistered</v>
          </cell>
        </row>
        <row r="434">
          <cell r="B434" t="str">
            <v>R5 K 212A</v>
          </cell>
          <cell r="C434" t="str">
            <v>R5</v>
          </cell>
          <cell r="D434" t="str">
            <v>M3M Capital Walk in M3M Capital Phase-2</v>
          </cell>
          <cell r="E434" t="str">
            <v>cwBOOKING/00294/22-23</v>
          </cell>
          <cell r="F434" t="str">
            <v>Ms. SAROJ</v>
          </cell>
          <cell r="G434" t="str">
            <v>cwFLAP/00449/22-23</v>
          </cell>
          <cell r="H434" t="str">
            <v>On Application of OC</v>
          </cell>
          <cell r="I434">
            <v>0</v>
          </cell>
          <cell r="J434">
            <v>44966</v>
          </cell>
          <cell r="K434">
            <v>46144</v>
          </cell>
          <cell r="L434">
            <v>46164</v>
          </cell>
          <cell r="M434">
            <v>4740433</v>
          </cell>
          <cell r="N434">
            <v>568852</v>
          </cell>
          <cell r="O434">
            <v>5309285</v>
          </cell>
          <cell r="P434">
            <v>535101.23333333328</v>
          </cell>
          <cell r="Q434"/>
          <cell r="R434"/>
          <cell r="S434">
            <v>64212.147999999994</v>
          </cell>
          <cell r="T434">
            <v>599313.38133333332</v>
          </cell>
          <cell r="U434">
            <v>82</v>
          </cell>
          <cell r="V434">
            <v>0</v>
          </cell>
          <cell r="W434">
            <v>4709889.6186666666</v>
          </cell>
          <cell r="X434">
            <v>1789</v>
          </cell>
          <cell r="Y434">
            <v>0</v>
          </cell>
          <cell r="Z434">
            <v>0</v>
          </cell>
          <cell r="AA434">
            <v>1789</v>
          </cell>
          <cell r="AB434" t="str">
            <v>Executed</v>
          </cell>
          <cell r="AC434" t="str">
            <v>Yes</v>
          </cell>
          <cell r="AD434">
            <v>7.6153310782223468E-2</v>
          </cell>
          <cell r="AE434" t="str">
            <v>Less than 35%</v>
          </cell>
          <cell r="AF434" t="str">
            <v>UnRegistered</v>
          </cell>
        </row>
        <row r="435">
          <cell r="B435" t="str">
            <v>R1 LG 04</v>
          </cell>
          <cell r="C435" t="str">
            <v>R1</v>
          </cell>
          <cell r="D435" t="str">
            <v>M3M Capital Walk in M3M Capital Phase-2</v>
          </cell>
          <cell r="E435" t="str">
            <v>cwBOOKING/00294/23-24</v>
          </cell>
          <cell r="F435" t="str">
            <v>Mr. Nand Ram Saini</v>
          </cell>
          <cell r="G435" t="str">
            <v>cwFLAP/00179/23-24</v>
          </cell>
          <cell r="H435" t="str">
            <v>On Application of OC</v>
          </cell>
          <cell r="I435">
            <v>0</v>
          </cell>
          <cell r="J435">
            <v>45309</v>
          </cell>
          <cell r="K435">
            <v>46144</v>
          </cell>
          <cell r="L435">
            <v>46164</v>
          </cell>
          <cell r="M435">
            <v>7820748</v>
          </cell>
          <cell r="N435">
            <v>938490</v>
          </cell>
          <cell r="O435">
            <v>8759238</v>
          </cell>
          <cell r="P435"/>
          <cell r="Q435"/>
          <cell r="R435"/>
          <cell r="S435"/>
          <cell r="T435">
            <v>0</v>
          </cell>
          <cell r="U435">
            <v>0</v>
          </cell>
          <cell r="V435">
            <v>0</v>
          </cell>
          <cell r="W435">
            <v>8759238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/>
          <cell r="AC435"/>
          <cell r="AD435"/>
          <cell r="AE435"/>
          <cell r="AF435" t="str">
            <v>UnRegistered</v>
          </cell>
        </row>
        <row r="436">
          <cell r="B436" t="str">
            <v>R5 155</v>
          </cell>
          <cell r="C436" t="str">
            <v>R5</v>
          </cell>
          <cell r="D436" t="str">
            <v>M3M Capital Walk in M3M Capital Phase-2</v>
          </cell>
          <cell r="E436" t="str">
            <v>cwBOOKING/00295/22-23</v>
          </cell>
          <cell r="F436" t="str">
            <v>Mr. ASHOK KUMAR</v>
          </cell>
          <cell r="G436" t="str">
            <v>cwFLAP/00277/22-23</v>
          </cell>
          <cell r="H436" t="str">
            <v>On Application of OC</v>
          </cell>
          <cell r="I436">
            <v>0</v>
          </cell>
          <cell r="J436">
            <v>45000</v>
          </cell>
          <cell r="K436">
            <v>46144</v>
          </cell>
          <cell r="L436">
            <v>46164</v>
          </cell>
          <cell r="M436">
            <v>1562319</v>
          </cell>
          <cell r="N436">
            <v>187478</v>
          </cell>
          <cell r="O436">
            <v>1749797</v>
          </cell>
          <cell r="P436">
            <v>329578.30955000001</v>
          </cell>
          <cell r="Q436"/>
          <cell r="R436"/>
          <cell r="S436">
            <v>39549.397145999996</v>
          </cell>
          <cell r="T436">
            <v>369127.70669600001</v>
          </cell>
          <cell r="U436">
            <v>0</v>
          </cell>
          <cell r="V436">
            <v>0</v>
          </cell>
          <cell r="W436">
            <v>1380669.293304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 t="str">
            <v>Executed</v>
          </cell>
          <cell r="AC436" t="str">
            <v>Yes</v>
          </cell>
          <cell r="AD436">
            <v>9.6769643063479641E-2</v>
          </cell>
          <cell r="AE436" t="str">
            <v>Less than 35%</v>
          </cell>
          <cell r="AF436" t="str">
            <v>UnRegistered</v>
          </cell>
        </row>
        <row r="437">
          <cell r="B437" t="str">
            <v>R5 209</v>
          </cell>
          <cell r="C437" t="str">
            <v>R5</v>
          </cell>
          <cell r="D437" t="str">
            <v>M3M Capital Walk in M3M Capital Phase-2</v>
          </cell>
          <cell r="E437" t="str">
            <v>cwBOOKING/00296/22-23</v>
          </cell>
          <cell r="F437" t="str">
            <v>Ms. SAMIDHA SHIKHA</v>
          </cell>
          <cell r="G437" t="str">
            <v>cwFLAP/00021/22-23</v>
          </cell>
          <cell r="H437" t="str">
            <v>On Application of OC</v>
          </cell>
          <cell r="I437">
            <v>0</v>
          </cell>
          <cell r="J437">
            <v>45022</v>
          </cell>
          <cell r="K437">
            <v>46144</v>
          </cell>
          <cell r="L437">
            <v>46164</v>
          </cell>
          <cell r="M437">
            <v>3706735</v>
          </cell>
          <cell r="N437">
            <v>444808</v>
          </cell>
          <cell r="O437">
            <v>4151543</v>
          </cell>
          <cell r="P437"/>
          <cell r="Q437"/>
          <cell r="R437"/>
          <cell r="S437"/>
          <cell r="T437">
            <v>0</v>
          </cell>
          <cell r="U437">
            <v>0.12</v>
          </cell>
          <cell r="V437">
            <v>1.8800000000046566</v>
          </cell>
          <cell r="W437">
            <v>4151544.76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/>
          <cell r="AC437"/>
          <cell r="AD437"/>
          <cell r="AE437"/>
          <cell r="AF437" t="str">
            <v>UnRegistered</v>
          </cell>
        </row>
        <row r="438">
          <cell r="B438" t="str">
            <v>R5 LG 16</v>
          </cell>
          <cell r="C438" t="str">
            <v>R5</v>
          </cell>
          <cell r="D438" t="str">
            <v>M3M Capital Walk in M3M Capital Phase-2</v>
          </cell>
          <cell r="E438" t="str">
            <v>cwBOOKING/00296/23-24</v>
          </cell>
          <cell r="F438" t="str">
            <v>Ms. Dhanpati Devi</v>
          </cell>
          <cell r="G438" t="str">
            <v>cwFLAP/00191/23-24</v>
          </cell>
          <cell r="H438" t="str">
            <v>On Application of OC</v>
          </cell>
          <cell r="I438">
            <v>0</v>
          </cell>
          <cell r="J438">
            <v>45267</v>
          </cell>
          <cell r="K438">
            <v>46144</v>
          </cell>
          <cell r="L438">
            <v>46164</v>
          </cell>
          <cell r="M438">
            <v>4372555</v>
          </cell>
          <cell r="N438">
            <v>524706</v>
          </cell>
          <cell r="O438">
            <v>4897261</v>
          </cell>
          <cell r="P438"/>
          <cell r="Q438"/>
          <cell r="R438"/>
          <cell r="S438"/>
          <cell r="T438">
            <v>0</v>
          </cell>
          <cell r="U438">
            <v>0</v>
          </cell>
          <cell r="V438">
            <v>0</v>
          </cell>
          <cell r="W438">
            <v>4897261</v>
          </cell>
          <cell r="X438">
            <v>50922</v>
          </cell>
          <cell r="Y438">
            <v>0</v>
          </cell>
          <cell r="Z438">
            <v>0</v>
          </cell>
          <cell r="AA438">
            <v>50922</v>
          </cell>
          <cell r="AB438"/>
          <cell r="AC438"/>
          <cell r="AD438"/>
          <cell r="AE438"/>
          <cell r="AF438" t="str">
            <v>UnRegistered</v>
          </cell>
        </row>
        <row r="439">
          <cell r="B439" t="str">
            <v>R4 131</v>
          </cell>
          <cell r="C439" t="str">
            <v>R4</v>
          </cell>
          <cell r="D439" t="str">
            <v>M3M Capital Walk in M3M Capital Phase-2</v>
          </cell>
          <cell r="E439" t="str">
            <v>cwBOOKING/00297/22-23</v>
          </cell>
          <cell r="F439" t="str">
            <v>Mr. PANKAJ SAINI</v>
          </cell>
          <cell r="G439" t="str">
            <v>cwFLAP/00377/22-23</v>
          </cell>
          <cell r="H439" t="str">
            <v>On Application of OC</v>
          </cell>
          <cell r="I439">
            <v>0</v>
          </cell>
          <cell r="J439">
            <v>45022</v>
          </cell>
          <cell r="K439">
            <v>46144</v>
          </cell>
          <cell r="L439">
            <v>46164</v>
          </cell>
          <cell r="M439">
            <v>2447730</v>
          </cell>
          <cell r="N439">
            <v>293728</v>
          </cell>
          <cell r="O439">
            <v>2741458</v>
          </cell>
          <cell r="P439"/>
          <cell r="Q439"/>
          <cell r="R439"/>
          <cell r="S439"/>
          <cell r="T439">
            <v>0</v>
          </cell>
          <cell r="U439">
            <v>0</v>
          </cell>
          <cell r="V439">
            <v>0</v>
          </cell>
          <cell r="W439">
            <v>2741458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/>
          <cell r="AC439"/>
          <cell r="AD439"/>
          <cell r="AE439"/>
          <cell r="AF439" t="str">
            <v>UnRegistered</v>
          </cell>
        </row>
        <row r="440">
          <cell r="B440" t="str">
            <v>R5 226</v>
          </cell>
          <cell r="C440" t="str">
            <v>R5</v>
          </cell>
          <cell r="D440" t="str">
            <v>M3M Capital Walk in M3M Capital Phase-2</v>
          </cell>
          <cell r="E440" t="str">
            <v>cwBOOKING/00297/23-24</v>
          </cell>
          <cell r="F440" t="str">
            <v>Mr. Uday Singh Shekhawat</v>
          </cell>
          <cell r="G440" t="str">
            <v>cwFLAP/00156/23-24</v>
          </cell>
          <cell r="H440" t="str">
            <v>On Application of OC</v>
          </cell>
          <cell r="I440">
            <v>0</v>
          </cell>
          <cell r="J440">
            <v>45321</v>
          </cell>
          <cell r="K440">
            <v>46144</v>
          </cell>
          <cell r="L440">
            <v>46164</v>
          </cell>
          <cell r="M440">
            <v>3370108</v>
          </cell>
          <cell r="N440">
            <v>404412</v>
          </cell>
          <cell r="O440">
            <v>3774520</v>
          </cell>
          <cell r="P440"/>
          <cell r="Q440"/>
          <cell r="R440"/>
          <cell r="S440"/>
          <cell r="T440">
            <v>0</v>
          </cell>
          <cell r="U440">
            <v>0</v>
          </cell>
          <cell r="V440">
            <v>12779</v>
          </cell>
          <cell r="W440">
            <v>3787299</v>
          </cell>
          <cell r="X440">
            <v>3706</v>
          </cell>
          <cell r="Y440">
            <v>0</v>
          </cell>
          <cell r="Z440">
            <v>0</v>
          </cell>
          <cell r="AA440">
            <v>3706</v>
          </cell>
          <cell r="AB440"/>
          <cell r="AC440"/>
          <cell r="AD440"/>
          <cell r="AE440"/>
          <cell r="AF440" t="str">
            <v>UnRegistered</v>
          </cell>
        </row>
        <row r="441">
          <cell r="B441" t="str">
            <v>R1 LG 08</v>
          </cell>
          <cell r="C441" t="str">
            <v>R1</v>
          </cell>
          <cell r="D441" t="str">
            <v>M3M Capital Walk in M3M Capital Phase-2</v>
          </cell>
          <cell r="E441" t="str">
            <v>cwBOOKING/00298/23-24</v>
          </cell>
          <cell r="F441" t="str">
            <v>Mr. Chhotu Ram Saini</v>
          </cell>
          <cell r="G441" t="str">
            <v>cwFLAP/00164/23-24</v>
          </cell>
          <cell r="H441" t="str">
            <v>On Application of OC</v>
          </cell>
          <cell r="I441">
            <v>0</v>
          </cell>
          <cell r="J441">
            <v>45309</v>
          </cell>
          <cell r="K441">
            <v>46144</v>
          </cell>
          <cell r="L441">
            <v>46164</v>
          </cell>
          <cell r="M441">
            <v>5347520</v>
          </cell>
          <cell r="N441">
            <v>641702</v>
          </cell>
          <cell r="O441">
            <v>5989222</v>
          </cell>
          <cell r="P441"/>
          <cell r="Q441"/>
          <cell r="R441"/>
          <cell r="S441"/>
          <cell r="T441">
            <v>0</v>
          </cell>
          <cell r="U441">
            <v>0</v>
          </cell>
          <cell r="V441">
            <v>0</v>
          </cell>
          <cell r="W441">
            <v>5989222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/>
          <cell r="AC441"/>
          <cell r="AD441"/>
          <cell r="AE441"/>
          <cell r="AF441" t="str">
            <v>UnRegistered</v>
          </cell>
        </row>
        <row r="442">
          <cell r="B442" t="str">
            <v>R2 UG 05</v>
          </cell>
          <cell r="C442" t="str">
            <v>R2</v>
          </cell>
          <cell r="D442" t="str">
            <v>M3M Capital Walk in M3M Capital Phase-2</v>
          </cell>
          <cell r="E442" t="str">
            <v>cwBOOKING/00299/22-23</v>
          </cell>
          <cell r="F442" t="str">
            <v>Ms. GURPREET KAUR</v>
          </cell>
          <cell r="G442" t="str">
            <v>cwFLAP/00454/22-23</v>
          </cell>
          <cell r="H442" t="str">
            <v>On Application of OC</v>
          </cell>
          <cell r="I442">
            <v>0</v>
          </cell>
          <cell r="J442">
            <v>45357</v>
          </cell>
          <cell r="K442">
            <v>46144</v>
          </cell>
          <cell r="L442">
            <v>46164</v>
          </cell>
          <cell r="M442">
            <v>2904131</v>
          </cell>
          <cell r="N442">
            <v>348496</v>
          </cell>
          <cell r="O442">
            <v>3252627</v>
          </cell>
          <cell r="P442">
            <v>622590.64350000012</v>
          </cell>
          <cell r="Q442"/>
          <cell r="R442"/>
          <cell r="S442">
            <v>74710.877220000009</v>
          </cell>
          <cell r="T442">
            <v>697301.52072000015</v>
          </cell>
          <cell r="U442">
            <v>0</v>
          </cell>
          <cell r="V442">
            <v>0</v>
          </cell>
          <cell r="W442">
            <v>2555325.4792799996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 t="str">
            <v>Executed</v>
          </cell>
          <cell r="AC442" t="str">
            <v>Yes</v>
          </cell>
          <cell r="AD442">
            <v>0.10719049763921631</v>
          </cell>
          <cell r="AE442" t="str">
            <v>Less than 35%</v>
          </cell>
          <cell r="AF442" t="str">
            <v>UnRegistered</v>
          </cell>
        </row>
        <row r="443">
          <cell r="B443" t="str">
            <v>R1 150</v>
          </cell>
          <cell r="C443" t="str">
            <v>R1</v>
          </cell>
          <cell r="D443" t="str">
            <v>M3M Capital Walk in M3M Capital Phase-2</v>
          </cell>
          <cell r="E443" t="str">
            <v>cwBOOKING/00300/22-23</v>
          </cell>
          <cell r="F443" t="str">
            <v>Ms. PUSHPLATA KAUSHIK</v>
          </cell>
          <cell r="G443" t="str">
            <v>cwFLAP/00455/22-23</v>
          </cell>
          <cell r="H443" t="str">
            <v>On Application of OC</v>
          </cell>
          <cell r="I443">
            <v>0</v>
          </cell>
          <cell r="J443">
            <v>45042</v>
          </cell>
          <cell r="K443">
            <v>46144</v>
          </cell>
          <cell r="L443">
            <v>46164</v>
          </cell>
          <cell r="M443">
            <v>3120464</v>
          </cell>
          <cell r="N443">
            <v>374456</v>
          </cell>
          <cell r="O443">
            <v>3494920</v>
          </cell>
          <cell r="P443"/>
          <cell r="Q443"/>
          <cell r="R443"/>
          <cell r="S443"/>
          <cell r="T443">
            <v>0</v>
          </cell>
          <cell r="U443">
            <v>1</v>
          </cell>
          <cell r="V443">
            <v>0</v>
          </cell>
          <cell r="W443">
            <v>3494919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/>
          <cell r="AC443"/>
          <cell r="AD443"/>
          <cell r="AE443"/>
          <cell r="AF443" t="str">
            <v>UnRegistered</v>
          </cell>
        </row>
        <row r="444">
          <cell r="B444" t="str">
            <v>R5 148</v>
          </cell>
          <cell r="C444" t="str">
            <v>R5</v>
          </cell>
          <cell r="D444" t="str">
            <v>M3M Capital Walk in M3M Capital Phase-2</v>
          </cell>
          <cell r="E444" t="str">
            <v>cwBOOKING/00300/23-24</v>
          </cell>
          <cell r="F444" t="str">
            <v>Mr. Suraj Choudhary</v>
          </cell>
          <cell r="G444" t="str">
            <v>cwFLAP/00193/23-24</v>
          </cell>
          <cell r="H444" t="str">
            <v>On Application of OC</v>
          </cell>
          <cell r="I444">
            <v>0</v>
          </cell>
          <cell r="J444">
            <v>45372</v>
          </cell>
          <cell r="K444">
            <v>46144</v>
          </cell>
          <cell r="L444">
            <v>46164</v>
          </cell>
          <cell r="M444">
            <v>5832878</v>
          </cell>
          <cell r="N444">
            <v>699946</v>
          </cell>
          <cell r="O444">
            <v>6532824</v>
          </cell>
          <cell r="P444"/>
          <cell r="Q444"/>
          <cell r="R444"/>
          <cell r="S444"/>
          <cell r="T444">
            <v>0</v>
          </cell>
          <cell r="U444">
            <v>2.31</v>
          </cell>
          <cell r="V444">
            <v>0</v>
          </cell>
          <cell r="W444">
            <v>6532821.6900000004</v>
          </cell>
          <cell r="X444">
            <v>38382</v>
          </cell>
          <cell r="Y444">
            <v>0</v>
          </cell>
          <cell r="Z444">
            <v>38382</v>
          </cell>
          <cell r="AA444">
            <v>0</v>
          </cell>
          <cell r="AB444"/>
          <cell r="AC444"/>
          <cell r="AD444"/>
          <cell r="AE444"/>
          <cell r="AF444" t="str">
            <v>UnRegistered</v>
          </cell>
        </row>
        <row r="445">
          <cell r="B445" t="str">
            <v>R5 G 17</v>
          </cell>
          <cell r="C445" t="str">
            <v>R5</v>
          </cell>
          <cell r="D445" t="str">
            <v>M3M Capital Walk in M3M Capital Phase-2</v>
          </cell>
          <cell r="E445" t="str">
            <v>cwBOOKING/00301/22-23</v>
          </cell>
          <cell r="F445" t="str">
            <v>Mr. VISHANT JAIN</v>
          </cell>
          <cell r="G445" t="str">
            <v>cwFLAP/00208/22-23</v>
          </cell>
          <cell r="H445" t="str">
            <v>On Application of OC</v>
          </cell>
          <cell r="I445">
            <v>0</v>
          </cell>
          <cell r="J445">
            <v>45309</v>
          </cell>
          <cell r="K445">
            <v>46144</v>
          </cell>
          <cell r="L445">
            <v>46164</v>
          </cell>
          <cell r="M445">
            <v>14193570</v>
          </cell>
          <cell r="N445">
            <v>1703228</v>
          </cell>
          <cell r="O445">
            <v>15896798</v>
          </cell>
          <cell r="P445"/>
          <cell r="Q445"/>
          <cell r="R445"/>
          <cell r="S445">
            <v>0</v>
          </cell>
          <cell r="T445">
            <v>0</v>
          </cell>
          <cell r="U445">
            <v>68471</v>
          </cell>
          <cell r="V445">
            <v>0</v>
          </cell>
          <cell r="W445">
            <v>15828327</v>
          </cell>
          <cell r="X445">
            <v>67909.240000000005</v>
          </cell>
          <cell r="Y445">
            <v>0</v>
          </cell>
          <cell r="Z445">
            <v>0</v>
          </cell>
          <cell r="AA445">
            <v>67909.240000000005</v>
          </cell>
          <cell r="AB445"/>
          <cell r="AC445"/>
          <cell r="AD445">
            <v>0</v>
          </cell>
          <cell r="AE445" t="str">
            <v>Less than 35%</v>
          </cell>
          <cell r="AF445" t="str">
            <v>UnRegistered</v>
          </cell>
        </row>
        <row r="446">
          <cell r="B446" t="str">
            <v>R2 104</v>
          </cell>
          <cell r="C446" t="str">
            <v>R2</v>
          </cell>
          <cell r="D446" t="str">
            <v>M3M Capital Walk in M3M Capital Phase-2</v>
          </cell>
          <cell r="E446" t="str">
            <v>cwBOOKING/00301/23-24</v>
          </cell>
          <cell r="F446" t="str">
            <v>Mr. Shashank Jorwal</v>
          </cell>
          <cell r="G446" t="str">
            <v>cwFLAP/00171/23-24</v>
          </cell>
          <cell r="H446" t="str">
            <v>On Application of OC</v>
          </cell>
          <cell r="I446">
            <v>0</v>
          </cell>
          <cell r="J446">
            <v>45302</v>
          </cell>
          <cell r="K446">
            <v>46144</v>
          </cell>
          <cell r="L446">
            <v>46164</v>
          </cell>
          <cell r="M446">
            <v>8040952</v>
          </cell>
          <cell r="N446">
            <v>964914</v>
          </cell>
          <cell r="O446">
            <v>9005866</v>
          </cell>
          <cell r="P446"/>
          <cell r="Q446"/>
          <cell r="R446"/>
          <cell r="S446"/>
          <cell r="T446">
            <v>0</v>
          </cell>
          <cell r="U446">
            <v>0</v>
          </cell>
          <cell r="V446">
            <v>0</v>
          </cell>
          <cell r="W446">
            <v>9005866</v>
          </cell>
          <cell r="X446">
            <v>10679</v>
          </cell>
          <cell r="Y446">
            <v>0</v>
          </cell>
          <cell r="Z446">
            <v>0</v>
          </cell>
          <cell r="AA446">
            <v>10679</v>
          </cell>
          <cell r="AB446"/>
          <cell r="AC446"/>
          <cell r="AD446"/>
          <cell r="AE446"/>
          <cell r="AF446" t="str">
            <v>UnRegistered</v>
          </cell>
        </row>
        <row r="447">
          <cell r="B447" t="str">
            <v>R1 252</v>
          </cell>
          <cell r="C447" t="str">
            <v>R1</v>
          </cell>
          <cell r="D447" t="str">
            <v>M3M Capital Walk in M3M Capital Phase-2</v>
          </cell>
          <cell r="E447" t="str">
            <v>cwBOOKING/00302/22-23</v>
          </cell>
          <cell r="F447" t="str">
            <v>Mr. VED PRAKASH YADAV</v>
          </cell>
          <cell r="G447" t="str">
            <v>cwFLAP/00458/22-23</v>
          </cell>
          <cell r="H447" t="str">
            <v>On Application of OC</v>
          </cell>
          <cell r="I447">
            <v>0</v>
          </cell>
          <cell r="J447">
            <v>44972</v>
          </cell>
          <cell r="K447">
            <v>46144</v>
          </cell>
          <cell r="L447">
            <v>46164</v>
          </cell>
          <cell r="M447">
            <v>2485451</v>
          </cell>
          <cell r="N447">
            <v>298254</v>
          </cell>
          <cell r="O447">
            <v>2783705</v>
          </cell>
          <cell r="P447">
            <v>444236.52311999997</v>
          </cell>
          <cell r="Q447"/>
          <cell r="R447"/>
          <cell r="S447">
            <v>53308.382774399994</v>
          </cell>
          <cell r="T447">
            <v>497544.90589439997</v>
          </cell>
          <cell r="U447">
            <v>0</v>
          </cell>
          <cell r="V447">
            <v>3057.1200000001118</v>
          </cell>
          <cell r="W447">
            <v>2289217.2141056</v>
          </cell>
          <cell r="X447">
            <v>1222.32</v>
          </cell>
          <cell r="Y447">
            <v>0</v>
          </cell>
          <cell r="Z447">
            <v>0</v>
          </cell>
          <cell r="AA447">
            <v>1222.32</v>
          </cell>
          <cell r="AB447" t="str">
            <v>Executed</v>
          </cell>
          <cell r="AC447" t="str">
            <v>Yes</v>
          </cell>
          <cell r="AD447">
            <v>7.8229679201478344E-2</v>
          </cell>
          <cell r="AE447" t="str">
            <v>Less than 35%</v>
          </cell>
          <cell r="AF447" t="str">
            <v>UnRegistered</v>
          </cell>
        </row>
        <row r="448">
          <cell r="B448" t="str">
            <v>R1 153</v>
          </cell>
          <cell r="C448" t="str">
            <v>R1</v>
          </cell>
          <cell r="D448" t="str">
            <v>M3M Capital Walk in M3M Capital Phase-2</v>
          </cell>
          <cell r="E448" t="str">
            <v>cwBOOKING/00302/23-24</v>
          </cell>
          <cell r="F448" t="str">
            <v>Mr. Parveen Kumar</v>
          </cell>
          <cell r="G448" t="str">
            <v>cwFLAP/00188/23-24</v>
          </cell>
          <cell r="H448" t="str">
            <v>On Application of OC</v>
          </cell>
          <cell r="I448">
            <v>0</v>
          </cell>
          <cell r="J448">
            <v>45288</v>
          </cell>
          <cell r="K448">
            <v>46144</v>
          </cell>
          <cell r="L448">
            <v>46164</v>
          </cell>
          <cell r="M448">
            <v>3627038</v>
          </cell>
          <cell r="N448">
            <v>435244</v>
          </cell>
          <cell r="O448">
            <v>4062282</v>
          </cell>
          <cell r="P448"/>
          <cell r="Q448"/>
          <cell r="R448"/>
          <cell r="S448"/>
          <cell r="T448">
            <v>0</v>
          </cell>
          <cell r="U448">
            <v>1</v>
          </cell>
          <cell r="V448">
            <v>1</v>
          </cell>
          <cell r="W448">
            <v>4062282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/>
          <cell r="AC448"/>
          <cell r="AD448"/>
          <cell r="AE448"/>
          <cell r="AF448" t="str">
            <v>UnRegistered</v>
          </cell>
        </row>
        <row r="449">
          <cell r="B449" t="str">
            <v>R4 UG 18</v>
          </cell>
          <cell r="C449" t="str">
            <v>R4</v>
          </cell>
          <cell r="D449" t="str">
            <v>M3M Capital Walk in M3M Capital Phase-2</v>
          </cell>
          <cell r="E449" t="str">
            <v>cwBOOKING/00303/22-23</v>
          </cell>
          <cell r="F449" t="str">
            <v>Ms. NIDHI AGGARWAL</v>
          </cell>
          <cell r="G449" t="str">
            <v>cwFLAP/00459/22-23</v>
          </cell>
          <cell r="H449" t="str">
            <v>On Application of OC</v>
          </cell>
          <cell r="I449">
            <v>0</v>
          </cell>
          <cell r="J449">
            <v>45442</v>
          </cell>
          <cell r="K449">
            <v>46144</v>
          </cell>
          <cell r="L449">
            <v>46164</v>
          </cell>
          <cell r="M449">
            <v>4055285</v>
          </cell>
          <cell r="N449">
            <v>486634</v>
          </cell>
          <cell r="O449">
            <v>4541919</v>
          </cell>
          <cell r="P449">
            <v>806804.35660000006</v>
          </cell>
          <cell r="Q449"/>
          <cell r="R449"/>
          <cell r="S449">
            <v>96816.522792000003</v>
          </cell>
          <cell r="T449">
            <v>903620.87939200003</v>
          </cell>
          <cell r="U449">
            <v>0</v>
          </cell>
          <cell r="V449">
            <v>802</v>
          </cell>
          <cell r="W449">
            <v>3639100.1206080001</v>
          </cell>
          <cell r="X449">
            <v>322.64</v>
          </cell>
          <cell r="Y449">
            <v>0</v>
          </cell>
          <cell r="Z449">
            <v>0</v>
          </cell>
          <cell r="AA449">
            <v>322.64</v>
          </cell>
          <cell r="AB449" t="str">
            <v>Executed</v>
          </cell>
          <cell r="AC449" t="str">
            <v>Yes</v>
          </cell>
          <cell r="AD449">
            <v>0.11991574234529655</v>
          </cell>
          <cell r="AE449" t="str">
            <v>Less than 35%</v>
          </cell>
          <cell r="AF449" t="str">
            <v>UnRegistered</v>
          </cell>
        </row>
        <row r="450">
          <cell r="B450" t="str">
            <v>R3 UG 25</v>
          </cell>
          <cell r="C450" t="str">
            <v>R3</v>
          </cell>
          <cell r="D450" t="str">
            <v>M3M Capital Walk in M3M Capital Phase-2</v>
          </cell>
          <cell r="E450" t="str">
            <v>cwBOOKING/00303/23-24</v>
          </cell>
          <cell r="F450" t="str">
            <v>Mr. Azad Singh</v>
          </cell>
          <cell r="G450" t="str">
            <v>cwFLAP/00187/23-24</v>
          </cell>
          <cell r="H450" t="str">
            <v>On Application of OC</v>
          </cell>
          <cell r="I450">
            <v>0</v>
          </cell>
          <cell r="J450">
            <v>45288</v>
          </cell>
          <cell r="K450">
            <v>46144</v>
          </cell>
          <cell r="L450">
            <v>46164</v>
          </cell>
          <cell r="M450">
            <v>6873677</v>
          </cell>
          <cell r="N450">
            <v>824842</v>
          </cell>
          <cell r="O450">
            <v>7698519</v>
          </cell>
          <cell r="P450"/>
          <cell r="Q450"/>
          <cell r="R450"/>
          <cell r="S450"/>
          <cell r="T450">
            <v>0</v>
          </cell>
          <cell r="U450">
            <v>0</v>
          </cell>
          <cell r="V450">
            <v>0</v>
          </cell>
          <cell r="W450">
            <v>7698519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/>
          <cell r="AC450"/>
          <cell r="AD450"/>
          <cell r="AE450"/>
          <cell r="AF450" t="str">
            <v>UnRegistered</v>
          </cell>
        </row>
        <row r="451">
          <cell r="B451" t="str">
            <v>R5 LG 48</v>
          </cell>
          <cell r="C451" t="str">
            <v>R5</v>
          </cell>
          <cell r="D451" t="str">
            <v>M3M Capital Walk in M3M Capital Phase-2</v>
          </cell>
          <cell r="E451" t="str">
            <v>cwBOOKING/00304/23-24</v>
          </cell>
          <cell r="F451" t="str">
            <v>Ms. Sapna</v>
          </cell>
          <cell r="G451" t="str">
            <v>cwFLAP/00192/23-24</v>
          </cell>
          <cell r="H451" t="str">
            <v>On Application of OC</v>
          </cell>
          <cell r="I451">
            <v>0</v>
          </cell>
          <cell r="J451">
            <v>45307</v>
          </cell>
          <cell r="K451">
            <v>46144</v>
          </cell>
          <cell r="L451">
            <v>46164</v>
          </cell>
          <cell r="M451">
            <v>3266912</v>
          </cell>
          <cell r="N451">
            <v>392030</v>
          </cell>
          <cell r="O451">
            <v>3658942</v>
          </cell>
          <cell r="P451"/>
          <cell r="Q451"/>
          <cell r="R451"/>
          <cell r="S451"/>
          <cell r="T451">
            <v>0</v>
          </cell>
          <cell r="U451">
            <v>0</v>
          </cell>
          <cell r="V451">
            <v>0</v>
          </cell>
          <cell r="W451">
            <v>3658942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/>
          <cell r="AC451"/>
          <cell r="AD451"/>
          <cell r="AE451"/>
          <cell r="AF451" t="str">
            <v>UnRegistered</v>
          </cell>
        </row>
        <row r="452">
          <cell r="B452" t="str">
            <v>R4 G 22</v>
          </cell>
          <cell r="C452" t="str">
            <v>R4</v>
          </cell>
          <cell r="D452" t="str">
            <v>M3M Capital Walk in M3M Capital Phase-2</v>
          </cell>
          <cell r="E452" t="str">
            <v>cwBOOKING/00305/23-24</v>
          </cell>
          <cell r="F452" t="str">
            <v>M/S. Banipur Infra Private Limited</v>
          </cell>
          <cell r="G452" t="str">
            <v>cwFLAP/00195/23-24</v>
          </cell>
          <cell r="H452" t="str">
            <v>On Application of OC</v>
          </cell>
          <cell r="I452">
            <v>0</v>
          </cell>
          <cell r="J452">
            <v>45293</v>
          </cell>
          <cell r="K452">
            <v>46144</v>
          </cell>
          <cell r="L452">
            <v>46164</v>
          </cell>
          <cell r="M452">
            <v>13415298</v>
          </cell>
          <cell r="N452">
            <v>1609836</v>
          </cell>
          <cell r="O452">
            <v>15025134</v>
          </cell>
          <cell r="P452"/>
          <cell r="Q452"/>
          <cell r="R452"/>
          <cell r="S452"/>
          <cell r="T452">
            <v>0</v>
          </cell>
          <cell r="U452">
            <v>0.3</v>
          </cell>
          <cell r="V452">
            <v>0</v>
          </cell>
          <cell r="W452">
            <v>15025133.699999999</v>
          </cell>
          <cell r="X452">
            <v>5425</v>
          </cell>
          <cell r="Y452">
            <v>0</v>
          </cell>
          <cell r="Z452">
            <v>0</v>
          </cell>
          <cell r="AA452">
            <v>5425</v>
          </cell>
          <cell r="AB452"/>
          <cell r="AC452"/>
          <cell r="AD452"/>
          <cell r="AE452"/>
          <cell r="AF452" t="str">
            <v>06AALCB6590J1Z8</v>
          </cell>
        </row>
        <row r="453">
          <cell r="B453" t="str">
            <v>R4 UG 07</v>
          </cell>
          <cell r="C453" t="str">
            <v>R4</v>
          </cell>
          <cell r="D453" t="str">
            <v>M3M Capital Walk in M3M Capital Phase-2</v>
          </cell>
          <cell r="E453" t="str">
            <v>cwBOOKING/00306/22-23</v>
          </cell>
          <cell r="F453" t="str">
            <v>Ms. JYOTI</v>
          </cell>
          <cell r="G453" t="str">
            <v>cwFLAP/00252/22-23</v>
          </cell>
          <cell r="H453" t="str">
            <v>On Application of OC</v>
          </cell>
          <cell r="I453">
            <v>0</v>
          </cell>
          <cell r="J453">
            <v>44977</v>
          </cell>
          <cell r="K453">
            <v>46144</v>
          </cell>
          <cell r="L453">
            <v>46164</v>
          </cell>
          <cell r="M453">
            <v>11351978</v>
          </cell>
          <cell r="N453">
            <v>1362238</v>
          </cell>
          <cell r="O453">
            <v>12714216</v>
          </cell>
          <cell r="P453">
            <v>2627299.02336</v>
          </cell>
          <cell r="Q453"/>
          <cell r="R453"/>
          <cell r="S453">
            <v>315275.88280319999</v>
          </cell>
          <cell r="T453">
            <v>2942574.9061631998</v>
          </cell>
          <cell r="U453">
            <v>59999</v>
          </cell>
          <cell r="V453">
            <v>0</v>
          </cell>
          <cell r="W453">
            <v>9711642.0938367993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 t="str">
            <v>Executed</v>
          </cell>
          <cell r="AC453" t="str">
            <v>Yes</v>
          </cell>
          <cell r="AD453">
            <v>0.1314026414345722</v>
          </cell>
          <cell r="AE453" t="str">
            <v>Less than 35%</v>
          </cell>
          <cell r="AF453" t="str">
            <v>UnRegistered</v>
          </cell>
        </row>
        <row r="454">
          <cell r="B454" t="str">
            <v>R2 103</v>
          </cell>
          <cell r="C454" t="str">
            <v>R2</v>
          </cell>
          <cell r="D454" t="str">
            <v>M3M Capital Walk in M3M Capital Phase-2</v>
          </cell>
          <cell r="E454" t="str">
            <v>cwBOOKING/00306/23-24</v>
          </cell>
          <cell r="F454" t="str">
            <v>Mrs. Naveen Narula</v>
          </cell>
          <cell r="G454" t="str">
            <v>cwFLAP/00196/23-24</v>
          </cell>
          <cell r="H454" t="str">
            <v>On Application of OC</v>
          </cell>
          <cell r="I454">
            <v>0</v>
          </cell>
          <cell r="J454">
            <v>45421</v>
          </cell>
          <cell r="K454">
            <v>46144</v>
          </cell>
          <cell r="L454">
            <v>46164</v>
          </cell>
          <cell r="M454">
            <v>7297980</v>
          </cell>
          <cell r="N454">
            <v>875758</v>
          </cell>
          <cell r="O454">
            <v>8173738</v>
          </cell>
          <cell r="P454"/>
          <cell r="Q454"/>
          <cell r="R454"/>
          <cell r="S454"/>
          <cell r="T454">
            <v>0</v>
          </cell>
          <cell r="U454">
            <v>34974.720000000001</v>
          </cell>
          <cell r="V454">
            <v>0</v>
          </cell>
          <cell r="W454">
            <v>8138763.2800000003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/>
          <cell r="AC454"/>
          <cell r="AD454"/>
          <cell r="AE454"/>
          <cell r="AF454" t="str">
            <v>UnRegistered</v>
          </cell>
        </row>
        <row r="455">
          <cell r="B455" t="str">
            <v>R1 154</v>
          </cell>
          <cell r="C455" t="str">
            <v>R1</v>
          </cell>
          <cell r="D455" t="str">
            <v>M3M Capital Walk in M3M Capital Phase-2</v>
          </cell>
          <cell r="E455" t="str">
            <v>cwBOOKING/00307/22-23</v>
          </cell>
          <cell r="F455" t="str">
            <v>Mr. KESHAV YADAV</v>
          </cell>
          <cell r="G455" t="str">
            <v>cwFLAP/00395/22-23</v>
          </cell>
          <cell r="H455" t="str">
            <v>On Application of OC</v>
          </cell>
          <cell r="I455">
            <v>0</v>
          </cell>
          <cell r="J455">
            <v>45000</v>
          </cell>
          <cell r="K455">
            <v>46144</v>
          </cell>
          <cell r="L455">
            <v>46164</v>
          </cell>
          <cell r="M455">
            <v>2142432</v>
          </cell>
          <cell r="N455">
            <v>257092</v>
          </cell>
          <cell r="O455">
            <v>2399524</v>
          </cell>
          <cell r="P455">
            <v>502122.58133333334</v>
          </cell>
          <cell r="Q455"/>
          <cell r="R455"/>
          <cell r="S455">
            <v>60254.709759999998</v>
          </cell>
          <cell r="T455">
            <v>562377.29109333339</v>
          </cell>
          <cell r="U455">
            <v>0</v>
          </cell>
          <cell r="V455">
            <v>0</v>
          </cell>
          <cell r="W455">
            <v>1837146.7089066666</v>
          </cell>
          <cell r="X455">
            <v>2844</v>
          </cell>
          <cell r="Y455">
            <v>0</v>
          </cell>
          <cell r="Z455">
            <v>0</v>
          </cell>
          <cell r="AA455">
            <v>2844</v>
          </cell>
          <cell r="AB455" t="str">
            <v>Executed</v>
          </cell>
          <cell r="AC455" t="str">
            <v>Yes</v>
          </cell>
          <cell r="AD455">
            <v>0.10714074890546531</v>
          </cell>
          <cell r="AE455" t="str">
            <v>Less than 35%</v>
          </cell>
          <cell r="AF455" t="str">
            <v>UnRegistered</v>
          </cell>
        </row>
        <row r="456">
          <cell r="B456" t="str">
            <v>R3 LG 81</v>
          </cell>
          <cell r="C456" t="str">
            <v>R3</v>
          </cell>
          <cell r="D456" t="str">
            <v>M3M Capital Walk in M3M Capital Phase-2</v>
          </cell>
          <cell r="E456" t="str">
            <v>cwBOOKING/00307/23-24</v>
          </cell>
          <cell r="F456" t="str">
            <v>Ms. Preeti Sharma</v>
          </cell>
          <cell r="G456" t="str">
            <v>cwFLAP/00186/23-24</v>
          </cell>
          <cell r="H456" t="str">
            <v>On Application of OC</v>
          </cell>
          <cell r="I456">
            <v>0</v>
          </cell>
          <cell r="J456">
            <v>45384</v>
          </cell>
          <cell r="K456">
            <v>46144</v>
          </cell>
          <cell r="L456">
            <v>46164</v>
          </cell>
          <cell r="M456">
            <v>5631703</v>
          </cell>
          <cell r="N456">
            <v>675804</v>
          </cell>
          <cell r="O456">
            <v>6307507</v>
          </cell>
          <cell r="P456"/>
          <cell r="Q456"/>
          <cell r="R456"/>
          <cell r="S456"/>
          <cell r="T456">
            <v>0</v>
          </cell>
          <cell r="U456">
            <v>0.64</v>
          </cell>
          <cell r="V456">
            <v>0</v>
          </cell>
          <cell r="W456">
            <v>6307506.3600000003</v>
          </cell>
          <cell r="X456">
            <v>17533.36</v>
          </cell>
          <cell r="Y456">
            <v>0</v>
          </cell>
          <cell r="Z456">
            <v>17533.36</v>
          </cell>
          <cell r="AA456">
            <v>0</v>
          </cell>
          <cell r="AB456"/>
          <cell r="AC456"/>
          <cell r="AD456"/>
          <cell r="AE456"/>
          <cell r="AF456" t="str">
            <v>UnRegistered</v>
          </cell>
        </row>
        <row r="457">
          <cell r="B457" t="str">
            <v>R4 216</v>
          </cell>
          <cell r="C457" t="str">
            <v>R4</v>
          </cell>
          <cell r="D457" t="str">
            <v>M3M Capital Walk in M3M Capital Phase-2</v>
          </cell>
          <cell r="E457" t="str">
            <v>cwBOOKING/00308/22-23</v>
          </cell>
          <cell r="F457" t="str">
            <v>Md. RIZWAN KHAN</v>
          </cell>
          <cell r="G457" t="str">
            <v>cwFLAP/00365/22-23</v>
          </cell>
          <cell r="H457" t="str">
            <v>On Application of OC</v>
          </cell>
          <cell r="I457">
            <v>0</v>
          </cell>
          <cell r="J457">
            <v>45845</v>
          </cell>
          <cell r="K457">
            <v>46144</v>
          </cell>
          <cell r="L457">
            <v>46164</v>
          </cell>
          <cell r="M457">
            <v>3417584</v>
          </cell>
          <cell r="N457">
            <v>410110</v>
          </cell>
          <cell r="O457">
            <v>3827694</v>
          </cell>
          <cell r="P457"/>
          <cell r="Q457"/>
          <cell r="R457"/>
          <cell r="S457"/>
          <cell r="T457">
            <v>0</v>
          </cell>
          <cell r="U457">
            <v>0</v>
          </cell>
          <cell r="V457">
            <v>2</v>
          </cell>
          <cell r="W457">
            <v>3827696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/>
          <cell r="AC457"/>
          <cell r="AD457"/>
          <cell r="AE457"/>
          <cell r="AF457" t="str">
            <v>UnRegistered</v>
          </cell>
        </row>
        <row r="458">
          <cell r="B458" t="str">
            <v>R5 112A</v>
          </cell>
          <cell r="C458" t="str">
            <v>R5</v>
          </cell>
          <cell r="D458" t="str">
            <v>M3M Capital Walk in M3M Capital Phase-2</v>
          </cell>
          <cell r="E458" t="str">
            <v>cwBOOKING/00308/23-24</v>
          </cell>
          <cell r="F458" t="str">
            <v>Ms. Pushpa</v>
          </cell>
          <cell r="G458" t="str">
            <v>cwFLAP/00198/23-24</v>
          </cell>
          <cell r="H458" t="str">
            <v>On Application of OC</v>
          </cell>
          <cell r="I458">
            <v>0</v>
          </cell>
          <cell r="J458">
            <v>45372</v>
          </cell>
          <cell r="K458">
            <v>46144</v>
          </cell>
          <cell r="L458">
            <v>46164</v>
          </cell>
          <cell r="M458">
            <v>6751415</v>
          </cell>
          <cell r="N458">
            <v>810170</v>
          </cell>
          <cell r="O458">
            <v>7561585</v>
          </cell>
          <cell r="P458"/>
          <cell r="Q458"/>
          <cell r="R458"/>
          <cell r="S458"/>
          <cell r="T458">
            <v>0</v>
          </cell>
          <cell r="U458">
            <v>0</v>
          </cell>
          <cell r="V458">
            <v>0</v>
          </cell>
          <cell r="W458">
            <v>7561585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/>
          <cell r="AC458"/>
          <cell r="AD458"/>
          <cell r="AE458"/>
          <cell r="AF458" t="str">
            <v>UnRegistered</v>
          </cell>
        </row>
        <row r="459">
          <cell r="B459" t="str">
            <v>R6 UG 10</v>
          </cell>
          <cell r="C459" t="str">
            <v>R6</v>
          </cell>
          <cell r="D459" t="str">
            <v>M3M Capital Walk in M3M Capital Phase-2</v>
          </cell>
          <cell r="E459" t="str">
            <v>cwBOOKING/00309/22-23</v>
          </cell>
          <cell r="F459" t="str">
            <v>Mr. PARMOD SALUJA</v>
          </cell>
          <cell r="G459" t="str">
            <v>cwFLAP/00184/22-23</v>
          </cell>
          <cell r="H459" t="str">
            <v>On Application of OC</v>
          </cell>
          <cell r="I459">
            <v>0</v>
          </cell>
          <cell r="J459">
            <v>45044</v>
          </cell>
          <cell r="K459">
            <v>46144</v>
          </cell>
          <cell r="L459">
            <v>46164</v>
          </cell>
          <cell r="M459">
            <v>7782161</v>
          </cell>
          <cell r="N459">
            <v>933860</v>
          </cell>
          <cell r="O459">
            <v>8716021</v>
          </cell>
          <cell r="P459">
            <v>895813.59637333336</v>
          </cell>
          <cell r="Q459"/>
          <cell r="R459"/>
          <cell r="S459">
            <v>107497.6315648</v>
          </cell>
          <cell r="T459">
            <v>1003311.2279381334</v>
          </cell>
          <cell r="U459">
            <v>25000</v>
          </cell>
          <cell r="V459">
            <v>0</v>
          </cell>
          <cell r="W459">
            <v>7687709.7720618667</v>
          </cell>
          <cell r="X459">
            <v>9402</v>
          </cell>
          <cell r="Y459">
            <v>0</v>
          </cell>
          <cell r="Z459">
            <v>0</v>
          </cell>
          <cell r="AA459">
            <v>9402</v>
          </cell>
          <cell r="AB459" t="str">
            <v>Executed</v>
          </cell>
          <cell r="AC459" t="str">
            <v>Yes</v>
          </cell>
          <cell r="AD459">
            <v>7.8410765900266605E-2</v>
          </cell>
          <cell r="AE459" t="str">
            <v>Less than 35%</v>
          </cell>
          <cell r="AF459" t="str">
            <v>UnRegistered</v>
          </cell>
        </row>
        <row r="460">
          <cell r="B460" t="str">
            <v>R5 LG 18</v>
          </cell>
          <cell r="C460" t="str">
            <v>R5</v>
          </cell>
          <cell r="D460" t="str">
            <v>M3M Capital Walk in M3M Capital Phase-2</v>
          </cell>
          <cell r="E460" t="str">
            <v>cwBOOKING/00309/23-24</v>
          </cell>
          <cell r="F460" t="str">
            <v>Mrs. VARSHA RANI</v>
          </cell>
          <cell r="G460" t="str">
            <v>cwFLAP/00210/23-24</v>
          </cell>
          <cell r="H460" t="str">
            <v>On Application of OC</v>
          </cell>
          <cell r="I460">
            <v>0</v>
          </cell>
          <cell r="J460">
            <v>45342</v>
          </cell>
          <cell r="K460">
            <v>46144</v>
          </cell>
          <cell r="L460">
            <v>46164</v>
          </cell>
          <cell r="M460">
            <v>5053125</v>
          </cell>
          <cell r="N460">
            <v>606376</v>
          </cell>
          <cell r="O460">
            <v>5659501</v>
          </cell>
          <cell r="P460"/>
          <cell r="Q460"/>
          <cell r="R460"/>
          <cell r="S460"/>
          <cell r="T460">
            <v>0</v>
          </cell>
          <cell r="U460">
            <v>0</v>
          </cell>
          <cell r="V460">
            <v>26</v>
          </cell>
          <cell r="W460">
            <v>5659527</v>
          </cell>
          <cell r="X460">
            <v>5.6</v>
          </cell>
          <cell r="Y460">
            <v>0</v>
          </cell>
          <cell r="Z460">
            <v>0</v>
          </cell>
          <cell r="AA460">
            <v>5.6</v>
          </cell>
          <cell r="AB460"/>
          <cell r="AC460"/>
          <cell r="AD460"/>
          <cell r="AE460"/>
          <cell r="AF460" t="str">
            <v>UnRegistered</v>
          </cell>
        </row>
        <row r="461">
          <cell r="B461" t="str">
            <v>R5 UG 32</v>
          </cell>
          <cell r="C461" t="str">
            <v>R5</v>
          </cell>
          <cell r="D461" t="str">
            <v>M3M Capital Walk in M3M Capital Phase-2</v>
          </cell>
          <cell r="E461" t="str">
            <v>cwBOOKING/00310/22-23</v>
          </cell>
          <cell r="F461" t="str">
            <v>Mr. GAURAV ARORA</v>
          </cell>
          <cell r="G461" t="str">
            <v>cwFLAP/00257/22-23</v>
          </cell>
          <cell r="H461" t="str">
            <v>On Application of OC</v>
          </cell>
          <cell r="I461">
            <v>0</v>
          </cell>
          <cell r="J461">
            <v>45057</v>
          </cell>
          <cell r="K461">
            <v>46144</v>
          </cell>
          <cell r="L461">
            <v>46164</v>
          </cell>
          <cell r="M461">
            <v>2385357</v>
          </cell>
          <cell r="N461">
            <v>286242</v>
          </cell>
          <cell r="O461">
            <v>2671599</v>
          </cell>
          <cell r="P461">
            <v>468344.33100000001</v>
          </cell>
          <cell r="Q461"/>
          <cell r="R461"/>
          <cell r="S461">
            <v>56201.31972</v>
          </cell>
          <cell r="T461">
            <v>524545.65072000003</v>
          </cell>
          <cell r="U461">
            <v>0</v>
          </cell>
          <cell r="V461">
            <v>0</v>
          </cell>
          <cell r="W461">
            <v>2147053.3492799997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 t="str">
            <v>Executed</v>
          </cell>
          <cell r="AC461" t="str">
            <v>Yes</v>
          </cell>
          <cell r="AD461">
            <v>8.9444437367571517E-2</v>
          </cell>
          <cell r="AE461" t="str">
            <v>Less than 35%</v>
          </cell>
          <cell r="AF461" t="str">
            <v>UnRegistered</v>
          </cell>
        </row>
        <row r="462">
          <cell r="B462" t="str">
            <v>R2 UG 06</v>
          </cell>
          <cell r="C462" t="str">
            <v>R2</v>
          </cell>
          <cell r="D462" t="str">
            <v>M3M Capital Walk in M3M Capital Phase-2</v>
          </cell>
          <cell r="E462" t="str">
            <v>cwBOOKING/00310/23-24</v>
          </cell>
          <cell r="F462" t="str">
            <v>Ms. Mamta</v>
          </cell>
          <cell r="G462" t="str">
            <v>cwFLAP/00211/23-24</v>
          </cell>
          <cell r="H462" t="str">
            <v>On Application of OC</v>
          </cell>
          <cell r="I462">
            <v>0</v>
          </cell>
          <cell r="J462">
            <v>45337</v>
          </cell>
          <cell r="K462">
            <v>46144</v>
          </cell>
          <cell r="L462">
            <v>46164</v>
          </cell>
          <cell r="M462">
            <v>2418675</v>
          </cell>
          <cell r="N462">
            <v>290242</v>
          </cell>
          <cell r="O462">
            <v>2708917</v>
          </cell>
          <cell r="P462"/>
          <cell r="Q462"/>
          <cell r="R462"/>
          <cell r="S462"/>
          <cell r="T462">
            <v>0</v>
          </cell>
          <cell r="U462">
            <v>0</v>
          </cell>
          <cell r="V462">
            <v>1</v>
          </cell>
          <cell r="W462">
            <v>2708918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/>
          <cell r="AC462"/>
          <cell r="AD462"/>
          <cell r="AE462"/>
          <cell r="AF462" t="str">
            <v>UnRegistered</v>
          </cell>
        </row>
        <row r="463">
          <cell r="B463" t="str">
            <v>R3 LG 46</v>
          </cell>
          <cell r="C463" t="str">
            <v>R3</v>
          </cell>
          <cell r="D463" t="str">
            <v>M3M Capital Walk in M3M Capital Phase-2</v>
          </cell>
          <cell r="E463" t="str">
            <v>cwBOOKING/00312/23-24</v>
          </cell>
          <cell r="F463" t="str">
            <v>Ms. Sunita Tikku</v>
          </cell>
          <cell r="G463" t="str">
            <v>cwFLAP/00215/23-24</v>
          </cell>
          <cell r="H463" t="str">
            <v>On Application of OC</v>
          </cell>
          <cell r="I463">
            <v>0</v>
          </cell>
          <cell r="J463">
            <v>45372</v>
          </cell>
          <cell r="K463">
            <v>46144</v>
          </cell>
          <cell r="L463">
            <v>46164</v>
          </cell>
          <cell r="M463">
            <v>2814398</v>
          </cell>
          <cell r="N463">
            <v>337728</v>
          </cell>
          <cell r="O463">
            <v>3152126</v>
          </cell>
          <cell r="P463"/>
          <cell r="Q463"/>
          <cell r="R463"/>
          <cell r="S463"/>
          <cell r="T463">
            <v>0</v>
          </cell>
          <cell r="U463">
            <v>0</v>
          </cell>
          <cell r="V463">
            <v>0</v>
          </cell>
          <cell r="W463">
            <v>3152126</v>
          </cell>
          <cell r="X463">
            <v>2672</v>
          </cell>
          <cell r="Y463">
            <v>0</v>
          </cell>
          <cell r="Z463">
            <v>0</v>
          </cell>
          <cell r="AA463">
            <v>2672</v>
          </cell>
          <cell r="AB463"/>
          <cell r="AC463"/>
          <cell r="AD463"/>
          <cell r="AE463"/>
          <cell r="AF463" t="str">
            <v>UnRegistered</v>
          </cell>
        </row>
        <row r="464">
          <cell r="B464" t="str">
            <v>R3 LG 74</v>
          </cell>
          <cell r="C464" t="str">
            <v>R3</v>
          </cell>
          <cell r="D464" t="str">
            <v>M3M Capital Walk in M3M Capital Phase-2</v>
          </cell>
          <cell r="E464" t="str">
            <v>cwBOOKING/00314/23-24</v>
          </cell>
          <cell r="F464" t="str">
            <v>Mr. Khushal Chandra Sharma</v>
          </cell>
          <cell r="G464" t="str">
            <v>cwFLAP/00220/23-24</v>
          </cell>
          <cell r="H464" t="str">
            <v>On Application of OC or 12 Month of Booking Whichever is Later</v>
          </cell>
          <cell r="I464">
            <v>0</v>
          </cell>
          <cell r="J464">
            <v>45483</v>
          </cell>
          <cell r="K464">
            <v>46144</v>
          </cell>
          <cell r="L464">
            <v>46164</v>
          </cell>
          <cell r="M464">
            <v>2563420</v>
          </cell>
          <cell r="N464">
            <v>307610</v>
          </cell>
          <cell r="O464">
            <v>2871030</v>
          </cell>
          <cell r="P464"/>
          <cell r="Q464"/>
          <cell r="R464"/>
          <cell r="S464"/>
          <cell r="T464">
            <v>0</v>
          </cell>
          <cell r="U464">
            <v>40000</v>
          </cell>
          <cell r="V464">
            <v>0</v>
          </cell>
          <cell r="W464">
            <v>2831030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/>
          <cell r="AC464"/>
          <cell r="AD464"/>
          <cell r="AE464"/>
          <cell r="AF464" t="str">
            <v>UnRegistered</v>
          </cell>
        </row>
        <row r="465">
          <cell r="B465" t="str">
            <v>R5 G 12</v>
          </cell>
          <cell r="C465" t="str">
            <v>R5</v>
          </cell>
          <cell r="D465" t="str">
            <v>M3M Capital Walk in M3M Capital Phase-2</v>
          </cell>
          <cell r="E465" t="str">
            <v>cwBOOKING/00316/22-23</v>
          </cell>
          <cell r="F465" t="str">
            <v>Mr. BHARAT BHAMBHANI</v>
          </cell>
          <cell r="G465" t="str">
            <v>cwFLAP/00457/22-23</v>
          </cell>
          <cell r="H465" t="str">
            <v>On Application of OC</v>
          </cell>
          <cell r="I465">
            <v>0</v>
          </cell>
          <cell r="J465">
            <v>45302</v>
          </cell>
          <cell r="K465">
            <v>46144</v>
          </cell>
          <cell r="L465">
            <v>46164</v>
          </cell>
          <cell r="M465">
            <v>24278432</v>
          </cell>
          <cell r="N465">
            <v>2913412</v>
          </cell>
          <cell r="O465">
            <v>27191844</v>
          </cell>
          <cell r="P465">
            <v>13550694.305570003</v>
          </cell>
          <cell r="Q465"/>
          <cell r="R465"/>
          <cell r="S465">
            <v>1626083.3166684003</v>
          </cell>
          <cell r="T465">
            <v>15176777.622238403</v>
          </cell>
          <cell r="U465">
            <v>0</v>
          </cell>
          <cell r="V465">
            <v>57142</v>
          </cell>
          <cell r="W465">
            <v>12072208.377761597</v>
          </cell>
          <cell r="X465">
            <v>172431</v>
          </cell>
          <cell r="Y465">
            <v>0</v>
          </cell>
          <cell r="Z465">
            <v>0</v>
          </cell>
          <cell r="AA465">
            <v>172431</v>
          </cell>
          <cell r="AB465" t="str">
            <v>Not Executed</v>
          </cell>
          <cell r="AC465" t="str">
            <v>No due to interest more than 75000 and also CL not executed</v>
          </cell>
          <cell r="AD465">
            <v>0.34071047969892765</v>
          </cell>
          <cell r="AE465" t="str">
            <v>Less than 35%</v>
          </cell>
          <cell r="AF465" t="str">
            <v>UnRegistered</v>
          </cell>
        </row>
        <row r="466">
          <cell r="B466" t="str">
            <v>R4 129</v>
          </cell>
          <cell r="C466" t="str">
            <v>R4</v>
          </cell>
          <cell r="D466" t="str">
            <v>M3M Capital Walk in M3M Capital Phase-2</v>
          </cell>
          <cell r="E466" t="str">
            <v>cwBOOKING/00319/22-23</v>
          </cell>
          <cell r="F466" t="str">
            <v>Mr. ROHIT AGRAWAL</v>
          </cell>
          <cell r="G466" t="str">
            <v>cwFLAP/00474/22-23</v>
          </cell>
          <cell r="H466" t="str">
            <v>On Application of OC</v>
          </cell>
          <cell r="I466">
            <v>0</v>
          </cell>
          <cell r="J466">
            <v>44998</v>
          </cell>
          <cell r="K466">
            <v>46144</v>
          </cell>
          <cell r="L466">
            <v>46164</v>
          </cell>
          <cell r="M466">
            <v>4054127</v>
          </cell>
          <cell r="N466">
            <v>486496</v>
          </cell>
          <cell r="O466">
            <v>4540623</v>
          </cell>
          <cell r="P466">
            <v>850769.44752666657</v>
          </cell>
          <cell r="Q466"/>
          <cell r="R466"/>
          <cell r="S466">
            <v>102092.33370319998</v>
          </cell>
          <cell r="T466">
            <v>952861.78122986655</v>
          </cell>
          <cell r="U466">
            <v>0</v>
          </cell>
          <cell r="V466">
            <v>0</v>
          </cell>
          <cell r="W466">
            <v>3587761.2187701333</v>
          </cell>
          <cell r="X466">
            <v>557</v>
          </cell>
          <cell r="Y466">
            <v>0</v>
          </cell>
          <cell r="Z466">
            <v>0</v>
          </cell>
          <cell r="AA466">
            <v>557</v>
          </cell>
          <cell r="AB466" t="str">
            <v>Executed</v>
          </cell>
          <cell r="AC466" t="str">
            <v>Yes</v>
          </cell>
          <cell r="AD466">
            <v>8.3770977649761602E-2</v>
          </cell>
          <cell r="AE466" t="str">
            <v>Less than 35%</v>
          </cell>
          <cell r="AF466" t="str">
            <v>UnRegistered</v>
          </cell>
        </row>
        <row r="467">
          <cell r="B467" t="str">
            <v>R4 110</v>
          </cell>
          <cell r="C467" t="str">
            <v>R4</v>
          </cell>
          <cell r="D467" t="str">
            <v>M3M Capital Walk in M3M Capital Phase-2</v>
          </cell>
          <cell r="E467" t="str">
            <v>cwBOOKING/00320/22-23</v>
          </cell>
          <cell r="F467" t="str">
            <v>Mr. ALOK CHATTOPADHYAY</v>
          </cell>
          <cell r="G467" t="str">
            <v>cwFLAP/00363/22-23</v>
          </cell>
          <cell r="H467" t="str">
            <v>On Application of OC</v>
          </cell>
          <cell r="I467">
            <v>0</v>
          </cell>
          <cell r="J467">
            <v>45051</v>
          </cell>
          <cell r="K467">
            <v>46144</v>
          </cell>
          <cell r="L467">
            <v>46164</v>
          </cell>
          <cell r="M467">
            <v>1212891</v>
          </cell>
          <cell r="N467">
            <v>145546</v>
          </cell>
          <cell r="O467">
            <v>1358437</v>
          </cell>
          <cell r="P467"/>
          <cell r="Q467"/>
          <cell r="R467"/>
          <cell r="S467"/>
          <cell r="T467">
            <v>0</v>
          </cell>
          <cell r="U467">
            <v>33999.699999999997</v>
          </cell>
          <cell r="V467">
            <v>0</v>
          </cell>
          <cell r="W467">
            <v>1324437.3</v>
          </cell>
          <cell r="X467">
            <v>40007.160000000003</v>
          </cell>
          <cell r="Y467">
            <v>0</v>
          </cell>
          <cell r="Z467">
            <v>0</v>
          </cell>
          <cell r="AA467">
            <v>40007.160000000003</v>
          </cell>
          <cell r="AB467"/>
          <cell r="AC467"/>
          <cell r="AD467"/>
          <cell r="AE467"/>
          <cell r="AF467" t="str">
            <v>UnRegistered</v>
          </cell>
        </row>
        <row r="468">
          <cell r="B468" t="str">
            <v>R5 157</v>
          </cell>
          <cell r="C468" t="str">
            <v>R5</v>
          </cell>
          <cell r="D468" t="str">
            <v>M3M Capital Walk in M3M Capital Phase-2</v>
          </cell>
          <cell r="E468" t="str">
            <v>cwBOOKING/00322/22-23</v>
          </cell>
          <cell r="F468" t="str">
            <v>Ms. SHIPRA JAIN</v>
          </cell>
          <cell r="G468" t="str">
            <v>cwFLAP/00475/22-23</v>
          </cell>
          <cell r="H468" t="str">
            <v>On Application of OC</v>
          </cell>
          <cell r="I468">
            <v>0</v>
          </cell>
          <cell r="J468">
            <v>44960</v>
          </cell>
          <cell r="K468">
            <v>46144</v>
          </cell>
          <cell r="L468">
            <v>46164</v>
          </cell>
          <cell r="M468">
            <v>2021210</v>
          </cell>
          <cell r="N468">
            <v>242546</v>
          </cell>
          <cell r="O468">
            <v>2263756</v>
          </cell>
          <cell r="P468">
            <v>350286.20224000001</v>
          </cell>
          <cell r="Q468"/>
          <cell r="R468"/>
          <cell r="S468">
            <v>42034.3442688</v>
          </cell>
          <cell r="T468">
            <v>392320.54650880001</v>
          </cell>
          <cell r="U468">
            <v>0</v>
          </cell>
          <cell r="V468">
            <v>0</v>
          </cell>
          <cell r="W468">
            <v>1871435.4534912</v>
          </cell>
          <cell r="X468">
            <v>326</v>
          </cell>
          <cell r="Y468">
            <v>0</v>
          </cell>
          <cell r="Z468">
            <v>0</v>
          </cell>
          <cell r="AA468">
            <v>326</v>
          </cell>
          <cell r="AB468" t="str">
            <v>Executed</v>
          </cell>
          <cell r="AC468" t="str">
            <v>Yes</v>
          </cell>
          <cell r="AD468">
            <v>7.7893956696325581E-2</v>
          </cell>
          <cell r="AE468" t="str">
            <v>Less than 35%</v>
          </cell>
          <cell r="AF468" t="str">
            <v>UnRegistered</v>
          </cell>
        </row>
        <row r="469">
          <cell r="B469" t="str">
            <v>R4 G 06</v>
          </cell>
          <cell r="C469" t="str">
            <v>R4</v>
          </cell>
          <cell r="D469" t="str">
            <v>M3M Capital Walk in M3M Capital Phase-2</v>
          </cell>
          <cell r="E469" t="str">
            <v>cwBOOKING/00323/22-23</v>
          </cell>
          <cell r="F469" t="str">
            <v>Mr. KAMAL GARG</v>
          </cell>
          <cell r="G469" t="str">
            <v>cwFLAP/00245/22-23</v>
          </cell>
          <cell r="H469" t="str">
            <v>On Application of OC</v>
          </cell>
          <cell r="I469">
            <v>0</v>
          </cell>
          <cell r="J469">
            <v>45309</v>
          </cell>
          <cell r="K469">
            <v>46144</v>
          </cell>
          <cell r="L469">
            <v>46164</v>
          </cell>
          <cell r="M469">
            <v>10155825</v>
          </cell>
          <cell r="N469">
            <v>1218700</v>
          </cell>
          <cell r="O469">
            <v>11374525</v>
          </cell>
          <cell r="P469"/>
          <cell r="Q469"/>
          <cell r="R469"/>
          <cell r="S469"/>
          <cell r="T469">
            <v>0</v>
          </cell>
          <cell r="U469">
            <v>1</v>
          </cell>
          <cell r="V469">
            <v>0</v>
          </cell>
          <cell r="W469">
            <v>11374524</v>
          </cell>
          <cell r="X469">
            <v>429291</v>
          </cell>
          <cell r="Y469">
            <v>0</v>
          </cell>
          <cell r="Z469">
            <v>406663</v>
          </cell>
          <cell r="AA469">
            <v>22628</v>
          </cell>
          <cell r="AB469"/>
          <cell r="AC469"/>
          <cell r="AD469"/>
          <cell r="AE469"/>
          <cell r="AF469" t="str">
            <v>UnRegistered</v>
          </cell>
        </row>
        <row r="470">
          <cell r="B470" t="str">
            <v>R4 212A</v>
          </cell>
          <cell r="C470" t="str">
            <v>R4</v>
          </cell>
          <cell r="D470" t="str">
            <v>M3M Capital Walk in M3M Capital Phase-2</v>
          </cell>
          <cell r="E470" t="str">
            <v>cwBOOKING/00326/22-23</v>
          </cell>
          <cell r="F470" t="str">
            <v>Mrs. SUMAN JAIN</v>
          </cell>
          <cell r="G470" t="str">
            <v>cwFLAP/00166/22-23</v>
          </cell>
          <cell r="H470" t="str">
            <v>On Application of OC</v>
          </cell>
          <cell r="I470">
            <v>0</v>
          </cell>
          <cell r="J470">
            <v>45064</v>
          </cell>
          <cell r="K470">
            <v>46144</v>
          </cell>
          <cell r="L470">
            <v>46164</v>
          </cell>
          <cell r="M470">
            <v>6752109</v>
          </cell>
          <cell r="N470">
            <v>810254</v>
          </cell>
          <cell r="O470">
            <v>7562363</v>
          </cell>
          <cell r="P470"/>
          <cell r="Q470"/>
          <cell r="R470"/>
          <cell r="S470"/>
          <cell r="T470">
            <v>0</v>
          </cell>
          <cell r="U470">
            <v>0</v>
          </cell>
          <cell r="V470">
            <v>0</v>
          </cell>
          <cell r="W470">
            <v>7562363</v>
          </cell>
          <cell r="X470">
            <v>2341</v>
          </cell>
          <cell r="Y470">
            <v>0</v>
          </cell>
          <cell r="Z470">
            <v>2341</v>
          </cell>
          <cell r="AA470">
            <v>0</v>
          </cell>
          <cell r="AB470"/>
          <cell r="AC470"/>
          <cell r="AD470"/>
          <cell r="AE470"/>
          <cell r="AF470" t="str">
            <v>UnRegistered</v>
          </cell>
        </row>
        <row r="471">
          <cell r="B471" t="str">
            <v>R5 160</v>
          </cell>
          <cell r="C471" t="str">
            <v>R5</v>
          </cell>
          <cell r="D471" t="str">
            <v>M3M Capital Walk in M3M Capital Phase-2</v>
          </cell>
          <cell r="E471" t="str">
            <v>cwBOOKING/00328/22-23</v>
          </cell>
          <cell r="F471" t="str">
            <v>Ms. SEENA DEVI</v>
          </cell>
          <cell r="G471" t="str">
            <v>cwFLAP/00157/22-23</v>
          </cell>
          <cell r="H471" t="str">
            <v>On Application of OC</v>
          </cell>
          <cell r="I471">
            <v>0</v>
          </cell>
          <cell r="J471">
            <v>45037</v>
          </cell>
          <cell r="K471">
            <v>46144</v>
          </cell>
          <cell r="L471">
            <v>46164</v>
          </cell>
          <cell r="M471">
            <v>3006327</v>
          </cell>
          <cell r="N471">
            <v>360760</v>
          </cell>
          <cell r="O471">
            <v>3367087</v>
          </cell>
          <cell r="P471">
            <v>913949.17200000002</v>
          </cell>
          <cell r="Q471"/>
          <cell r="R471"/>
          <cell r="S471">
            <v>109673.90063999999</v>
          </cell>
          <cell r="T471">
            <v>1023623.07264</v>
          </cell>
          <cell r="U471">
            <v>0</v>
          </cell>
          <cell r="V471">
            <v>0</v>
          </cell>
          <cell r="W471">
            <v>2343463.9273600001</v>
          </cell>
          <cell r="X471">
            <v>1835</v>
          </cell>
          <cell r="Y471">
            <v>0</v>
          </cell>
          <cell r="Z471">
            <v>0</v>
          </cell>
          <cell r="AA471">
            <v>1835</v>
          </cell>
          <cell r="AB471" t="str">
            <v>Executed</v>
          </cell>
          <cell r="AC471" t="str">
            <v>Yes</v>
          </cell>
          <cell r="AD471">
            <v>0.15200427322553192</v>
          </cell>
          <cell r="AE471" t="str">
            <v>Less than 35%</v>
          </cell>
          <cell r="AF471" t="str">
            <v>UnRegistered</v>
          </cell>
        </row>
        <row r="472">
          <cell r="B472" t="str">
            <v>R5 225</v>
          </cell>
          <cell r="C472" t="str">
            <v>R5</v>
          </cell>
          <cell r="D472" t="str">
            <v>M3M Capital Walk in M3M Capital Phase-2</v>
          </cell>
          <cell r="E472" t="str">
            <v>cwBOOKING/00329/22-23</v>
          </cell>
          <cell r="F472" t="str">
            <v>Ms. KANIKA KAPIL</v>
          </cell>
          <cell r="G472" t="str">
            <v>cwFLAP/00482/22-23</v>
          </cell>
          <cell r="H472" t="str">
            <v>On Application of OC</v>
          </cell>
          <cell r="I472">
            <v>0</v>
          </cell>
          <cell r="J472">
            <v>45279</v>
          </cell>
          <cell r="K472">
            <v>46144</v>
          </cell>
          <cell r="L472">
            <v>46164</v>
          </cell>
          <cell r="M472">
            <v>3403842</v>
          </cell>
          <cell r="N472">
            <v>408462</v>
          </cell>
          <cell r="O472">
            <v>3812304</v>
          </cell>
          <cell r="P472">
            <v>678203.02549999999</v>
          </cell>
          <cell r="Q472"/>
          <cell r="R472"/>
          <cell r="S472">
            <v>81384.363059999989</v>
          </cell>
          <cell r="T472">
            <v>759587.38855999999</v>
          </cell>
          <cell r="U472">
            <v>576</v>
          </cell>
          <cell r="V472">
            <v>0</v>
          </cell>
          <cell r="W472">
            <v>3052140.6114400001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 t="str">
            <v>Executed</v>
          </cell>
          <cell r="AC472" t="str">
            <v>Yes</v>
          </cell>
          <cell r="AD472">
            <v>0.12714587562630342</v>
          </cell>
          <cell r="AE472" t="str">
            <v>Less than 35%</v>
          </cell>
          <cell r="AF472" t="str">
            <v>UnRegistered</v>
          </cell>
        </row>
        <row r="473">
          <cell r="B473" t="str">
            <v>R4 137</v>
          </cell>
          <cell r="C473" t="str">
            <v>R4</v>
          </cell>
          <cell r="D473" t="str">
            <v>M3M Capital Walk in M3M Capital Phase-2</v>
          </cell>
          <cell r="E473" t="str">
            <v>cwBOOKING/00331/22-23</v>
          </cell>
          <cell r="F473" t="str">
            <v>Mr. SURESH KUMAR ARORA</v>
          </cell>
          <cell r="G473" t="str">
            <v>cwFLAP/00160/22-23</v>
          </cell>
          <cell r="H473" t="str">
            <v>On Application of OC</v>
          </cell>
          <cell r="I473">
            <v>0</v>
          </cell>
          <cell r="J473">
            <v>45040</v>
          </cell>
          <cell r="K473">
            <v>46144</v>
          </cell>
          <cell r="L473">
            <v>46164</v>
          </cell>
          <cell r="M473">
            <v>4107166</v>
          </cell>
          <cell r="N473">
            <v>492860</v>
          </cell>
          <cell r="O473">
            <v>4600026</v>
          </cell>
          <cell r="P473">
            <v>2142667.1332199997</v>
          </cell>
          <cell r="Q473"/>
          <cell r="R473"/>
          <cell r="S473">
            <v>257120.05598639997</v>
          </cell>
          <cell r="T473">
            <v>2399787.1892063995</v>
          </cell>
          <cell r="U473">
            <v>0</v>
          </cell>
          <cell r="V473">
            <v>0</v>
          </cell>
          <cell r="W473">
            <v>2200238.8107936005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 t="str">
            <v>Executed</v>
          </cell>
          <cell r="AC473" t="str">
            <v>Yes</v>
          </cell>
          <cell r="AD473">
            <v>0.32724238377486559</v>
          </cell>
          <cell r="AE473" t="str">
            <v>Less than 35%</v>
          </cell>
          <cell r="AF473" t="str">
            <v>UnRegistered</v>
          </cell>
        </row>
        <row r="474">
          <cell r="B474" t="str">
            <v>R5 UG 25</v>
          </cell>
          <cell r="C474" t="str">
            <v>R5</v>
          </cell>
          <cell r="D474" t="str">
            <v>M3M Capital Walk in M3M Capital Phase-2</v>
          </cell>
          <cell r="E474" t="str">
            <v>cwBOOKING/00332/22-23</v>
          </cell>
          <cell r="F474" t="str">
            <v>Ms. SAROJ MANCHANDA</v>
          </cell>
          <cell r="G474" t="str">
            <v>cwFLAP/00484/22-23</v>
          </cell>
          <cell r="H474" t="str">
            <v>On Application of OC</v>
          </cell>
          <cell r="I474">
            <v>0</v>
          </cell>
          <cell r="J474">
            <v>45002</v>
          </cell>
          <cell r="K474">
            <v>46144</v>
          </cell>
          <cell r="L474">
            <v>46164</v>
          </cell>
          <cell r="M474">
            <v>2328212</v>
          </cell>
          <cell r="N474">
            <v>279386</v>
          </cell>
          <cell r="O474">
            <v>2607598</v>
          </cell>
          <cell r="P474">
            <v>1426052.00192</v>
          </cell>
          <cell r="Q474"/>
          <cell r="R474"/>
          <cell r="S474">
            <v>171126.2402304</v>
          </cell>
          <cell r="T474">
            <v>1597178.2421503998</v>
          </cell>
          <cell r="U474">
            <v>0</v>
          </cell>
          <cell r="V474">
            <v>0</v>
          </cell>
          <cell r="W474">
            <v>1010419.7578496002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 t="str">
            <v>Executed</v>
          </cell>
          <cell r="AC474" t="str">
            <v>Yes</v>
          </cell>
          <cell r="AD474">
            <v>0.24500379079201481</v>
          </cell>
          <cell r="AE474" t="str">
            <v>Less than 35%</v>
          </cell>
          <cell r="AF474" t="str">
            <v>UnRegistered</v>
          </cell>
        </row>
        <row r="475">
          <cell r="B475" t="str">
            <v>R1 222</v>
          </cell>
          <cell r="C475" t="str">
            <v>R1</v>
          </cell>
          <cell r="D475" t="str">
            <v>M3M Capital Walk in M3M Capital Phase-2</v>
          </cell>
          <cell r="E475" t="str">
            <v>cwBOOKING/00333/22-23</v>
          </cell>
          <cell r="F475" t="str">
            <v>Mr. KOMAL AHUJA</v>
          </cell>
          <cell r="G475" t="str">
            <v>cwFLAP/00269/22-23</v>
          </cell>
          <cell r="H475" t="str">
            <v>On Application of OC</v>
          </cell>
          <cell r="I475">
            <v>0</v>
          </cell>
          <cell r="J475">
            <v>45289</v>
          </cell>
          <cell r="K475">
            <v>46144</v>
          </cell>
          <cell r="L475">
            <v>46164</v>
          </cell>
          <cell r="M475">
            <v>3623422</v>
          </cell>
          <cell r="N475">
            <v>434810</v>
          </cell>
          <cell r="O475">
            <v>4058232</v>
          </cell>
          <cell r="P475"/>
          <cell r="Q475"/>
          <cell r="R475"/>
          <cell r="S475"/>
          <cell r="T475">
            <v>0</v>
          </cell>
          <cell r="U475">
            <v>0</v>
          </cell>
          <cell r="V475">
            <v>0</v>
          </cell>
          <cell r="W475">
            <v>4058232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/>
          <cell r="AC475"/>
          <cell r="AD475"/>
          <cell r="AE475"/>
          <cell r="AF475" t="str">
            <v>UnRegistered</v>
          </cell>
        </row>
        <row r="476">
          <cell r="B476" t="str">
            <v>R4 211</v>
          </cell>
          <cell r="C476" t="str">
            <v>R4</v>
          </cell>
          <cell r="D476" t="str">
            <v>M3M Capital Walk in M3M Capital Phase-2</v>
          </cell>
          <cell r="E476" t="str">
            <v>cwBOOKING/00334/22-23</v>
          </cell>
          <cell r="F476" t="str">
            <v>Ms. SUMAN LATA YADAV</v>
          </cell>
          <cell r="G476" t="str">
            <v>cwFLAP/00351/22-23</v>
          </cell>
          <cell r="H476" t="str">
            <v>On Application of OC</v>
          </cell>
          <cell r="I476">
            <v>0</v>
          </cell>
          <cell r="J476">
            <v>45338</v>
          </cell>
          <cell r="K476">
            <v>46144</v>
          </cell>
          <cell r="L476">
            <v>46164</v>
          </cell>
          <cell r="M476">
            <v>2842945</v>
          </cell>
          <cell r="N476">
            <v>341154</v>
          </cell>
          <cell r="O476">
            <v>3184099</v>
          </cell>
          <cell r="P476">
            <v>256172.99546666665</v>
          </cell>
          <cell r="Q476"/>
          <cell r="R476"/>
          <cell r="S476">
            <v>30740.759455999996</v>
          </cell>
          <cell r="T476">
            <v>286913.75492266665</v>
          </cell>
          <cell r="U476">
            <v>0</v>
          </cell>
          <cell r="V476">
            <v>3</v>
          </cell>
          <cell r="W476">
            <v>2897188.2450773334</v>
          </cell>
          <cell r="X476">
            <v>44271</v>
          </cell>
          <cell r="Y476">
            <v>0</v>
          </cell>
          <cell r="Z476">
            <v>0</v>
          </cell>
          <cell r="AA476">
            <v>44271</v>
          </cell>
          <cell r="AB476" t="str">
            <v>Not Executed</v>
          </cell>
          <cell r="AC476" t="str">
            <v>No, due to CL not executed but interest is less than 75000</v>
          </cell>
          <cell r="AD476">
            <v>4.431034082156092E-2</v>
          </cell>
          <cell r="AE476" t="str">
            <v>Less than 35%</v>
          </cell>
          <cell r="AF476" t="str">
            <v>UnRegistered</v>
          </cell>
        </row>
        <row r="477">
          <cell r="B477" t="str">
            <v>R6 225</v>
          </cell>
          <cell r="C477" t="str">
            <v>R6</v>
          </cell>
          <cell r="D477" t="str">
            <v>M3M Capital Walk in M3M Capital Phase-2</v>
          </cell>
          <cell r="E477" t="str">
            <v>cwBOOKING/00335/22-23</v>
          </cell>
          <cell r="F477" t="str">
            <v>Mr. SACHIN JAIN</v>
          </cell>
          <cell r="G477" t="str">
            <v>cwFAP0026/00001/22-23</v>
          </cell>
          <cell r="H477" t="str">
            <v>On Application of OC</v>
          </cell>
          <cell r="I477">
            <v>0</v>
          </cell>
          <cell r="J477">
            <v>45357</v>
          </cell>
          <cell r="K477">
            <v>46144</v>
          </cell>
          <cell r="L477">
            <v>46164</v>
          </cell>
          <cell r="M477">
            <v>1654710</v>
          </cell>
          <cell r="N477">
            <v>198566</v>
          </cell>
          <cell r="O477">
            <v>1853276</v>
          </cell>
          <cell r="P477"/>
          <cell r="Q477"/>
          <cell r="R477"/>
          <cell r="S477"/>
          <cell r="T477">
            <v>0</v>
          </cell>
          <cell r="U477">
            <v>0</v>
          </cell>
          <cell r="V477">
            <v>0</v>
          </cell>
          <cell r="W477">
            <v>1853276</v>
          </cell>
          <cell r="X477">
            <v>36432</v>
          </cell>
          <cell r="Y477">
            <v>0</v>
          </cell>
          <cell r="Z477">
            <v>0</v>
          </cell>
          <cell r="AA477">
            <v>36432</v>
          </cell>
          <cell r="AB477"/>
          <cell r="AC477"/>
          <cell r="AD477"/>
          <cell r="AE477"/>
          <cell r="AF477" t="str">
            <v>UnRegistered</v>
          </cell>
        </row>
        <row r="478">
          <cell r="B478" t="str">
            <v>R5 UG 05a</v>
          </cell>
          <cell r="C478" t="str">
            <v>R5</v>
          </cell>
          <cell r="D478" t="str">
            <v>M3M Capital Walk in M3M Capital Phase-2</v>
          </cell>
          <cell r="E478" t="str">
            <v>cwBOOKING/00336/22-23</v>
          </cell>
          <cell r="F478" t="str">
            <v>M/S. G R CREATIONS PVT LTD</v>
          </cell>
          <cell r="G478" t="str">
            <v>cwFLAP/00493/22-23</v>
          </cell>
          <cell r="H478" t="str">
            <v>On Application of OC</v>
          </cell>
          <cell r="I478">
            <v>0</v>
          </cell>
          <cell r="J478">
            <v>45426</v>
          </cell>
          <cell r="K478">
            <v>46144</v>
          </cell>
          <cell r="L478">
            <v>46164</v>
          </cell>
          <cell r="M478">
            <v>4088534</v>
          </cell>
          <cell r="N478">
            <v>490624</v>
          </cell>
          <cell r="O478">
            <v>4579158</v>
          </cell>
          <cell r="P478">
            <v>802155.12639999995</v>
          </cell>
          <cell r="Q478"/>
          <cell r="R478"/>
          <cell r="S478">
            <v>96258.615167999989</v>
          </cell>
          <cell r="T478">
            <v>898413.74156799994</v>
          </cell>
          <cell r="U478">
            <v>0</v>
          </cell>
          <cell r="V478">
            <v>0</v>
          </cell>
          <cell r="W478">
            <v>3680744.2584319999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 t="str">
            <v>Executed</v>
          </cell>
          <cell r="AC478" t="str">
            <v>Yes</v>
          </cell>
          <cell r="AD478">
            <v>0.11857365643122245</v>
          </cell>
          <cell r="AE478" t="str">
            <v>Less than 35%</v>
          </cell>
          <cell r="AF478" t="str">
            <v>UnRegistered</v>
          </cell>
        </row>
        <row r="479">
          <cell r="B479" t="str">
            <v>R4 223</v>
          </cell>
          <cell r="C479" t="str">
            <v>R4</v>
          </cell>
          <cell r="D479" t="str">
            <v>M3M Capital Walk in M3M Capital Phase-2</v>
          </cell>
          <cell r="E479" t="str">
            <v>cwBOOKING/00338/22-23</v>
          </cell>
          <cell r="F479" t="str">
            <v>Ms. RISHITA MOHITE</v>
          </cell>
          <cell r="G479" t="str">
            <v>cwFLAP/00494/22-23</v>
          </cell>
          <cell r="H479" t="str">
            <v>On Application of OC</v>
          </cell>
          <cell r="I479">
            <v>0</v>
          </cell>
          <cell r="J479">
            <v>45049</v>
          </cell>
          <cell r="K479">
            <v>46144</v>
          </cell>
          <cell r="L479">
            <v>46164</v>
          </cell>
          <cell r="M479">
            <v>4168906</v>
          </cell>
          <cell r="N479">
            <v>500268</v>
          </cell>
          <cell r="O479">
            <v>4669174</v>
          </cell>
          <cell r="P479"/>
          <cell r="Q479"/>
          <cell r="R479"/>
          <cell r="S479"/>
          <cell r="T479">
            <v>0</v>
          </cell>
          <cell r="U479">
            <v>2300</v>
          </cell>
          <cell r="V479">
            <v>0</v>
          </cell>
          <cell r="W479">
            <v>4666874</v>
          </cell>
          <cell r="X479">
            <v>1168</v>
          </cell>
          <cell r="Y479">
            <v>0</v>
          </cell>
          <cell r="Z479">
            <v>0</v>
          </cell>
          <cell r="AA479">
            <v>1168</v>
          </cell>
          <cell r="AB479"/>
          <cell r="AC479"/>
          <cell r="AD479"/>
          <cell r="AE479"/>
          <cell r="AF479" t="str">
            <v>UnRegistered</v>
          </cell>
        </row>
        <row r="480">
          <cell r="B480" t="str">
            <v>R1 116</v>
          </cell>
          <cell r="C480" t="str">
            <v>R1</v>
          </cell>
          <cell r="D480" t="str">
            <v>M3M Capital Walk in M3M Capital Phase-2</v>
          </cell>
          <cell r="E480" t="str">
            <v>cwBOOKING/00341/22-23</v>
          </cell>
          <cell r="F480" t="str">
            <v>Mr. NARENDER KUMAR GUPTA</v>
          </cell>
          <cell r="G480" t="str">
            <v>cwFLAP/00267/22-23</v>
          </cell>
          <cell r="H480" t="str">
            <v>On Application of OC</v>
          </cell>
          <cell r="I480">
            <v>0</v>
          </cell>
          <cell r="J480">
            <v>44932</v>
          </cell>
          <cell r="K480">
            <v>46144</v>
          </cell>
          <cell r="L480">
            <v>46164</v>
          </cell>
          <cell r="M480">
            <v>3975983</v>
          </cell>
          <cell r="N480">
            <v>477118</v>
          </cell>
          <cell r="O480">
            <v>4453101</v>
          </cell>
          <cell r="P480"/>
          <cell r="Q480"/>
          <cell r="R480"/>
          <cell r="S480"/>
          <cell r="T480">
            <v>0</v>
          </cell>
          <cell r="U480">
            <v>1</v>
          </cell>
          <cell r="V480">
            <v>1</v>
          </cell>
          <cell r="W480">
            <v>4453101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/>
          <cell r="AC480"/>
          <cell r="AD480"/>
          <cell r="AE480"/>
          <cell r="AF480" t="str">
            <v>UnRegistered</v>
          </cell>
        </row>
        <row r="481">
          <cell r="B481" t="str">
            <v>R5 212</v>
          </cell>
          <cell r="C481" t="str">
            <v>R5</v>
          </cell>
          <cell r="D481" t="str">
            <v>M3M Capital Walk in M3M Capital Phase-2</v>
          </cell>
          <cell r="E481" t="str">
            <v>cwBOOKING/00342/22-23</v>
          </cell>
          <cell r="F481" t="str">
            <v>Ms. MEENA CHANDRA</v>
          </cell>
          <cell r="G481" t="str">
            <v>cwFLAP/00165/22-23</v>
          </cell>
          <cell r="H481" t="str">
            <v>On Application of OC</v>
          </cell>
          <cell r="I481">
            <v>0</v>
          </cell>
          <cell r="J481">
            <v>44971</v>
          </cell>
          <cell r="K481">
            <v>46144</v>
          </cell>
          <cell r="L481">
            <v>46164</v>
          </cell>
          <cell r="M481">
            <v>5000029</v>
          </cell>
          <cell r="N481">
            <v>600004</v>
          </cell>
          <cell r="O481">
            <v>5600033</v>
          </cell>
          <cell r="P481"/>
          <cell r="Q481"/>
          <cell r="R481"/>
          <cell r="S481"/>
          <cell r="T481">
            <v>0</v>
          </cell>
          <cell r="U481">
            <v>0</v>
          </cell>
          <cell r="V481">
            <v>1</v>
          </cell>
          <cell r="W481">
            <v>5600034</v>
          </cell>
          <cell r="X481">
            <v>4390</v>
          </cell>
          <cell r="Y481">
            <v>0</v>
          </cell>
          <cell r="Z481">
            <v>0</v>
          </cell>
          <cell r="AA481">
            <v>4390</v>
          </cell>
          <cell r="AB481"/>
          <cell r="AC481"/>
          <cell r="AD481"/>
          <cell r="AE481"/>
          <cell r="AF481" t="str">
            <v>UnRegistered</v>
          </cell>
        </row>
        <row r="482">
          <cell r="B482" t="str">
            <v>R4 107</v>
          </cell>
          <cell r="C482" t="str">
            <v>R4</v>
          </cell>
          <cell r="D482" t="str">
            <v>M3M Capital Walk in M3M Capital Phase-2</v>
          </cell>
          <cell r="E482" t="str">
            <v>cwBOOKING/00343/22-23</v>
          </cell>
          <cell r="F482" t="str">
            <v>Ms. NATASHA GUPTA</v>
          </cell>
          <cell r="G482" t="str">
            <v>cwFLAP/00401/22-23</v>
          </cell>
          <cell r="H482" t="str">
            <v>On Application of OC</v>
          </cell>
          <cell r="I482">
            <v>0</v>
          </cell>
          <cell r="J482">
            <v>44958</v>
          </cell>
          <cell r="K482">
            <v>46144</v>
          </cell>
          <cell r="L482">
            <v>46164</v>
          </cell>
          <cell r="M482">
            <v>4774062</v>
          </cell>
          <cell r="N482">
            <v>572888</v>
          </cell>
          <cell r="O482">
            <v>5346950</v>
          </cell>
          <cell r="P482">
            <v>4285913.8014000002</v>
          </cell>
          <cell r="Q482"/>
          <cell r="R482"/>
          <cell r="S482">
            <v>514309.65616800002</v>
          </cell>
          <cell r="T482">
            <v>4800223.4575680001</v>
          </cell>
          <cell r="U482">
            <v>0</v>
          </cell>
          <cell r="V482">
            <v>0</v>
          </cell>
          <cell r="W482">
            <v>546726.54243199993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 t="str">
            <v>Executed</v>
          </cell>
          <cell r="AC482" t="str">
            <v>Yes</v>
          </cell>
          <cell r="AD482">
            <v>0.71819991833369812</v>
          </cell>
          <cell r="AE482" t="str">
            <v>Above 35%</v>
          </cell>
          <cell r="AF482" t="str">
            <v>UnRegistered</v>
          </cell>
        </row>
        <row r="483">
          <cell r="B483" t="str">
            <v>R5 LG 28</v>
          </cell>
          <cell r="C483" t="str">
            <v>R5</v>
          </cell>
          <cell r="D483" t="str">
            <v>M3M Capital Walk in M3M Capital Phase-2</v>
          </cell>
          <cell r="E483" t="str">
            <v>cwBOOKING/00344/22-23</v>
          </cell>
          <cell r="F483" t="str">
            <v>Ms. SHALINI SHUKLA</v>
          </cell>
          <cell r="G483" t="str">
            <v>cwFLAP/00173/22-23</v>
          </cell>
          <cell r="H483" t="str">
            <v>On Application of OC</v>
          </cell>
          <cell r="I483">
            <v>0</v>
          </cell>
          <cell r="J483">
            <v>44986</v>
          </cell>
          <cell r="K483">
            <v>46144</v>
          </cell>
          <cell r="L483">
            <v>46164</v>
          </cell>
          <cell r="M483">
            <v>863130</v>
          </cell>
          <cell r="N483">
            <v>103576</v>
          </cell>
          <cell r="O483">
            <v>966706</v>
          </cell>
          <cell r="P483"/>
          <cell r="Q483"/>
          <cell r="R483"/>
          <cell r="S483"/>
          <cell r="T483">
            <v>0</v>
          </cell>
          <cell r="U483">
            <v>17</v>
          </cell>
          <cell r="V483">
            <v>0</v>
          </cell>
          <cell r="W483">
            <v>966689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/>
          <cell r="AC483"/>
          <cell r="AD483"/>
          <cell r="AE483"/>
          <cell r="AF483" t="str">
            <v>UnRegistered</v>
          </cell>
        </row>
        <row r="484">
          <cell r="B484" t="str">
            <v>R4 132</v>
          </cell>
          <cell r="C484" t="str">
            <v>R4</v>
          </cell>
          <cell r="D484" t="str">
            <v>M3M Capital Walk in M3M Capital Phase-2</v>
          </cell>
          <cell r="E484" t="str">
            <v>cwBOOKING/00345/22-23</v>
          </cell>
          <cell r="F484" t="str">
            <v>Ms. VEENA SHARMA</v>
          </cell>
          <cell r="G484" t="str">
            <v>cwFLAP/00495/22-23</v>
          </cell>
          <cell r="H484" t="str">
            <v>On Application of OC</v>
          </cell>
          <cell r="I484">
            <v>0</v>
          </cell>
          <cell r="J484">
            <v>45077</v>
          </cell>
          <cell r="K484">
            <v>46144</v>
          </cell>
          <cell r="L484">
            <v>46164</v>
          </cell>
          <cell r="M484">
            <v>4300313</v>
          </cell>
          <cell r="N484">
            <v>516038</v>
          </cell>
          <cell r="O484">
            <v>4816351</v>
          </cell>
          <cell r="P484"/>
          <cell r="Q484"/>
          <cell r="R484"/>
          <cell r="S484"/>
          <cell r="T484">
            <v>0</v>
          </cell>
          <cell r="U484">
            <v>1</v>
          </cell>
          <cell r="V484">
            <v>0</v>
          </cell>
          <cell r="W484">
            <v>4816350</v>
          </cell>
          <cell r="X484">
            <v>4228</v>
          </cell>
          <cell r="Y484">
            <v>0</v>
          </cell>
          <cell r="Z484">
            <v>0</v>
          </cell>
          <cell r="AA484">
            <v>4228</v>
          </cell>
          <cell r="AB484"/>
          <cell r="AC484"/>
          <cell r="AD484"/>
          <cell r="AE484"/>
          <cell r="AF484" t="str">
            <v>UnRegistered</v>
          </cell>
        </row>
        <row r="485">
          <cell r="B485" t="str">
            <v>R5 UG 28</v>
          </cell>
          <cell r="C485" t="str">
            <v>R5</v>
          </cell>
          <cell r="D485" t="str">
            <v>M3M Capital Walk in M3M Capital Phase-2</v>
          </cell>
          <cell r="E485" t="str">
            <v>cwBOOKING/00346/22-23</v>
          </cell>
          <cell r="F485" t="str">
            <v>Ms. VIJAY SHREE</v>
          </cell>
          <cell r="G485" t="str">
            <v>cwFLAP/00170/22-23</v>
          </cell>
          <cell r="H485" t="str">
            <v>On Application of OC</v>
          </cell>
          <cell r="I485">
            <v>0</v>
          </cell>
          <cell r="J485">
            <v>44970</v>
          </cell>
          <cell r="K485">
            <v>46144</v>
          </cell>
          <cell r="L485">
            <v>46164</v>
          </cell>
          <cell r="M485">
            <v>2469932</v>
          </cell>
          <cell r="N485">
            <v>296392</v>
          </cell>
          <cell r="O485">
            <v>2766324</v>
          </cell>
          <cell r="P485">
            <v>255899.61145</v>
          </cell>
          <cell r="Q485">
            <v>944370</v>
          </cell>
          <cell r="R485"/>
          <cell r="S485">
            <v>144032.353374</v>
          </cell>
          <cell r="T485">
            <v>1344301.9648239999</v>
          </cell>
          <cell r="U485">
            <v>0</v>
          </cell>
          <cell r="V485">
            <v>0</v>
          </cell>
          <cell r="W485">
            <v>1422022.0351760001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 t="str">
            <v>Not Executed</v>
          </cell>
          <cell r="AC485" t="str">
            <v>No as CL is not Executed</v>
          </cell>
          <cell r="AD485">
            <v>0.26380540652602952</v>
          </cell>
          <cell r="AE485" t="str">
            <v>Less than 35%</v>
          </cell>
          <cell r="AF485" t="str">
            <v>UnRegistered</v>
          </cell>
        </row>
        <row r="486">
          <cell r="B486" t="str">
            <v>R5 K 302</v>
          </cell>
          <cell r="C486" t="str">
            <v>R5</v>
          </cell>
          <cell r="D486" t="str">
            <v>M3M Capital Walk in M3M Capital Phase-2</v>
          </cell>
          <cell r="E486" t="str">
            <v>cwBOOKING/00347/22-23</v>
          </cell>
          <cell r="F486" t="str">
            <v>Mr. BRIJESH KUMAR JAIN</v>
          </cell>
          <cell r="G486" t="str">
            <v>cwFLAP/00211/22-23</v>
          </cell>
          <cell r="H486" t="str">
            <v>On Application of OC</v>
          </cell>
          <cell r="I486">
            <v>0</v>
          </cell>
          <cell r="J486">
            <v>45071</v>
          </cell>
          <cell r="K486">
            <v>46144</v>
          </cell>
          <cell r="L486">
            <v>46164</v>
          </cell>
          <cell r="M486">
            <v>13393870</v>
          </cell>
          <cell r="N486">
            <v>1607264</v>
          </cell>
          <cell r="O486">
            <v>15001134</v>
          </cell>
          <cell r="P486">
            <v>4349693.2424400011</v>
          </cell>
          <cell r="Q486"/>
          <cell r="R486"/>
          <cell r="S486">
            <v>521963.18909280014</v>
          </cell>
          <cell r="T486">
            <v>4871656.4315328011</v>
          </cell>
          <cell r="U486">
            <v>1</v>
          </cell>
          <cell r="V486">
            <v>0</v>
          </cell>
          <cell r="W486">
            <v>10129476.5684672</v>
          </cell>
          <cell r="X486">
            <v>2525</v>
          </cell>
          <cell r="Y486">
            <v>0</v>
          </cell>
          <cell r="Z486">
            <v>0</v>
          </cell>
          <cell r="AA486">
            <v>2525</v>
          </cell>
          <cell r="AB486" t="str">
            <v>Executed</v>
          </cell>
          <cell r="AC486" t="str">
            <v>Yes</v>
          </cell>
          <cell r="AD486">
            <v>0.1948515264859097</v>
          </cell>
          <cell r="AE486" t="str">
            <v>Less than 35%</v>
          </cell>
          <cell r="AF486" t="str">
            <v>UnRegistered</v>
          </cell>
        </row>
        <row r="487">
          <cell r="B487" t="str">
            <v>R4 G 21</v>
          </cell>
          <cell r="C487" t="str">
            <v>R4</v>
          </cell>
          <cell r="D487" t="str">
            <v>M3M Capital Walk in M3M Capital Phase-2</v>
          </cell>
          <cell r="E487" t="str">
            <v>cwBOOKING/00349/22-23</v>
          </cell>
          <cell r="F487" t="str">
            <v>M/S. NSV INDIA OVERSEAS LLP</v>
          </cell>
          <cell r="G487" t="str">
            <v>cwFLAP/00496/22-23</v>
          </cell>
          <cell r="H487" t="str">
            <v>On Application of OC</v>
          </cell>
          <cell r="I487">
            <v>0</v>
          </cell>
          <cell r="J487">
            <v>45049</v>
          </cell>
          <cell r="K487">
            <v>46144</v>
          </cell>
          <cell r="L487">
            <v>46164</v>
          </cell>
          <cell r="M487">
            <v>7122677</v>
          </cell>
          <cell r="N487">
            <v>854722</v>
          </cell>
          <cell r="O487">
            <v>7977399</v>
          </cell>
          <cell r="P487"/>
          <cell r="Q487"/>
          <cell r="R487"/>
          <cell r="S487"/>
          <cell r="T487">
            <v>0</v>
          </cell>
          <cell r="U487">
            <v>170.35</v>
          </cell>
          <cell r="V487">
            <v>0</v>
          </cell>
          <cell r="W487">
            <v>7977228.6500000004</v>
          </cell>
          <cell r="X487">
            <v>815062</v>
          </cell>
          <cell r="Y487">
            <v>0</v>
          </cell>
          <cell r="Z487">
            <v>0</v>
          </cell>
          <cell r="AA487">
            <v>815062</v>
          </cell>
          <cell r="AB487"/>
          <cell r="AC487"/>
          <cell r="AD487"/>
          <cell r="AE487"/>
          <cell r="AF487" t="str">
            <v>UnRegistered</v>
          </cell>
        </row>
        <row r="488">
          <cell r="B488" t="str">
            <v>R1 237</v>
          </cell>
          <cell r="C488" t="str">
            <v>R1</v>
          </cell>
          <cell r="D488" t="str">
            <v>M3M Capital Walk in M3M Capital Phase-2</v>
          </cell>
          <cell r="E488" t="str">
            <v>cwBOOKING/00350/22-23</v>
          </cell>
          <cell r="F488" t="str">
            <v>Ms. VEENA KUMARI</v>
          </cell>
          <cell r="G488" t="str">
            <v>cwFLAP/00498/22-23</v>
          </cell>
          <cell r="H488" t="str">
            <v>On Application of OC</v>
          </cell>
          <cell r="I488">
            <v>0</v>
          </cell>
          <cell r="J488">
            <v>44995</v>
          </cell>
          <cell r="K488">
            <v>46144</v>
          </cell>
          <cell r="L488">
            <v>46164</v>
          </cell>
          <cell r="M488">
            <v>4007728</v>
          </cell>
          <cell r="N488">
            <v>480928</v>
          </cell>
          <cell r="O488">
            <v>4488656</v>
          </cell>
          <cell r="P488"/>
          <cell r="Q488"/>
          <cell r="R488"/>
          <cell r="S488"/>
          <cell r="T488">
            <v>0</v>
          </cell>
          <cell r="U488">
            <v>0</v>
          </cell>
          <cell r="V488">
            <v>0</v>
          </cell>
          <cell r="W488">
            <v>4488656</v>
          </cell>
          <cell r="X488">
            <v>4404</v>
          </cell>
          <cell r="Y488">
            <v>0</v>
          </cell>
          <cell r="Z488">
            <v>0</v>
          </cell>
          <cell r="AA488">
            <v>4404</v>
          </cell>
          <cell r="AB488"/>
          <cell r="AC488"/>
          <cell r="AD488"/>
          <cell r="AE488"/>
          <cell r="AF488" t="str">
            <v>UnRegistered</v>
          </cell>
        </row>
        <row r="489">
          <cell r="B489" t="str">
            <v>R1 224</v>
          </cell>
          <cell r="C489" t="str">
            <v>R1</v>
          </cell>
          <cell r="D489" t="str">
            <v>M3M Capital Walk in M3M Capital Phase-2</v>
          </cell>
          <cell r="E489" t="str">
            <v>cwBOOKING/00351/22-23</v>
          </cell>
          <cell r="F489" t="str">
            <v>Ms. SONIYA MALIK</v>
          </cell>
          <cell r="G489" t="str">
            <v>cwFLAP/00370/22-23</v>
          </cell>
          <cell r="H489" t="str">
            <v>On Application of OC</v>
          </cell>
          <cell r="I489">
            <v>0</v>
          </cell>
          <cell r="J489">
            <v>44967</v>
          </cell>
          <cell r="K489">
            <v>46144</v>
          </cell>
          <cell r="L489">
            <v>46164</v>
          </cell>
          <cell r="M489">
            <v>1889491</v>
          </cell>
          <cell r="N489">
            <v>226738</v>
          </cell>
          <cell r="O489">
            <v>2116229</v>
          </cell>
          <cell r="P489">
            <v>968721.74672000005</v>
          </cell>
          <cell r="Q489"/>
          <cell r="R489"/>
          <cell r="S489">
            <v>116246.6096064</v>
          </cell>
          <cell r="T489">
            <v>1084968.3563264001</v>
          </cell>
          <cell r="U489">
            <v>2</v>
          </cell>
          <cell r="V489">
            <v>0</v>
          </cell>
          <cell r="W489">
            <v>1031258.6436735999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 t="str">
            <v>Executed</v>
          </cell>
          <cell r="AC489" t="str">
            <v>Yes</v>
          </cell>
          <cell r="AD489">
            <v>0.19171182739679021</v>
          </cell>
          <cell r="AE489" t="str">
            <v>Less than 35%</v>
          </cell>
          <cell r="AF489" t="str">
            <v>UnRegistered</v>
          </cell>
        </row>
        <row r="490">
          <cell r="B490" t="str">
            <v>R4 UG 17</v>
          </cell>
          <cell r="C490" t="str">
            <v>R4</v>
          </cell>
          <cell r="D490" t="str">
            <v>M3M Capital Walk in M3M Capital Phase-2</v>
          </cell>
          <cell r="E490" t="str">
            <v>cwBOOKING/00352/22-23</v>
          </cell>
          <cell r="F490" t="str">
            <v>Ms. SURABHI MITTAL</v>
          </cell>
          <cell r="G490" t="str">
            <v>cwFLAP/00499/22-23</v>
          </cell>
          <cell r="H490" t="str">
            <v>On Application of OC</v>
          </cell>
          <cell r="I490">
            <v>0</v>
          </cell>
          <cell r="J490">
            <v>45065</v>
          </cell>
          <cell r="K490">
            <v>46144</v>
          </cell>
          <cell r="L490">
            <v>46164</v>
          </cell>
          <cell r="M490">
            <v>3239544</v>
          </cell>
          <cell r="N490">
            <v>388746</v>
          </cell>
          <cell r="O490">
            <v>3628290</v>
          </cell>
          <cell r="P490"/>
          <cell r="Q490"/>
          <cell r="R490"/>
          <cell r="S490">
            <v>0</v>
          </cell>
          <cell r="T490">
            <v>0</v>
          </cell>
          <cell r="U490">
            <v>1307090.8799999999</v>
          </cell>
          <cell r="V490">
            <v>0</v>
          </cell>
          <cell r="W490">
            <v>2321199.12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/>
          <cell r="AC490"/>
          <cell r="AD490">
            <v>0</v>
          </cell>
          <cell r="AE490" t="str">
            <v>Less than 35%</v>
          </cell>
          <cell r="AF490" t="str">
            <v>UnRegistered</v>
          </cell>
        </row>
        <row r="491">
          <cell r="B491" t="str">
            <v>R6 101</v>
          </cell>
          <cell r="C491" t="str">
            <v>R6</v>
          </cell>
          <cell r="D491" t="str">
            <v>M3M Capital Walk in M3M Capital Phase-2</v>
          </cell>
          <cell r="E491" t="str">
            <v>cwBOOKING/00353/22-23</v>
          </cell>
          <cell r="F491" t="str">
            <v>Ms. SADHNA GUPTA</v>
          </cell>
          <cell r="G491" t="str">
            <v>cwFLAP/00386/22-23</v>
          </cell>
          <cell r="H491" t="str">
            <v>On Application of OC</v>
          </cell>
          <cell r="I491">
            <v>0</v>
          </cell>
          <cell r="J491">
            <v>45063</v>
          </cell>
          <cell r="K491">
            <v>46144</v>
          </cell>
          <cell r="L491">
            <v>46164</v>
          </cell>
          <cell r="M491">
            <v>7554612</v>
          </cell>
          <cell r="N491">
            <v>906554</v>
          </cell>
          <cell r="O491">
            <v>8461166</v>
          </cell>
          <cell r="P491">
            <v>601842.82120000001</v>
          </cell>
          <cell r="Q491"/>
          <cell r="R491"/>
          <cell r="S491">
            <v>72221.138544000001</v>
          </cell>
          <cell r="T491">
            <v>674063.95974399999</v>
          </cell>
          <cell r="U491">
            <v>0</v>
          </cell>
          <cell r="V491">
            <v>0</v>
          </cell>
          <cell r="W491">
            <v>7787102.0402560001</v>
          </cell>
          <cell r="X491">
            <v>17671</v>
          </cell>
          <cell r="Y491">
            <v>17671</v>
          </cell>
          <cell r="Z491">
            <v>0</v>
          </cell>
          <cell r="AA491">
            <v>0</v>
          </cell>
          <cell r="AB491" t="str">
            <v>Not Executed</v>
          </cell>
          <cell r="AC491" t="str">
            <v>No as CL is not Executed</v>
          </cell>
          <cell r="AD491">
            <v>4.5523152522533507E-2</v>
          </cell>
          <cell r="AE491" t="str">
            <v>Less than 35%</v>
          </cell>
          <cell r="AF491" t="str">
            <v>UnRegistered</v>
          </cell>
        </row>
        <row r="492">
          <cell r="B492" t="str">
            <v>R6 201</v>
          </cell>
          <cell r="C492" t="str">
            <v>R6</v>
          </cell>
          <cell r="D492" t="str">
            <v>M3M Capital Walk in M3M Capital Phase-2</v>
          </cell>
          <cell r="E492" t="str">
            <v>cwBOOKING/00355/22-23</v>
          </cell>
          <cell r="F492" t="str">
            <v>Ms. GEETA KUMARI GUPTA</v>
          </cell>
          <cell r="G492" t="str">
            <v>cwFLAP/00301/22-23</v>
          </cell>
          <cell r="H492" t="str">
            <v>On Application of OC</v>
          </cell>
          <cell r="I492">
            <v>0</v>
          </cell>
          <cell r="J492">
            <v>45047</v>
          </cell>
          <cell r="K492">
            <v>46144</v>
          </cell>
          <cell r="L492">
            <v>46164</v>
          </cell>
          <cell r="M492">
            <v>5307716</v>
          </cell>
          <cell r="N492">
            <v>636926</v>
          </cell>
          <cell r="O492">
            <v>5944642</v>
          </cell>
          <cell r="P492"/>
          <cell r="Q492"/>
          <cell r="R492"/>
          <cell r="S492"/>
          <cell r="T492">
            <v>0</v>
          </cell>
          <cell r="U492">
            <v>0</v>
          </cell>
          <cell r="V492">
            <v>0</v>
          </cell>
          <cell r="W492">
            <v>5944642</v>
          </cell>
          <cell r="X492">
            <v>39606</v>
          </cell>
          <cell r="Y492">
            <v>0</v>
          </cell>
          <cell r="Z492">
            <v>0</v>
          </cell>
          <cell r="AA492">
            <v>39606</v>
          </cell>
          <cell r="AB492" t="str">
            <v>Not Executed</v>
          </cell>
          <cell r="AC492" t="str">
            <v>Recovery Case</v>
          </cell>
          <cell r="AD492">
            <v>-9.9352782774131537E-2</v>
          </cell>
          <cell r="AE492" t="str">
            <v>Recovery Case</v>
          </cell>
          <cell r="AF492" t="str">
            <v>UnRegistered</v>
          </cell>
        </row>
        <row r="493">
          <cell r="B493" t="str">
            <v>R1 238</v>
          </cell>
          <cell r="C493" t="str">
            <v>R1</v>
          </cell>
          <cell r="D493" t="str">
            <v>M3M Capital Walk in M3M Capital Phase-2</v>
          </cell>
          <cell r="E493" t="str">
            <v>cwBOOKING/00358/22-23</v>
          </cell>
          <cell r="F493" t="str">
            <v>Ms. URMILA SINHA</v>
          </cell>
          <cell r="G493" t="str">
            <v>cwFLAP/00424/22-23</v>
          </cell>
          <cell r="H493" t="str">
            <v>On Application of OC</v>
          </cell>
          <cell r="I493">
            <v>0</v>
          </cell>
          <cell r="J493">
            <v>44995</v>
          </cell>
          <cell r="K493">
            <v>46144</v>
          </cell>
          <cell r="L493">
            <v>46164</v>
          </cell>
          <cell r="M493">
            <v>4007728</v>
          </cell>
          <cell r="N493">
            <v>480928</v>
          </cell>
          <cell r="O493">
            <v>4488656</v>
          </cell>
          <cell r="P493"/>
          <cell r="Q493"/>
          <cell r="R493"/>
          <cell r="S493"/>
          <cell r="T493">
            <v>0</v>
          </cell>
          <cell r="U493">
            <v>0</v>
          </cell>
          <cell r="V493">
            <v>0</v>
          </cell>
          <cell r="W493">
            <v>4488656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/>
          <cell r="AC493"/>
          <cell r="AD493"/>
          <cell r="AE493"/>
          <cell r="AF493" t="str">
            <v>UnRegistered</v>
          </cell>
        </row>
        <row r="494">
          <cell r="B494" t="str">
            <v>R1 111</v>
          </cell>
          <cell r="C494" t="str">
            <v>R1</v>
          </cell>
          <cell r="D494" t="str">
            <v>M3M Capital Walk in M3M Capital Phase-2</v>
          </cell>
          <cell r="E494" t="str">
            <v>cwBOOKING/00359/22-23</v>
          </cell>
          <cell r="F494" t="str">
            <v>Ms. SHAGUN ROY</v>
          </cell>
          <cell r="G494" t="str">
            <v>cwFLAP/00436/22-23</v>
          </cell>
          <cell r="H494" t="str">
            <v>On Application of OC</v>
          </cell>
          <cell r="I494">
            <v>0</v>
          </cell>
          <cell r="J494">
            <v>45147</v>
          </cell>
          <cell r="K494">
            <v>46144</v>
          </cell>
          <cell r="L494">
            <v>46164</v>
          </cell>
          <cell r="M494">
            <v>4016032</v>
          </cell>
          <cell r="N494">
            <v>481924</v>
          </cell>
          <cell r="O494">
            <v>4497956</v>
          </cell>
          <cell r="P494"/>
          <cell r="Q494"/>
          <cell r="R494"/>
          <cell r="S494"/>
          <cell r="T494">
            <v>0</v>
          </cell>
          <cell r="U494">
            <v>38.44</v>
          </cell>
          <cell r="V494">
            <v>0</v>
          </cell>
          <cell r="W494">
            <v>4497917.5599999996</v>
          </cell>
          <cell r="X494">
            <v>334.48</v>
          </cell>
          <cell r="Y494">
            <v>0</v>
          </cell>
          <cell r="Z494">
            <v>0</v>
          </cell>
          <cell r="AA494">
            <v>334.48</v>
          </cell>
          <cell r="AB494"/>
          <cell r="AC494"/>
          <cell r="AD494"/>
          <cell r="AE494"/>
          <cell r="AF494" t="str">
            <v>UnRegistered</v>
          </cell>
        </row>
        <row r="495">
          <cell r="B495" t="str">
            <v>R5 G 20</v>
          </cell>
          <cell r="C495" t="str">
            <v>R5</v>
          </cell>
          <cell r="D495" t="str">
            <v>M3M Capital Walk in M3M Capital Phase-2</v>
          </cell>
          <cell r="E495" t="str">
            <v>cwBOOKING/00362/22-23</v>
          </cell>
          <cell r="F495" t="str">
            <v>Mr. LALIT PARSAD GUPTA</v>
          </cell>
          <cell r="G495" t="str">
            <v>cwFLAP/00266/22-23</v>
          </cell>
          <cell r="H495" t="str">
            <v>On Application of OC</v>
          </cell>
          <cell r="I495">
            <v>0</v>
          </cell>
          <cell r="J495">
            <v>44998</v>
          </cell>
          <cell r="K495">
            <v>46144</v>
          </cell>
          <cell r="L495">
            <v>46164</v>
          </cell>
          <cell r="M495">
            <v>4210811</v>
          </cell>
          <cell r="N495">
            <v>505298</v>
          </cell>
          <cell r="O495">
            <v>4716109</v>
          </cell>
          <cell r="P495"/>
          <cell r="Q495"/>
          <cell r="R495"/>
          <cell r="S495"/>
          <cell r="T495">
            <v>0</v>
          </cell>
          <cell r="U495">
            <v>0</v>
          </cell>
          <cell r="V495">
            <v>1.119999997317791</v>
          </cell>
          <cell r="W495">
            <v>4716110.1199999973</v>
          </cell>
          <cell r="X495">
            <v>947</v>
          </cell>
          <cell r="Y495">
            <v>0</v>
          </cell>
          <cell r="Z495">
            <v>0</v>
          </cell>
          <cell r="AA495">
            <v>947</v>
          </cell>
          <cell r="AB495"/>
          <cell r="AC495"/>
          <cell r="AD495"/>
          <cell r="AE495"/>
          <cell r="AF495" t="str">
            <v>UnRegistered</v>
          </cell>
        </row>
        <row r="496">
          <cell r="B496" t="str">
            <v>R1 LG 12</v>
          </cell>
          <cell r="C496" t="str">
            <v>R1</v>
          </cell>
          <cell r="D496" t="str">
            <v>M3M Capital Walk in M3M Capital Phase-2</v>
          </cell>
          <cell r="E496" t="str">
            <v>cwBOOKING/00363/22-23</v>
          </cell>
          <cell r="F496" t="str">
            <v>Ms. AARTI SABHARWAL</v>
          </cell>
          <cell r="G496" t="str">
            <v>cwFLAP/00525/22-23</v>
          </cell>
          <cell r="H496" t="str">
            <v>On Application of OC</v>
          </cell>
          <cell r="I496">
            <v>0</v>
          </cell>
          <cell r="J496">
            <v>45602</v>
          </cell>
          <cell r="K496">
            <v>46144</v>
          </cell>
          <cell r="L496">
            <v>46164</v>
          </cell>
          <cell r="M496">
            <v>9078082</v>
          </cell>
          <cell r="N496">
            <v>1089370</v>
          </cell>
          <cell r="O496">
            <v>10167452</v>
          </cell>
          <cell r="P496"/>
          <cell r="Q496"/>
          <cell r="R496"/>
          <cell r="S496"/>
          <cell r="T496">
            <v>0</v>
          </cell>
          <cell r="U496">
            <v>1</v>
          </cell>
          <cell r="V496">
            <v>0</v>
          </cell>
          <cell r="W496">
            <v>10167451</v>
          </cell>
          <cell r="X496">
            <v>1363181</v>
          </cell>
          <cell r="Y496">
            <v>1363181</v>
          </cell>
          <cell r="Z496">
            <v>0</v>
          </cell>
          <cell r="AA496">
            <v>0</v>
          </cell>
          <cell r="AB496"/>
          <cell r="AC496"/>
          <cell r="AD496"/>
          <cell r="AE496"/>
          <cell r="AF496" t="str">
            <v>UnRegistered</v>
          </cell>
        </row>
        <row r="497">
          <cell r="B497" t="str">
            <v>R5 G 05</v>
          </cell>
          <cell r="C497" t="str">
            <v>R5</v>
          </cell>
          <cell r="D497" t="str">
            <v>M3M Capital Walk in M3M Capital Phase-2</v>
          </cell>
          <cell r="E497" t="str">
            <v>cwBOOKING/00364/22-23</v>
          </cell>
          <cell r="F497" t="str">
            <v>Mr. SANDEEP GOYAL</v>
          </cell>
          <cell r="G497" t="str">
            <v>cwFLAP/00502/22-23</v>
          </cell>
          <cell r="H497" t="str">
            <v>On Application of OC</v>
          </cell>
          <cell r="I497">
            <v>0</v>
          </cell>
          <cell r="J497">
            <v>45414</v>
          </cell>
          <cell r="K497">
            <v>46144</v>
          </cell>
          <cell r="L497">
            <v>46164</v>
          </cell>
          <cell r="M497">
            <v>8597969</v>
          </cell>
          <cell r="N497">
            <v>1031756</v>
          </cell>
          <cell r="O497">
            <v>9629725</v>
          </cell>
          <cell r="P497"/>
          <cell r="Q497"/>
          <cell r="R497"/>
          <cell r="S497"/>
          <cell r="T497">
            <v>0</v>
          </cell>
          <cell r="U497">
            <v>0</v>
          </cell>
          <cell r="V497">
            <v>0</v>
          </cell>
          <cell r="W497">
            <v>9629725</v>
          </cell>
          <cell r="X497">
            <v>518550</v>
          </cell>
          <cell r="Y497">
            <v>514710</v>
          </cell>
          <cell r="Z497">
            <v>3840</v>
          </cell>
          <cell r="AA497">
            <v>0</v>
          </cell>
          <cell r="AB497"/>
          <cell r="AC497"/>
          <cell r="AD497"/>
          <cell r="AE497"/>
          <cell r="AF497" t="str">
            <v>UnRegistered</v>
          </cell>
        </row>
        <row r="498">
          <cell r="B498" t="str">
            <v>R5 219</v>
          </cell>
          <cell r="C498" t="str">
            <v>R5</v>
          </cell>
          <cell r="D498" t="str">
            <v>M3M Capital Walk in M3M Capital Phase-2</v>
          </cell>
          <cell r="E498" t="str">
            <v>cwBOOKING/00365/22-23</v>
          </cell>
          <cell r="F498" t="str">
            <v>M/S. GAGAN KHETARPAL HUF</v>
          </cell>
          <cell r="G498" t="str">
            <v>cwFLAP/00540/22-23</v>
          </cell>
          <cell r="H498" t="str">
            <v>On Application of OC</v>
          </cell>
          <cell r="I498">
            <v>0</v>
          </cell>
          <cell r="J498">
            <v>45016</v>
          </cell>
          <cell r="K498">
            <v>46144</v>
          </cell>
          <cell r="L498">
            <v>46164</v>
          </cell>
          <cell r="M498">
            <v>4676289</v>
          </cell>
          <cell r="N498">
            <v>561154</v>
          </cell>
          <cell r="O498">
            <v>5237443</v>
          </cell>
          <cell r="P498">
            <v>767922.06586666673</v>
          </cell>
          <cell r="Q498"/>
          <cell r="R498"/>
          <cell r="S498">
            <v>92150.647903999998</v>
          </cell>
          <cell r="T498">
            <v>860072.71377066674</v>
          </cell>
          <cell r="U498">
            <v>4999.84</v>
          </cell>
          <cell r="V498">
            <v>0</v>
          </cell>
          <cell r="W498">
            <v>4372370.4462293331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 t="str">
            <v>Executed</v>
          </cell>
          <cell r="AC498" t="str">
            <v>Yes</v>
          </cell>
          <cell r="AD498">
            <v>9.3543490431491252E-2</v>
          </cell>
          <cell r="AE498" t="str">
            <v>Less than 35%</v>
          </cell>
          <cell r="AF498" t="str">
            <v>UnRegistered</v>
          </cell>
        </row>
        <row r="499">
          <cell r="B499" t="str">
            <v>R5 168</v>
          </cell>
          <cell r="C499" t="str">
            <v>R5</v>
          </cell>
          <cell r="D499" t="str">
            <v>M3M Capital Walk in M3M Capital Phase-2</v>
          </cell>
          <cell r="E499" t="str">
            <v>cwBOOKING/00366/22-23</v>
          </cell>
          <cell r="F499" t="str">
            <v>Mr. HARISH PRAKASH</v>
          </cell>
          <cell r="G499" t="str">
            <v>cwFLAP/00417/22-23</v>
          </cell>
          <cell r="H499" t="str">
            <v>On Application of OC</v>
          </cell>
          <cell r="I499">
            <v>0</v>
          </cell>
          <cell r="J499">
            <v>44978</v>
          </cell>
          <cell r="K499">
            <v>46144</v>
          </cell>
          <cell r="L499">
            <v>46164</v>
          </cell>
          <cell r="M499">
            <v>2045306</v>
          </cell>
          <cell r="N499">
            <v>245436</v>
          </cell>
          <cell r="O499">
            <v>2290742</v>
          </cell>
          <cell r="P499">
            <v>449319.62000000005</v>
          </cell>
          <cell r="Q499"/>
          <cell r="R499"/>
          <cell r="S499">
            <v>53918.354400000004</v>
          </cell>
          <cell r="T499">
            <v>503237.97440000006</v>
          </cell>
          <cell r="U499">
            <v>0</v>
          </cell>
          <cell r="V499">
            <v>0</v>
          </cell>
          <cell r="W499">
            <v>1787504.0255999998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 t="str">
            <v>Executed</v>
          </cell>
          <cell r="AC499" t="str">
            <v>Yes</v>
          </cell>
          <cell r="AD499">
            <v>0.10356568225639258</v>
          </cell>
          <cell r="AE499" t="str">
            <v>Less than 35%</v>
          </cell>
          <cell r="AF499" t="str">
            <v>UnRegistered</v>
          </cell>
        </row>
        <row r="500">
          <cell r="B500" t="str">
            <v>R5 107</v>
          </cell>
          <cell r="C500" t="str">
            <v>R5</v>
          </cell>
          <cell r="D500" t="str">
            <v>M3M Capital Walk in M3M Capital Phase-2</v>
          </cell>
          <cell r="E500" t="str">
            <v>cwBOOKING/00367/22-23</v>
          </cell>
          <cell r="F500" t="str">
            <v>Mr. SANJEEV KUMAR</v>
          </cell>
          <cell r="G500" t="str">
            <v>cwFLAP/00542/22-23</v>
          </cell>
          <cell r="H500" t="str">
            <v>On Application of OC</v>
          </cell>
          <cell r="I500">
            <v>0</v>
          </cell>
          <cell r="J500">
            <v>44988</v>
          </cell>
          <cell r="K500">
            <v>46144</v>
          </cell>
          <cell r="L500">
            <v>46164</v>
          </cell>
          <cell r="M500">
            <v>2511032</v>
          </cell>
          <cell r="N500">
            <v>301324</v>
          </cell>
          <cell r="O500">
            <v>2812356</v>
          </cell>
          <cell r="P500"/>
          <cell r="Q500"/>
          <cell r="R500"/>
          <cell r="S500"/>
          <cell r="T500">
            <v>0</v>
          </cell>
          <cell r="U500">
            <v>0</v>
          </cell>
          <cell r="V500">
            <v>0</v>
          </cell>
          <cell r="W500">
            <v>2812356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/>
          <cell r="AC500"/>
          <cell r="AD500"/>
          <cell r="AE500"/>
          <cell r="AF500" t="str">
            <v>UnRegistered</v>
          </cell>
        </row>
        <row r="501">
          <cell r="B501" t="str">
            <v>R5 K 224</v>
          </cell>
          <cell r="C501" t="str">
            <v>R5</v>
          </cell>
          <cell r="D501" t="str">
            <v>M3M Capital Walk in M3M Capital Phase-2</v>
          </cell>
          <cell r="E501" t="str">
            <v>cwBOOKING/00368/22-23</v>
          </cell>
          <cell r="F501" t="str">
            <v>Ms. NEENA</v>
          </cell>
          <cell r="G501" t="str">
            <v>cwFLAP/00243/22-23</v>
          </cell>
          <cell r="H501" t="str">
            <v>On Application of OC</v>
          </cell>
          <cell r="I501">
            <v>0</v>
          </cell>
          <cell r="J501">
            <v>44987</v>
          </cell>
          <cell r="K501">
            <v>46144</v>
          </cell>
          <cell r="L501">
            <v>46164</v>
          </cell>
          <cell r="M501">
            <v>4641370</v>
          </cell>
          <cell r="N501">
            <v>556964</v>
          </cell>
          <cell r="O501">
            <v>5198334</v>
          </cell>
          <cell r="P501">
            <v>926357.25</v>
          </cell>
          <cell r="Q501"/>
          <cell r="R501"/>
          <cell r="S501">
            <v>111162.87</v>
          </cell>
          <cell r="T501">
            <v>1037520.12</v>
          </cell>
          <cell r="U501">
            <v>0</v>
          </cell>
          <cell r="V501">
            <v>2</v>
          </cell>
          <cell r="W501">
            <v>4160815.88</v>
          </cell>
          <cell r="X501">
            <v>6510</v>
          </cell>
          <cell r="Y501">
            <v>0</v>
          </cell>
          <cell r="Z501">
            <v>0</v>
          </cell>
          <cell r="AA501">
            <v>6510</v>
          </cell>
          <cell r="AB501" t="str">
            <v>Executed</v>
          </cell>
          <cell r="AC501" t="str">
            <v>Yes</v>
          </cell>
          <cell r="AD501">
            <v>0.12658874888817581</v>
          </cell>
          <cell r="AE501" t="str">
            <v>Less than 35%</v>
          </cell>
          <cell r="AF501" t="str">
            <v>UnRegistered</v>
          </cell>
        </row>
        <row r="502">
          <cell r="B502" t="str">
            <v>R4 231</v>
          </cell>
          <cell r="C502" t="str">
            <v>R4</v>
          </cell>
          <cell r="D502" t="str">
            <v>M3M Capital Walk in M3M Capital Phase-2</v>
          </cell>
          <cell r="E502" t="str">
            <v>cwBOOKING/00369/22-23</v>
          </cell>
          <cell r="F502" t="str">
            <v>Ms. ARSHI FATIMA</v>
          </cell>
          <cell r="G502" t="str">
            <v>cwFLAP/00261/22-23</v>
          </cell>
          <cell r="H502" t="str">
            <v>On Application of OC</v>
          </cell>
          <cell r="I502">
            <v>0</v>
          </cell>
          <cell r="J502">
            <v>45057</v>
          </cell>
          <cell r="K502">
            <v>46144</v>
          </cell>
          <cell r="L502">
            <v>46164</v>
          </cell>
          <cell r="M502">
            <v>4748076</v>
          </cell>
          <cell r="N502">
            <v>569770</v>
          </cell>
          <cell r="O502">
            <v>5317846</v>
          </cell>
          <cell r="P502"/>
          <cell r="Q502"/>
          <cell r="R502"/>
          <cell r="S502"/>
          <cell r="T502">
            <v>0</v>
          </cell>
          <cell r="U502">
            <v>97145</v>
          </cell>
          <cell r="V502">
            <v>0</v>
          </cell>
          <cell r="W502">
            <v>5220701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/>
          <cell r="AC502"/>
          <cell r="AD502"/>
          <cell r="AE502"/>
          <cell r="AF502" t="str">
            <v>UnRegistered</v>
          </cell>
        </row>
        <row r="503">
          <cell r="B503" t="str">
            <v>R1 234</v>
          </cell>
          <cell r="C503" t="str">
            <v>R1</v>
          </cell>
          <cell r="D503" t="str">
            <v>M3M Capital Walk in M3M Capital Phase-2</v>
          </cell>
          <cell r="E503" t="str">
            <v>cwBOOKING/00370/22-23</v>
          </cell>
          <cell r="F503" t="str">
            <v>Mr. MAHINDER KUMAR HANS</v>
          </cell>
          <cell r="G503" t="str">
            <v>cwFLAP/00376/22-23</v>
          </cell>
          <cell r="H503" t="str">
            <v>On Application of OC</v>
          </cell>
          <cell r="I503">
            <v>0</v>
          </cell>
          <cell r="J503">
            <v>44980</v>
          </cell>
          <cell r="K503">
            <v>46144</v>
          </cell>
          <cell r="L503">
            <v>46164</v>
          </cell>
          <cell r="M503">
            <v>3368402</v>
          </cell>
          <cell r="N503">
            <v>404208</v>
          </cell>
          <cell r="O503">
            <v>3772610</v>
          </cell>
          <cell r="P503"/>
          <cell r="Q503"/>
          <cell r="R503"/>
          <cell r="S503"/>
          <cell r="T503">
            <v>0</v>
          </cell>
          <cell r="U503">
            <v>0</v>
          </cell>
          <cell r="V503">
            <v>9778</v>
          </cell>
          <cell r="W503">
            <v>3782388</v>
          </cell>
          <cell r="X503">
            <v>3936</v>
          </cell>
          <cell r="Y503">
            <v>0</v>
          </cell>
          <cell r="Z503">
            <v>0</v>
          </cell>
          <cell r="AA503">
            <v>3936</v>
          </cell>
          <cell r="AB503"/>
          <cell r="AC503"/>
          <cell r="AD503"/>
          <cell r="AE503"/>
          <cell r="AF503" t="str">
            <v>UnRegistered</v>
          </cell>
        </row>
        <row r="504">
          <cell r="B504" t="str">
            <v>R5 206</v>
          </cell>
          <cell r="C504" t="str">
            <v>R5</v>
          </cell>
          <cell r="D504" t="str">
            <v>M3M Capital Walk in M3M Capital Phase-2</v>
          </cell>
          <cell r="E504" t="str">
            <v>cwBOOKING/00371/22-23</v>
          </cell>
          <cell r="F504" t="str">
            <v>Ms. ANJALI SHARMA</v>
          </cell>
          <cell r="G504" t="str">
            <v>cwFLAP/00204/22-23</v>
          </cell>
          <cell r="H504" t="str">
            <v>On Application of OC</v>
          </cell>
          <cell r="I504">
            <v>0</v>
          </cell>
          <cell r="J504">
            <v>45274</v>
          </cell>
          <cell r="K504">
            <v>46144</v>
          </cell>
          <cell r="L504">
            <v>46164</v>
          </cell>
          <cell r="M504">
            <v>6000455</v>
          </cell>
          <cell r="N504">
            <v>720054</v>
          </cell>
          <cell r="O504">
            <v>6720509</v>
          </cell>
          <cell r="P504">
            <v>3351058.7555800006</v>
          </cell>
          <cell r="Q504"/>
          <cell r="R504"/>
          <cell r="S504">
            <v>402127.05066960008</v>
          </cell>
          <cell r="T504">
            <v>3753185.8062496008</v>
          </cell>
          <cell r="U504">
            <v>0</v>
          </cell>
          <cell r="V504">
            <v>0</v>
          </cell>
          <cell r="W504">
            <v>2967323.1937503992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 t="str">
            <v>Executed</v>
          </cell>
          <cell r="AC504" t="str">
            <v>Yes</v>
          </cell>
          <cell r="AD504">
            <v>0.26806023037679855</v>
          </cell>
          <cell r="AE504" t="str">
            <v>Less than 35%</v>
          </cell>
          <cell r="AF504" t="str">
            <v>UnRegistered</v>
          </cell>
        </row>
        <row r="505">
          <cell r="B505" t="str">
            <v>R4 120</v>
          </cell>
          <cell r="C505" t="str">
            <v>R4</v>
          </cell>
          <cell r="D505" t="str">
            <v>M3M Capital Walk in M3M Capital Phase-2</v>
          </cell>
          <cell r="E505" t="str">
            <v>cwBOOKING/00374/22-23</v>
          </cell>
          <cell r="F505" t="str">
            <v>M/S. CONGRUENCE CONSULTING LLP</v>
          </cell>
          <cell r="G505" t="str">
            <v>cwFLAP/00215/22-23</v>
          </cell>
          <cell r="H505" t="str">
            <v>On Application of OC</v>
          </cell>
          <cell r="I505">
            <v>0</v>
          </cell>
          <cell r="J505">
            <v>45022</v>
          </cell>
          <cell r="K505">
            <v>46144</v>
          </cell>
          <cell r="L505">
            <v>46164</v>
          </cell>
          <cell r="M505">
            <v>1860024</v>
          </cell>
          <cell r="N505">
            <v>223202</v>
          </cell>
          <cell r="O505">
            <v>2083226</v>
          </cell>
          <cell r="P505"/>
          <cell r="Q505"/>
          <cell r="R505"/>
          <cell r="S505"/>
          <cell r="T505">
            <v>0</v>
          </cell>
          <cell r="U505">
            <v>0</v>
          </cell>
          <cell r="V505">
            <v>0.64000000059604645</v>
          </cell>
          <cell r="W505">
            <v>2083226.6400000006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/>
          <cell r="AC505"/>
          <cell r="AD505"/>
          <cell r="AE505"/>
          <cell r="AF505" t="str">
            <v>UnRegistered</v>
          </cell>
        </row>
        <row r="506">
          <cell r="B506" t="str">
            <v>R4 212</v>
          </cell>
          <cell r="C506" t="str">
            <v>R4</v>
          </cell>
          <cell r="D506" t="str">
            <v>M3M Capital Walk in M3M Capital Phase-2</v>
          </cell>
          <cell r="E506" t="str">
            <v>cwBOOKING/00376/22-23</v>
          </cell>
          <cell r="F506" t="str">
            <v>Ms. KAVITA RANA</v>
          </cell>
          <cell r="G506" t="str">
            <v>cwFLAP/00500/22-23</v>
          </cell>
          <cell r="H506" t="str">
            <v>On Application of OC</v>
          </cell>
          <cell r="I506">
            <v>0</v>
          </cell>
          <cell r="J506">
            <v>45001</v>
          </cell>
          <cell r="K506">
            <v>46144</v>
          </cell>
          <cell r="L506">
            <v>46164</v>
          </cell>
          <cell r="M506">
            <v>4678146</v>
          </cell>
          <cell r="N506">
            <v>561378</v>
          </cell>
          <cell r="O506">
            <v>5239524</v>
          </cell>
          <cell r="P506"/>
          <cell r="Q506"/>
          <cell r="R506"/>
          <cell r="S506"/>
          <cell r="T506">
            <v>0</v>
          </cell>
          <cell r="U506">
            <v>0</v>
          </cell>
          <cell r="V506">
            <v>0</v>
          </cell>
          <cell r="W506">
            <v>5239524</v>
          </cell>
          <cell r="X506">
            <v>5008</v>
          </cell>
          <cell r="Y506">
            <v>0</v>
          </cell>
          <cell r="Z506">
            <v>0</v>
          </cell>
          <cell r="AA506">
            <v>5008</v>
          </cell>
          <cell r="AB506"/>
          <cell r="AC506"/>
          <cell r="AD506"/>
          <cell r="AE506"/>
          <cell r="AF506" t="str">
            <v>UnRegistered</v>
          </cell>
        </row>
        <row r="507">
          <cell r="B507" t="str">
            <v>R5 207</v>
          </cell>
          <cell r="C507" t="str">
            <v>R5</v>
          </cell>
          <cell r="D507" t="str">
            <v>M3M Capital Walk in M3M Capital Phase-2</v>
          </cell>
          <cell r="E507" t="str">
            <v>cwBOOKING/00377/22-23</v>
          </cell>
          <cell r="F507" t="str">
            <v>Mr. AMIT BHATIA</v>
          </cell>
          <cell r="G507" t="str">
            <v>cwFLAP/00371/22-23</v>
          </cell>
          <cell r="H507" t="str">
            <v>On Application of OC</v>
          </cell>
          <cell r="I507">
            <v>0</v>
          </cell>
          <cell r="J507">
            <v>45001</v>
          </cell>
          <cell r="K507">
            <v>46144</v>
          </cell>
          <cell r="L507">
            <v>46164</v>
          </cell>
          <cell r="M507">
            <v>4109490</v>
          </cell>
          <cell r="N507">
            <v>493138</v>
          </cell>
          <cell r="O507">
            <v>4602628</v>
          </cell>
          <cell r="P507">
            <v>1690462.411733333</v>
          </cell>
          <cell r="Q507"/>
          <cell r="R507"/>
          <cell r="S507">
            <v>202855.48940799996</v>
          </cell>
          <cell r="T507">
            <v>1893317.9011413329</v>
          </cell>
          <cell r="U507">
            <v>0</v>
          </cell>
          <cell r="V507">
            <v>0</v>
          </cell>
          <cell r="W507">
            <v>2709310.0988586671</v>
          </cell>
          <cell r="X507">
            <v>556</v>
          </cell>
          <cell r="Y507">
            <v>0</v>
          </cell>
          <cell r="Z507">
            <v>0</v>
          </cell>
          <cell r="AA507">
            <v>556</v>
          </cell>
          <cell r="AB507" t="str">
            <v>Executed</v>
          </cell>
          <cell r="AC507" t="str">
            <v>Yes</v>
          </cell>
          <cell r="AD507">
            <v>0.28794903703703695</v>
          </cell>
          <cell r="AE507" t="str">
            <v>Less than 35%</v>
          </cell>
          <cell r="AF507" t="str">
            <v>UnRegistered</v>
          </cell>
        </row>
        <row r="508">
          <cell r="B508" t="str">
            <v>R4 K 305</v>
          </cell>
          <cell r="C508" t="str">
            <v>R4</v>
          </cell>
          <cell r="D508" t="str">
            <v>M3M Capital Walk in M3M Capital Phase-2</v>
          </cell>
          <cell r="E508" t="str">
            <v>cwBOOKING/00378/22-23</v>
          </cell>
          <cell r="F508" t="str">
            <v>Ms. KAVITA RANI</v>
          </cell>
          <cell r="G508" t="str">
            <v>cwFLAP/00573/22-23</v>
          </cell>
          <cell r="H508" t="str">
            <v>On Application of OC</v>
          </cell>
          <cell r="I508">
            <v>0</v>
          </cell>
          <cell r="J508">
            <v>45644</v>
          </cell>
          <cell r="K508">
            <v>46144</v>
          </cell>
          <cell r="L508">
            <v>46164</v>
          </cell>
          <cell r="M508">
            <v>12318492</v>
          </cell>
          <cell r="N508">
            <v>1478220</v>
          </cell>
          <cell r="O508">
            <v>13796712</v>
          </cell>
          <cell r="P508">
            <v>3695350.0617</v>
          </cell>
          <cell r="Q508"/>
          <cell r="R508"/>
          <cell r="S508">
            <v>443442.00740399997</v>
          </cell>
          <cell r="T508">
            <v>4138792.069104</v>
          </cell>
          <cell r="U508">
            <v>0</v>
          </cell>
          <cell r="V508">
            <v>2</v>
          </cell>
          <cell r="W508">
            <v>9657921.9308959991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 t="str">
            <v>Executed</v>
          </cell>
          <cell r="AC508" t="str">
            <v>Yes</v>
          </cell>
          <cell r="AD508">
            <v>0.22758178325548478</v>
          </cell>
          <cell r="AE508" t="str">
            <v>Less than 35%</v>
          </cell>
          <cell r="AF508" t="str">
            <v>UnRegistered</v>
          </cell>
        </row>
        <row r="509">
          <cell r="B509" t="str">
            <v>R1 122</v>
          </cell>
          <cell r="C509" t="str">
            <v>R1</v>
          </cell>
          <cell r="D509" t="str">
            <v>M3M Capital Walk in M3M Capital Phase-2</v>
          </cell>
          <cell r="E509" t="str">
            <v>cwBOOKING/00379/22-23</v>
          </cell>
          <cell r="F509" t="str">
            <v>Ms. INDIRA YADAV</v>
          </cell>
          <cell r="G509" t="str">
            <v>cwFLAP/00574/22-23</v>
          </cell>
          <cell r="H509" t="str">
            <v>On Application of OC</v>
          </cell>
          <cell r="I509">
            <v>0</v>
          </cell>
          <cell r="J509">
            <v>45076</v>
          </cell>
          <cell r="K509">
            <v>46144</v>
          </cell>
          <cell r="L509">
            <v>46164</v>
          </cell>
          <cell r="M509">
            <v>5477514</v>
          </cell>
          <cell r="N509">
            <v>657302</v>
          </cell>
          <cell r="O509">
            <v>6134816</v>
          </cell>
          <cell r="P509"/>
          <cell r="Q509"/>
          <cell r="R509"/>
          <cell r="S509"/>
          <cell r="T509">
            <v>0</v>
          </cell>
          <cell r="U509">
            <v>0.69</v>
          </cell>
          <cell r="V509">
            <v>0</v>
          </cell>
          <cell r="W509">
            <v>6134815.3099999996</v>
          </cell>
          <cell r="X509">
            <v>10.08</v>
          </cell>
          <cell r="Y509">
            <v>0</v>
          </cell>
          <cell r="Z509">
            <v>0</v>
          </cell>
          <cell r="AA509">
            <v>10.08</v>
          </cell>
          <cell r="AB509"/>
          <cell r="AC509"/>
          <cell r="AD509"/>
          <cell r="AE509"/>
          <cell r="AF509" t="str">
            <v>UnRegistered</v>
          </cell>
        </row>
        <row r="510">
          <cell r="B510" t="str">
            <v>R5 K 220</v>
          </cell>
          <cell r="C510" t="str">
            <v>R5</v>
          </cell>
          <cell r="D510" t="str">
            <v>M3M Capital Walk in M3M Capital Phase-2</v>
          </cell>
          <cell r="E510" t="str">
            <v>cwBOOKING/00380/22-23</v>
          </cell>
          <cell r="F510" t="str">
            <v>Mr. GOBIND LAL VERMA</v>
          </cell>
          <cell r="G510" t="str">
            <v>cwFLAP/00420/22-23</v>
          </cell>
          <cell r="H510" t="str">
            <v>On Application of OC</v>
          </cell>
          <cell r="I510">
            <v>0</v>
          </cell>
          <cell r="J510">
            <v>45099</v>
          </cell>
          <cell r="K510">
            <v>46144</v>
          </cell>
          <cell r="L510">
            <v>46164</v>
          </cell>
          <cell r="M510">
            <v>4578438</v>
          </cell>
          <cell r="N510">
            <v>549412</v>
          </cell>
          <cell r="O510">
            <v>5127850</v>
          </cell>
          <cell r="P510"/>
          <cell r="Q510"/>
          <cell r="R510"/>
          <cell r="S510"/>
          <cell r="T510">
            <v>0</v>
          </cell>
          <cell r="U510">
            <v>0.51</v>
          </cell>
          <cell r="V510">
            <v>0</v>
          </cell>
          <cell r="W510">
            <v>5127849.49</v>
          </cell>
          <cell r="X510">
            <v>14017.12</v>
          </cell>
          <cell r="Y510">
            <v>0</v>
          </cell>
          <cell r="Z510">
            <v>0</v>
          </cell>
          <cell r="AA510">
            <v>14017.12</v>
          </cell>
          <cell r="AB510"/>
          <cell r="AC510"/>
          <cell r="AD510"/>
          <cell r="AE510"/>
          <cell r="AF510" t="str">
            <v>UnRegistered</v>
          </cell>
        </row>
        <row r="511">
          <cell r="B511" t="str">
            <v>R1 LG 27</v>
          </cell>
          <cell r="C511" t="str">
            <v>R1</v>
          </cell>
          <cell r="D511" t="str">
            <v>M3M Capital Walk in M3M Capital Phase-2</v>
          </cell>
          <cell r="E511" t="str">
            <v>cwBOOKING/00381/22-23</v>
          </cell>
          <cell r="F511" t="str">
            <v>Mr. AMANDEEP SINGH</v>
          </cell>
          <cell r="G511" t="str">
            <v>cwFLAP/00354/22-23</v>
          </cell>
          <cell r="H511" t="str">
            <v>On Application of OC</v>
          </cell>
          <cell r="I511">
            <v>0</v>
          </cell>
          <cell r="J511">
            <v>45469</v>
          </cell>
          <cell r="K511">
            <v>46144</v>
          </cell>
          <cell r="L511">
            <v>46164</v>
          </cell>
          <cell r="M511">
            <v>2575012</v>
          </cell>
          <cell r="N511">
            <v>309002</v>
          </cell>
          <cell r="O511">
            <v>2884014</v>
          </cell>
          <cell r="P511">
            <v>401595.63312000001</v>
          </cell>
          <cell r="Q511"/>
          <cell r="R511"/>
          <cell r="S511">
            <v>48191.475974399997</v>
          </cell>
          <cell r="T511">
            <v>449787.10909440002</v>
          </cell>
          <cell r="U511">
            <v>0</v>
          </cell>
          <cell r="V511">
            <v>1</v>
          </cell>
          <cell r="W511">
            <v>2434227.8909056</v>
          </cell>
          <cell r="X511">
            <v>15661</v>
          </cell>
          <cell r="Y511">
            <v>15661</v>
          </cell>
          <cell r="Z511">
            <v>0</v>
          </cell>
          <cell r="AA511">
            <v>0</v>
          </cell>
          <cell r="AB511" t="str">
            <v>Not Executed</v>
          </cell>
          <cell r="AC511" t="str">
            <v>No as CL is not Executed</v>
          </cell>
          <cell r="AD511">
            <v>7.1814609709524094E-2</v>
          </cell>
          <cell r="AE511" t="str">
            <v>Less than 35%</v>
          </cell>
          <cell r="AF511" t="str">
            <v>UnRegistered</v>
          </cell>
        </row>
        <row r="512">
          <cell r="B512" t="str">
            <v>R5 141</v>
          </cell>
          <cell r="C512" t="str">
            <v>R5</v>
          </cell>
          <cell r="D512" t="str">
            <v>M3M Capital Walk in M3M Capital Phase-2</v>
          </cell>
          <cell r="E512" t="str">
            <v>cwBOOKING/00382/22-23</v>
          </cell>
          <cell r="F512" t="str">
            <v>Ms. POONAM SAWHNEY</v>
          </cell>
          <cell r="G512" t="str">
            <v>cwFLAP/00409/22-23</v>
          </cell>
          <cell r="H512" t="str">
            <v>On Application of OC</v>
          </cell>
          <cell r="I512">
            <v>0</v>
          </cell>
          <cell r="J512">
            <v>45043</v>
          </cell>
          <cell r="K512">
            <v>46144</v>
          </cell>
          <cell r="L512">
            <v>46164</v>
          </cell>
          <cell r="M512">
            <v>2680109</v>
          </cell>
          <cell r="N512">
            <v>321614</v>
          </cell>
          <cell r="O512">
            <v>3001723</v>
          </cell>
          <cell r="P512"/>
          <cell r="Q512"/>
          <cell r="R512"/>
          <cell r="S512"/>
          <cell r="T512">
            <v>0</v>
          </cell>
          <cell r="U512">
            <v>0</v>
          </cell>
          <cell r="V512">
            <v>2</v>
          </cell>
          <cell r="W512">
            <v>3001725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/>
          <cell r="AC512"/>
          <cell r="AD512"/>
          <cell r="AE512"/>
          <cell r="AF512" t="str">
            <v>UnRegistered</v>
          </cell>
        </row>
        <row r="513">
          <cell r="B513" t="str">
            <v>R5 UG 38</v>
          </cell>
          <cell r="C513" t="str">
            <v>R5</v>
          </cell>
          <cell r="D513" t="str">
            <v>M3M Capital Walk in M3M Capital Phase-2</v>
          </cell>
          <cell r="E513" t="str">
            <v>cwBOOKING/00383/22-23</v>
          </cell>
          <cell r="F513" t="str">
            <v>Ms. SUSHILA DEVI</v>
          </cell>
          <cell r="G513" t="str">
            <v>cwFLAP/00284/22-23</v>
          </cell>
          <cell r="H513" t="str">
            <v>On Application of OC</v>
          </cell>
          <cell r="I513">
            <v>0</v>
          </cell>
          <cell r="J513">
            <v>45096</v>
          </cell>
          <cell r="K513">
            <v>46144</v>
          </cell>
          <cell r="L513">
            <v>46164</v>
          </cell>
          <cell r="M513">
            <v>3190928</v>
          </cell>
          <cell r="N513">
            <v>382912</v>
          </cell>
          <cell r="O513">
            <v>3573840</v>
          </cell>
          <cell r="P513"/>
          <cell r="Q513"/>
          <cell r="R513"/>
          <cell r="S513"/>
          <cell r="T513">
            <v>0</v>
          </cell>
          <cell r="U513">
            <v>0</v>
          </cell>
          <cell r="V513">
            <v>1</v>
          </cell>
          <cell r="W513">
            <v>3573841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/>
          <cell r="AC513"/>
          <cell r="AD513"/>
          <cell r="AE513"/>
          <cell r="AF513" t="str">
            <v>UnRegistered</v>
          </cell>
        </row>
        <row r="514">
          <cell r="B514" t="str">
            <v>R1 G 08</v>
          </cell>
          <cell r="C514" t="str">
            <v>R1</v>
          </cell>
          <cell r="D514" t="str">
            <v>M3M Capital Walk in M3M Capital Phase-2</v>
          </cell>
          <cell r="E514" t="str">
            <v>cwBOOKING/00384/22-23</v>
          </cell>
          <cell r="F514" t="str">
            <v>Mr. SANJEEV KUMAR WADHWA</v>
          </cell>
          <cell r="G514" t="str">
            <v>cwFLAP/00584/22-23</v>
          </cell>
          <cell r="H514" t="str">
            <v>On Application of OC</v>
          </cell>
          <cell r="I514">
            <v>0</v>
          </cell>
          <cell r="J514">
            <v>45001</v>
          </cell>
          <cell r="K514">
            <v>46144</v>
          </cell>
          <cell r="L514">
            <v>46164</v>
          </cell>
          <cell r="M514">
            <v>3904836</v>
          </cell>
          <cell r="N514">
            <v>468580</v>
          </cell>
          <cell r="O514">
            <v>4373416</v>
          </cell>
          <cell r="P514"/>
          <cell r="Q514"/>
          <cell r="R514"/>
          <cell r="S514"/>
          <cell r="T514">
            <v>0</v>
          </cell>
          <cell r="U514">
            <v>3.08</v>
          </cell>
          <cell r="V514">
            <v>0</v>
          </cell>
          <cell r="W514">
            <v>4373412.92</v>
          </cell>
          <cell r="X514">
            <v>34092.199999999997</v>
          </cell>
          <cell r="Y514">
            <v>0</v>
          </cell>
          <cell r="Z514">
            <v>0</v>
          </cell>
          <cell r="AA514">
            <v>34092.199999999997</v>
          </cell>
          <cell r="AB514"/>
          <cell r="AC514"/>
          <cell r="AD514"/>
          <cell r="AE514"/>
          <cell r="AF514" t="str">
            <v>UnRegistered</v>
          </cell>
        </row>
        <row r="515">
          <cell r="B515" t="str">
            <v>R4 LG 04</v>
          </cell>
          <cell r="C515" t="str">
            <v>R4</v>
          </cell>
          <cell r="D515" t="str">
            <v>M3M Capital Walk in M3M Capital Phase-2</v>
          </cell>
          <cell r="E515" t="str">
            <v>cwBOOKING/00385/22-23</v>
          </cell>
          <cell r="F515" t="str">
            <v>Mr. MADHURI VAISHYA</v>
          </cell>
          <cell r="G515" t="str">
            <v>cwFLAP/00159/22-23</v>
          </cell>
          <cell r="H515" t="str">
            <v>On Application of OC</v>
          </cell>
          <cell r="I515">
            <v>0</v>
          </cell>
          <cell r="J515">
            <v>44986</v>
          </cell>
          <cell r="K515">
            <v>46144</v>
          </cell>
          <cell r="L515">
            <v>46164</v>
          </cell>
          <cell r="M515">
            <v>9406670</v>
          </cell>
          <cell r="N515">
            <v>1128800</v>
          </cell>
          <cell r="O515">
            <v>10535470</v>
          </cell>
          <cell r="P515">
            <v>4257142.5021100007</v>
          </cell>
          <cell r="Q515"/>
          <cell r="R515"/>
          <cell r="S515">
            <v>510857.10025320004</v>
          </cell>
          <cell r="T515">
            <v>4767999.6023632009</v>
          </cell>
          <cell r="U515">
            <v>0</v>
          </cell>
          <cell r="V515">
            <v>0</v>
          </cell>
          <cell r="W515">
            <v>5767470.3976367991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 t="str">
            <v>Executed</v>
          </cell>
          <cell r="AC515" t="str">
            <v>Yes</v>
          </cell>
          <cell r="AD515">
            <v>0.36122823689567951</v>
          </cell>
          <cell r="AE515" t="str">
            <v>Above 35%</v>
          </cell>
          <cell r="AF515" t="str">
            <v>UnRegistered</v>
          </cell>
        </row>
        <row r="516">
          <cell r="B516" t="str">
            <v>R6 108</v>
          </cell>
          <cell r="C516" t="str">
            <v>R6</v>
          </cell>
          <cell r="D516" t="str">
            <v>M3M Capital Walk in M3M Capital Phase-2</v>
          </cell>
          <cell r="E516" t="str">
            <v>cwBOOKING/00386/22-23</v>
          </cell>
          <cell r="F516" t="str">
            <v>Ms. KAMLESH</v>
          </cell>
          <cell r="G516" t="str">
            <v>cwFLAP/00299/22-23</v>
          </cell>
          <cell r="H516" t="str">
            <v>On Application of OC</v>
          </cell>
          <cell r="I516">
            <v>0</v>
          </cell>
          <cell r="J516">
            <v>44986</v>
          </cell>
          <cell r="K516">
            <v>46144</v>
          </cell>
          <cell r="L516">
            <v>46164</v>
          </cell>
          <cell r="M516">
            <v>3054928</v>
          </cell>
          <cell r="N516">
            <v>366592</v>
          </cell>
          <cell r="O516">
            <v>3421520</v>
          </cell>
          <cell r="P516"/>
          <cell r="Q516"/>
          <cell r="R516"/>
          <cell r="S516">
            <v>0</v>
          </cell>
          <cell r="T516">
            <v>0</v>
          </cell>
          <cell r="U516">
            <v>0</v>
          </cell>
          <cell r="V516">
            <v>1</v>
          </cell>
          <cell r="W516">
            <v>3421521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/>
          <cell r="AC516"/>
          <cell r="AD516">
            <v>0</v>
          </cell>
          <cell r="AE516" t="str">
            <v>Less than 35%</v>
          </cell>
          <cell r="AF516" t="str">
            <v>UnRegistered</v>
          </cell>
        </row>
        <row r="517">
          <cell r="B517" t="str">
            <v>R6 109</v>
          </cell>
          <cell r="C517" t="str">
            <v>R6</v>
          </cell>
          <cell r="D517" t="str">
            <v>M3M Capital Walk in M3M Capital Phase-2</v>
          </cell>
          <cell r="E517" t="str">
            <v>cwBOOKING/00387/22-23</v>
          </cell>
          <cell r="F517" t="str">
            <v>Ms. NEELAM RANI</v>
          </cell>
          <cell r="G517" t="str">
            <v>cwFLAP/00298/22-23</v>
          </cell>
          <cell r="H517" t="str">
            <v>On Application of OC</v>
          </cell>
          <cell r="I517">
            <v>0</v>
          </cell>
          <cell r="J517">
            <v>44986</v>
          </cell>
          <cell r="K517">
            <v>46144</v>
          </cell>
          <cell r="L517">
            <v>46164</v>
          </cell>
          <cell r="M517">
            <v>3054928</v>
          </cell>
          <cell r="N517">
            <v>366592</v>
          </cell>
          <cell r="O517">
            <v>3421520</v>
          </cell>
          <cell r="P517"/>
          <cell r="Q517"/>
          <cell r="R517"/>
          <cell r="S517">
            <v>0</v>
          </cell>
          <cell r="T517">
            <v>0</v>
          </cell>
          <cell r="U517">
            <v>0</v>
          </cell>
          <cell r="V517">
            <v>1</v>
          </cell>
          <cell r="W517">
            <v>3421521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/>
          <cell r="AC517"/>
          <cell r="AD517">
            <v>0</v>
          </cell>
          <cell r="AE517" t="str">
            <v>Less than 35%</v>
          </cell>
          <cell r="AF517" t="str">
            <v>UnRegistered</v>
          </cell>
        </row>
        <row r="518">
          <cell r="B518" t="str">
            <v>R6 224</v>
          </cell>
          <cell r="C518" t="str">
            <v>R6</v>
          </cell>
          <cell r="D518" t="str">
            <v>M3M Capital Walk in M3M Capital Phase-2</v>
          </cell>
          <cell r="E518" t="str">
            <v>cwBOOKING/00388/22-23</v>
          </cell>
          <cell r="F518" t="str">
            <v>Ms. EKTA KATARIA</v>
          </cell>
          <cell r="G518" t="str">
            <v>cwFLAP/00593/22-23</v>
          </cell>
          <cell r="H518" t="str">
            <v>On Application of OC</v>
          </cell>
          <cell r="I518">
            <v>0</v>
          </cell>
          <cell r="J518">
            <v>45091</v>
          </cell>
          <cell r="K518">
            <v>46144</v>
          </cell>
          <cell r="L518">
            <v>46164</v>
          </cell>
          <cell r="M518">
            <v>2688299</v>
          </cell>
          <cell r="N518">
            <v>322596</v>
          </cell>
          <cell r="O518">
            <v>3010895</v>
          </cell>
          <cell r="P518">
            <v>1276963.0421333332</v>
          </cell>
          <cell r="Q518">
            <v>976512</v>
          </cell>
          <cell r="R518"/>
          <cell r="S518">
            <v>270417.00505599997</v>
          </cell>
          <cell r="T518">
            <v>2523892.047189333</v>
          </cell>
          <cell r="U518">
            <v>100000</v>
          </cell>
          <cell r="V518">
            <v>0</v>
          </cell>
          <cell r="W518">
            <v>387002.95281066699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 t="str">
            <v>Executed</v>
          </cell>
          <cell r="AC518" t="str">
            <v>Yes</v>
          </cell>
          <cell r="AD518">
            <v>0.61205767536889522</v>
          </cell>
          <cell r="AE518" t="str">
            <v>Above 35%</v>
          </cell>
          <cell r="AF518" t="str">
            <v>UnRegistered</v>
          </cell>
        </row>
        <row r="519">
          <cell r="B519" t="str">
            <v>R4 K 303</v>
          </cell>
          <cell r="C519" t="str">
            <v>R4</v>
          </cell>
          <cell r="D519" t="str">
            <v>M3M Capital Walk in M3M Capital Phase-2</v>
          </cell>
          <cell r="E519" t="str">
            <v>cwBOOKING/00389/22-23</v>
          </cell>
          <cell r="F519" t="str">
            <v>Ms. RUKMANI CHOUDHARY</v>
          </cell>
          <cell r="G519" t="str">
            <v>cwFLAP/00373/22-23</v>
          </cell>
          <cell r="H519" t="str">
            <v>On Application of OC</v>
          </cell>
          <cell r="I519">
            <v>0</v>
          </cell>
          <cell r="J519">
            <v>45100</v>
          </cell>
          <cell r="K519">
            <v>46144</v>
          </cell>
          <cell r="L519">
            <v>46164</v>
          </cell>
          <cell r="M519">
            <v>5192638</v>
          </cell>
          <cell r="N519">
            <v>623116</v>
          </cell>
          <cell r="O519">
            <v>5815754</v>
          </cell>
          <cell r="P519">
            <v>2070296.2397700001</v>
          </cell>
          <cell r="Q519">
            <v>2050783.9200000002</v>
          </cell>
          <cell r="R519"/>
          <cell r="S519">
            <v>494529.61917240004</v>
          </cell>
          <cell r="T519">
            <v>4615609.7789424006</v>
          </cell>
          <cell r="U519">
            <v>0</v>
          </cell>
          <cell r="V519">
            <v>0</v>
          </cell>
          <cell r="W519">
            <v>1200144.2210575994</v>
          </cell>
          <cell r="X519">
            <v>394</v>
          </cell>
          <cell r="Y519">
            <v>0</v>
          </cell>
          <cell r="Z519">
            <v>0</v>
          </cell>
          <cell r="AA519">
            <v>394</v>
          </cell>
          <cell r="AB519" t="str">
            <v>Executed</v>
          </cell>
          <cell r="AC519" t="str">
            <v>Yes</v>
          </cell>
          <cell r="AD519">
            <v>0.36388738207190685</v>
          </cell>
          <cell r="AE519" t="str">
            <v>Above 35%</v>
          </cell>
          <cell r="AF519" t="str">
            <v>UnRegistered</v>
          </cell>
        </row>
        <row r="520">
          <cell r="B520" t="str">
            <v>R1 228</v>
          </cell>
          <cell r="C520" t="str">
            <v>R1</v>
          </cell>
          <cell r="D520" t="str">
            <v>M3M Capital Walk in M3M Capital Phase-2</v>
          </cell>
          <cell r="E520" t="str">
            <v>cwBOOKING/00390/22-23</v>
          </cell>
          <cell r="F520" t="str">
            <v>Ms. SUMAN SHARMA</v>
          </cell>
          <cell r="G520" t="str">
            <v>cwFLAP/00383/22-23</v>
          </cell>
          <cell r="H520" t="str">
            <v>On Application of OC</v>
          </cell>
          <cell r="I520">
            <v>0</v>
          </cell>
          <cell r="J520">
            <v>45079</v>
          </cell>
          <cell r="K520">
            <v>46144</v>
          </cell>
          <cell r="L520">
            <v>46164</v>
          </cell>
          <cell r="M520">
            <v>2547262</v>
          </cell>
          <cell r="N520">
            <v>305672</v>
          </cell>
          <cell r="O520">
            <v>2852934</v>
          </cell>
          <cell r="P520"/>
          <cell r="Q520"/>
          <cell r="R520"/>
          <cell r="S520"/>
          <cell r="T520">
            <v>0</v>
          </cell>
          <cell r="U520">
            <v>0</v>
          </cell>
          <cell r="V520">
            <v>1</v>
          </cell>
          <cell r="W520">
            <v>2852935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/>
          <cell r="AC520"/>
          <cell r="AD520"/>
          <cell r="AE520"/>
          <cell r="AF520" t="str">
            <v>UnRegistered</v>
          </cell>
        </row>
        <row r="521">
          <cell r="B521" t="str">
            <v>R1 118</v>
          </cell>
          <cell r="C521" t="str">
            <v>R1</v>
          </cell>
          <cell r="D521" t="str">
            <v>M3M Capital Walk in M3M Capital Phase-2</v>
          </cell>
          <cell r="E521" t="str">
            <v>cwBOOKING/00391/22-23</v>
          </cell>
          <cell r="F521" t="str">
            <v>Ms. SUSHMA SHARMA</v>
          </cell>
          <cell r="G521" t="str">
            <v>cwFLAP/00478/22-23</v>
          </cell>
          <cell r="H521" t="str">
            <v>On Application of OC</v>
          </cell>
          <cell r="I521">
            <v>0</v>
          </cell>
          <cell r="J521">
            <v>45047</v>
          </cell>
          <cell r="K521">
            <v>46144</v>
          </cell>
          <cell r="L521">
            <v>46164</v>
          </cell>
          <cell r="M521">
            <v>4197841</v>
          </cell>
          <cell r="N521">
            <v>503740</v>
          </cell>
          <cell r="O521">
            <v>4701581</v>
          </cell>
          <cell r="P521"/>
          <cell r="Q521"/>
          <cell r="R521"/>
          <cell r="S521"/>
          <cell r="T521">
            <v>0</v>
          </cell>
          <cell r="U521">
            <v>1</v>
          </cell>
          <cell r="V521">
            <v>0</v>
          </cell>
          <cell r="W521">
            <v>4701580</v>
          </cell>
          <cell r="X521">
            <v>2205</v>
          </cell>
          <cell r="Y521">
            <v>0</v>
          </cell>
          <cell r="Z521">
            <v>0</v>
          </cell>
          <cell r="AA521">
            <v>2205</v>
          </cell>
          <cell r="AB521"/>
          <cell r="AC521"/>
          <cell r="AD521"/>
          <cell r="AE521"/>
          <cell r="AF521" t="str">
            <v>UnRegistered</v>
          </cell>
        </row>
        <row r="522">
          <cell r="B522" t="str">
            <v>R1 223</v>
          </cell>
          <cell r="C522" t="str">
            <v>R1</v>
          </cell>
          <cell r="D522" t="str">
            <v>M3M Capital Walk in M3M Capital Phase-2</v>
          </cell>
          <cell r="E522" t="str">
            <v>cwBOOKING/00392/22-23</v>
          </cell>
          <cell r="F522" t="str">
            <v>Ms. ANITA OJHA</v>
          </cell>
          <cell r="G522" t="str">
            <v>cwFLAP/00319/22-23</v>
          </cell>
          <cell r="H522" t="str">
            <v>On Application of OC</v>
          </cell>
          <cell r="I522">
            <v>0</v>
          </cell>
          <cell r="J522">
            <v>45076</v>
          </cell>
          <cell r="K522">
            <v>46144</v>
          </cell>
          <cell r="L522">
            <v>46164</v>
          </cell>
          <cell r="M522">
            <v>3648042</v>
          </cell>
          <cell r="N522">
            <v>437766</v>
          </cell>
          <cell r="O522">
            <v>4085808</v>
          </cell>
          <cell r="P522"/>
          <cell r="Q522"/>
          <cell r="R522"/>
          <cell r="S522"/>
          <cell r="T522">
            <v>0</v>
          </cell>
          <cell r="U522">
            <v>0</v>
          </cell>
          <cell r="V522">
            <v>0</v>
          </cell>
          <cell r="W522">
            <v>4085808</v>
          </cell>
          <cell r="X522">
            <v>155</v>
          </cell>
          <cell r="Y522">
            <v>0</v>
          </cell>
          <cell r="Z522">
            <v>0</v>
          </cell>
          <cell r="AA522">
            <v>155</v>
          </cell>
          <cell r="AB522"/>
          <cell r="AC522"/>
          <cell r="AD522"/>
          <cell r="AE522"/>
          <cell r="AF522" t="str">
            <v>UnRegistered</v>
          </cell>
        </row>
        <row r="523">
          <cell r="B523" t="str">
            <v>R5 UG 33</v>
          </cell>
          <cell r="C523" t="str">
            <v>R5</v>
          </cell>
          <cell r="D523" t="str">
            <v>M3M Capital Walk in M3M Capital Phase-2</v>
          </cell>
          <cell r="E523" t="str">
            <v>cwBOOKING/00393/22-23</v>
          </cell>
          <cell r="F523" t="str">
            <v>Ms. TAKAM MONI</v>
          </cell>
          <cell r="G523" t="str">
            <v>cwFLAP/00462/22-23</v>
          </cell>
          <cell r="H523" t="str">
            <v>On Application of OC</v>
          </cell>
          <cell r="I523">
            <v>0</v>
          </cell>
          <cell r="J523">
            <v>45063</v>
          </cell>
          <cell r="K523">
            <v>46144</v>
          </cell>
          <cell r="L523">
            <v>46164</v>
          </cell>
          <cell r="M523">
            <v>3871602</v>
          </cell>
          <cell r="N523">
            <v>464592</v>
          </cell>
          <cell r="O523">
            <v>4336194</v>
          </cell>
          <cell r="P523"/>
          <cell r="Q523"/>
          <cell r="R523"/>
          <cell r="S523"/>
          <cell r="T523">
            <v>0</v>
          </cell>
          <cell r="U523">
            <v>128326</v>
          </cell>
          <cell r="V523">
            <v>0</v>
          </cell>
          <cell r="W523">
            <v>4207868</v>
          </cell>
          <cell r="X523">
            <v>2228</v>
          </cell>
          <cell r="Y523">
            <v>0</v>
          </cell>
          <cell r="Z523">
            <v>0</v>
          </cell>
          <cell r="AA523">
            <v>2228</v>
          </cell>
          <cell r="AB523"/>
          <cell r="AC523"/>
          <cell r="AD523"/>
          <cell r="AE523"/>
          <cell r="AF523" t="str">
            <v>UnRegistered</v>
          </cell>
        </row>
        <row r="524">
          <cell r="B524" t="str">
            <v>R5 K 204</v>
          </cell>
          <cell r="C524" t="str">
            <v>R5</v>
          </cell>
          <cell r="D524" t="str">
            <v>M3M Capital Walk in M3M Capital Phase-2</v>
          </cell>
          <cell r="E524" t="str">
            <v>cwBOOKING/00394/22-23</v>
          </cell>
          <cell r="F524" t="str">
            <v>Ms. SANTOSH</v>
          </cell>
          <cell r="G524" t="str">
            <v>cwFLAP/00228/22-23</v>
          </cell>
          <cell r="H524" t="str">
            <v>On Application of OC</v>
          </cell>
          <cell r="I524">
            <v>0</v>
          </cell>
          <cell r="J524">
            <v>45330</v>
          </cell>
          <cell r="K524">
            <v>46144</v>
          </cell>
          <cell r="L524">
            <v>46164</v>
          </cell>
          <cell r="M524">
            <v>3535350</v>
          </cell>
          <cell r="N524">
            <v>424242</v>
          </cell>
          <cell r="O524">
            <v>3959592</v>
          </cell>
          <cell r="P524"/>
          <cell r="Q524">
            <v>398125</v>
          </cell>
          <cell r="R524"/>
          <cell r="S524">
            <v>47775</v>
          </cell>
          <cell r="T524">
            <v>445900</v>
          </cell>
          <cell r="U524">
            <v>0</v>
          </cell>
          <cell r="V524">
            <v>0</v>
          </cell>
          <cell r="W524">
            <v>3513692</v>
          </cell>
          <cell r="X524">
            <v>1949</v>
          </cell>
          <cell r="Y524">
            <v>0</v>
          </cell>
          <cell r="Z524">
            <v>0</v>
          </cell>
          <cell r="AA524">
            <v>1949</v>
          </cell>
          <cell r="AB524" t="str">
            <v>Executed</v>
          </cell>
          <cell r="AC524" t="str">
            <v>Yes</v>
          </cell>
          <cell r="AD524">
            <v>8.0645132119478505E-2</v>
          </cell>
          <cell r="AE524" t="str">
            <v>Less than 35%</v>
          </cell>
          <cell r="AF524" t="str">
            <v>UnRegistered</v>
          </cell>
        </row>
        <row r="525">
          <cell r="B525" t="str">
            <v>R5 158</v>
          </cell>
          <cell r="C525" t="str">
            <v>R5</v>
          </cell>
          <cell r="D525" t="str">
            <v>M3M Capital Walk in M3M Capital Phase-2</v>
          </cell>
          <cell r="E525" t="str">
            <v>cwBOOKING/00395/22-23</v>
          </cell>
          <cell r="F525" t="str">
            <v>Mr. VED PARKASH</v>
          </cell>
          <cell r="G525" t="str">
            <v>cwFLAP/00497/22-23</v>
          </cell>
          <cell r="H525" t="str">
            <v>On Application of OC</v>
          </cell>
          <cell r="I525">
            <v>0</v>
          </cell>
          <cell r="J525">
            <v>45155</v>
          </cell>
          <cell r="K525">
            <v>46144</v>
          </cell>
          <cell r="L525">
            <v>46164</v>
          </cell>
          <cell r="M525">
            <v>2655174</v>
          </cell>
          <cell r="N525">
            <v>318620</v>
          </cell>
          <cell r="O525">
            <v>2973794</v>
          </cell>
          <cell r="P525">
            <v>477668.49650000001</v>
          </cell>
          <cell r="Q525"/>
          <cell r="R525"/>
          <cell r="S525">
            <v>57320.219579999997</v>
          </cell>
          <cell r="T525">
            <v>534988.71608000004</v>
          </cell>
          <cell r="U525">
            <v>0</v>
          </cell>
          <cell r="V525">
            <v>1</v>
          </cell>
          <cell r="W525">
            <v>2438806.2839199998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 t="str">
            <v>Executed</v>
          </cell>
          <cell r="AC525" t="str">
            <v>Yes</v>
          </cell>
          <cell r="AD525">
            <v>7.8870293530465069E-2</v>
          </cell>
          <cell r="AE525" t="str">
            <v>Less than 35%</v>
          </cell>
          <cell r="AF525" t="str">
            <v>UnRegistered</v>
          </cell>
        </row>
        <row r="526">
          <cell r="B526" t="str">
            <v>R6 LG 07</v>
          </cell>
          <cell r="C526" t="str">
            <v>R6</v>
          </cell>
          <cell r="D526" t="str">
            <v>M3M Capital Walk in M3M Capital Phase-2</v>
          </cell>
          <cell r="E526" t="str">
            <v>cwBOOKING/00399/22-23</v>
          </cell>
          <cell r="F526" t="str">
            <v>Ms. Swati Tanwar</v>
          </cell>
          <cell r="G526" t="str">
            <v>cwFLAP/00330/22-23</v>
          </cell>
          <cell r="H526" t="str">
            <v>On Application of OC</v>
          </cell>
          <cell r="I526">
            <v>0</v>
          </cell>
          <cell r="J526">
            <v>45105</v>
          </cell>
          <cell r="K526">
            <v>46144</v>
          </cell>
          <cell r="L526">
            <v>46164</v>
          </cell>
          <cell r="M526">
            <v>9230614</v>
          </cell>
          <cell r="N526">
            <v>1107674</v>
          </cell>
          <cell r="O526">
            <v>10338288</v>
          </cell>
          <cell r="P526"/>
          <cell r="Q526"/>
          <cell r="R526"/>
          <cell r="S526"/>
          <cell r="T526">
            <v>0</v>
          </cell>
          <cell r="U526">
            <v>4</v>
          </cell>
          <cell r="V526">
            <v>0</v>
          </cell>
          <cell r="W526">
            <v>10338284</v>
          </cell>
          <cell r="X526">
            <v>12.12</v>
          </cell>
          <cell r="Y526">
            <v>0</v>
          </cell>
          <cell r="Z526">
            <v>0</v>
          </cell>
          <cell r="AA526">
            <v>12.12</v>
          </cell>
          <cell r="AB526"/>
          <cell r="AC526"/>
          <cell r="AD526"/>
          <cell r="AE526"/>
          <cell r="AF526" t="str">
            <v>UnRegistered</v>
          </cell>
        </row>
        <row r="527">
          <cell r="B527" t="str">
            <v>R1 246</v>
          </cell>
          <cell r="C527" t="str">
            <v>R1</v>
          </cell>
          <cell r="D527" t="str">
            <v>M3M Capital Walk in M3M Capital Phase-2</v>
          </cell>
          <cell r="E527" t="str">
            <v>cwBOOKING/00400/22-23</v>
          </cell>
          <cell r="F527" t="str">
            <v>Mr. Rajiv Kumar</v>
          </cell>
          <cell r="G527" t="str">
            <v>cwFLAP/00464/22-23</v>
          </cell>
          <cell r="H527" t="str">
            <v>On Application of OC</v>
          </cell>
          <cell r="I527">
            <v>0</v>
          </cell>
          <cell r="J527">
            <v>45035</v>
          </cell>
          <cell r="K527">
            <v>46144</v>
          </cell>
          <cell r="L527">
            <v>46164</v>
          </cell>
          <cell r="M527">
            <v>4577951</v>
          </cell>
          <cell r="N527">
            <v>549354</v>
          </cell>
          <cell r="O527">
            <v>5127305</v>
          </cell>
          <cell r="P527"/>
          <cell r="Q527"/>
          <cell r="R527"/>
          <cell r="S527"/>
          <cell r="T527">
            <v>0</v>
          </cell>
          <cell r="U527">
            <v>2</v>
          </cell>
          <cell r="V527">
            <v>0</v>
          </cell>
          <cell r="W527">
            <v>5127303</v>
          </cell>
          <cell r="X527">
            <v>283572</v>
          </cell>
          <cell r="Y527">
            <v>283572</v>
          </cell>
          <cell r="Z527">
            <v>0</v>
          </cell>
          <cell r="AA527">
            <v>0</v>
          </cell>
          <cell r="AB527"/>
          <cell r="AC527"/>
          <cell r="AD527"/>
          <cell r="AE527"/>
          <cell r="AF527" t="str">
            <v>UnRegistered</v>
          </cell>
        </row>
        <row r="528">
          <cell r="B528" t="str">
            <v>R6 LG 23</v>
          </cell>
          <cell r="C528" t="str">
            <v>R6</v>
          </cell>
          <cell r="D528" t="str">
            <v>M3M Capital Walk in M3M Capital Phase-2</v>
          </cell>
          <cell r="E528" t="str">
            <v>cwBOOKING/00401/22-23</v>
          </cell>
          <cell r="F528" t="str">
            <v>Mr. GOVIND RAVISHANKAR SHARMA</v>
          </cell>
          <cell r="G528" t="str">
            <v>cwFLAP/00667/22-23</v>
          </cell>
          <cell r="H528" t="str">
            <v>On Application of OC</v>
          </cell>
          <cell r="I528">
            <v>0</v>
          </cell>
          <cell r="J528">
            <v>45288</v>
          </cell>
          <cell r="K528">
            <v>46144</v>
          </cell>
          <cell r="L528">
            <v>46164</v>
          </cell>
          <cell r="M528">
            <v>4614970</v>
          </cell>
          <cell r="N528">
            <v>553796</v>
          </cell>
          <cell r="O528">
            <v>5168766</v>
          </cell>
          <cell r="P528"/>
          <cell r="Q528"/>
          <cell r="R528"/>
          <cell r="S528"/>
          <cell r="T528">
            <v>0</v>
          </cell>
          <cell r="U528">
            <v>0.32</v>
          </cell>
          <cell r="V528">
            <v>0</v>
          </cell>
          <cell r="W528">
            <v>5168765.68</v>
          </cell>
          <cell r="X528">
            <v>2722.92</v>
          </cell>
          <cell r="Y528">
            <v>0</v>
          </cell>
          <cell r="Z528">
            <v>0</v>
          </cell>
          <cell r="AA528">
            <v>2722.92</v>
          </cell>
          <cell r="AB528"/>
          <cell r="AC528"/>
          <cell r="AD528"/>
          <cell r="AE528"/>
          <cell r="AF528" t="str">
            <v>UnRegistered</v>
          </cell>
        </row>
        <row r="529">
          <cell r="B529" t="str">
            <v>R2 LG 17</v>
          </cell>
          <cell r="C529" t="str">
            <v>R2</v>
          </cell>
          <cell r="D529" t="str">
            <v>M3M Capital Walk in M3M Capital Phase-2</v>
          </cell>
          <cell r="E529" t="str">
            <v>cwBOOKING/00403/22-23</v>
          </cell>
          <cell r="F529" t="str">
            <v>Ms. SHIPRA JHA</v>
          </cell>
          <cell r="G529" t="str">
            <v>cwFLAP/00342/22-23</v>
          </cell>
          <cell r="H529" t="str">
            <v>On Application of OC</v>
          </cell>
          <cell r="I529">
            <v>0</v>
          </cell>
          <cell r="J529">
            <v>45281</v>
          </cell>
          <cell r="K529">
            <v>46144</v>
          </cell>
          <cell r="L529">
            <v>46164</v>
          </cell>
          <cell r="M529">
            <v>3502648</v>
          </cell>
          <cell r="N529">
            <v>420318</v>
          </cell>
          <cell r="O529">
            <v>3922966</v>
          </cell>
          <cell r="P529"/>
          <cell r="Q529"/>
          <cell r="R529"/>
          <cell r="S529"/>
          <cell r="T529">
            <v>0</v>
          </cell>
          <cell r="U529">
            <v>1025000</v>
          </cell>
          <cell r="V529">
            <v>0</v>
          </cell>
          <cell r="W529">
            <v>2897966</v>
          </cell>
          <cell r="X529">
            <v>220430</v>
          </cell>
          <cell r="Y529">
            <v>0</v>
          </cell>
          <cell r="Z529">
            <v>0</v>
          </cell>
          <cell r="AA529">
            <v>220430</v>
          </cell>
          <cell r="AB529"/>
          <cell r="AC529"/>
          <cell r="AD529"/>
          <cell r="AE529"/>
          <cell r="AF529" t="str">
            <v>UnRegistered</v>
          </cell>
        </row>
        <row r="530">
          <cell r="B530" t="str">
            <v>R4 G 20</v>
          </cell>
          <cell r="C530" t="str">
            <v>R4</v>
          </cell>
          <cell r="D530" t="str">
            <v>M3M Capital Walk in M3M Capital Phase-2</v>
          </cell>
          <cell r="E530" t="str">
            <v>cwBOOKING/00405/22-23</v>
          </cell>
          <cell r="F530" t="str">
            <v>Mr. YOGESH ARORA</v>
          </cell>
          <cell r="G530" t="str">
            <v>cwFLAP/00110/22-23</v>
          </cell>
          <cell r="H530" t="str">
            <v>On Application of OC</v>
          </cell>
          <cell r="I530">
            <v>0</v>
          </cell>
          <cell r="J530">
            <v>45035</v>
          </cell>
          <cell r="K530">
            <v>46144</v>
          </cell>
          <cell r="L530">
            <v>46164</v>
          </cell>
          <cell r="M530">
            <v>27400985</v>
          </cell>
          <cell r="N530">
            <v>3288118</v>
          </cell>
          <cell r="O530">
            <v>30689103</v>
          </cell>
          <cell r="P530">
            <v>15124853.289333332</v>
          </cell>
          <cell r="Q530"/>
          <cell r="R530"/>
          <cell r="S530">
            <v>1814982.3947199997</v>
          </cell>
          <cell r="T530">
            <v>16939835.684053332</v>
          </cell>
          <cell r="U530">
            <v>264.16000000000003</v>
          </cell>
          <cell r="V530">
            <v>0</v>
          </cell>
          <cell r="W530">
            <v>13749003.155946668</v>
          </cell>
          <cell r="X530">
            <v>1735.84</v>
          </cell>
          <cell r="Y530">
            <v>0</v>
          </cell>
          <cell r="Z530">
            <v>1735.84</v>
          </cell>
          <cell r="AA530">
            <v>0</v>
          </cell>
          <cell r="AB530" t="str">
            <v>Executed</v>
          </cell>
          <cell r="AC530" t="str">
            <v>Yes</v>
          </cell>
          <cell r="AD530">
            <v>0.38597223142220233</v>
          </cell>
          <cell r="AE530" t="str">
            <v>Above 35%</v>
          </cell>
          <cell r="AF530" t="str">
            <v>UnRegistered</v>
          </cell>
        </row>
        <row r="531">
          <cell r="B531" t="str">
            <v>R4 G 04</v>
          </cell>
          <cell r="C531" t="str">
            <v>R4</v>
          </cell>
          <cell r="D531" t="str">
            <v>M3M Capital Walk in M3M Capital Phase-2</v>
          </cell>
          <cell r="E531" t="str">
            <v>cwBOOKING/00406/22-23</v>
          </cell>
          <cell r="F531" t="str">
            <v>M/S. ROCKY CYCLES PRIVATE LIMITED</v>
          </cell>
          <cell r="G531" t="str">
            <v>cwFLAP/00441/22-23</v>
          </cell>
          <cell r="H531" t="str">
            <v>On Application of OC</v>
          </cell>
          <cell r="I531">
            <v>0</v>
          </cell>
          <cell r="J531">
            <v>45110</v>
          </cell>
          <cell r="K531">
            <v>46144</v>
          </cell>
          <cell r="L531">
            <v>46164</v>
          </cell>
          <cell r="M531">
            <v>7586672</v>
          </cell>
          <cell r="N531">
            <v>910400</v>
          </cell>
          <cell r="O531">
            <v>8497072</v>
          </cell>
          <cell r="P531"/>
          <cell r="Q531"/>
          <cell r="R531"/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8497072</v>
          </cell>
          <cell r="X531">
            <v>33722</v>
          </cell>
          <cell r="Y531">
            <v>0</v>
          </cell>
          <cell r="Z531">
            <v>0</v>
          </cell>
          <cell r="AA531">
            <v>33722</v>
          </cell>
          <cell r="AB531"/>
          <cell r="AC531"/>
          <cell r="AD531">
            <v>0</v>
          </cell>
          <cell r="AE531" t="str">
            <v>Less than 35%</v>
          </cell>
          <cell r="AF531" t="str">
            <v>07AAHCR5983P1ZF</v>
          </cell>
        </row>
        <row r="532">
          <cell r="B532" t="str">
            <v>R5 131</v>
          </cell>
          <cell r="C532" t="str">
            <v>R5</v>
          </cell>
          <cell r="D532" t="str">
            <v>M3M Capital Walk in M3M Capital Phase-2</v>
          </cell>
          <cell r="E532" t="str">
            <v>cwBOOKING/00407/22-23</v>
          </cell>
          <cell r="F532" t="str">
            <v>Ms. KANCHAN KAKRAN</v>
          </cell>
          <cell r="G532" t="str">
            <v>cwFLAP/00683/22-23</v>
          </cell>
          <cell r="H532" t="str">
            <v>On Application of OC</v>
          </cell>
          <cell r="I532">
            <v>0</v>
          </cell>
          <cell r="J532">
            <v>45048</v>
          </cell>
          <cell r="K532">
            <v>46144</v>
          </cell>
          <cell r="L532">
            <v>46164</v>
          </cell>
          <cell r="M532">
            <v>4590467</v>
          </cell>
          <cell r="N532">
            <v>550856</v>
          </cell>
          <cell r="O532">
            <v>5141323</v>
          </cell>
          <cell r="P532">
            <v>119904.00000000001</v>
          </cell>
          <cell r="Q532"/>
          <cell r="R532"/>
          <cell r="S532">
            <v>14388.480000000001</v>
          </cell>
          <cell r="T532">
            <v>134292.48000000001</v>
          </cell>
          <cell r="U532">
            <v>500000.52</v>
          </cell>
          <cell r="V532">
            <v>0</v>
          </cell>
          <cell r="W532">
            <v>4507030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 t="str">
            <v>Not Executed</v>
          </cell>
          <cell r="AC532" t="str">
            <v>No as CL is not Executed</v>
          </cell>
          <cell r="AD532">
            <v>1.3118527797987977E-2</v>
          </cell>
          <cell r="AE532" t="str">
            <v>Less than 35%</v>
          </cell>
          <cell r="AF532" t="str">
            <v>UnRegistered</v>
          </cell>
        </row>
        <row r="533">
          <cell r="B533" t="str">
            <v>R4 249</v>
          </cell>
          <cell r="C533" t="str">
            <v>R4</v>
          </cell>
          <cell r="D533" t="str">
            <v>M3M Capital Walk in M3M Capital Phase-2</v>
          </cell>
          <cell r="E533" t="str">
            <v>cwBOOKING/00408/22-23</v>
          </cell>
          <cell r="F533" t="str">
            <v>Mr. KULBHUSHAN CHAUDHARY</v>
          </cell>
          <cell r="G533" t="str">
            <v>cwFLAP/00413/22-23</v>
          </cell>
          <cell r="H533" t="str">
            <v>On Application of OC</v>
          </cell>
          <cell r="I533">
            <v>0</v>
          </cell>
          <cell r="J533">
            <v>44995</v>
          </cell>
          <cell r="K533">
            <v>46144</v>
          </cell>
          <cell r="L533">
            <v>46164</v>
          </cell>
          <cell r="M533">
            <v>2824859</v>
          </cell>
          <cell r="N533">
            <v>338984</v>
          </cell>
          <cell r="O533">
            <v>3163843</v>
          </cell>
          <cell r="P533">
            <v>830316.00661333336</v>
          </cell>
          <cell r="Q533"/>
          <cell r="R533"/>
          <cell r="S533">
            <v>99637.920793600002</v>
          </cell>
          <cell r="T533">
            <v>929953.92740693339</v>
          </cell>
          <cell r="U533">
            <v>0</v>
          </cell>
          <cell r="V533">
            <v>0</v>
          </cell>
          <cell r="W533">
            <v>2233889.0725930668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 t="str">
            <v>Executed</v>
          </cell>
          <cell r="AC533" t="str">
            <v>Yes</v>
          </cell>
          <cell r="AD533">
            <v>0.11815034568399332</v>
          </cell>
          <cell r="AE533" t="str">
            <v>Less than 35%</v>
          </cell>
          <cell r="AF533" t="str">
            <v>UnRegistered</v>
          </cell>
        </row>
        <row r="534">
          <cell r="B534" t="str">
            <v>R6 UG 20</v>
          </cell>
          <cell r="C534" t="str">
            <v>R6</v>
          </cell>
          <cell r="D534" t="str">
            <v>M3M Capital Walk in M3M Capital Phase-2</v>
          </cell>
          <cell r="E534" t="str">
            <v>cwBOOKING/00409/22-23</v>
          </cell>
          <cell r="F534" t="str">
            <v>Mr. TAKDIR SINGH</v>
          </cell>
          <cell r="G534" t="str">
            <v>cwFLAP/00415/22-23</v>
          </cell>
          <cell r="H534" t="str">
            <v>On Application of OC</v>
          </cell>
          <cell r="I534">
            <v>0</v>
          </cell>
          <cell r="J534">
            <v>45135</v>
          </cell>
          <cell r="K534">
            <v>46144</v>
          </cell>
          <cell r="L534">
            <v>46164</v>
          </cell>
          <cell r="M534">
            <v>6052721</v>
          </cell>
          <cell r="N534">
            <v>726326</v>
          </cell>
          <cell r="O534">
            <v>6779047</v>
          </cell>
          <cell r="P534"/>
          <cell r="Q534"/>
          <cell r="R534"/>
          <cell r="S534"/>
          <cell r="T534">
            <v>0</v>
          </cell>
          <cell r="U534">
            <v>44</v>
          </cell>
          <cell r="V534">
            <v>0</v>
          </cell>
          <cell r="W534">
            <v>6779003</v>
          </cell>
          <cell r="X534">
            <v>866</v>
          </cell>
          <cell r="Y534">
            <v>0</v>
          </cell>
          <cell r="Z534">
            <v>0</v>
          </cell>
          <cell r="AA534">
            <v>866</v>
          </cell>
          <cell r="AB534"/>
          <cell r="AC534"/>
          <cell r="AD534"/>
          <cell r="AE534"/>
          <cell r="AF534" t="str">
            <v>UnRegistered</v>
          </cell>
        </row>
        <row r="535">
          <cell r="B535" t="str">
            <v>R5 UG 29</v>
          </cell>
          <cell r="C535" t="str">
            <v>R5</v>
          </cell>
          <cell r="D535" t="str">
            <v>M3M Capital Walk in M3M Capital Phase-2</v>
          </cell>
          <cell r="E535" t="str">
            <v>cwBOOKING/00410/22-23</v>
          </cell>
          <cell r="F535" t="str">
            <v>Ms. SUMITRA DEVI</v>
          </cell>
          <cell r="G535" t="str">
            <v>cwFLAP/00246/22-23</v>
          </cell>
          <cell r="H535" t="str">
            <v>On Application of OC</v>
          </cell>
          <cell r="I535">
            <v>0</v>
          </cell>
          <cell r="J535">
            <v>45006</v>
          </cell>
          <cell r="K535">
            <v>46144</v>
          </cell>
          <cell r="L535">
            <v>46164</v>
          </cell>
          <cell r="M535">
            <v>2332679</v>
          </cell>
          <cell r="N535">
            <v>279922</v>
          </cell>
          <cell r="O535">
            <v>2612601</v>
          </cell>
          <cell r="P535">
            <v>530698.46499999997</v>
          </cell>
          <cell r="Q535"/>
          <cell r="R535"/>
          <cell r="S535">
            <v>63683.815799999997</v>
          </cell>
          <cell r="T535">
            <v>594382.28079999995</v>
          </cell>
          <cell r="U535">
            <v>0</v>
          </cell>
          <cell r="V535">
            <v>0</v>
          </cell>
          <cell r="W535">
            <v>2018218.7192000002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 t="str">
            <v>Executed</v>
          </cell>
          <cell r="AC535" t="str">
            <v>Yes</v>
          </cell>
          <cell r="AD535">
            <v>0.10725284344894574</v>
          </cell>
          <cell r="AE535" t="str">
            <v>Less than 35%</v>
          </cell>
          <cell r="AF535" t="str">
            <v>UnRegistered</v>
          </cell>
        </row>
        <row r="536">
          <cell r="B536" t="str">
            <v>R5 UG 30</v>
          </cell>
          <cell r="C536" t="str">
            <v>R5</v>
          </cell>
          <cell r="D536" t="str">
            <v>M3M Capital Walk in M3M Capital Phase-2</v>
          </cell>
          <cell r="E536" t="str">
            <v>cwBOOKING/00412/22-23</v>
          </cell>
          <cell r="F536" t="str">
            <v>Ms. SONU KALHER</v>
          </cell>
          <cell r="G536" t="str">
            <v>cwFLAP/00241/22-23</v>
          </cell>
          <cell r="H536" t="str">
            <v>On Application of OC</v>
          </cell>
          <cell r="I536">
            <v>0</v>
          </cell>
          <cell r="J536">
            <v>45006</v>
          </cell>
          <cell r="K536">
            <v>46144</v>
          </cell>
          <cell r="L536">
            <v>46164</v>
          </cell>
          <cell r="M536">
            <v>2332679</v>
          </cell>
          <cell r="N536">
            <v>279922</v>
          </cell>
          <cell r="O536">
            <v>2612601</v>
          </cell>
          <cell r="P536">
            <v>530698.46499999997</v>
          </cell>
          <cell r="Q536"/>
          <cell r="R536"/>
          <cell r="S536">
            <v>63683.815799999997</v>
          </cell>
          <cell r="T536">
            <v>594382.28079999995</v>
          </cell>
          <cell r="U536">
            <v>0</v>
          </cell>
          <cell r="V536">
            <v>0</v>
          </cell>
          <cell r="W536">
            <v>2018218.7192000002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 t="str">
            <v>Executed</v>
          </cell>
          <cell r="AC536" t="str">
            <v>Yes</v>
          </cell>
          <cell r="AD536">
            <v>0.10725284344894574</v>
          </cell>
          <cell r="AE536" t="str">
            <v>Less than 35%</v>
          </cell>
          <cell r="AF536" t="str">
            <v>UnRegistered</v>
          </cell>
        </row>
        <row r="537">
          <cell r="B537" t="str">
            <v>R6 LG 17</v>
          </cell>
          <cell r="C537" t="str">
            <v>R6</v>
          </cell>
          <cell r="D537" t="str">
            <v>M3M Capital Walk in M3M Capital Phase-2</v>
          </cell>
          <cell r="E537" t="str">
            <v>cwBOOKING/00415/22-23</v>
          </cell>
          <cell r="F537" t="str">
            <v>Mr. NEERAJ KUMAR SINGH TOMAR</v>
          </cell>
          <cell r="G537" t="str">
            <v>cwFLAP/00452/22-23</v>
          </cell>
          <cell r="H537" t="str">
            <v>On Application of OC</v>
          </cell>
          <cell r="I537">
            <v>0</v>
          </cell>
          <cell r="J537">
            <v>45147</v>
          </cell>
          <cell r="K537">
            <v>46144</v>
          </cell>
          <cell r="L537">
            <v>46164</v>
          </cell>
          <cell r="M537">
            <v>6830430</v>
          </cell>
          <cell r="N537">
            <v>819652</v>
          </cell>
          <cell r="O537">
            <v>7650082</v>
          </cell>
          <cell r="P537"/>
          <cell r="Q537"/>
          <cell r="R537"/>
          <cell r="S537"/>
          <cell r="T537">
            <v>0</v>
          </cell>
          <cell r="U537">
            <v>0</v>
          </cell>
          <cell r="V537">
            <v>207.60000000009313</v>
          </cell>
          <cell r="W537">
            <v>7650289.5999999996</v>
          </cell>
          <cell r="X537">
            <v>81.16</v>
          </cell>
          <cell r="Y537">
            <v>0</v>
          </cell>
          <cell r="Z537">
            <v>0</v>
          </cell>
          <cell r="AA537">
            <v>81.16</v>
          </cell>
          <cell r="AB537"/>
          <cell r="AC537"/>
          <cell r="AD537"/>
          <cell r="AE537"/>
          <cell r="AF537" t="str">
            <v>UnRegistered</v>
          </cell>
        </row>
        <row r="538">
          <cell r="B538" t="str">
            <v>R6 UG 16</v>
          </cell>
          <cell r="C538" t="str">
            <v>R6</v>
          </cell>
          <cell r="D538" t="str">
            <v>M3M Capital Walk in M3M Capital Phase-2</v>
          </cell>
          <cell r="E538" t="str">
            <v>cwBOOKING/00416/22-23</v>
          </cell>
          <cell r="F538" t="str">
            <v>Mr. KARAN THUKRAL</v>
          </cell>
          <cell r="G538" t="str">
            <v>cwFLAP/00489/22-23</v>
          </cell>
          <cell r="H538" t="str">
            <v>On Application of OC</v>
          </cell>
          <cell r="I538">
            <v>0</v>
          </cell>
          <cell r="J538">
            <v>44988</v>
          </cell>
          <cell r="K538">
            <v>46144</v>
          </cell>
          <cell r="L538">
            <v>46164</v>
          </cell>
          <cell r="M538">
            <v>11667447</v>
          </cell>
          <cell r="N538">
            <v>1400094</v>
          </cell>
          <cell r="O538">
            <v>13067541</v>
          </cell>
          <cell r="P538"/>
          <cell r="Q538"/>
          <cell r="R538"/>
          <cell r="S538"/>
          <cell r="T538">
            <v>0</v>
          </cell>
          <cell r="U538">
            <v>0</v>
          </cell>
          <cell r="V538">
            <v>1</v>
          </cell>
          <cell r="W538">
            <v>13067542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/>
          <cell r="AC538"/>
          <cell r="AD538"/>
          <cell r="AE538"/>
          <cell r="AF538" t="str">
            <v>UnRegistered</v>
          </cell>
        </row>
        <row r="539">
          <cell r="B539" t="str">
            <v>R2 LG 06</v>
          </cell>
          <cell r="C539" t="str">
            <v>R2</v>
          </cell>
          <cell r="D539" t="str">
            <v>M3M Capital Walk in M3M Capital Phase-2</v>
          </cell>
          <cell r="E539" t="str">
            <v>cwBOOKING/00417/22-23</v>
          </cell>
          <cell r="F539" t="str">
            <v>Mr. SUKHBIR SINGH BUDHWAR</v>
          </cell>
          <cell r="G539" t="str">
            <v>cwFLAP/00470/22-23</v>
          </cell>
          <cell r="H539" t="str">
            <v>On Application of OC</v>
          </cell>
          <cell r="I539">
            <v>0</v>
          </cell>
          <cell r="J539">
            <v>44998</v>
          </cell>
          <cell r="K539">
            <v>46144</v>
          </cell>
          <cell r="L539">
            <v>46164</v>
          </cell>
          <cell r="M539">
            <v>5204978</v>
          </cell>
          <cell r="N539">
            <v>624598</v>
          </cell>
          <cell r="O539">
            <v>5829576</v>
          </cell>
          <cell r="P539"/>
          <cell r="Q539"/>
          <cell r="R539"/>
          <cell r="S539"/>
          <cell r="T539">
            <v>0</v>
          </cell>
          <cell r="U539">
            <v>1</v>
          </cell>
          <cell r="V539">
            <v>0</v>
          </cell>
          <cell r="W539">
            <v>5829575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/>
          <cell r="AC539"/>
          <cell r="AD539"/>
          <cell r="AE539"/>
          <cell r="AF539" t="str">
            <v>UnRegistered</v>
          </cell>
        </row>
        <row r="540">
          <cell r="B540" t="str">
            <v>R4 122</v>
          </cell>
          <cell r="C540" t="str">
            <v>R4</v>
          </cell>
          <cell r="D540" t="str">
            <v>M3M Capital Walk in M3M Capital Phase-2</v>
          </cell>
          <cell r="E540" t="str">
            <v>cwBOOKING/00419/22-23</v>
          </cell>
          <cell r="F540" t="str">
            <v>Ms. MONIKA</v>
          </cell>
          <cell r="G540" t="str">
            <v>cwFLAP/00505/22-23</v>
          </cell>
          <cell r="H540" t="str">
            <v>On Application of OC</v>
          </cell>
          <cell r="I540">
            <v>0</v>
          </cell>
          <cell r="J540">
            <v>45058</v>
          </cell>
          <cell r="K540">
            <v>46144</v>
          </cell>
          <cell r="L540">
            <v>46164</v>
          </cell>
          <cell r="M540">
            <v>12356435</v>
          </cell>
          <cell r="N540">
            <v>1482772</v>
          </cell>
          <cell r="O540">
            <v>13839207</v>
          </cell>
          <cell r="P540"/>
          <cell r="Q540"/>
          <cell r="R540"/>
          <cell r="S540"/>
          <cell r="T540">
            <v>0</v>
          </cell>
          <cell r="U540">
            <v>865</v>
          </cell>
          <cell r="V540">
            <v>0</v>
          </cell>
          <cell r="W540">
            <v>13838342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/>
          <cell r="AC540"/>
          <cell r="AD540"/>
          <cell r="AE540"/>
          <cell r="AF540" t="str">
            <v>UnRegistered</v>
          </cell>
        </row>
        <row r="541">
          <cell r="B541" t="str">
            <v>R5 UG 39</v>
          </cell>
          <cell r="C541" t="str">
            <v>R5</v>
          </cell>
          <cell r="D541" t="str">
            <v>M3M Capital Walk in M3M Capital Phase-2</v>
          </cell>
          <cell r="E541" t="str">
            <v>cwBOOKING/00421/22-23</v>
          </cell>
          <cell r="F541" t="str">
            <v>Mr. SANDEEP KUMAR</v>
          </cell>
          <cell r="G541" t="str">
            <v>cwFLAP/00390/22-23</v>
          </cell>
          <cell r="H541" t="str">
            <v>On Application of OC</v>
          </cell>
          <cell r="I541">
            <v>0</v>
          </cell>
          <cell r="J541">
            <v>45152</v>
          </cell>
          <cell r="K541">
            <v>46144</v>
          </cell>
          <cell r="L541">
            <v>46164</v>
          </cell>
          <cell r="M541">
            <v>2332679</v>
          </cell>
          <cell r="N541">
            <v>279922</v>
          </cell>
          <cell r="O541">
            <v>2612601</v>
          </cell>
          <cell r="P541">
            <v>522461.4599999999</v>
          </cell>
          <cell r="Q541"/>
          <cell r="R541"/>
          <cell r="S541">
            <v>62695.375199999988</v>
          </cell>
          <cell r="T541">
            <v>585156.83519999986</v>
          </cell>
          <cell r="U541">
            <v>0</v>
          </cell>
          <cell r="V541">
            <v>0</v>
          </cell>
          <cell r="W541">
            <v>2027444.1648000001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 t="str">
            <v>Executed</v>
          </cell>
          <cell r="AC541" t="str">
            <v>Yes</v>
          </cell>
          <cell r="AD541">
            <v>0.10558816516925033</v>
          </cell>
          <cell r="AE541" t="str">
            <v>Less than 35%</v>
          </cell>
          <cell r="AF541" t="str">
            <v>UnRegistered</v>
          </cell>
        </row>
        <row r="542">
          <cell r="B542" t="str">
            <v>R4 LG 27</v>
          </cell>
          <cell r="C542" t="str">
            <v>R4</v>
          </cell>
          <cell r="D542" t="str">
            <v>M3M Capital Walk in M3M Capital Phase-2</v>
          </cell>
          <cell r="E542" t="str">
            <v>cwBOOKING/00422/22-23</v>
          </cell>
          <cell r="F542" t="str">
            <v>Mr. GAGAN CHANDHOK</v>
          </cell>
          <cell r="G542" t="str">
            <v>cwFLAP/00704/22-23</v>
          </cell>
          <cell r="H542" t="str">
            <v>On Application of OC</v>
          </cell>
          <cell r="I542">
            <v>0</v>
          </cell>
          <cell r="J542">
            <v>45254</v>
          </cell>
          <cell r="K542">
            <v>46144</v>
          </cell>
          <cell r="L542">
            <v>46164</v>
          </cell>
          <cell r="M542">
            <v>4680372</v>
          </cell>
          <cell r="N542">
            <v>561644</v>
          </cell>
          <cell r="O542">
            <v>5242016</v>
          </cell>
          <cell r="P542"/>
          <cell r="Q542"/>
          <cell r="R542"/>
          <cell r="S542"/>
          <cell r="T542">
            <v>0</v>
          </cell>
          <cell r="U542">
            <v>0</v>
          </cell>
          <cell r="V542">
            <v>27826</v>
          </cell>
          <cell r="W542">
            <v>5269842</v>
          </cell>
          <cell r="X542">
            <v>13851</v>
          </cell>
          <cell r="Y542">
            <v>0</v>
          </cell>
          <cell r="Z542">
            <v>0</v>
          </cell>
          <cell r="AA542">
            <v>13851</v>
          </cell>
          <cell r="AB542"/>
          <cell r="AC542"/>
          <cell r="AD542"/>
          <cell r="AE542"/>
          <cell r="AF542" t="str">
            <v>UnRegistered</v>
          </cell>
        </row>
        <row r="543">
          <cell r="B543" t="str">
            <v>R1 117</v>
          </cell>
          <cell r="C543" t="str">
            <v>R1</v>
          </cell>
          <cell r="D543" t="str">
            <v>M3M Capital Walk in M3M Capital Phase-2</v>
          </cell>
          <cell r="E543" t="str">
            <v>cwBOOKING/00423/22-23</v>
          </cell>
          <cell r="F543" t="str">
            <v>Ms. ROSHNI DEVI</v>
          </cell>
          <cell r="G543" t="str">
            <v>cwFLAP/00297/22-23</v>
          </cell>
          <cell r="H543" t="str">
            <v>On Application of OC</v>
          </cell>
          <cell r="I543">
            <v>0</v>
          </cell>
          <cell r="J543">
            <v>45281</v>
          </cell>
          <cell r="K543">
            <v>46144</v>
          </cell>
          <cell r="L543">
            <v>46164</v>
          </cell>
          <cell r="M543">
            <v>4708302</v>
          </cell>
          <cell r="N543">
            <v>564996</v>
          </cell>
          <cell r="O543">
            <v>5273298</v>
          </cell>
          <cell r="P543">
            <v>688046.848</v>
          </cell>
          <cell r="Q543"/>
          <cell r="R543"/>
          <cell r="S543">
            <v>82565.621759999995</v>
          </cell>
          <cell r="T543">
            <v>770612.46976000001</v>
          </cell>
          <cell r="U543">
            <v>0</v>
          </cell>
          <cell r="V543">
            <v>0</v>
          </cell>
          <cell r="W543">
            <v>4502685.5302400002</v>
          </cell>
          <cell r="X543">
            <v>2990</v>
          </cell>
          <cell r="Y543">
            <v>0</v>
          </cell>
          <cell r="Z543">
            <v>2990</v>
          </cell>
          <cell r="AA543">
            <v>0</v>
          </cell>
          <cell r="AB543" t="str">
            <v>Executed</v>
          </cell>
          <cell r="AC543" t="str">
            <v>Yes</v>
          </cell>
          <cell r="AD543">
            <v>8.5676927358904142E-2</v>
          </cell>
          <cell r="AE543" t="str">
            <v>Less than 35%</v>
          </cell>
          <cell r="AF543" t="str">
            <v>UnRegistered</v>
          </cell>
        </row>
        <row r="544">
          <cell r="B544" t="str">
            <v>R5 150</v>
          </cell>
          <cell r="C544" t="str">
            <v>R5</v>
          </cell>
          <cell r="D544" t="str">
            <v>M3M Capital Walk in M3M Capital Phase-2</v>
          </cell>
          <cell r="E544" t="str">
            <v>cwBOOKING/00424/22-23</v>
          </cell>
          <cell r="F544" t="str">
            <v>Ms. NIDHI GUPTA</v>
          </cell>
          <cell r="G544" t="str">
            <v>cwFLAP/00389/22-23</v>
          </cell>
          <cell r="H544" t="str">
            <v>On Application of OC</v>
          </cell>
          <cell r="I544">
            <v>0</v>
          </cell>
          <cell r="J544">
            <v>45014</v>
          </cell>
          <cell r="K544">
            <v>46144</v>
          </cell>
          <cell r="L544">
            <v>46164</v>
          </cell>
          <cell r="M544">
            <v>2401808</v>
          </cell>
          <cell r="N544">
            <v>288216</v>
          </cell>
          <cell r="O544">
            <v>2690024</v>
          </cell>
          <cell r="P544">
            <v>213616.5402133333</v>
          </cell>
          <cell r="Q544"/>
          <cell r="R544"/>
          <cell r="S544">
            <v>25633.984825599993</v>
          </cell>
          <cell r="T544">
            <v>239250.52503893329</v>
          </cell>
          <cell r="U544">
            <v>0</v>
          </cell>
          <cell r="V544">
            <v>0</v>
          </cell>
          <cell r="W544">
            <v>2450773.4749610666</v>
          </cell>
          <cell r="X544">
            <v>561</v>
          </cell>
          <cell r="Y544">
            <v>0</v>
          </cell>
          <cell r="Z544">
            <v>0</v>
          </cell>
          <cell r="AA544">
            <v>561</v>
          </cell>
          <cell r="AB544" t="str">
            <v>Executed</v>
          </cell>
          <cell r="AC544" t="str">
            <v>Yes</v>
          </cell>
          <cell r="AD544">
            <v>4.7336007564036685E-2</v>
          </cell>
          <cell r="AE544" t="str">
            <v>Less than 35%</v>
          </cell>
          <cell r="AF544" t="str">
            <v>UnRegistered</v>
          </cell>
        </row>
        <row r="545">
          <cell r="B545" t="str">
            <v>R4 G 07</v>
          </cell>
          <cell r="C545" t="str">
            <v>R4</v>
          </cell>
          <cell r="D545" t="str">
            <v>M3M Capital Walk in M3M Capital Phase-2</v>
          </cell>
          <cell r="E545" t="str">
            <v>cwBOOKING/00425/22-23</v>
          </cell>
          <cell r="F545" t="str">
            <v>Mr. SAHIL POPLI</v>
          </cell>
          <cell r="G545" t="str">
            <v>cwFLAP/00708/22-23</v>
          </cell>
          <cell r="H545" t="str">
            <v>On Application of OC</v>
          </cell>
          <cell r="I545">
            <v>0</v>
          </cell>
          <cell r="J545">
            <v>45161</v>
          </cell>
          <cell r="K545">
            <v>46144</v>
          </cell>
          <cell r="L545">
            <v>46164</v>
          </cell>
          <cell r="M545">
            <v>12909092</v>
          </cell>
          <cell r="N545">
            <v>1549092</v>
          </cell>
          <cell r="O545">
            <v>14458184</v>
          </cell>
          <cell r="P545"/>
          <cell r="Q545"/>
          <cell r="R545"/>
          <cell r="S545"/>
          <cell r="T545">
            <v>0</v>
          </cell>
          <cell r="U545">
            <v>0</v>
          </cell>
          <cell r="V545">
            <v>0</v>
          </cell>
          <cell r="W545">
            <v>14458184</v>
          </cell>
          <cell r="X545">
            <v>1139</v>
          </cell>
          <cell r="Y545">
            <v>0</v>
          </cell>
          <cell r="Z545">
            <v>0</v>
          </cell>
          <cell r="AA545">
            <v>1139</v>
          </cell>
          <cell r="AB545"/>
          <cell r="AC545"/>
          <cell r="AD545"/>
          <cell r="AE545"/>
          <cell r="AF545" t="str">
            <v>UnRegistered</v>
          </cell>
        </row>
        <row r="546">
          <cell r="B546" t="str">
            <v>R4 222</v>
          </cell>
          <cell r="C546" t="str">
            <v>R4</v>
          </cell>
          <cell r="D546" t="str">
            <v>M3M Capital Walk in M3M Capital Phase-2</v>
          </cell>
          <cell r="E546" t="str">
            <v>cwBOOKING/00426/22-23</v>
          </cell>
          <cell r="F546" t="str">
            <v>Mr. PANKAJ MALIK</v>
          </cell>
          <cell r="G546" t="str">
            <v>cwFLAP/00710/22-23</v>
          </cell>
          <cell r="H546" t="str">
            <v>On Application of OC</v>
          </cell>
          <cell r="I546">
            <v>0</v>
          </cell>
          <cell r="J546">
            <v>45105</v>
          </cell>
          <cell r="K546">
            <v>46144</v>
          </cell>
          <cell r="L546">
            <v>46164</v>
          </cell>
          <cell r="M546">
            <v>6151759</v>
          </cell>
          <cell r="N546">
            <v>738212</v>
          </cell>
          <cell r="O546">
            <v>6889971</v>
          </cell>
          <cell r="P546"/>
          <cell r="Q546"/>
          <cell r="R546"/>
          <cell r="S546"/>
          <cell r="T546">
            <v>0</v>
          </cell>
          <cell r="U546">
            <v>0</v>
          </cell>
          <cell r="V546">
            <v>0</v>
          </cell>
          <cell r="W546">
            <v>6889971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/>
          <cell r="AC546"/>
          <cell r="AD546"/>
          <cell r="AE546"/>
          <cell r="AF546" t="str">
            <v>UnRegistered</v>
          </cell>
        </row>
        <row r="547">
          <cell r="B547" t="str">
            <v>R5 G 24</v>
          </cell>
          <cell r="C547" t="str">
            <v>R5</v>
          </cell>
          <cell r="D547" t="str">
            <v>M3M Capital Walk in M3M Capital Phase-2</v>
          </cell>
          <cell r="E547" t="str">
            <v>cwBOOKING/00427/22-23</v>
          </cell>
          <cell r="F547" t="str">
            <v>Mr. GAURAV VAID</v>
          </cell>
          <cell r="G547" t="str">
            <v>cwFLAP/00313/22-23</v>
          </cell>
          <cell r="H547" t="str">
            <v>On Application of OC</v>
          </cell>
          <cell r="I547">
            <v>0</v>
          </cell>
          <cell r="J547">
            <v>45022</v>
          </cell>
          <cell r="K547">
            <v>46144</v>
          </cell>
          <cell r="L547">
            <v>46164</v>
          </cell>
          <cell r="M547">
            <v>20311650</v>
          </cell>
          <cell r="N547">
            <v>2437398</v>
          </cell>
          <cell r="O547">
            <v>22749048</v>
          </cell>
          <cell r="P547"/>
          <cell r="Q547"/>
          <cell r="R547"/>
          <cell r="S547"/>
          <cell r="T547">
            <v>0</v>
          </cell>
          <cell r="U547">
            <v>0</v>
          </cell>
          <cell r="V547">
            <v>1</v>
          </cell>
          <cell r="W547">
            <v>22749049</v>
          </cell>
          <cell r="X547">
            <v>11996</v>
          </cell>
          <cell r="Y547">
            <v>0</v>
          </cell>
          <cell r="Z547">
            <v>0</v>
          </cell>
          <cell r="AA547">
            <v>11996</v>
          </cell>
          <cell r="AB547"/>
          <cell r="AC547"/>
          <cell r="AD547"/>
          <cell r="AE547"/>
          <cell r="AF547" t="str">
            <v>UnRegistered</v>
          </cell>
        </row>
        <row r="548">
          <cell r="B548" t="str">
            <v>R1 144</v>
          </cell>
          <cell r="C548" t="str">
            <v>R1</v>
          </cell>
          <cell r="D548" t="str">
            <v>M3M Capital Walk in M3M Capital Phase-2</v>
          </cell>
          <cell r="E548" t="str">
            <v>cwBOOKING/00428/22-23</v>
          </cell>
          <cell r="F548" t="str">
            <v>Mr. BILAL AHMAD WANI</v>
          </cell>
          <cell r="G548" t="str">
            <v>cwFLAP/00711/22-23</v>
          </cell>
          <cell r="H548" t="str">
            <v>On Application of OC</v>
          </cell>
          <cell r="I548">
            <v>0</v>
          </cell>
          <cell r="J548">
            <v>45327</v>
          </cell>
          <cell r="K548">
            <v>46144</v>
          </cell>
          <cell r="L548">
            <v>46164</v>
          </cell>
          <cell r="M548">
            <v>4695391</v>
          </cell>
          <cell r="N548">
            <v>563446</v>
          </cell>
          <cell r="O548">
            <v>5258837</v>
          </cell>
          <cell r="P548"/>
          <cell r="Q548"/>
          <cell r="R548"/>
          <cell r="S548"/>
          <cell r="T548">
            <v>0</v>
          </cell>
          <cell r="U548">
            <v>1</v>
          </cell>
          <cell r="V548">
            <v>0</v>
          </cell>
          <cell r="W548">
            <v>5258836</v>
          </cell>
          <cell r="X548">
            <v>69179</v>
          </cell>
          <cell r="Y548">
            <v>0</v>
          </cell>
          <cell r="Z548">
            <v>0</v>
          </cell>
          <cell r="AA548">
            <v>69179</v>
          </cell>
          <cell r="AB548"/>
          <cell r="AC548"/>
          <cell r="AD548"/>
          <cell r="AE548"/>
          <cell r="AF548" t="str">
            <v>UnRegistered</v>
          </cell>
        </row>
        <row r="549">
          <cell r="B549" t="str">
            <v>R5 UG 24</v>
          </cell>
          <cell r="C549" t="str">
            <v>R5</v>
          </cell>
          <cell r="D549" t="str">
            <v>M3M Capital Walk in M3M Capital Phase-2</v>
          </cell>
          <cell r="E549" t="str">
            <v>cwBOOKING/00430/22-23</v>
          </cell>
          <cell r="F549" t="str">
            <v>Mrs. REKHA RANI</v>
          </cell>
          <cell r="G549" t="str">
            <v>cwFLAP/00233/22-23</v>
          </cell>
          <cell r="H549" t="str">
            <v>On Application of OC</v>
          </cell>
          <cell r="I549">
            <v>0</v>
          </cell>
          <cell r="J549">
            <v>45247</v>
          </cell>
          <cell r="K549">
            <v>46144</v>
          </cell>
          <cell r="L549">
            <v>46164</v>
          </cell>
          <cell r="M549">
            <v>1682596</v>
          </cell>
          <cell r="N549">
            <v>201912</v>
          </cell>
          <cell r="O549">
            <v>1884508</v>
          </cell>
          <cell r="P549"/>
          <cell r="Q549"/>
          <cell r="R549"/>
          <cell r="S549"/>
          <cell r="T549">
            <v>0</v>
          </cell>
          <cell r="U549">
            <v>0</v>
          </cell>
          <cell r="V549">
            <v>0</v>
          </cell>
          <cell r="W549">
            <v>1884508</v>
          </cell>
          <cell r="X549">
            <v>2777</v>
          </cell>
          <cell r="Y549">
            <v>0</v>
          </cell>
          <cell r="Z549">
            <v>0</v>
          </cell>
          <cell r="AA549">
            <v>2777</v>
          </cell>
          <cell r="AB549"/>
          <cell r="AC549"/>
          <cell r="AD549"/>
          <cell r="AE549"/>
          <cell r="AF549" t="str">
            <v>UnRegistered</v>
          </cell>
        </row>
        <row r="550">
          <cell r="B550" t="str">
            <v>R5 136</v>
          </cell>
          <cell r="C550" t="str">
            <v>R5</v>
          </cell>
          <cell r="D550" t="str">
            <v>M3M Capital Walk in M3M Capital Phase-2</v>
          </cell>
          <cell r="E550" t="str">
            <v>cwBOOKING/00431/22-23</v>
          </cell>
          <cell r="F550" t="str">
            <v>Ms. DIVYA SHARMA</v>
          </cell>
          <cell r="G550" t="str">
            <v>cwFLAP/00513/22-23</v>
          </cell>
          <cell r="H550" t="str">
            <v>On Application of OC</v>
          </cell>
          <cell r="I550">
            <v>0</v>
          </cell>
          <cell r="J550">
            <v>45009</v>
          </cell>
          <cell r="K550">
            <v>46144</v>
          </cell>
          <cell r="L550">
            <v>46164</v>
          </cell>
          <cell r="M550">
            <v>4868973</v>
          </cell>
          <cell r="N550">
            <v>584276</v>
          </cell>
          <cell r="O550">
            <v>5453249</v>
          </cell>
          <cell r="P550"/>
          <cell r="Q550"/>
          <cell r="R550"/>
          <cell r="S550"/>
          <cell r="T550">
            <v>0</v>
          </cell>
          <cell r="U550">
            <v>293</v>
          </cell>
          <cell r="V550">
            <v>0</v>
          </cell>
          <cell r="W550">
            <v>5452956</v>
          </cell>
          <cell r="X550">
            <v>1089.44</v>
          </cell>
          <cell r="Y550">
            <v>0</v>
          </cell>
          <cell r="Z550">
            <v>0</v>
          </cell>
          <cell r="AA550">
            <v>1089.44</v>
          </cell>
          <cell r="AB550"/>
          <cell r="AC550"/>
          <cell r="AD550"/>
          <cell r="AE550"/>
          <cell r="AF550" t="str">
            <v>UnRegistered</v>
          </cell>
        </row>
        <row r="551">
          <cell r="B551" t="str">
            <v>R5 UG 42</v>
          </cell>
          <cell r="C551" t="str">
            <v>R5</v>
          </cell>
          <cell r="D551" t="str">
            <v>M3M Capital Walk in M3M Capital Phase-2</v>
          </cell>
          <cell r="E551" t="str">
            <v>cwBOOKING/00432/22-23</v>
          </cell>
          <cell r="F551" t="str">
            <v>Mr. MRITUNJAY KUMAR SINGH</v>
          </cell>
          <cell r="G551" t="str">
            <v>cwFLAP/00258/22-23</v>
          </cell>
          <cell r="H551" t="str">
            <v>On Application of OC</v>
          </cell>
          <cell r="I551">
            <v>0</v>
          </cell>
          <cell r="J551">
            <v>45343</v>
          </cell>
          <cell r="K551">
            <v>46144</v>
          </cell>
          <cell r="L551">
            <v>46164</v>
          </cell>
          <cell r="M551">
            <v>1744935</v>
          </cell>
          <cell r="N551">
            <v>209392</v>
          </cell>
          <cell r="O551">
            <v>1954327</v>
          </cell>
          <cell r="P551">
            <v>305153.8284</v>
          </cell>
          <cell r="Q551"/>
          <cell r="R551"/>
          <cell r="S551">
            <v>36618.459407999995</v>
          </cell>
          <cell r="T551">
            <v>341772.28780799999</v>
          </cell>
          <cell r="U551">
            <v>0</v>
          </cell>
          <cell r="V551">
            <v>0</v>
          </cell>
          <cell r="W551">
            <v>1612554.7121919999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 t="str">
            <v>Executed</v>
          </cell>
          <cell r="AC551" t="str">
            <v>Yes</v>
          </cell>
          <cell r="AD551">
            <v>7.1428631578947369E-2</v>
          </cell>
          <cell r="AE551" t="str">
            <v>Less than 35%</v>
          </cell>
          <cell r="AF551" t="str">
            <v>UnRegistered</v>
          </cell>
        </row>
        <row r="552">
          <cell r="B552" t="str">
            <v>R4 117</v>
          </cell>
          <cell r="C552" t="str">
            <v>R4</v>
          </cell>
          <cell r="D552" t="str">
            <v>M3M Capital Walk in M3M Capital Phase-2</v>
          </cell>
          <cell r="E552" t="str">
            <v>cwBOOKING/00434/22-23</v>
          </cell>
          <cell r="F552" t="str">
            <v>Mr. BEJOY RAVEENDRAN</v>
          </cell>
          <cell r="G552" t="str">
            <v>cwFLAP/00714/22-23</v>
          </cell>
          <cell r="H552" t="str">
            <v>On Application of OC</v>
          </cell>
          <cell r="I552">
            <v>0</v>
          </cell>
          <cell r="J552">
            <v>45187</v>
          </cell>
          <cell r="K552">
            <v>46144</v>
          </cell>
          <cell r="L552">
            <v>46164</v>
          </cell>
          <cell r="M552">
            <v>6421203</v>
          </cell>
          <cell r="N552">
            <v>770544</v>
          </cell>
          <cell r="O552">
            <v>7191747</v>
          </cell>
          <cell r="P552">
            <v>3089855.1222000001</v>
          </cell>
          <cell r="Q552">
            <v>2436493.5</v>
          </cell>
          <cell r="R552"/>
          <cell r="S552">
            <v>663161.83466399997</v>
          </cell>
          <cell r="T552">
            <v>6189510.4568640003</v>
          </cell>
          <cell r="U552">
            <v>0</v>
          </cell>
          <cell r="V552">
            <v>1</v>
          </cell>
          <cell r="W552">
            <v>1002237.5431359997</v>
          </cell>
          <cell r="X552">
            <v>161900</v>
          </cell>
          <cell r="Y552">
            <v>161900</v>
          </cell>
          <cell r="Z552">
            <v>0</v>
          </cell>
          <cell r="AA552">
            <v>0</v>
          </cell>
          <cell r="AB552" t="str">
            <v>Executed</v>
          </cell>
          <cell r="AC552" t="str">
            <v>Yes</v>
          </cell>
          <cell r="AD552">
            <v>0.54657548732639338</v>
          </cell>
          <cell r="AE552" t="str">
            <v>Above 35%</v>
          </cell>
          <cell r="AF552" t="str">
            <v>UnRegistered</v>
          </cell>
        </row>
        <row r="553">
          <cell r="B553" t="str">
            <v>R4 G 16</v>
          </cell>
          <cell r="C553" t="str">
            <v>R4</v>
          </cell>
          <cell r="D553" t="str">
            <v>M3M Capital Walk in M3M Capital Phase-2</v>
          </cell>
          <cell r="E553" t="str">
            <v>cwBOOKING/00436/22-23</v>
          </cell>
          <cell r="F553" t="str">
            <v>Mr. RUSHIL KATYAL</v>
          </cell>
          <cell r="G553" t="str">
            <v>cwFLAP/00717/22-23</v>
          </cell>
          <cell r="H553" t="str">
            <v>On Application of OC</v>
          </cell>
          <cell r="I553">
            <v>0</v>
          </cell>
          <cell r="J553">
            <v>45371</v>
          </cell>
          <cell r="K553">
            <v>46144</v>
          </cell>
          <cell r="L553">
            <v>46164</v>
          </cell>
          <cell r="M553">
            <v>19122657</v>
          </cell>
          <cell r="N553">
            <v>2294718</v>
          </cell>
          <cell r="O553">
            <v>21417375</v>
          </cell>
          <cell r="P553">
            <v>16937165.189999998</v>
          </cell>
          <cell r="Q553"/>
          <cell r="R553"/>
          <cell r="S553">
            <v>2032459.8227999997</v>
          </cell>
          <cell r="T553">
            <v>18969625.012799997</v>
          </cell>
          <cell r="U553">
            <v>0</v>
          </cell>
          <cell r="V553">
            <v>0</v>
          </cell>
          <cell r="W553">
            <v>2447749.9872000031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 t="str">
            <v>Executed</v>
          </cell>
          <cell r="AC553" t="str">
            <v>Yes</v>
          </cell>
          <cell r="AD553">
            <v>0.75819948853897057</v>
          </cell>
          <cell r="AE553" t="str">
            <v>Above 35%</v>
          </cell>
          <cell r="AF553" t="str">
            <v>UnRegistered</v>
          </cell>
        </row>
        <row r="554">
          <cell r="B554" t="str">
            <v>R4 UG 15</v>
          </cell>
          <cell r="C554" t="str">
            <v>R4</v>
          </cell>
          <cell r="D554" t="str">
            <v>M3M Capital Walk in M3M Capital Phase-2</v>
          </cell>
          <cell r="E554" t="str">
            <v>cwBOOKING/00444/22-23</v>
          </cell>
          <cell r="F554" t="str">
            <v>Mr. MAHESH SHANKLA</v>
          </cell>
          <cell r="G554" t="str">
            <v>cwFLAP/00343/22-23</v>
          </cell>
          <cell r="H554" t="str">
            <v>On Application of OC</v>
          </cell>
          <cell r="I554">
            <v>0</v>
          </cell>
          <cell r="J554">
            <v>45005</v>
          </cell>
          <cell r="K554">
            <v>46144</v>
          </cell>
          <cell r="L554">
            <v>46164</v>
          </cell>
          <cell r="M554">
            <v>6225705</v>
          </cell>
          <cell r="N554">
            <v>747084</v>
          </cell>
          <cell r="O554">
            <v>6972789</v>
          </cell>
          <cell r="P554"/>
          <cell r="Q554"/>
          <cell r="R554"/>
          <cell r="S554"/>
          <cell r="T554">
            <v>0</v>
          </cell>
          <cell r="U554">
            <v>1197</v>
          </cell>
          <cell r="V554">
            <v>0</v>
          </cell>
          <cell r="W554">
            <v>6971592</v>
          </cell>
          <cell r="X554">
            <v>11643</v>
          </cell>
          <cell r="Y554">
            <v>0</v>
          </cell>
          <cell r="Z554">
            <v>11643</v>
          </cell>
          <cell r="AA554">
            <v>0</v>
          </cell>
          <cell r="AB554"/>
          <cell r="AC554"/>
          <cell r="AD554"/>
          <cell r="AE554"/>
          <cell r="AF554" t="str">
            <v>UnRegistered</v>
          </cell>
        </row>
        <row r="555">
          <cell r="B555" t="str">
            <v>R4 227</v>
          </cell>
          <cell r="C555" t="str">
            <v>R4</v>
          </cell>
          <cell r="D555" t="str">
            <v>M3M Capital Walk in M3M Capital Phase-2</v>
          </cell>
          <cell r="E555" t="str">
            <v>cwBOOKING/00445/22-23</v>
          </cell>
          <cell r="F555" t="str">
            <v>Ms. PINKY SHOKEEN</v>
          </cell>
          <cell r="G555" t="str">
            <v>cwFLAP/00726/22-23</v>
          </cell>
          <cell r="H555" t="str">
            <v>On Application of OC</v>
          </cell>
          <cell r="I555">
            <v>0</v>
          </cell>
          <cell r="J555">
            <v>45078</v>
          </cell>
          <cell r="K555">
            <v>46144</v>
          </cell>
          <cell r="L555">
            <v>46164</v>
          </cell>
          <cell r="M555">
            <v>3746849</v>
          </cell>
          <cell r="N555">
            <v>449622</v>
          </cell>
          <cell r="O555">
            <v>4196471</v>
          </cell>
          <cell r="P555"/>
          <cell r="Q555"/>
          <cell r="R555"/>
          <cell r="S555"/>
          <cell r="T555">
            <v>0</v>
          </cell>
          <cell r="U555">
            <v>56803</v>
          </cell>
          <cell r="V555">
            <v>0</v>
          </cell>
          <cell r="W555">
            <v>4139668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/>
          <cell r="AC555"/>
          <cell r="AD555"/>
          <cell r="AE555"/>
          <cell r="AF555" t="str">
            <v>UnRegistered</v>
          </cell>
        </row>
        <row r="556">
          <cell r="B556" t="str">
            <v>R4 205</v>
          </cell>
          <cell r="C556" t="str">
            <v>R4</v>
          </cell>
          <cell r="D556" t="str">
            <v>M3M Capital Walk in M3M Capital Phase-2</v>
          </cell>
          <cell r="E556" t="str">
            <v>cwBOOKING/00446/22-23</v>
          </cell>
          <cell r="F556" t="str">
            <v>Mr. KARUN RANJAN</v>
          </cell>
          <cell r="G556" t="str">
            <v>cwFLAP/00486/22-23</v>
          </cell>
          <cell r="H556" t="str">
            <v>On Application of OC</v>
          </cell>
          <cell r="I556">
            <v>0</v>
          </cell>
          <cell r="J556">
            <v>45012</v>
          </cell>
          <cell r="K556">
            <v>46144</v>
          </cell>
          <cell r="L556">
            <v>46164</v>
          </cell>
          <cell r="M556">
            <v>2975875</v>
          </cell>
          <cell r="N556">
            <v>357106</v>
          </cell>
          <cell r="O556">
            <v>3332981</v>
          </cell>
          <cell r="P556"/>
          <cell r="Q556"/>
          <cell r="R556"/>
          <cell r="S556"/>
          <cell r="T556">
            <v>0</v>
          </cell>
          <cell r="U556">
            <v>0</v>
          </cell>
          <cell r="V556">
            <v>0</v>
          </cell>
          <cell r="W556">
            <v>3332981</v>
          </cell>
          <cell r="X556">
            <v>12639</v>
          </cell>
          <cell r="Y556">
            <v>0</v>
          </cell>
          <cell r="Z556">
            <v>0</v>
          </cell>
          <cell r="AA556">
            <v>12639</v>
          </cell>
          <cell r="AB556"/>
          <cell r="AC556"/>
          <cell r="AD556"/>
          <cell r="AE556"/>
          <cell r="AF556" t="str">
            <v>UnRegistered</v>
          </cell>
        </row>
        <row r="557">
          <cell r="B557" t="str">
            <v>R4 147</v>
          </cell>
          <cell r="C557" t="str">
            <v>R4</v>
          </cell>
          <cell r="D557" t="str">
            <v>M3M Capital Walk in M3M Capital Phase-2</v>
          </cell>
          <cell r="E557" t="str">
            <v>cwBOOKING/00448/22-23</v>
          </cell>
          <cell r="F557" t="str">
            <v>Mr. RANBIR KISHORE</v>
          </cell>
          <cell r="G557" t="str">
            <v>cwFLAP/00418/22-23</v>
          </cell>
          <cell r="H557" t="str">
            <v>On Application of OC</v>
          </cell>
          <cell r="I557">
            <v>0</v>
          </cell>
          <cell r="J557">
            <v>45022</v>
          </cell>
          <cell r="K557">
            <v>46144</v>
          </cell>
          <cell r="L557">
            <v>46164</v>
          </cell>
          <cell r="M557">
            <v>4305449</v>
          </cell>
          <cell r="N557">
            <v>516654</v>
          </cell>
          <cell r="O557">
            <v>4822103</v>
          </cell>
          <cell r="P557">
            <v>792530.66268000007</v>
          </cell>
          <cell r="Q557"/>
          <cell r="R557"/>
          <cell r="S557">
            <v>95103.679521600003</v>
          </cell>
          <cell r="T557">
            <v>887634.34220160008</v>
          </cell>
          <cell r="U557">
            <v>0</v>
          </cell>
          <cell r="V557">
            <v>1</v>
          </cell>
          <cell r="W557">
            <v>3934469.6577984001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 t="str">
            <v>Executed</v>
          </cell>
          <cell r="AC557" t="str">
            <v>Yes</v>
          </cell>
          <cell r="AD557">
            <v>0.13590045144297547</v>
          </cell>
          <cell r="AE557" t="str">
            <v>Less than 35%</v>
          </cell>
          <cell r="AF557" t="str">
            <v>UnRegistered</v>
          </cell>
        </row>
        <row r="558">
          <cell r="B558" t="str">
            <v>R6 LG 25</v>
          </cell>
          <cell r="C558" t="str">
            <v>R6</v>
          </cell>
          <cell r="D558" t="str">
            <v>M3M Capital Walk in M3M Capital Phase-2</v>
          </cell>
          <cell r="E558" t="str">
            <v>cwBOOKING/00449/22-23</v>
          </cell>
          <cell r="F558" t="str">
            <v>Mr. AJAY NEGI</v>
          </cell>
          <cell r="G558" t="str">
            <v>cwFLAP/00560/22-23</v>
          </cell>
          <cell r="H558" t="str">
            <v>On Application of OC</v>
          </cell>
          <cell r="I558">
            <v>0</v>
          </cell>
          <cell r="J558">
            <v>45560</v>
          </cell>
          <cell r="K558">
            <v>46144</v>
          </cell>
          <cell r="L558">
            <v>46164</v>
          </cell>
          <cell r="M558">
            <v>3980519</v>
          </cell>
          <cell r="N558">
            <v>477662</v>
          </cell>
          <cell r="O558">
            <v>4458181</v>
          </cell>
          <cell r="P558"/>
          <cell r="Q558"/>
          <cell r="R558"/>
          <cell r="S558"/>
          <cell r="T558">
            <v>0</v>
          </cell>
          <cell r="U558">
            <v>0</v>
          </cell>
          <cell r="V558">
            <v>0</v>
          </cell>
          <cell r="W558">
            <v>4458181</v>
          </cell>
          <cell r="X558">
            <v>13483</v>
          </cell>
          <cell r="Y558">
            <v>0</v>
          </cell>
          <cell r="Z558">
            <v>0</v>
          </cell>
          <cell r="AA558">
            <v>13483</v>
          </cell>
          <cell r="AB558"/>
          <cell r="AC558"/>
          <cell r="AD558"/>
          <cell r="AE558"/>
          <cell r="AF558" t="str">
            <v>UnRegistered</v>
          </cell>
        </row>
        <row r="559">
          <cell r="B559" t="str">
            <v>R2 LG 02</v>
          </cell>
          <cell r="C559" t="str">
            <v>R2</v>
          </cell>
          <cell r="D559" t="str">
            <v>M3M Capital Walk in M3M Capital Phase-2</v>
          </cell>
          <cell r="E559" t="str">
            <v>cwBOOKING/00451/22-23</v>
          </cell>
          <cell r="F559" t="str">
            <v>Mr. SANJAY KUMAR SINHA</v>
          </cell>
          <cell r="G559" t="str">
            <v>cwFLAP/00563/22-23</v>
          </cell>
          <cell r="H559" t="str">
            <v>On Application of OC</v>
          </cell>
          <cell r="I559">
            <v>0</v>
          </cell>
          <cell r="J559">
            <v>45005</v>
          </cell>
          <cell r="K559">
            <v>46144</v>
          </cell>
          <cell r="L559">
            <v>46164</v>
          </cell>
          <cell r="M559">
            <v>3094090</v>
          </cell>
          <cell r="N559">
            <v>371290</v>
          </cell>
          <cell r="O559">
            <v>3465380</v>
          </cell>
          <cell r="P559">
            <v>933899.67229999998</v>
          </cell>
          <cell r="Q559"/>
          <cell r="R559"/>
          <cell r="S559">
            <v>112067.96067599999</v>
          </cell>
          <cell r="T559">
            <v>1045967.632976</v>
          </cell>
          <cell r="U559">
            <v>949</v>
          </cell>
          <cell r="V559">
            <v>0</v>
          </cell>
          <cell r="W559">
            <v>2418463.3670239998</v>
          </cell>
          <cell r="X559">
            <v>260</v>
          </cell>
          <cell r="Y559">
            <v>0</v>
          </cell>
          <cell r="Z559">
            <v>0</v>
          </cell>
          <cell r="AA559">
            <v>260</v>
          </cell>
          <cell r="AB559" t="str">
            <v>Executed</v>
          </cell>
          <cell r="AC559" t="str">
            <v>Yes</v>
          </cell>
          <cell r="AD559">
            <v>0.12073469368868138</v>
          </cell>
          <cell r="AE559" t="str">
            <v>Less than 35%</v>
          </cell>
          <cell r="AF559" t="str">
            <v>UnRegistered</v>
          </cell>
        </row>
        <row r="560">
          <cell r="B560" t="str">
            <v>R1 UG 16</v>
          </cell>
          <cell r="C560" t="str">
            <v>R1</v>
          </cell>
          <cell r="D560" t="str">
            <v>M3M Capital Walk in M3M Capital Phase-2</v>
          </cell>
          <cell r="E560" t="str">
            <v>cwBOOKING/00453/22-23</v>
          </cell>
          <cell r="F560" t="str">
            <v>Dr. PIYUSH RANJAN</v>
          </cell>
          <cell r="G560" t="str">
            <v>cwFLAP/00305/22-23</v>
          </cell>
          <cell r="H560" t="str">
            <v>On Application of OC</v>
          </cell>
          <cell r="I560">
            <v>0</v>
          </cell>
          <cell r="J560">
            <v>45183</v>
          </cell>
          <cell r="K560">
            <v>46144</v>
          </cell>
          <cell r="L560">
            <v>46164</v>
          </cell>
          <cell r="M560">
            <v>6583509</v>
          </cell>
          <cell r="N560">
            <v>790022</v>
          </cell>
          <cell r="O560">
            <v>7373531</v>
          </cell>
          <cell r="P560"/>
          <cell r="Q560"/>
          <cell r="R560"/>
          <cell r="S560"/>
          <cell r="T560">
            <v>0</v>
          </cell>
          <cell r="U560">
            <v>41895.08</v>
          </cell>
          <cell r="V560">
            <v>0</v>
          </cell>
          <cell r="W560">
            <v>7331635.9199999999</v>
          </cell>
          <cell r="X560">
            <v>496</v>
          </cell>
          <cell r="Y560">
            <v>0</v>
          </cell>
          <cell r="Z560">
            <v>0</v>
          </cell>
          <cell r="AA560">
            <v>496</v>
          </cell>
          <cell r="AB560"/>
          <cell r="AC560"/>
          <cell r="AD560"/>
          <cell r="AE560"/>
          <cell r="AF560" t="str">
            <v>UnRegistered</v>
          </cell>
        </row>
        <row r="561">
          <cell r="B561" t="str">
            <v>R6 210</v>
          </cell>
          <cell r="C561" t="str">
            <v>R6</v>
          </cell>
          <cell r="D561" t="str">
            <v>M3M Capital Walk in M3M Capital Phase-2</v>
          </cell>
          <cell r="E561" t="str">
            <v>cwBOOKING/00454/22-23</v>
          </cell>
          <cell r="F561" t="str">
            <v>Ms. AMRESH DEVI</v>
          </cell>
          <cell r="G561" t="str">
            <v>cwFLAP/00735/22-23</v>
          </cell>
          <cell r="H561" t="str">
            <v>On Application of OC</v>
          </cell>
          <cell r="I561">
            <v>0</v>
          </cell>
          <cell r="J561">
            <v>45040</v>
          </cell>
          <cell r="K561">
            <v>46144</v>
          </cell>
          <cell r="L561">
            <v>46164</v>
          </cell>
          <cell r="M561">
            <v>5519894</v>
          </cell>
          <cell r="N561">
            <v>662388</v>
          </cell>
          <cell r="O561">
            <v>6182282</v>
          </cell>
          <cell r="P561"/>
          <cell r="Q561"/>
          <cell r="R561"/>
          <cell r="S561"/>
          <cell r="T561">
            <v>0</v>
          </cell>
          <cell r="U561">
            <v>120000</v>
          </cell>
          <cell r="V561">
            <v>0</v>
          </cell>
          <cell r="W561">
            <v>6062282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/>
          <cell r="AC561"/>
          <cell r="AD561"/>
          <cell r="AE561"/>
          <cell r="AF561" t="str">
            <v>UnRegistered</v>
          </cell>
        </row>
        <row r="562">
          <cell r="B562" t="str">
            <v>R1 236</v>
          </cell>
          <cell r="C562" t="str">
            <v>R1</v>
          </cell>
          <cell r="D562" t="str">
            <v>M3M Capital Walk in M3M Capital Phase-2</v>
          </cell>
          <cell r="E562" t="str">
            <v>cwBOOKING/00455/22-23</v>
          </cell>
          <cell r="F562" t="str">
            <v>Ms. ARUNA</v>
          </cell>
          <cell r="G562" t="str">
            <v>cwFLAP/00471/22-23</v>
          </cell>
          <cell r="H562" t="str">
            <v>On Application of OC</v>
          </cell>
          <cell r="I562">
            <v>0</v>
          </cell>
          <cell r="J562">
            <v>45098</v>
          </cell>
          <cell r="K562">
            <v>46144</v>
          </cell>
          <cell r="L562">
            <v>46164</v>
          </cell>
          <cell r="M562">
            <v>5663184</v>
          </cell>
          <cell r="N562">
            <v>679582</v>
          </cell>
          <cell r="O562">
            <v>6342766</v>
          </cell>
          <cell r="P562">
            <v>490399.95564</v>
          </cell>
          <cell r="Q562"/>
          <cell r="R562"/>
          <cell r="S562">
            <v>58847.994676800001</v>
          </cell>
          <cell r="T562">
            <v>549247.95031680004</v>
          </cell>
          <cell r="U562">
            <v>0</v>
          </cell>
          <cell r="V562">
            <v>0</v>
          </cell>
          <cell r="W562">
            <v>5793518.0496832002</v>
          </cell>
          <cell r="X562">
            <v>2521</v>
          </cell>
          <cell r="Y562">
            <v>0</v>
          </cell>
          <cell r="Z562">
            <v>0</v>
          </cell>
          <cell r="AA562">
            <v>2521</v>
          </cell>
          <cell r="AB562" t="str">
            <v>Executed</v>
          </cell>
          <cell r="AC562" t="str">
            <v>Yes</v>
          </cell>
          <cell r="AD562">
            <v>5.7594852056628877E-2</v>
          </cell>
          <cell r="AE562" t="str">
            <v>Less than 35%</v>
          </cell>
          <cell r="AF562" t="str">
            <v>UnRegistered</v>
          </cell>
        </row>
        <row r="563">
          <cell r="B563" t="str">
            <v>R5 112</v>
          </cell>
          <cell r="C563" t="str">
            <v>R5</v>
          </cell>
          <cell r="D563" t="str">
            <v>M3M Capital Walk in M3M Capital Phase-2</v>
          </cell>
          <cell r="E563" t="str">
            <v>cwBOOKING/00457/22-23</v>
          </cell>
          <cell r="F563" t="str">
            <v>Mr. KUSH BHATIA</v>
          </cell>
          <cell r="G563" t="str">
            <v>cwFLAP/00754/22-23</v>
          </cell>
          <cell r="H563" t="str">
            <v>On Application of OC</v>
          </cell>
          <cell r="I563">
            <v>0</v>
          </cell>
          <cell r="J563">
            <v>45190</v>
          </cell>
          <cell r="K563">
            <v>46144</v>
          </cell>
          <cell r="L563">
            <v>46164</v>
          </cell>
          <cell r="M563">
            <v>6206977</v>
          </cell>
          <cell r="N563">
            <v>744838</v>
          </cell>
          <cell r="O563">
            <v>6951815</v>
          </cell>
          <cell r="P563"/>
          <cell r="Q563"/>
          <cell r="R563"/>
          <cell r="S563"/>
          <cell r="T563">
            <v>0</v>
          </cell>
          <cell r="U563">
            <v>1</v>
          </cell>
          <cell r="V563">
            <v>0</v>
          </cell>
          <cell r="W563">
            <v>6951814</v>
          </cell>
          <cell r="X563">
            <v>10490</v>
          </cell>
          <cell r="Y563">
            <v>0</v>
          </cell>
          <cell r="Z563">
            <v>0</v>
          </cell>
          <cell r="AA563">
            <v>10490</v>
          </cell>
          <cell r="AB563"/>
          <cell r="AC563"/>
          <cell r="AD563"/>
          <cell r="AE563"/>
          <cell r="AF563" t="str">
            <v>UnRegistered</v>
          </cell>
        </row>
        <row r="564">
          <cell r="B564" t="str">
            <v>R1 257</v>
          </cell>
          <cell r="C564" t="str">
            <v>R1</v>
          </cell>
          <cell r="D564" t="str">
            <v>M3M Capital Walk in M3M Capital Phase-2</v>
          </cell>
          <cell r="E564" t="str">
            <v>cwBOOKING/00458/22-23</v>
          </cell>
          <cell r="F564" t="str">
            <v>Ms. ANITA MANCHANDA</v>
          </cell>
          <cell r="G564" t="str">
            <v>cwFLAP/00568/22-23</v>
          </cell>
          <cell r="H564" t="str">
            <v>On Application of OC</v>
          </cell>
          <cell r="I564">
            <v>0</v>
          </cell>
          <cell r="J564">
            <v>45047</v>
          </cell>
          <cell r="K564">
            <v>46144</v>
          </cell>
          <cell r="L564">
            <v>46164</v>
          </cell>
          <cell r="M564">
            <v>2833810</v>
          </cell>
          <cell r="N564">
            <v>340058</v>
          </cell>
          <cell r="O564">
            <v>3173868</v>
          </cell>
          <cell r="P564"/>
          <cell r="Q564"/>
          <cell r="R564"/>
          <cell r="S564"/>
          <cell r="T564">
            <v>0</v>
          </cell>
          <cell r="U564">
            <v>0</v>
          </cell>
          <cell r="V564">
            <v>142</v>
          </cell>
          <cell r="W564">
            <v>3174010</v>
          </cell>
          <cell r="X564">
            <v>57.56</v>
          </cell>
          <cell r="Y564">
            <v>0</v>
          </cell>
          <cell r="Z564">
            <v>0</v>
          </cell>
          <cell r="AA564">
            <v>57.56</v>
          </cell>
          <cell r="AB564"/>
          <cell r="AC564"/>
          <cell r="AD564"/>
          <cell r="AE564"/>
          <cell r="AF564" t="str">
            <v>UnRegistered</v>
          </cell>
        </row>
        <row r="565">
          <cell r="B565" t="str">
            <v>R2 LG 12</v>
          </cell>
          <cell r="C565" t="str">
            <v>R2</v>
          </cell>
          <cell r="D565" t="str">
            <v>M3M Capital Walk in M3M Capital Phase-2</v>
          </cell>
          <cell r="E565" t="str">
            <v>cwBOOKING/00459/22-23</v>
          </cell>
          <cell r="F565" t="str">
            <v>Ms. BABITA DHAMA</v>
          </cell>
          <cell r="G565" t="str">
            <v>cwFLAP/00194/22-23</v>
          </cell>
          <cell r="H565" t="str">
            <v>On Application of OC</v>
          </cell>
          <cell r="I565">
            <v>0</v>
          </cell>
          <cell r="J565">
            <v>45063</v>
          </cell>
          <cell r="K565">
            <v>46144</v>
          </cell>
          <cell r="L565">
            <v>46164</v>
          </cell>
          <cell r="M565">
            <v>7049188</v>
          </cell>
          <cell r="N565">
            <v>845902</v>
          </cell>
          <cell r="O565">
            <v>7895090</v>
          </cell>
          <cell r="P565">
            <v>2090577.7152000002</v>
          </cell>
          <cell r="Q565"/>
          <cell r="R565"/>
          <cell r="S565">
            <v>250869.32582400003</v>
          </cell>
          <cell r="T565">
            <v>2341447.0410240004</v>
          </cell>
          <cell r="U565">
            <v>0</v>
          </cell>
          <cell r="V565">
            <v>0</v>
          </cell>
          <cell r="W565">
            <v>5553642.9589759996</v>
          </cell>
          <cell r="X565">
            <v>515</v>
          </cell>
          <cell r="Y565">
            <v>0</v>
          </cell>
          <cell r="Z565">
            <v>0</v>
          </cell>
          <cell r="AA565">
            <v>515</v>
          </cell>
          <cell r="AB565" t="str">
            <v>Executed</v>
          </cell>
          <cell r="AC565" t="str">
            <v>Yes</v>
          </cell>
          <cell r="AD565">
            <v>0.22842013016817725</v>
          </cell>
          <cell r="AE565" t="str">
            <v>Less than 35%</v>
          </cell>
          <cell r="AF565" t="str">
            <v>UnRegistered</v>
          </cell>
        </row>
        <row r="566">
          <cell r="B566" t="str">
            <v>R5 UG 02</v>
          </cell>
          <cell r="C566" t="str">
            <v>R5</v>
          </cell>
          <cell r="D566" t="str">
            <v>M3M Capital Walk in M3M Capital Phase-2</v>
          </cell>
          <cell r="E566" t="str">
            <v>cwBOOKING/00460/22-23</v>
          </cell>
          <cell r="F566" t="str">
            <v>Ms. SMITA LAKRA</v>
          </cell>
          <cell r="G566" t="str">
            <v>cwFLAP/00131/22-23</v>
          </cell>
          <cell r="H566" t="str">
            <v>On Application of OC</v>
          </cell>
          <cell r="I566">
            <v>0</v>
          </cell>
          <cell r="J566">
            <v>45005</v>
          </cell>
          <cell r="K566">
            <v>46144</v>
          </cell>
          <cell r="L566">
            <v>46164</v>
          </cell>
          <cell r="M566">
            <v>7568588</v>
          </cell>
          <cell r="N566">
            <v>908230</v>
          </cell>
          <cell r="O566">
            <v>8476818</v>
          </cell>
          <cell r="P566"/>
          <cell r="Q566"/>
          <cell r="R566"/>
          <cell r="S566"/>
          <cell r="T566">
            <v>0</v>
          </cell>
          <cell r="U566">
            <v>0</v>
          </cell>
          <cell r="V566">
            <v>233.54000000003725</v>
          </cell>
          <cell r="W566">
            <v>8477051.5399999991</v>
          </cell>
          <cell r="X566">
            <v>150.08000000000001</v>
          </cell>
          <cell r="Y566">
            <v>0</v>
          </cell>
          <cell r="Z566">
            <v>0</v>
          </cell>
          <cell r="AA566">
            <v>150.08000000000001</v>
          </cell>
          <cell r="AB566"/>
          <cell r="AC566"/>
          <cell r="AD566"/>
          <cell r="AE566"/>
          <cell r="AF566" t="str">
            <v>UnRegistered</v>
          </cell>
        </row>
        <row r="567">
          <cell r="B567" t="str">
            <v>R4 G 15</v>
          </cell>
          <cell r="C567" t="str">
            <v>R4</v>
          </cell>
          <cell r="D567" t="str">
            <v>M3M Capital Walk in M3M Capital Phase-2</v>
          </cell>
          <cell r="E567" t="str">
            <v>cwBOOKING/00462/22-23</v>
          </cell>
          <cell r="F567" t="str">
            <v>Mr. MANOJ KUMAR TOMAR</v>
          </cell>
          <cell r="G567" t="str">
            <v>cwFLAP/00428/22-23</v>
          </cell>
          <cell r="H567" t="str">
            <v>On Application of OC</v>
          </cell>
          <cell r="I567">
            <v>0</v>
          </cell>
          <cell r="J567">
            <v>45260</v>
          </cell>
          <cell r="K567">
            <v>46144</v>
          </cell>
          <cell r="L567">
            <v>46164</v>
          </cell>
          <cell r="M567">
            <v>6684450</v>
          </cell>
          <cell r="N567">
            <v>802134</v>
          </cell>
          <cell r="O567">
            <v>7486584</v>
          </cell>
          <cell r="P567"/>
          <cell r="Q567"/>
          <cell r="R567"/>
          <cell r="S567"/>
          <cell r="T567">
            <v>0</v>
          </cell>
          <cell r="U567">
            <v>0</v>
          </cell>
          <cell r="V567">
            <v>233954</v>
          </cell>
          <cell r="W567">
            <v>7720538</v>
          </cell>
          <cell r="X567">
            <v>430916</v>
          </cell>
          <cell r="Y567">
            <v>0</v>
          </cell>
          <cell r="Z567">
            <v>0</v>
          </cell>
          <cell r="AA567">
            <v>430916</v>
          </cell>
          <cell r="AB567"/>
          <cell r="AC567"/>
          <cell r="AD567"/>
          <cell r="AE567"/>
          <cell r="AF567" t="str">
            <v>UnRegistered</v>
          </cell>
        </row>
        <row r="568">
          <cell r="B568" t="str">
            <v>R5 129</v>
          </cell>
          <cell r="C568" t="str">
            <v>R5</v>
          </cell>
          <cell r="D568" t="str">
            <v>M3M Capital Walk in M3M Capital Phase-2</v>
          </cell>
          <cell r="E568" t="str">
            <v>cwBOOKING/00465/22-23</v>
          </cell>
          <cell r="F568" t="str">
            <v>Mr. SHASHANK SHYAM SHARMA</v>
          </cell>
          <cell r="G568" t="str">
            <v>cwFLAP/00763/22-23</v>
          </cell>
          <cell r="H568" t="str">
            <v>On Application of OC</v>
          </cell>
          <cell r="I568">
            <v>0</v>
          </cell>
          <cell r="J568">
            <v>44995</v>
          </cell>
          <cell r="K568">
            <v>46144</v>
          </cell>
          <cell r="L568">
            <v>46164</v>
          </cell>
          <cell r="M568">
            <v>4000001</v>
          </cell>
          <cell r="N568">
            <v>480000</v>
          </cell>
          <cell r="O568">
            <v>4480001</v>
          </cell>
          <cell r="P568"/>
          <cell r="Q568"/>
          <cell r="R568"/>
          <cell r="S568"/>
          <cell r="T568">
            <v>0</v>
          </cell>
          <cell r="U568">
            <v>0</v>
          </cell>
          <cell r="V568">
            <v>0</v>
          </cell>
          <cell r="W568">
            <v>4480001</v>
          </cell>
          <cell r="X568">
            <v>4593</v>
          </cell>
          <cell r="Y568">
            <v>4593</v>
          </cell>
          <cell r="Z568">
            <v>0</v>
          </cell>
          <cell r="AA568">
            <v>0</v>
          </cell>
          <cell r="AB568"/>
          <cell r="AC568"/>
          <cell r="AD568"/>
          <cell r="AE568"/>
          <cell r="AF568" t="str">
            <v>UnRegistered</v>
          </cell>
        </row>
        <row r="569">
          <cell r="B569" t="str">
            <v>R5 LG 09</v>
          </cell>
          <cell r="C569" t="str">
            <v>R5</v>
          </cell>
          <cell r="D569" t="str">
            <v>M3M Capital Walk in M3M Capital Phase-2</v>
          </cell>
          <cell r="E569" t="str">
            <v>cwBOOKING/00466/22-23</v>
          </cell>
          <cell r="F569" t="str">
            <v>Ms. POOJA MITTAL</v>
          </cell>
          <cell r="G569" t="str">
            <v>cwFLAP/00591/22-23</v>
          </cell>
          <cell r="H569" t="str">
            <v>On Application of OC</v>
          </cell>
          <cell r="I569">
            <v>0</v>
          </cell>
          <cell r="J569">
            <v>45036</v>
          </cell>
          <cell r="K569">
            <v>46144</v>
          </cell>
          <cell r="L569">
            <v>46164</v>
          </cell>
          <cell r="M569">
            <v>11533660</v>
          </cell>
          <cell r="N569">
            <v>1384040</v>
          </cell>
          <cell r="O569">
            <v>12917700</v>
          </cell>
          <cell r="P569">
            <v>6315842.0394666661</v>
          </cell>
          <cell r="Q569"/>
          <cell r="R569"/>
          <cell r="S569">
            <v>757901.04473599989</v>
          </cell>
          <cell r="T569">
            <v>7073743.0842026658</v>
          </cell>
          <cell r="U569">
            <v>0</v>
          </cell>
          <cell r="V569">
            <v>0</v>
          </cell>
          <cell r="W569">
            <v>5843956.9157973342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 t="str">
            <v>Executed</v>
          </cell>
          <cell r="AC569" t="str">
            <v>Yes</v>
          </cell>
          <cell r="AD569">
            <v>0.42000891373952054</v>
          </cell>
          <cell r="AE569" t="str">
            <v>Above 35%</v>
          </cell>
          <cell r="AF569" t="str">
            <v>UnRegistered</v>
          </cell>
        </row>
        <row r="570">
          <cell r="B570" t="str">
            <v>R1 105</v>
          </cell>
          <cell r="C570" t="str">
            <v>R1</v>
          </cell>
          <cell r="D570" t="str">
            <v>M3M Capital Walk in M3M Capital Phase-2</v>
          </cell>
          <cell r="E570" t="str">
            <v>cwBOOKING/00467/22-23</v>
          </cell>
          <cell r="F570" t="str">
            <v>Mr. AVULA ANIL KUMAR</v>
          </cell>
          <cell r="G570" t="str">
            <v>cwFLAP/00770/22-23</v>
          </cell>
          <cell r="H570" t="str">
            <v>On Application of OC</v>
          </cell>
          <cell r="I570">
            <v>0</v>
          </cell>
          <cell r="J570">
            <v>45000</v>
          </cell>
          <cell r="K570">
            <v>46144</v>
          </cell>
          <cell r="L570">
            <v>46164</v>
          </cell>
          <cell r="M570">
            <v>3203031</v>
          </cell>
          <cell r="N570">
            <v>384364</v>
          </cell>
          <cell r="O570">
            <v>3587395</v>
          </cell>
          <cell r="P570"/>
          <cell r="Q570"/>
          <cell r="R570"/>
          <cell r="S570"/>
          <cell r="T570">
            <v>0</v>
          </cell>
          <cell r="U570">
            <v>0</v>
          </cell>
          <cell r="V570">
            <v>0</v>
          </cell>
          <cell r="W570">
            <v>3587395</v>
          </cell>
          <cell r="X570">
            <v>1255</v>
          </cell>
          <cell r="Y570">
            <v>0</v>
          </cell>
          <cell r="Z570">
            <v>0</v>
          </cell>
          <cell r="AA570">
            <v>1255</v>
          </cell>
          <cell r="AB570"/>
          <cell r="AC570"/>
          <cell r="AD570"/>
          <cell r="AE570"/>
          <cell r="AF570" t="str">
            <v>UnRegistered</v>
          </cell>
        </row>
        <row r="571">
          <cell r="B571" t="str">
            <v>R5 UG 10</v>
          </cell>
          <cell r="C571" t="str">
            <v>R5</v>
          </cell>
          <cell r="D571" t="str">
            <v>M3M Capital Walk in M3M Capital Phase-2</v>
          </cell>
          <cell r="E571" t="str">
            <v>cwBOOKING/00468/22-23</v>
          </cell>
          <cell r="F571" t="str">
            <v>Mr. OM PRAKASH ARORA</v>
          </cell>
          <cell r="G571" t="str">
            <v>cwFLAP/00769/22-23</v>
          </cell>
          <cell r="H571" t="str">
            <v>On Application of OC</v>
          </cell>
          <cell r="I571">
            <v>0</v>
          </cell>
          <cell r="J571">
            <v>45064</v>
          </cell>
          <cell r="K571">
            <v>46144</v>
          </cell>
          <cell r="L571">
            <v>46164</v>
          </cell>
          <cell r="M571">
            <v>7177604</v>
          </cell>
          <cell r="N571">
            <v>861312</v>
          </cell>
          <cell r="O571">
            <v>8038916</v>
          </cell>
          <cell r="P571"/>
          <cell r="Q571"/>
          <cell r="R571"/>
          <cell r="S571"/>
          <cell r="T571">
            <v>0</v>
          </cell>
          <cell r="U571">
            <v>0</v>
          </cell>
          <cell r="V571">
            <v>0</v>
          </cell>
          <cell r="W571">
            <v>8038916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/>
          <cell r="AC571"/>
          <cell r="AD571"/>
          <cell r="AE571"/>
          <cell r="AF571" t="str">
            <v>UnRegistered</v>
          </cell>
        </row>
        <row r="572">
          <cell r="B572" t="str">
            <v>R5 115</v>
          </cell>
          <cell r="C572" t="str">
            <v>R5</v>
          </cell>
          <cell r="D572" t="str">
            <v>M3M Capital Walk in M3M Capital Phase-2</v>
          </cell>
          <cell r="E572" t="str">
            <v>cwBOOKING/00469/22-23</v>
          </cell>
          <cell r="F572" t="str">
            <v>Ms. PRATIBHA</v>
          </cell>
          <cell r="G572" t="str">
            <v>cwFLAP/00771/22-23</v>
          </cell>
          <cell r="H572" t="str">
            <v>On Application of OC</v>
          </cell>
          <cell r="I572">
            <v>0</v>
          </cell>
          <cell r="J572">
            <v>45042</v>
          </cell>
          <cell r="K572">
            <v>46144</v>
          </cell>
          <cell r="L572">
            <v>46164</v>
          </cell>
          <cell r="M572">
            <v>5696309</v>
          </cell>
          <cell r="N572">
            <v>683558</v>
          </cell>
          <cell r="O572">
            <v>6379867</v>
          </cell>
          <cell r="P572"/>
          <cell r="Q572"/>
          <cell r="R572"/>
          <cell r="S572"/>
          <cell r="T572">
            <v>0</v>
          </cell>
          <cell r="U572">
            <v>1435</v>
          </cell>
          <cell r="V572">
            <v>0</v>
          </cell>
          <cell r="W572">
            <v>6378432</v>
          </cell>
          <cell r="X572">
            <v>684.96</v>
          </cell>
          <cell r="Y572">
            <v>0</v>
          </cell>
          <cell r="Z572">
            <v>0</v>
          </cell>
          <cell r="AA572">
            <v>684.96</v>
          </cell>
          <cell r="AB572"/>
          <cell r="AC572"/>
          <cell r="AD572"/>
          <cell r="AE572"/>
          <cell r="AF572" t="str">
            <v>UnRegistered</v>
          </cell>
        </row>
        <row r="573">
          <cell r="B573" t="str">
            <v>R3 LG 26</v>
          </cell>
          <cell r="C573" t="str">
            <v>R3</v>
          </cell>
          <cell r="D573" t="str">
            <v>M3M Capital Walk in M3M Capital Phase-2</v>
          </cell>
          <cell r="E573" t="str">
            <v>cwBOOKING/00470/22-23</v>
          </cell>
          <cell r="F573" t="str">
            <v>Mr. MAHENDER SINGH</v>
          </cell>
          <cell r="G573" t="str">
            <v>cwFLAP/00442/22-23</v>
          </cell>
          <cell r="H573" t="str">
            <v>On Application of OC</v>
          </cell>
          <cell r="I573">
            <v>0</v>
          </cell>
          <cell r="J573">
            <v>45065</v>
          </cell>
          <cell r="K573">
            <v>46144</v>
          </cell>
          <cell r="L573">
            <v>46164</v>
          </cell>
          <cell r="M573">
            <v>1499035</v>
          </cell>
          <cell r="N573">
            <v>179884</v>
          </cell>
          <cell r="O573">
            <v>1678919</v>
          </cell>
          <cell r="P573"/>
          <cell r="Q573"/>
          <cell r="R573"/>
          <cell r="S573"/>
          <cell r="T573">
            <v>0</v>
          </cell>
          <cell r="U573">
            <v>60002</v>
          </cell>
          <cell r="V573">
            <v>0</v>
          </cell>
          <cell r="W573">
            <v>1618917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/>
          <cell r="AC573"/>
          <cell r="AD573"/>
          <cell r="AE573"/>
          <cell r="AF573" t="str">
            <v>UnRegistered</v>
          </cell>
        </row>
        <row r="574">
          <cell r="B574" t="str">
            <v>R6 UG 31</v>
          </cell>
          <cell r="C574" t="str">
            <v>R6</v>
          </cell>
          <cell r="D574" t="str">
            <v>M3M Capital Walk in M3M Capital Phase-2</v>
          </cell>
          <cell r="E574" t="str">
            <v>cwBOOKING/00471/22-23</v>
          </cell>
          <cell r="F574" t="str">
            <v>Mr. ANIL KUMAR SAH</v>
          </cell>
          <cell r="G574" t="str">
            <v>cwFLAP/00465/22-23</v>
          </cell>
          <cell r="H574" t="str">
            <v>On Application of OC</v>
          </cell>
          <cell r="I574">
            <v>0</v>
          </cell>
          <cell r="J574">
            <v>45468</v>
          </cell>
          <cell r="K574">
            <v>46144</v>
          </cell>
          <cell r="L574">
            <v>46164</v>
          </cell>
          <cell r="M574">
            <v>6405071</v>
          </cell>
          <cell r="N574">
            <v>768608</v>
          </cell>
          <cell r="O574">
            <v>7173679</v>
          </cell>
          <cell r="P574"/>
          <cell r="Q574"/>
          <cell r="R574"/>
          <cell r="S574"/>
          <cell r="T574">
            <v>0</v>
          </cell>
          <cell r="U574">
            <v>0</v>
          </cell>
          <cell r="V574">
            <v>0</v>
          </cell>
          <cell r="W574">
            <v>7173679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/>
          <cell r="AC574"/>
          <cell r="AD574"/>
          <cell r="AE574"/>
          <cell r="AF574" t="str">
            <v>UnRegistered</v>
          </cell>
        </row>
        <row r="575">
          <cell r="B575" t="str">
            <v>R5 130</v>
          </cell>
          <cell r="C575" t="str">
            <v>R5</v>
          </cell>
          <cell r="D575" t="str">
            <v>M3M Capital Walk in M3M Capital Phase-2</v>
          </cell>
          <cell r="E575" t="str">
            <v>cwBOOKING/00472/22-23</v>
          </cell>
          <cell r="F575" t="str">
            <v>Ms. CHANDRA DUTTA</v>
          </cell>
          <cell r="G575" t="str">
            <v>cwFLAP/00670/22-23</v>
          </cell>
          <cell r="H575" t="str">
            <v>On Application of OC</v>
          </cell>
          <cell r="I575">
            <v>0</v>
          </cell>
          <cell r="J575">
            <v>45042</v>
          </cell>
          <cell r="K575">
            <v>46144</v>
          </cell>
          <cell r="L575">
            <v>46164</v>
          </cell>
          <cell r="M575">
            <v>3966617</v>
          </cell>
          <cell r="N575">
            <v>475994</v>
          </cell>
          <cell r="O575">
            <v>4442611</v>
          </cell>
          <cell r="P575"/>
          <cell r="Q575"/>
          <cell r="R575"/>
          <cell r="S575"/>
          <cell r="T575">
            <v>0</v>
          </cell>
          <cell r="U575">
            <v>0</v>
          </cell>
          <cell r="V575">
            <v>0</v>
          </cell>
          <cell r="W575">
            <v>4442611</v>
          </cell>
          <cell r="X575">
            <v>68079</v>
          </cell>
          <cell r="Y575">
            <v>0</v>
          </cell>
          <cell r="Z575">
            <v>0</v>
          </cell>
          <cell r="AA575">
            <v>68079</v>
          </cell>
          <cell r="AB575"/>
          <cell r="AC575"/>
          <cell r="AD575"/>
          <cell r="AE575"/>
          <cell r="AF575" t="str">
            <v>UnRegistered</v>
          </cell>
        </row>
        <row r="576">
          <cell r="B576" t="str">
            <v>R2 UG 10</v>
          </cell>
          <cell r="C576" t="str">
            <v>R2</v>
          </cell>
          <cell r="D576" t="str">
            <v>M3M Capital Walk in M3M Capital Phase-2</v>
          </cell>
          <cell r="E576" t="str">
            <v>cwBOOKING/00475/22-23</v>
          </cell>
          <cell r="F576" t="str">
            <v>Mr. ANIL SHARMA</v>
          </cell>
          <cell r="G576" t="str">
            <v>cwFLAP/00776/22-23</v>
          </cell>
          <cell r="H576" t="str">
            <v>On Application of OC</v>
          </cell>
          <cell r="I576">
            <v>0</v>
          </cell>
          <cell r="J576">
            <v>45048</v>
          </cell>
          <cell r="K576">
            <v>46144</v>
          </cell>
          <cell r="L576">
            <v>46164</v>
          </cell>
          <cell r="M576">
            <v>4319912</v>
          </cell>
          <cell r="N576">
            <v>518390</v>
          </cell>
          <cell r="O576">
            <v>4838302</v>
          </cell>
          <cell r="P576"/>
          <cell r="Q576"/>
          <cell r="R576"/>
          <cell r="S576"/>
          <cell r="T576">
            <v>0</v>
          </cell>
          <cell r="U576">
            <v>0</v>
          </cell>
          <cell r="V576">
            <v>0</v>
          </cell>
          <cell r="W576">
            <v>4838302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/>
          <cell r="AC576"/>
          <cell r="AD576"/>
          <cell r="AE576"/>
          <cell r="AF576" t="str">
            <v>UnRegistered</v>
          </cell>
        </row>
        <row r="577">
          <cell r="B577" t="str">
            <v>R1 107</v>
          </cell>
          <cell r="C577" t="str">
            <v>R1</v>
          </cell>
          <cell r="D577" t="str">
            <v>M3M Capital Walk in M3M Capital Phase-2</v>
          </cell>
          <cell r="E577" t="str">
            <v>cwBOOKING/00476/22-23</v>
          </cell>
          <cell r="F577" t="str">
            <v>Mr. LALIT ARORA</v>
          </cell>
          <cell r="G577" t="str">
            <v>cwFLAP/00541/22-23</v>
          </cell>
          <cell r="H577" t="str">
            <v>On Application of OC</v>
          </cell>
          <cell r="I577">
            <v>0</v>
          </cell>
          <cell r="J577">
            <v>45233</v>
          </cell>
          <cell r="K577">
            <v>46144</v>
          </cell>
          <cell r="L577">
            <v>46164</v>
          </cell>
          <cell r="M577">
            <v>3359754</v>
          </cell>
          <cell r="N577">
            <v>403170</v>
          </cell>
          <cell r="O577">
            <v>3762924</v>
          </cell>
          <cell r="P577"/>
          <cell r="Q577"/>
          <cell r="R577"/>
          <cell r="S577"/>
          <cell r="T577">
            <v>0</v>
          </cell>
          <cell r="U577">
            <v>0</v>
          </cell>
          <cell r="V577">
            <v>0</v>
          </cell>
          <cell r="W577">
            <v>3762924</v>
          </cell>
          <cell r="X577">
            <v>5046</v>
          </cell>
          <cell r="Y577">
            <v>0</v>
          </cell>
          <cell r="Z577">
            <v>0</v>
          </cell>
          <cell r="AA577">
            <v>5046</v>
          </cell>
          <cell r="AB577"/>
          <cell r="AC577"/>
          <cell r="AD577"/>
          <cell r="AE577"/>
          <cell r="AF577" t="str">
            <v>UnRegistered</v>
          </cell>
        </row>
        <row r="578">
          <cell r="B578" t="str">
            <v>R3 UG 41</v>
          </cell>
          <cell r="C578" t="str">
            <v>R3</v>
          </cell>
          <cell r="D578" t="str">
            <v>M3M Capital Walk in M3M Capital Phase-2</v>
          </cell>
          <cell r="E578" t="str">
            <v>cwBOOKING/00477/22-23</v>
          </cell>
          <cell r="F578" t="str">
            <v>Mr. ABHIJIT SINHA</v>
          </cell>
          <cell r="G578" t="str">
            <v>cwFLAP/00777/22-23</v>
          </cell>
          <cell r="H578" t="str">
            <v>On Application of OC</v>
          </cell>
          <cell r="I578">
            <v>0</v>
          </cell>
          <cell r="J578">
            <v>45100</v>
          </cell>
          <cell r="K578">
            <v>46144</v>
          </cell>
          <cell r="L578">
            <v>46164</v>
          </cell>
          <cell r="M578">
            <v>6264333</v>
          </cell>
          <cell r="N578">
            <v>751720</v>
          </cell>
          <cell r="O578">
            <v>7016053</v>
          </cell>
          <cell r="P578">
            <v>903267.56040000019</v>
          </cell>
          <cell r="Q578"/>
          <cell r="R578"/>
          <cell r="S578">
            <v>108392.10724800001</v>
          </cell>
          <cell r="T578">
            <v>1011659.6676480002</v>
          </cell>
          <cell r="U578">
            <v>0</v>
          </cell>
          <cell r="V578">
            <v>0</v>
          </cell>
          <cell r="W578">
            <v>6004393.3323519994</v>
          </cell>
          <cell r="X578">
            <v>19406</v>
          </cell>
          <cell r="Y578">
            <v>0</v>
          </cell>
          <cell r="Z578">
            <v>19406</v>
          </cell>
          <cell r="AA578">
            <v>0</v>
          </cell>
          <cell r="AB578" t="str">
            <v>Executed</v>
          </cell>
          <cell r="AC578" t="str">
            <v>Yes</v>
          </cell>
          <cell r="AD578">
            <v>6.4806977604026983E-2</v>
          </cell>
          <cell r="AE578" t="str">
            <v>Less than 35%</v>
          </cell>
          <cell r="AF578" t="str">
            <v>UnRegistered</v>
          </cell>
        </row>
        <row r="579">
          <cell r="B579" t="str">
            <v>R3 LG 32</v>
          </cell>
          <cell r="C579" t="str">
            <v>R3</v>
          </cell>
          <cell r="D579" t="str">
            <v>M3M Capital Walk in M3M Capital Phase-2</v>
          </cell>
          <cell r="E579" t="str">
            <v>cwBOOKING/00478/22-23</v>
          </cell>
          <cell r="F579" t="str">
            <v>Ms. ANITA DEVI MALHAN</v>
          </cell>
          <cell r="G579" t="str">
            <v>cwFLAP/00691/22-23</v>
          </cell>
          <cell r="H579" t="str">
            <v>On Application of OC</v>
          </cell>
          <cell r="I579">
            <v>0</v>
          </cell>
          <cell r="J579">
            <v>45252</v>
          </cell>
          <cell r="K579">
            <v>46144</v>
          </cell>
          <cell r="L579">
            <v>46164</v>
          </cell>
          <cell r="M579">
            <v>2356585</v>
          </cell>
          <cell r="N579">
            <v>282790</v>
          </cell>
          <cell r="O579">
            <v>2639375</v>
          </cell>
          <cell r="P579"/>
          <cell r="Q579"/>
          <cell r="R579"/>
          <cell r="S579"/>
          <cell r="T579">
            <v>0</v>
          </cell>
          <cell r="U579">
            <v>0</v>
          </cell>
          <cell r="V579">
            <v>0</v>
          </cell>
          <cell r="W579">
            <v>2639375</v>
          </cell>
          <cell r="X579">
            <v>3546</v>
          </cell>
          <cell r="Y579">
            <v>0</v>
          </cell>
          <cell r="Z579">
            <v>0</v>
          </cell>
          <cell r="AA579">
            <v>3546</v>
          </cell>
          <cell r="AB579"/>
          <cell r="AC579"/>
          <cell r="AD579"/>
          <cell r="AE579"/>
          <cell r="AF579" t="str">
            <v>UnRegistered</v>
          </cell>
        </row>
        <row r="580">
          <cell r="B580" t="str">
            <v>R5 UG 05</v>
          </cell>
          <cell r="C580" t="str">
            <v>R5</v>
          </cell>
          <cell r="D580" t="str">
            <v>M3M Capital Walk in M3M Capital Phase-2</v>
          </cell>
          <cell r="E580" t="str">
            <v>cwBOOKING/00479/22-23</v>
          </cell>
          <cell r="F580" t="str">
            <v>Mr. ASHOK KUMAR WADHAWAN</v>
          </cell>
          <cell r="G580" t="str">
            <v>cwFLAP/00783/22-23</v>
          </cell>
          <cell r="H580" t="str">
            <v>On Application of OC</v>
          </cell>
          <cell r="I580">
            <v>0</v>
          </cell>
          <cell r="J580">
            <v>45002</v>
          </cell>
          <cell r="K580">
            <v>46144</v>
          </cell>
          <cell r="L580">
            <v>46164</v>
          </cell>
          <cell r="M580">
            <v>8305068</v>
          </cell>
          <cell r="N580">
            <v>996608</v>
          </cell>
          <cell r="O580">
            <v>9301676</v>
          </cell>
          <cell r="P580">
            <v>1790663.0723333335</v>
          </cell>
          <cell r="Q580"/>
          <cell r="R580"/>
          <cell r="S580">
            <v>214879.56868000003</v>
          </cell>
          <cell r="T580">
            <v>2005542.6410133336</v>
          </cell>
          <cell r="U580">
            <v>62616</v>
          </cell>
          <cell r="V580">
            <v>0</v>
          </cell>
          <cell r="W580">
            <v>7233517.3589866664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 t="str">
            <v>Executed</v>
          </cell>
          <cell r="AC580" t="str">
            <v>Yes</v>
          </cell>
          <cell r="AD580">
            <v>0.10164409778189133</v>
          </cell>
          <cell r="AE580" t="str">
            <v>Less than 35%</v>
          </cell>
          <cell r="AF580" t="str">
            <v>UnRegistered</v>
          </cell>
        </row>
        <row r="581">
          <cell r="B581" t="str">
            <v>R4 135</v>
          </cell>
          <cell r="C581" t="str">
            <v>R4</v>
          </cell>
          <cell r="D581" t="str">
            <v>M3M Capital Walk in M3M Capital Phase-2</v>
          </cell>
          <cell r="E581" t="str">
            <v>cwBOOKING/00483/22-23</v>
          </cell>
          <cell r="F581" t="str">
            <v>Mr. SATISH KUMAR JOHAR</v>
          </cell>
          <cell r="G581" t="str">
            <v>cwFLAP/00522/22-23</v>
          </cell>
          <cell r="H581" t="str">
            <v>On Application of OC</v>
          </cell>
          <cell r="I581">
            <v>0</v>
          </cell>
          <cell r="J581">
            <v>45316</v>
          </cell>
          <cell r="K581">
            <v>46144</v>
          </cell>
          <cell r="L581">
            <v>46164</v>
          </cell>
          <cell r="M581">
            <v>6157913</v>
          </cell>
          <cell r="N581">
            <v>738950</v>
          </cell>
          <cell r="O581">
            <v>6896863</v>
          </cell>
          <cell r="P581"/>
          <cell r="Q581"/>
          <cell r="R581"/>
          <cell r="S581"/>
          <cell r="T581">
            <v>0</v>
          </cell>
          <cell r="U581">
            <v>1</v>
          </cell>
          <cell r="V581">
            <v>0</v>
          </cell>
          <cell r="W581">
            <v>6896862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/>
          <cell r="AC581"/>
          <cell r="AD581"/>
          <cell r="AE581"/>
          <cell r="AF581" t="str">
            <v>UnRegistered</v>
          </cell>
        </row>
        <row r="582">
          <cell r="B582" t="str">
            <v>R5 LG 32</v>
          </cell>
          <cell r="C582" t="str">
            <v>R5</v>
          </cell>
          <cell r="D582" t="str">
            <v>M3M Capital Walk in M3M Capital Phase-2</v>
          </cell>
          <cell r="E582" t="str">
            <v>cwBOOKING/00484/22-23</v>
          </cell>
          <cell r="F582" t="str">
            <v>Mr. ALOK YADAV</v>
          </cell>
          <cell r="G582" t="str">
            <v>cwFLAP/00406/22-23</v>
          </cell>
          <cell r="H582" t="str">
            <v>On Application of OC</v>
          </cell>
          <cell r="I582">
            <v>0</v>
          </cell>
          <cell r="J582">
            <v>45160</v>
          </cell>
          <cell r="K582">
            <v>46144</v>
          </cell>
          <cell r="L582">
            <v>46164</v>
          </cell>
          <cell r="M582">
            <v>3778055</v>
          </cell>
          <cell r="N582">
            <v>453366</v>
          </cell>
          <cell r="O582">
            <v>4231421</v>
          </cell>
          <cell r="P582">
            <v>341276.95525</v>
          </cell>
          <cell r="Q582"/>
          <cell r="R582"/>
          <cell r="S582">
            <v>40953.234629999999</v>
          </cell>
          <cell r="T582">
            <v>382230.18988000002</v>
          </cell>
          <cell r="U582">
            <v>0</v>
          </cell>
          <cell r="V582">
            <v>0</v>
          </cell>
          <cell r="W582">
            <v>3849190.81012</v>
          </cell>
          <cell r="X582">
            <v>8898</v>
          </cell>
          <cell r="Y582">
            <v>0</v>
          </cell>
          <cell r="Z582">
            <v>0</v>
          </cell>
          <cell r="AA582">
            <v>8898</v>
          </cell>
          <cell r="AB582" t="str">
            <v>Executed</v>
          </cell>
          <cell r="AC582" t="str">
            <v>Yes</v>
          </cell>
          <cell r="AD582">
            <v>5.9563539066356835E-2</v>
          </cell>
          <cell r="AE582" t="str">
            <v>Less than 35%</v>
          </cell>
          <cell r="AF582" t="str">
            <v>UnRegistered</v>
          </cell>
        </row>
        <row r="583">
          <cell r="B583" t="str">
            <v>R6 117</v>
          </cell>
          <cell r="C583" t="str">
            <v>R6</v>
          </cell>
          <cell r="D583" t="str">
            <v>M3M Capital Walk in M3M Capital Phase-2</v>
          </cell>
          <cell r="E583" t="str">
            <v>cwBOOKING/00490/22-23</v>
          </cell>
          <cell r="F583" t="str">
            <v>Ms. KUSUM LATA</v>
          </cell>
          <cell r="G583" t="str">
            <v>cwFLAP/00805/22-23</v>
          </cell>
          <cell r="H583" t="str">
            <v>On Application of OC</v>
          </cell>
          <cell r="I583">
            <v>0</v>
          </cell>
          <cell r="J583">
            <v>45035</v>
          </cell>
          <cell r="K583">
            <v>46144</v>
          </cell>
          <cell r="L583">
            <v>46164</v>
          </cell>
          <cell r="M583">
            <v>5724768</v>
          </cell>
          <cell r="N583">
            <v>686972</v>
          </cell>
          <cell r="O583">
            <v>6411740</v>
          </cell>
          <cell r="P583">
            <v>2444582.0827400004</v>
          </cell>
          <cell r="Q583"/>
          <cell r="R583"/>
          <cell r="S583">
            <v>293349.84992880002</v>
          </cell>
          <cell r="T583">
            <v>2737931.9326688005</v>
          </cell>
          <cell r="U583">
            <v>72754</v>
          </cell>
          <cell r="V583">
            <v>0</v>
          </cell>
          <cell r="W583">
            <v>3601054.0673311995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 t="str">
            <v>Executed</v>
          </cell>
          <cell r="AC583" t="str">
            <v>Yes</v>
          </cell>
          <cell r="AD583">
            <v>0.25621111540967573</v>
          </cell>
          <cell r="AE583" t="str">
            <v>Less than 35%</v>
          </cell>
          <cell r="AF583" t="str">
            <v>UnRegistered</v>
          </cell>
        </row>
        <row r="584">
          <cell r="B584" t="str">
            <v>R6 107</v>
          </cell>
          <cell r="C584" t="str">
            <v>R6</v>
          </cell>
          <cell r="D584" t="str">
            <v>M3M Capital Walk in M3M Capital Phase-2</v>
          </cell>
          <cell r="E584" t="str">
            <v>cwBOOKING/00497/22-23</v>
          </cell>
          <cell r="F584" t="str">
            <v>Mr. SANJEEV BHALLA</v>
          </cell>
          <cell r="G584" t="str">
            <v>cwFLAP/00811/22-23</v>
          </cell>
          <cell r="H584" t="str">
            <v>On Application of OC</v>
          </cell>
          <cell r="I584">
            <v>0</v>
          </cell>
          <cell r="J584">
            <v>45056</v>
          </cell>
          <cell r="K584">
            <v>46144</v>
          </cell>
          <cell r="L584">
            <v>46164</v>
          </cell>
          <cell r="M584">
            <v>6649561</v>
          </cell>
          <cell r="N584">
            <v>797948</v>
          </cell>
          <cell r="O584">
            <v>7447509</v>
          </cell>
          <cell r="P584"/>
          <cell r="Q584"/>
          <cell r="R584"/>
          <cell r="S584"/>
          <cell r="T584">
            <v>0</v>
          </cell>
          <cell r="U584">
            <v>1</v>
          </cell>
          <cell r="V584">
            <v>0</v>
          </cell>
          <cell r="W584">
            <v>7447508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/>
          <cell r="AC584"/>
          <cell r="AD584"/>
          <cell r="AE584"/>
          <cell r="AF584" t="str">
            <v>UnRegistered</v>
          </cell>
        </row>
        <row r="585">
          <cell r="B585" t="str">
            <v>R3 LG 48</v>
          </cell>
          <cell r="C585" t="str">
            <v>R3</v>
          </cell>
          <cell r="D585" t="str">
            <v>M3M Capital Walk in M3M Capital Phase-2</v>
          </cell>
          <cell r="E585" t="str">
            <v>cwBOOKING/00499/22-23</v>
          </cell>
          <cell r="F585" t="str">
            <v>Mr. BIKASH KALITA</v>
          </cell>
          <cell r="G585" t="str">
            <v>cwFLAP/00818/22-23</v>
          </cell>
          <cell r="H585" t="str">
            <v>On Application of OC</v>
          </cell>
          <cell r="I585">
            <v>0</v>
          </cell>
          <cell r="J585">
            <v>45091</v>
          </cell>
          <cell r="K585">
            <v>46144</v>
          </cell>
          <cell r="L585">
            <v>46164</v>
          </cell>
          <cell r="M585">
            <v>2449345</v>
          </cell>
          <cell r="N585">
            <v>293922</v>
          </cell>
          <cell r="O585">
            <v>2743267</v>
          </cell>
          <cell r="P585"/>
          <cell r="Q585"/>
          <cell r="R585"/>
          <cell r="S585"/>
          <cell r="T585">
            <v>0</v>
          </cell>
          <cell r="U585">
            <v>0</v>
          </cell>
          <cell r="V585">
            <v>0</v>
          </cell>
          <cell r="W585">
            <v>2743267</v>
          </cell>
          <cell r="X585">
            <v>7.84</v>
          </cell>
          <cell r="Y585">
            <v>0</v>
          </cell>
          <cell r="Z585">
            <v>0</v>
          </cell>
          <cell r="AA585">
            <v>7.84</v>
          </cell>
          <cell r="AB585"/>
          <cell r="AC585"/>
          <cell r="AD585"/>
          <cell r="AE585"/>
          <cell r="AF585" t="str">
            <v>UnRegistered</v>
          </cell>
        </row>
        <row r="586">
          <cell r="B586" t="str">
            <v>R1 155</v>
          </cell>
          <cell r="C586" t="str">
            <v>R1</v>
          </cell>
          <cell r="D586" t="str">
            <v>M3M Capital Walk in M3M Capital Phase-2</v>
          </cell>
          <cell r="E586" t="str">
            <v>cwBOOKING/00500/22-23</v>
          </cell>
          <cell r="F586" t="str">
            <v>Ms. ANITA</v>
          </cell>
          <cell r="G586" t="str">
            <v>cwFLAP/00374/22-23</v>
          </cell>
          <cell r="H586" t="str">
            <v>On Application of OC</v>
          </cell>
          <cell r="I586">
            <v>0</v>
          </cell>
          <cell r="J586">
            <v>45295</v>
          </cell>
          <cell r="K586">
            <v>46144</v>
          </cell>
          <cell r="L586">
            <v>46164</v>
          </cell>
          <cell r="M586">
            <v>368763</v>
          </cell>
          <cell r="N586">
            <v>44252</v>
          </cell>
          <cell r="O586">
            <v>413015</v>
          </cell>
          <cell r="P586"/>
          <cell r="Q586"/>
          <cell r="R586"/>
          <cell r="S586"/>
          <cell r="T586">
            <v>0</v>
          </cell>
          <cell r="U586">
            <v>0</v>
          </cell>
          <cell r="V586">
            <v>0</v>
          </cell>
          <cell r="W586">
            <v>413015</v>
          </cell>
          <cell r="X586">
            <v>3806</v>
          </cell>
          <cell r="Y586">
            <v>0</v>
          </cell>
          <cell r="Z586">
            <v>0</v>
          </cell>
          <cell r="AA586">
            <v>3806</v>
          </cell>
          <cell r="AB586"/>
          <cell r="AC586"/>
          <cell r="AD586"/>
          <cell r="AE586"/>
          <cell r="AF586" t="str">
            <v>UnRegistered</v>
          </cell>
        </row>
        <row r="587">
          <cell r="B587" t="str">
            <v>R4 UG 08</v>
          </cell>
          <cell r="C587" t="str">
            <v>R4</v>
          </cell>
          <cell r="D587" t="str">
            <v>M3M Capital Walk in M3M Capital Phase-2</v>
          </cell>
          <cell r="E587" t="str">
            <v>cwBOOKING/00501/22-23</v>
          </cell>
          <cell r="F587" t="str">
            <v>Mr. BRAHMA NAND HARIT</v>
          </cell>
          <cell r="G587" t="str">
            <v>cwFLAP/00293/22-23</v>
          </cell>
          <cell r="H587" t="str">
            <v>On Application of OC</v>
          </cell>
          <cell r="I587">
            <v>0</v>
          </cell>
          <cell r="J587">
            <v>45064</v>
          </cell>
          <cell r="K587">
            <v>46144</v>
          </cell>
          <cell r="L587">
            <v>46164</v>
          </cell>
          <cell r="M587">
            <v>6095024</v>
          </cell>
          <cell r="N587">
            <v>731402</v>
          </cell>
          <cell r="O587">
            <v>6826426</v>
          </cell>
          <cell r="P587">
            <v>1500861.0480000002</v>
          </cell>
          <cell r="Q587"/>
          <cell r="R587"/>
          <cell r="S587">
            <v>180103.32576000001</v>
          </cell>
          <cell r="T587">
            <v>1680964.3737600001</v>
          </cell>
          <cell r="U587">
            <v>1</v>
          </cell>
          <cell r="V587">
            <v>1</v>
          </cell>
          <cell r="W587">
            <v>5145461.6262400001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 t="str">
            <v>Executed</v>
          </cell>
          <cell r="AC587" t="str">
            <v>Yes</v>
          </cell>
          <cell r="AD587">
            <v>0.12333238200010478</v>
          </cell>
          <cell r="AE587" t="str">
            <v>Less than 35%</v>
          </cell>
          <cell r="AF587" t="str">
            <v>UnRegistered</v>
          </cell>
        </row>
        <row r="588">
          <cell r="B588" t="str">
            <v>R6 UG 05</v>
          </cell>
          <cell r="C588" t="str">
            <v>R6</v>
          </cell>
          <cell r="D588" t="str">
            <v>M3M Capital Walk in M3M Capital Phase-2</v>
          </cell>
          <cell r="E588" t="str">
            <v>cwBOOKING/00502/22-23</v>
          </cell>
          <cell r="F588" t="str">
            <v>Mr. Mahesh Kumar</v>
          </cell>
          <cell r="G588" t="str">
            <v>cwFLAP/00624/22-23</v>
          </cell>
          <cell r="H588" t="str">
            <v>On Application of OC</v>
          </cell>
          <cell r="I588">
            <v>0</v>
          </cell>
          <cell r="J588">
            <v>45041</v>
          </cell>
          <cell r="K588">
            <v>46144</v>
          </cell>
          <cell r="L588">
            <v>46164</v>
          </cell>
          <cell r="M588">
            <v>3428898</v>
          </cell>
          <cell r="N588">
            <v>411468</v>
          </cell>
          <cell r="O588">
            <v>3840366</v>
          </cell>
          <cell r="P588"/>
          <cell r="Q588"/>
          <cell r="R588"/>
          <cell r="S588"/>
          <cell r="T588">
            <v>0</v>
          </cell>
          <cell r="U588">
            <v>1646.45</v>
          </cell>
          <cell r="V588">
            <v>0</v>
          </cell>
          <cell r="W588">
            <v>3838719.55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/>
          <cell r="AC588"/>
          <cell r="AD588"/>
          <cell r="AE588"/>
          <cell r="AF588" t="str">
            <v>UnRegistered</v>
          </cell>
        </row>
        <row r="589">
          <cell r="B589" t="str">
            <v>R5 UG 41</v>
          </cell>
          <cell r="C589" t="str">
            <v>R5</v>
          </cell>
          <cell r="D589" t="str">
            <v>M3M Capital Walk in M3M Capital Phase-2</v>
          </cell>
          <cell r="E589" t="str">
            <v>cwBOOKING/00503/22-23</v>
          </cell>
          <cell r="F589" t="str">
            <v>Ms. BONDADA LAKSHMI SAILAJA</v>
          </cell>
          <cell r="G589" t="str">
            <v>cwFLAP/00828/22-23</v>
          </cell>
          <cell r="H589" t="str">
            <v>On Application of OC</v>
          </cell>
          <cell r="I589">
            <v>0</v>
          </cell>
          <cell r="J589">
            <v>45021</v>
          </cell>
          <cell r="K589">
            <v>46144</v>
          </cell>
          <cell r="L589">
            <v>46164</v>
          </cell>
          <cell r="M589">
            <v>2120111</v>
          </cell>
          <cell r="N589">
            <v>254414</v>
          </cell>
          <cell r="O589">
            <v>2374525</v>
          </cell>
          <cell r="P589">
            <v>1145122.1509499997</v>
          </cell>
          <cell r="Q589"/>
          <cell r="R589"/>
          <cell r="S589">
            <v>137414.65811399996</v>
          </cell>
          <cell r="T589">
            <v>1282536.8090639997</v>
          </cell>
          <cell r="U589">
            <v>0</v>
          </cell>
          <cell r="V589">
            <v>0</v>
          </cell>
          <cell r="W589">
            <v>1091988.1909360003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 t="str">
            <v>Executed</v>
          </cell>
          <cell r="AC589" t="str">
            <v>Yes</v>
          </cell>
          <cell r="AD589">
            <v>0.37808675288782179</v>
          </cell>
          <cell r="AE589" t="str">
            <v>Above 35%</v>
          </cell>
          <cell r="AF589" t="str">
            <v>UnRegistered</v>
          </cell>
        </row>
        <row r="590">
          <cell r="B590" t="str">
            <v>R1 LG 09</v>
          </cell>
          <cell r="C590" t="str">
            <v>R1</v>
          </cell>
          <cell r="D590" t="str">
            <v>M3M Capital Walk in M3M Capital Phase-2</v>
          </cell>
          <cell r="E590" t="str">
            <v>cwBOOKING/00504/22-23</v>
          </cell>
          <cell r="F590" t="str">
            <v>Ms. ABHA KALRA</v>
          </cell>
          <cell r="G590" t="str">
            <v>cwFLAP/00829/22-23</v>
          </cell>
          <cell r="H590" t="str">
            <v>On Application of OC</v>
          </cell>
          <cell r="I590">
            <v>0</v>
          </cell>
          <cell r="J590">
            <v>45371</v>
          </cell>
          <cell r="K590">
            <v>46144</v>
          </cell>
          <cell r="L590">
            <v>46164</v>
          </cell>
          <cell r="M590">
            <v>6926368</v>
          </cell>
          <cell r="N590">
            <v>831164</v>
          </cell>
          <cell r="O590">
            <v>7757532</v>
          </cell>
          <cell r="P590">
            <v>1219680.1866666668</v>
          </cell>
          <cell r="Q590"/>
          <cell r="R590"/>
          <cell r="S590">
            <v>146361.62239999999</v>
          </cell>
          <cell r="T590">
            <v>1366041.8090666668</v>
          </cell>
          <cell r="U590">
            <v>0</v>
          </cell>
          <cell r="V590">
            <v>0</v>
          </cell>
          <cell r="W590">
            <v>6391490.1909333337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 t="str">
            <v>Executed</v>
          </cell>
          <cell r="AC590" t="str">
            <v>Yes</v>
          </cell>
          <cell r="AD590">
            <v>6.9073154072241766E-2</v>
          </cell>
          <cell r="AE590" t="str">
            <v>Less than 35%</v>
          </cell>
          <cell r="AF590" t="str">
            <v>UnRegistered</v>
          </cell>
        </row>
        <row r="591">
          <cell r="B591" t="str">
            <v>R1 129</v>
          </cell>
          <cell r="C591" t="str">
            <v>R1</v>
          </cell>
          <cell r="D591" t="str">
            <v>M3M Capital Walk in M3M Capital Phase-2</v>
          </cell>
          <cell r="E591" t="str">
            <v>cwBOOKING/00505/22-23</v>
          </cell>
          <cell r="F591" t="str">
            <v>Ms. NITA NIJHARA</v>
          </cell>
          <cell r="G591" t="str">
            <v>cwFLAP/00678/22-23</v>
          </cell>
          <cell r="H591" t="str">
            <v>On Application of OC</v>
          </cell>
          <cell r="I591">
            <v>0</v>
          </cell>
          <cell r="J591">
            <v>45448</v>
          </cell>
          <cell r="K591">
            <v>46144</v>
          </cell>
          <cell r="L591">
            <v>46164</v>
          </cell>
          <cell r="M591">
            <v>6013675</v>
          </cell>
          <cell r="N591">
            <v>721642</v>
          </cell>
          <cell r="O591">
            <v>6735317</v>
          </cell>
          <cell r="P591"/>
          <cell r="Q591"/>
          <cell r="R591"/>
          <cell r="S591"/>
          <cell r="T591">
            <v>0</v>
          </cell>
          <cell r="U591">
            <v>0</v>
          </cell>
          <cell r="V591">
            <v>2</v>
          </cell>
          <cell r="W591">
            <v>6735319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/>
          <cell r="AC591"/>
          <cell r="AD591"/>
          <cell r="AE591"/>
          <cell r="AF591" t="str">
            <v>UnRegistered</v>
          </cell>
        </row>
        <row r="592">
          <cell r="B592" t="str">
            <v>R1 125</v>
          </cell>
          <cell r="C592" t="str">
            <v>R1</v>
          </cell>
          <cell r="D592" t="str">
            <v>M3M Capital Walk in M3M Capital Phase-2</v>
          </cell>
          <cell r="E592" t="str">
            <v>cwBOOKING/00506/22-23</v>
          </cell>
          <cell r="F592" t="str">
            <v>Ms. ELEAROSE FRANCO CHOUDHURY</v>
          </cell>
          <cell r="G592" t="str">
            <v>cwFLAP/00684/22-23</v>
          </cell>
          <cell r="H592" t="str">
            <v>On Application of OC</v>
          </cell>
          <cell r="I592">
            <v>0</v>
          </cell>
          <cell r="J592">
            <v>45289</v>
          </cell>
          <cell r="K592">
            <v>46144</v>
          </cell>
          <cell r="L592">
            <v>46164</v>
          </cell>
          <cell r="M592">
            <v>6013675</v>
          </cell>
          <cell r="N592">
            <v>721642</v>
          </cell>
          <cell r="O592">
            <v>6735317</v>
          </cell>
          <cell r="P592"/>
          <cell r="Q592"/>
          <cell r="R592"/>
          <cell r="S592"/>
          <cell r="T592">
            <v>0</v>
          </cell>
          <cell r="U592">
            <v>84</v>
          </cell>
          <cell r="V592">
            <v>0</v>
          </cell>
          <cell r="W592">
            <v>6735233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/>
          <cell r="AC592"/>
          <cell r="AD592"/>
          <cell r="AE592"/>
          <cell r="AF592" t="str">
            <v>UnRegistered</v>
          </cell>
        </row>
        <row r="593">
          <cell r="B593" t="str">
            <v>R1 136</v>
          </cell>
          <cell r="C593" t="str">
            <v>R1</v>
          </cell>
          <cell r="D593" t="str">
            <v>M3M Capital Walk in M3M Capital Phase-2</v>
          </cell>
          <cell r="E593" t="str">
            <v>cwBOOKING/00508/22-23</v>
          </cell>
          <cell r="F593" t="str">
            <v>Ms. SUNITA DEVI</v>
          </cell>
          <cell r="G593" t="str">
            <v>cwFLAP/00712/22-23</v>
          </cell>
          <cell r="H593" t="str">
            <v>On Application of OC</v>
          </cell>
          <cell r="I593">
            <v>0</v>
          </cell>
          <cell r="J593">
            <v>45135</v>
          </cell>
          <cell r="K593">
            <v>46144</v>
          </cell>
          <cell r="L593">
            <v>46164</v>
          </cell>
          <cell r="M593">
            <v>5096728</v>
          </cell>
          <cell r="N593">
            <v>611608</v>
          </cell>
          <cell r="O593">
            <v>5708336</v>
          </cell>
          <cell r="P593"/>
          <cell r="Q593"/>
          <cell r="R593"/>
          <cell r="S593"/>
          <cell r="T593">
            <v>0</v>
          </cell>
          <cell r="U593">
            <v>0</v>
          </cell>
          <cell r="V593">
            <v>2</v>
          </cell>
          <cell r="W593">
            <v>5708338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/>
          <cell r="AC593"/>
          <cell r="AD593"/>
          <cell r="AE593"/>
          <cell r="AF593" t="str">
            <v>UnRegistered</v>
          </cell>
        </row>
        <row r="594">
          <cell r="B594" t="str">
            <v>R3 LG 35</v>
          </cell>
          <cell r="C594" t="str">
            <v>R3</v>
          </cell>
          <cell r="D594" t="str">
            <v>M3M Capital Walk in M3M Capital Phase-2</v>
          </cell>
          <cell r="E594" t="str">
            <v>cwBOOKING/00509/22-23</v>
          </cell>
          <cell r="F594" t="str">
            <v>Ms. URVI MALHOTRA</v>
          </cell>
          <cell r="G594" t="str">
            <v>cwFLAP/00755/22-23</v>
          </cell>
          <cell r="H594" t="str">
            <v>On Application of OC</v>
          </cell>
          <cell r="I594">
            <v>0</v>
          </cell>
          <cell r="J594">
            <v>45072</v>
          </cell>
          <cell r="K594">
            <v>46144</v>
          </cell>
          <cell r="L594">
            <v>46164</v>
          </cell>
          <cell r="M594">
            <v>2425061</v>
          </cell>
          <cell r="N594">
            <v>291008</v>
          </cell>
          <cell r="O594">
            <v>2716069</v>
          </cell>
          <cell r="P594"/>
          <cell r="Q594"/>
          <cell r="R594"/>
          <cell r="S594"/>
          <cell r="T594">
            <v>0</v>
          </cell>
          <cell r="U594">
            <v>0</v>
          </cell>
          <cell r="V594">
            <v>0</v>
          </cell>
          <cell r="W594">
            <v>2716069</v>
          </cell>
          <cell r="X594">
            <v>247</v>
          </cell>
          <cell r="Y594">
            <v>0</v>
          </cell>
          <cell r="Z594">
            <v>0</v>
          </cell>
          <cell r="AA594">
            <v>247</v>
          </cell>
          <cell r="AB594"/>
          <cell r="AC594"/>
          <cell r="AD594"/>
          <cell r="AE594"/>
          <cell r="AF594" t="str">
            <v>UnRegistered</v>
          </cell>
        </row>
        <row r="595">
          <cell r="B595" t="str">
            <v>R3 LG 52</v>
          </cell>
          <cell r="C595" t="str">
            <v>R3</v>
          </cell>
          <cell r="D595" t="str">
            <v>M3M Capital Walk in M3M Capital Phase-2</v>
          </cell>
          <cell r="E595" t="str">
            <v>cwBOOKING/00510/22-23</v>
          </cell>
          <cell r="F595" t="str">
            <v>Ms. JYOTI KATHURIA</v>
          </cell>
          <cell r="G595" t="str">
            <v>cwFLAP/00836/22-23</v>
          </cell>
          <cell r="H595" t="str">
            <v>On Application of OC</v>
          </cell>
          <cell r="I595">
            <v>0</v>
          </cell>
          <cell r="J595">
            <v>45170</v>
          </cell>
          <cell r="K595">
            <v>46144</v>
          </cell>
          <cell r="L595">
            <v>46164</v>
          </cell>
          <cell r="M595">
            <v>3140559</v>
          </cell>
          <cell r="N595">
            <v>376868</v>
          </cell>
          <cell r="O595">
            <v>3517427</v>
          </cell>
          <cell r="P595"/>
          <cell r="Q595"/>
          <cell r="R595"/>
          <cell r="S595">
            <v>0</v>
          </cell>
          <cell r="T595">
            <v>0</v>
          </cell>
          <cell r="U595">
            <v>2</v>
          </cell>
          <cell r="V595">
            <v>0</v>
          </cell>
          <cell r="W595">
            <v>3517425</v>
          </cell>
          <cell r="X595">
            <v>10535</v>
          </cell>
          <cell r="Y595">
            <v>0</v>
          </cell>
          <cell r="Z595">
            <v>0</v>
          </cell>
          <cell r="AA595">
            <v>10535</v>
          </cell>
          <cell r="AB595"/>
          <cell r="AC595"/>
          <cell r="AD595">
            <v>0</v>
          </cell>
          <cell r="AE595" t="str">
            <v>Less than 35%</v>
          </cell>
          <cell r="AF595" t="str">
            <v>UnRegistered</v>
          </cell>
        </row>
        <row r="596">
          <cell r="B596" t="str">
            <v>R1 UG 08</v>
          </cell>
          <cell r="C596" t="str">
            <v>R1</v>
          </cell>
          <cell r="D596" t="str">
            <v>M3M Capital Walk in M3M Capital Phase-2</v>
          </cell>
          <cell r="E596" t="str">
            <v>cwBOOKING/00512/22-23</v>
          </cell>
          <cell r="F596" t="str">
            <v>Ms. SONIYA KUMARI</v>
          </cell>
          <cell r="G596" t="str">
            <v>cwFLAP/00837/22-23</v>
          </cell>
          <cell r="H596" t="str">
            <v>On Application of OC</v>
          </cell>
          <cell r="I596">
            <v>0</v>
          </cell>
          <cell r="J596">
            <v>45156</v>
          </cell>
          <cell r="K596">
            <v>46144</v>
          </cell>
          <cell r="L596">
            <v>46164</v>
          </cell>
          <cell r="M596">
            <v>3604203</v>
          </cell>
          <cell r="N596">
            <v>432504</v>
          </cell>
          <cell r="O596">
            <v>4036707</v>
          </cell>
          <cell r="P596"/>
          <cell r="Q596"/>
          <cell r="R596"/>
          <cell r="S596"/>
          <cell r="T596">
            <v>0</v>
          </cell>
          <cell r="U596">
            <v>0</v>
          </cell>
          <cell r="V596">
            <v>0</v>
          </cell>
          <cell r="W596">
            <v>4036707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/>
          <cell r="AC596"/>
          <cell r="AD596"/>
          <cell r="AE596"/>
          <cell r="AF596" t="str">
            <v>UnRegistered</v>
          </cell>
        </row>
        <row r="597">
          <cell r="B597" t="str">
            <v>R4 UG 12A</v>
          </cell>
          <cell r="C597" t="str">
            <v>R4</v>
          </cell>
          <cell r="D597" t="str">
            <v>M3M Capital Walk in M3M Capital Phase-2</v>
          </cell>
          <cell r="E597" t="str">
            <v>cwBOOKING/00513/22-23</v>
          </cell>
          <cell r="F597" t="str">
            <v>Ms. SARITA SINGH</v>
          </cell>
          <cell r="G597" t="str">
            <v>cwFLAP/00839/22-23</v>
          </cell>
          <cell r="H597" t="str">
            <v>On Application of OC</v>
          </cell>
          <cell r="I597">
            <v>0</v>
          </cell>
          <cell r="J597">
            <v>45457</v>
          </cell>
          <cell r="K597">
            <v>46144</v>
          </cell>
          <cell r="L597">
            <v>46164</v>
          </cell>
          <cell r="M597">
            <v>5416298</v>
          </cell>
          <cell r="N597">
            <v>649956</v>
          </cell>
          <cell r="O597">
            <v>6066254</v>
          </cell>
          <cell r="P597">
            <v>3637880.4350000001</v>
          </cell>
          <cell r="Q597"/>
          <cell r="R597"/>
          <cell r="S597">
            <v>436545.65220000001</v>
          </cell>
          <cell r="T597">
            <v>4074426.0872</v>
          </cell>
          <cell r="U597">
            <v>1</v>
          </cell>
          <cell r="V597">
            <v>0</v>
          </cell>
          <cell r="W597">
            <v>1991826.9128</v>
          </cell>
          <cell r="X597">
            <v>308383</v>
          </cell>
          <cell r="Y597">
            <v>308383</v>
          </cell>
          <cell r="Z597">
            <v>0</v>
          </cell>
          <cell r="AA597">
            <v>0</v>
          </cell>
          <cell r="AB597" t="str">
            <v>Executed</v>
          </cell>
          <cell r="AC597" t="str">
            <v>Yes</v>
          </cell>
          <cell r="AD597">
            <v>0.18660952788879492</v>
          </cell>
          <cell r="AE597" t="str">
            <v>Less than 35%</v>
          </cell>
          <cell r="AF597" t="str">
            <v>UnRegistered</v>
          </cell>
        </row>
        <row r="598">
          <cell r="B598" t="str">
            <v>R5 UG 06</v>
          </cell>
          <cell r="C598" t="str">
            <v>R5</v>
          </cell>
          <cell r="D598" t="str">
            <v>M3M Capital Walk in M3M Capital Phase-2</v>
          </cell>
          <cell r="E598" t="str">
            <v>cwBOOKING/00514/22-23</v>
          </cell>
          <cell r="F598" t="str">
            <v>Ms. MANISHA SINGHAL</v>
          </cell>
          <cell r="G598" t="str">
            <v>cwFLAP/00655/22-23</v>
          </cell>
          <cell r="H598" t="str">
            <v>On Application of OC</v>
          </cell>
          <cell r="I598">
            <v>0</v>
          </cell>
          <cell r="J598">
            <v>45089</v>
          </cell>
          <cell r="K598">
            <v>46144</v>
          </cell>
          <cell r="L598">
            <v>46164</v>
          </cell>
          <cell r="M598">
            <v>11041699</v>
          </cell>
          <cell r="N598">
            <v>1325004</v>
          </cell>
          <cell r="O598">
            <v>12366703</v>
          </cell>
          <cell r="P598">
            <v>3034694.9497599998</v>
          </cell>
          <cell r="Q598"/>
          <cell r="R598"/>
          <cell r="S598">
            <v>364163.39397119998</v>
          </cell>
          <cell r="T598">
            <v>3398858.3437311999</v>
          </cell>
          <cell r="U598">
            <v>132000</v>
          </cell>
          <cell r="V598">
            <v>0</v>
          </cell>
          <cell r="W598">
            <v>8835844.6562687997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 t="str">
            <v>Executed</v>
          </cell>
          <cell r="AC598" t="str">
            <v>Yes</v>
          </cell>
          <cell r="AD598">
            <v>0.14343176438851465</v>
          </cell>
          <cell r="AE598" t="str">
            <v>Less than 35%</v>
          </cell>
          <cell r="AF598" t="str">
            <v>UnRegistered</v>
          </cell>
        </row>
        <row r="599">
          <cell r="B599" t="str">
            <v>R3 LG 34</v>
          </cell>
          <cell r="C599" t="str">
            <v>R3</v>
          </cell>
          <cell r="D599" t="str">
            <v>M3M Capital Walk in M3M Capital Phase-2</v>
          </cell>
          <cell r="E599" t="str">
            <v>cwBOOKING/00515/22-23</v>
          </cell>
          <cell r="F599" t="str">
            <v>Mr. UDAY VIR BENIWAL</v>
          </cell>
          <cell r="G599" t="str">
            <v>cwFLAP/00758/22-23</v>
          </cell>
          <cell r="H599" t="str">
            <v>On Application of OC</v>
          </cell>
          <cell r="I599">
            <v>0</v>
          </cell>
          <cell r="J599">
            <v>45064</v>
          </cell>
          <cell r="K599">
            <v>46144</v>
          </cell>
          <cell r="L599">
            <v>46164</v>
          </cell>
          <cell r="M599">
            <v>2068564</v>
          </cell>
          <cell r="N599">
            <v>248228</v>
          </cell>
          <cell r="O599">
            <v>2316792</v>
          </cell>
          <cell r="P599"/>
          <cell r="Q599"/>
          <cell r="R599"/>
          <cell r="S599"/>
          <cell r="T599">
            <v>0</v>
          </cell>
          <cell r="U599">
            <v>25922</v>
          </cell>
          <cell r="V599">
            <v>0</v>
          </cell>
          <cell r="W599">
            <v>2290870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/>
          <cell r="AC599"/>
          <cell r="AD599"/>
          <cell r="AE599"/>
          <cell r="AF599" t="str">
            <v>UnRegistered</v>
          </cell>
        </row>
        <row r="600">
          <cell r="B600" t="str">
            <v>R4 UG 14</v>
          </cell>
          <cell r="C600" t="str">
            <v>R4</v>
          </cell>
          <cell r="D600" t="str">
            <v>M3M Capital Walk in M3M Capital Phase-2</v>
          </cell>
          <cell r="E600" t="str">
            <v>cwBOOKING/00516/22-23</v>
          </cell>
          <cell r="F600" t="str">
            <v>Ms. SUSHMA RANI</v>
          </cell>
          <cell r="G600" t="str">
            <v>cwFLAP/00842/22-23</v>
          </cell>
          <cell r="H600" t="str">
            <v>On Application of OC</v>
          </cell>
          <cell r="I600">
            <v>0</v>
          </cell>
          <cell r="J600">
            <v>45048</v>
          </cell>
          <cell r="K600">
            <v>46144</v>
          </cell>
          <cell r="L600">
            <v>46164</v>
          </cell>
          <cell r="M600">
            <v>7138694</v>
          </cell>
          <cell r="N600">
            <v>856644</v>
          </cell>
          <cell r="O600">
            <v>7995338</v>
          </cell>
          <cell r="P600"/>
          <cell r="Q600"/>
          <cell r="R600"/>
          <cell r="S600"/>
          <cell r="T600">
            <v>0</v>
          </cell>
          <cell r="U600">
            <v>0.01</v>
          </cell>
          <cell r="V600">
            <v>0</v>
          </cell>
          <cell r="W600">
            <v>7995337.9900000002</v>
          </cell>
          <cell r="X600">
            <v>2987</v>
          </cell>
          <cell r="Y600">
            <v>0</v>
          </cell>
          <cell r="Z600">
            <v>0</v>
          </cell>
          <cell r="AA600">
            <v>2987</v>
          </cell>
          <cell r="AB600"/>
          <cell r="AC600"/>
          <cell r="AD600"/>
          <cell r="AE600"/>
          <cell r="AF600" t="str">
            <v>UnRegistered</v>
          </cell>
        </row>
        <row r="601">
          <cell r="B601" t="str">
            <v>R5 UG 31</v>
          </cell>
          <cell r="C601" t="str">
            <v>R5</v>
          </cell>
          <cell r="D601" t="str">
            <v>M3M Capital Walk in M3M Capital Phase-2</v>
          </cell>
          <cell r="E601" t="str">
            <v>cwBOOKING/00517/22-23</v>
          </cell>
          <cell r="F601" t="str">
            <v>Ms. MEGHA GUPTA</v>
          </cell>
          <cell r="G601" t="str">
            <v>cwFLAP/00843/22-23</v>
          </cell>
          <cell r="H601" t="str">
            <v>On Application of OC</v>
          </cell>
          <cell r="I601">
            <v>0</v>
          </cell>
          <cell r="J601">
            <v>45086</v>
          </cell>
          <cell r="K601">
            <v>46144</v>
          </cell>
          <cell r="L601">
            <v>46164</v>
          </cell>
          <cell r="M601">
            <v>2181045</v>
          </cell>
          <cell r="N601">
            <v>261726</v>
          </cell>
          <cell r="O601">
            <v>2442771</v>
          </cell>
          <cell r="P601"/>
          <cell r="Q601"/>
          <cell r="R601"/>
          <cell r="S601"/>
          <cell r="T601">
            <v>0</v>
          </cell>
          <cell r="U601">
            <v>0</v>
          </cell>
          <cell r="V601">
            <v>0</v>
          </cell>
          <cell r="W601">
            <v>2442771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/>
          <cell r="AC601"/>
          <cell r="AD601"/>
          <cell r="AE601"/>
          <cell r="AF601" t="str">
            <v>UnRegistered</v>
          </cell>
        </row>
        <row r="602">
          <cell r="B602" t="str">
            <v>R5 172</v>
          </cell>
          <cell r="C602" t="str">
            <v>R5</v>
          </cell>
          <cell r="D602" t="str">
            <v>M3M Capital Walk in M3M Capital Phase-2</v>
          </cell>
          <cell r="E602" t="str">
            <v>cwBOOKING/00518/22-23</v>
          </cell>
          <cell r="F602" t="str">
            <v>Mr. TANISHQ UPADHAYAY</v>
          </cell>
          <cell r="G602" t="str">
            <v>cwFLAP/00244/22-23</v>
          </cell>
          <cell r="H602" t="str">
            <v>On Application of OC</v>
          </cell>
          <cell r="I602">
            <v>0</v>
          </cell>
          <cell r="J602">
            <v>45093</v>
          </cell>
          <cell r="K602">
            <v>46144</v>
          </cell>
          <cell r="L602">
            <v>46164</v>
          </cell>
          <cell r="M602">
            <v>1855234</v>
          </cell>
          <cell r="N602">
            <v>222628</v>
          </cell>
          <cell r="O602">
            <v>2077862</v>
          </cell>
          <cell r="P602"/>
          <cell r="Q602"/>
          <cell r="R602"/>
          <cell r="S602"/>
          <cell r="T602">
            <v>0</v>
          </cell>
          <cell r="U602">
            <v>16920</v>
          </cell>
          <cell r="V602">
            <v>0</v>
          </cell>
          <cell r="W602">
            <v>2060942</v>
          </cell>
          <cell r="X602">
            <v>2588</v>
          </cell>
          <cell r="Y602">
            <v>0</v>
          </cell>
          <cell r="Z602">
            <v>0</v>
          </cell>
          <cell r="AA602">
            <v>2588</v>
          </cell>
          <cell r="AB602"/>
          <cell r="AC602"/>
          <cell r="AD602"/>
          <cell r="AE602"/>
          <cell r="AF602" t="str">
            <v>UnRegistered</v>
          </cell>
        </row>
        <row r="603">
          <cell r="B603" t="str">
            <v>R5 114</v>
          </cell>
          <cell r="C603" t="str">
            <v>R5</v>
          </cell>
          <cell r="D603" t="str">
            <v>M3M Capital Walk in M3M Capital Phase-2</v>
          </cell>
          <cell r="E603" t="str">
            <v>cwBOOKING/00519/22-23</v>
          </cell>
          <cell r="F603" t="str">
            <v>Mr. DEEPINDER SINGH</v>
          </cell>
          <cell r="G603" t="str">
            <v>cwFLAP/00480/22-23</v>
          </cell>
          <cell r="H603" t="str">
            <v>On Application of OC</v>
          </cell>
          <cell r="I603">
            <v>0</v>
          </cell>
          <cell r="J603">
            <v>45054</v>
          </cell>
          <cell r="K603">
            <v>46144</v>
          </cell>
          <cell r="L603">
            <v>46164</v>
          </cell>
          <cell r="M603">
            <v>7407884</v>
          </cell>
          <cell r="N603">
            <v>888946</v>
          </cell>
          <cell r="O603">
            <v>8296830</v>
          </cell>
          <cell r="P603"/>
          <cell r="Q603"/>
          <cell r="R603"/>
          <cell r="S603"/>
          <cell r="T603">
            <v>0</v>
          </cell>
          <cell r="U603">
            <v>0</v>
          </cell>
          <cell r="V603">
            <v>0</v>
          </cell>
          <cell r="W603">
            <v>8296830</v>
          </cell>
          <cell r="X603">
            <v>1076.2</v>
          </cell>
          <cell r="Y603">
            <v>0</v>
          </cell>
          <cell r="Z603">
            <v>0</v>
          </cell>
          <cell r="AA603">
            <v>1076.2</v>
          </cell>
          <cell r="AB603"/>
          <cell r="AC603"/>
          <cell r="AD603"/>
          <cell r="AE603"/>
          <cell r="AF603" t="str">
            <v>UnRegistered</v>
          </cell>
        </row>
        <row r="604">
          <cell r="B604" t="str">
            <v>R6 UG 09</v>
          </cell>
          <cell r="C604" t="str">
            <v>R6</v>
          </cell>
          <cell r="D604" t="str">
            <v>M3M Capital Walk in M3M Capital Phase-2</v>
          </cell>
          <cell r="E604" t="str">
            <v>cwBOOKING/00520/22-23</v>
          </cell>
          <cell r="F604" t="str">
            <v>Mr. AJMER SINGH</v>
          </cell>
          <cell r="G604" t="str">
            <v>cwFLAP/00543/22-23</v>
          </cell>
          <cell r="H604" t="str">
            <v>On Application of OC</v>
          </cell>
          <cell r="I604">
            <v>0</v>
          </cell>
          <cell r="J604">
            <v>45072</v>
          </cell>
          <cell r="K604">
            <v>46144</v>
          </cell>
          <cell r="L604">
            <v>46164</v>
          </cell>
          <cell r="M604">
            <v>6625654</v>
          </cell>
          <cell r="N604">
            <v>795078</v>
          </cell>
          <cell r="O604">
            <v>7420732</v>
          </cell>
          <cell r="P604"/>
          <cell r="Q604"/>
          <cell r="R604"/>
          <cell r="S604"/>
          <cell r="T604">
            <v>0</v>
          </cell>
          <cell r="U604">
            <v>4</v>
          </cell>
          <cell r="V604">
            <v>0</v>
          </cell>
          <cell r="W604">
            <v>7420728</v>
          </cell>
          <cell r="X604">
            <v>7619.96</v>
          </cell>
          <cell r="Y604">
            <v>0</v>
          </cell>
          <cell r="Z604">
            <v>0</v>
          </cell>
          <cell r="AA604">
            <v>7619.96</v>
          </cell>
          <cell r="AB604"/>
          <cell r="AC604"/>
          <cell r="AD604"/>
          <cell r="AE604"/>
          <cell r="AF604" t="str">
            <v>UnRegistered</v>
          </cell>
        </row>
        <row r="605">
          <cell r="B605" t="str">
            <v>R6 UG 08</v>
          </cell>
          <cell r="C605" t="str">
            <v>R6</v>
          </cell>
          <cell r="D605" t="str">
            <v>M3M Capital Walk in M3M Capital Phase-2</v>
          </cell>
          <cell r="E605" t="str">
            <v>cwBOOKING/00521/22-23</v>
          </cell>
          <cell r="F605" t="str">
            <v>Mr. AJMER SINGH</v>
          </cell>
          <cell r="G605" t="str">
            <v>cwFLAP/00550/22-23</v>
          </cell>
          <cell r="H605" t="str">
            <v>On Application of OC</v>
          </cell>
          <cell r="I605">
            <v>0</v>
          </cell>
          <cell r="J605">
            <v>45072</v>
          </cell>
          <cell r="K605">
            <v>46144</v>
          </cell>
          <cell r="L605">
            <v>46164</v>
          </cell>
          <cell r="M605">
            <v>6625654</v>
          </cell>
          <cell r="N605">
            <v>795078</v>
          </cell>
          <cell r="O605">
            <v>7420732</v>
          </cell>
          <cell r="P605"/>
          <cell r="Q605"/>
          <cell r="R605"/>
          <cell r="S605"/>
          <cell r="T605">
            <v>0</v>
          </cell>
          <cell r="U605">
            <v>4</v>
          </cell>
          <cell r="V605">
            <v>0</v>
          </cell>
          <cell r="W605">
            <v>7420728</v>
          </cell>
          <cell r="X605">
            <v>34207.96</v>
          </cell>
          <cell r="Y605">
            <v>0</v>
          </cell>
          <cell r="Z605">
            <v>0</v>
          </cell>
          <cell r="AA605">
            <v>34207.96</v>
          </cell>
          <cell r="AB605"/>
          <cell r="AC605"/>
          <cell r="AD605"/>
          <cell r="AE605"/>
          <cell r="AF605" t="str">
            <v>UnRegistered</v>
          </cell>
        </row>
        <row r="606">
          <cell r="B606" t="str">
            <v>R3 LG 42</v>
          </cell>
          <cell r="C606" t="str">
            <v>R3</v>
          </cell>
          <cell r="D606" t="str">
            <v>M3M Capital Walk in M3M Capital Phase-2</v>
          </cell>
          <cell r="E606" t="str">
            <v>cwBOOKING/00523/22-23</v>
          </cell>
          <cell r="F606" t="str">
            <v>Ms. KOMAL ARORA</v>
          </cell>
          <cell r="G606" t="str">
            <v>cwFLAP/00721/22-23</v>
          </cell>
          <cell r="H606" t="str">
            <v>On Application of OC</v>
          </cell>
          <cell r="I606">
            <v>0</v>
          </cell>
          <cell r="J606">
            <v>45328</v>
          </cell>
          <cell r="K606">
            <v>46144</v>
          </cell>
          <cell r="L606">
            <v>46164</v>
          </cell>
          <cell r="M606">
            <v>3173815</v>
          </cell>
          <cell r="N606">
            <v>380858</v>
          </cell>
          <cell r="O606">
            <v>3554673</v>
          </cell>
          <cell r="P606"/>
          <cell r="Q606"/>
          <cell r="R606"/>
          <cell r="S606"/>
          <cell r="T606">
            <v>0</v>
          </cell>
          <cell r="U606">
            <v>204</v>
          </cell>
          <cell r="V606">
            <v>0</v>
          </cell>
          <cell r="W606">
            <v>3554469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/>
          <cell r="AC606"/>
          <cell r="AD606"/>
          <cell r="AE606"/>
          <cell r="AF606" t="str">
            <v>UnRegistered</v>
          </cell>
        </row>
        <row r="607">
          <cell r="B607" t="str">
            <v>R3 LG 47</v>
          </cell>
          <cell r="C607" t="str">
            <v>R3</v>
          </cell>
          <cell r="D607" t="str">
            <v>M3M Capital Walk in M3M Capital Phase-2</v>
          </cell>
          <cell r="E607" t="str">
            <v>cwBOOKING/00524/22-23</v>
          </cell>
          <cell r="F607" t="str">
            <v>Ms. KOMAL ARORA</v>
          </cell>
          <cell r="G607" t="str">
            <v>cwFLAP/00761/22-23</v>
          </cell>
          <cell r="H607" t="str">
            <v>On Application of OC</v>
          </cell>
          <cell r="I607">
            <v>0</v>
          </cell>
          <cell r="J607">
            <v>45328</v>
          </cell>
          <cell r="K607">
            <v>46144</v>
          </cell>
          <cell r="L607">
            <v>46164</v>
          </cell>
          <cell r="M607">
            <v>3173815</v>
          </cell>
          <cell r="N607">
            <v>380858</v>
          </cell>
          <cell r="O607">
            <v>3554673</v>
          </cell>
          <cell r="P607"/>
          <cell r="Q607"/>
          <cell r="R607"/>
          <cell r="S607"/>
          <cell r="T607">
            <v>0</v>
          </cell>
          <cell r="U607">
            <v>204</v>
          </cell>
          <cell r="V607">
            <v>0</v>
          </cell>
          <cell r="W607">
            <v>3554469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/>
          <cell r="AC607"/>
          <cell r="AD607"/>
          <cell r="AE607"/>
          <cell r="AF607" t="str">
            <v>UnRegistered</v>
          </cell>
        </row>
        <row r="608">
          <cell r="B608" t="str">
            <v>R3 LG 27</v>
          </cell>
          <cell r="C608" t="str">
            <v>R3</v>
          </cell>
          <cell r="D608" t="str">
            <v>M3M Capital Walk in M3M Capital Phase-2</v>
          </cell>
          <cell r="E608" t="str">
            <v>cwBOOKING/00526/22-23</v>
          </cell>
          <cell r="F608" t="str">
            <v>Ms. VARSHA</v>
          </cell>
          <cell r="G608" t="str">
            <v>cwFLAP/00780/22-23</v>
          </cell>
          <cell r="H608" t="str">
            <v>On Application of OC</v>
          </cell>
          <cell r="I608">
            <v>0</v>
          </cell>
          <cell r="J608">
            <v>45286</v>
          </cell>
          <cell r="K608">
            <v>46144</v>
          </cell>
          <cell r="L608">
            <v>46164</v>
          </cell>
          <cell r="M608">
            <v>2669493</v>
          </cell>
          <cell r="N608">
            <v>320340</v>
          </cell>
          <cell r="O608">
            <v>2989833</v>
          </cell>
          <cell r="P608"/>
          <cell r="Q608"/>
          <cell r="R608"/>
          <cell r="S608"/>
          <cell r="T608">
            <v>0</v>
          </cell>
          <cell r="U608">
            <v>0</v>
          </cell>
          <cell r="V608">
            <v>0</v>
          </cell>
          <cell r="W608">
            <v>2989833</v>
          </cell>
          <cell r="X608">
            <v>1940.72</v>
          </cell>
          <cell r="Y608">
            <v>0</v>
          </cell>
          <cell r="Z608">
            <v>0</v>
          </cell>
          <cell r="AA608">
            <v>1940.72</v>
          </cell>
          <cell r="AB608"/>
          <cell r="AC608"/>
          <cell r="AD608"/>
          <cell r="AE608"/>
          <cell r="AF608" t="str">
            <v>UnRegistered</v>
          </cell>
        </row>
        <row r="609">
          <cell r="B609" t="str">
            <v>R1 UG 15</v>
          </cell>
          <cell r="C609" t="str">
            <v>R1</v>
          </cell>
          <cell r="D609" t="str">
            <v>M3M Capital Walk in M3M Capital Phase-2</v>
          </cell>
          <cell r="E609" t="str">
            <v>cwBOOKING/00529/22-23</v>
          </cell>
          <cell r="F609" t="str">
            <v>Ms. MADHU SIKRI</v>
          </cell>
          <cell r="G609" t="str">
            <v>cwFLAP/00547/22-23</v>
          </cell>
          <cell r="H609" t="str">
            <v>On Application of OC</v>
          </cell>
          <cell r="I609">
            <v>0</v>
          </cell>
          <cell r="J609">
            <v>45076</v>
          </cell>
          <cell r="K609">
            <v>46144</v>
          </cell>
          <cell r="L609">
            <v>46164</v>
          </cell>
          <cell r="M609">
            <v>4896875</v>
          </cell>
          <cell r="N609">
            <v>587624</v>
          </cell>
          <cell r="O609">
            <v>5484499</v>
          </cell>
          <cell r="P609"/>
          <cell r="Q609"/>
          <cell r="R609"/>
          <cell r="S609"/>
          <cell r="T609">
            <v>0</v>
          </cell>
          <cell r="U609">
            <v>0</v>
          </cell>
          <cell r="V609">
            <v>0</v>
          </cell>
          <cell r="W609">
            <v>5484499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/>
          <cell r="AC609"/>
          <cell r="AD609"/>
          <cell r="AE609"/>
          <cell r="AF609" t="str">
            <v>UnRegistered</v>
          </cell>
        </row>
        <row r="610">
          <cell r="B610" t="str">
            <v>R5 102</v>
          </cell>
          <cell r="C610" t="str">
            <v>R5</v>
          </cell>
          <cell r="D610" t="str">
            <v>M3M Capital Walk in M3M Capital Phase-2</v>
          </cell>
          <cell r="E610" t="str">
            <v>cwBOOKING/00534/22-23</v>
          </cell>
          <cell r="F610" t="str">
            <v>Ms. SHALINI GUPTA</v>
          </cell>
          <cell r="G610" t="str">
            <v>cwFLAP/00519/22-23</v>
          </cell>
          <cell r="H610" t="str">
            <v>On Application of OC</v>
          </cell>
          <cell r="I610">
            <v>0</v>
          </cell>
          <cell r="J610">
            <v>45378</v>
          </cell>
          <cell r="K610">
            <v>46144</v>
          </cell>
          <cell r="L610">
            <v>46164</v>
          </cell>
          <cell r="M610">
            <v>941640</v>
          </cell>
          <cell r="N610">
            <v>112996</v>
          </cell>
          <cell r="O610">
            <v>1054636</v>
          </cell>
          <cell r="P610"/>
          <cell r="Q610"/>
          <cell r="R610"/>
          <cell r="S610"/>
          <cell r="T610">
            <v>0</v>
          </cell>
          <cell r="U610">
            <v>0.2</v>
          </cell>
          <cell r="V610">
            <v>0</v>
          </cell>
          <cell r="W610">
            <v>1054635.8</v>
          </cell>
          <cell r="X610">
            <v>251</v>
          </cell>
          <cell r="Y610">
            <v>0</v>
          </cell>
          <cell r="Z610">
            <v>0</v>
          </cell>
          <cell r="AA610">
            <v>251</v>
          </cell>
          <cell r="AB610"/>
          <cell r="AC610"/>
          <cell r="AD610"/>
          <cell r="AE610"/>
          <cell r="AF610" t="str">
            <v>UnRegistered</v>
          </cell>
        </row>
        <row r="611">
          <cell r="B611" t="str">
            <v>R4 LG 25</v>
          </cell>
          <cell r="C611" t="str">
            <v>R4</v>
          </cell>
          <cell r="D611" t="str">
            <v>M3M Capital Walk in M3M Capital Phase-2</v>
          </cell>
          <cell r="E611" t="str">
            <v>cwBOOKING/00535/22-23</v>
          </cell>
          <cell r="F611" t="str">
            <v>Ms. CHANDER KHANNA</v>
          </cell>
          <cell r="G611" t="str">
            <v>cwFLAP/00575/22-23</v>
          </cell>
          <cell r="H611" t="str">
            <v>On Application of OC</v>
          </cell>
          <cell r="I611">
            <v>0</v>
          </cell>
          <cell r="J611">
            <v>45338</v>
          </cell>
          <cell r="K611">
            <v>46144</v>
          </cell>
          <cell r="L611">
            <v>46164</v>
          </cell>
          <cell r="M611">
            <v>3041422</v>
          </cell>
          <cell r="N611">
            <v>364970</v>
          </cell>
          <cell r="O611">
            <v>3406392</v>
          </cell>
          <cell r="P611"/>
          <cell r="Q611"/>
          <cell r="R611"/>
          <cell r="S611"/>
          <cell r="T611">
            <v>0</v>
          </cell>
          <cell r="U611">
            <v>3344.47</v>
          </cell>
          <cell r="V611">
            <v>0</v>
          </cell>
          <cell r="W611">
            <v>3403047.53</v>
          </cell>
          <cell r="X611">
            <v>9854.7199999999993</v>
          </cell>
          <cell r="Y611">
            <v>0</v>
          </cell>
          <cell r="Z611">
            <v>0</v>
          </cell>
          <cell r="AA611">
            <v>9854.7199999999993</v>
          </cell>
          <cell r="AB611"/>
          <cell r="AC611"/>
          <cell r="AD611"/>
          <cell r="AE611"/>
          <cell r="AF611" t="str">
            <v>UnRegistered</v>
          </cell>
        </row>
        <row r="612">
          <cell r="B612" t="str">
            <v>R4 LG 03</v>
          </cell>
          <cell r="C612" t="str">
            <v>R4</v>
          </cell>
          <cell r="D612" t="str">
            <v>M3M Capital Walk in M3M Capital Phase-2</v>
          </cell>
          <cell r="E612" t="str">
            <v>cwBOOKING/00536/22-23</v>
          </cell>
          <cell r="F612" t="str">
            <v>Ms. KAVITA DALAL</v>
          </cell>
          <cell r="G612" t="str">
            <v>cwFLAP/00787/22-23</v>
          </cell>
          <cell r="H612" t="str">
            <v>On Application of OC</v>
          </cell>
          <cell r="I612">
            <v>0</v>
          </cell>
          <cell r="J612">
            <v>45167</v>
          </cell>
          <cell r="K612">
            <v>46144</v>
          </cell>
          <cell r="L612">
            <v>46164</v>
          </cell>
          <cell r="M612">
            <v>5890514</v>
          </cell>
          <cell r="N612">
            <v>706862</v>
          </cell>
          <cell r="O612">
            <v>6597376</v>
          </cell>
          <cell r="P612"/>
          <cell r="Q612"/>
          <cell r="R612"/>
          <cell r="S612"/>
          <cell r="T612">
            <v>0</v>
          </cell>
          <cell r="U612">
            <v>0</v>
          </cell>
          <cell r="V612">
            <v>0.85999999940395355</v>
          </cell>
          <cell r="W612">
            <v>6597376.8599999994</v>
          </cell>
          <cell r="X612">
            <v>13269</v>
          </cell>
          <cell r="Y612">
            <v>0</v>
          </cell>
          <cell r="Z612">
            <v>0</v>
          </cell>
          <cell r="AA612">
            <v>13269</v>
          </cell>
          <cell r="AB612"/>
          <cell r="AC612"/>
          <cell r="AD612"/>
          <cell r="AE612"/>
          <cell r="AF612" t="str">
            <v>UnRegistered</v>
          </cell>
        </row>
        <row r="613">
          <cell r="B613" t="str">
            <v>R4 G 03</v>
          </cell>
          <cell r="C613" t="str">
            <v>R4</v>
          </cell>
          <cell r="D613" t="str">
            <v>M3M Capital Walk in M3M Capital Phase-2</v>
          </cell>
          <cell r="E613" t="str">
            <v>cwBOOKING/00539/22-23</v>
          </cell>
          <cell r="F613" t="str">
            <v>Mr. AKASH GUPTA</v>
          </cell>
          <cell r="G613" t="str">
            <v>cwFLAP/00676/22-23</v>
          </cell>
          <cell r="H613" t="str">
            <v>On Application of OC</v>
          </cell>
          <cell r="I613">
            <v>0</v>
          </cell>
          <cell r="J613">
            <v>45265</v>
          </cell>
          <cell r="K613">
            <v>46144</v>
          </cell>
          <cell r="L613">
            <v>46164</v>
          </cell>
          <cell r="M613">
            <v>10010550</v>
          </cell>
          <cell r="N613">
            <v>1201266</v>
          </cell>
          <cell r="O613">
            <v>11211816</v>
          </cell>
          <cell r="P613"/>
          <cell r="Q613"/>
          <cell r="R613"/>
          <cell r="S613"/>
          <cell r="T613">
            <v>0</v>
          </cell>
          <cell r="U613">
            <v>0</v>
          </cell>
          <cell r="V613">
            <v>0</v>
          </cell>
          <cell r="W613">
            <v>11211816</v>
          </cell>
          <cell r="X613">
            <v>328143</v>
          </cell>
          <cell r="Y613">
            <v>0</v>
          </cell>
          <cell r="Z613">
            <v>328143</v>
          </cell>
          <cell r="AA613">
            <v>0</v>
          </cell>
          <cell r="AB613"/>
          <cell r="AC613"/>
          <cell r="AD613"/>
          <cell r="AE613"/>
          <cell r="AF613" t="str">
            <v>UnRegistered</v>
          </cell>
        </row>
        <row r="614">
          <cell r="B614" t="str">
            <v>R2 202</v>
          </cell>
          <cell r="C614" t="str">
            <v>R2</v>
          </cell>
          <cell r="D614" t="str">
            <v>M3M Capital Walk in M3M Capital Phase-2</v>
          </cell>
          <cell r="E614" t="str">
            <v>cwBOOKING/00541/22-23</v>
          </cell>
          <cell r="F614" t="str">
            <v>Mr. HARISH CHANDER BHARTOLA</v>
          </cell>
          <cell r="G614" t="str">
            <v>cwFLAP/00639/22-23</v>
          </cell>
          <cell r="H614" t="str">
            <v>On Application of OC</v>
          </cell>
          <cell r="I614">
            <v>0</v>
          </cell>
          <cell r="J614">
            <v>45064</v>
          </cell>
          <cell r="K614">
            <v>46144</v>
          </cell>
          <cell r="L614">
            <v>46164</v>
          </cell>
          <cell r="M614">
            <v>6020827</v>
          </cell>
          <cell r="N614">
            <v>722500</v>
          </cell>
          <cell r="O614">
            <v>6743327</v>
          </cell>
          <cell r="P614"/>
          <cell r="Q614"/>
          <cell r="R614"/>
          <cell r="S614"/>
          <cell r="T614">
            <v>0</v>
          </cell>
          <cell r="U614">
            <v>0</v>
          </cell>
          <cell r="V614">
            <v>0</v>
          </cell>
          <cell r="W614">
            <v>6743327</v>
          </cell>
          <cell r="X614">
            <v>75.84</v>
          </cell>
          <cell r="Y614">
            <v>0</v>
          </cell>
          <cell r="Z614">
            <v>0</v>
          </cell>
          <cell r="AA614">
            <v>75.84</v>
          </cell>
          <cell r="AB614"/>
          <cell r="AC614"/>
          <cell r="AD614"/>
          <cell r="AE614"/>
          <cell r="AF614" t="str">
            <v>UnRegistered</v>
          </cell>
        </row>
        <row r="615">
          <cell r="B615" t="str">
            <v>R3 LG 44</v>
          </cell>
          <cell r="C615" t="str">
            <v>R3</v>
          </cell>
          <cell r="D615" t="str">
            <v>M3M Capital Walk in M3M Capital Phase-2</v>
          </cell>
          <cell r="E615" t="str">
            <v>cwBOOKING/00542/22-23</v>
          </cell>
          <cell r="F615" t="str">
            <v>Ms. AKANKSHA GUPTA</v>
          </cell>
          <cell r="G615" t="str">
            <v>cwFLAP/00854/22-23</v>
          </cell>
          <cell r="H615" t="str">
            <v>On Application of OC</v>
          </cell>
          <cell r="I615">
            <v>0</v>
          </cell>
          <cell r="J615">
            <v>45469</v>
          </cell>
          <cell r="K615">
            <v>46144</v>
          </cell>
          <cell r="L615">
            <v>46164</v>
          </cell>
          <cell r="M615">
            <v>2985142</v>
          </cell>
          <cell r="N615">
            <v>358218</v>
          </cell>
          <cell r="O615">
            <v>3343360</v>
          </cell>
          <cell r="P615"/>
          <cell r="Q615"/>
          <cell r="R615"/>
          <cell r="S615"/>
          <cell r="T615">
            <v>0</v>
          </cell>
          <cell r="U615">
            <v>0</v>
          </cell>
          <cell r="V615">
            <v>0</v>
          </cell>
          <cell r="W615">
            <v>3343360</v>
          </cell>
          <cell r="X615">
            <v>19463</v>
          </cell>
          <cell r="Y615">
            <v>0</v>
          </cell>
          <cell r="Z615">
            <v>0</v>
          </cell>
          <cell r="AA615">
            <v>19463</v>
          </cell>
          <cell r="AB615"/>
          <cell r="AC615"/>
          <cell r="AD615"/>
          <cell r="AE615"/>
          <cell r="AF615" t="str">
            <v>UnRegistered</v>
          </cell>
        </row>
        <row r="616">
          <cell r="B616" t="str">
            <v>R3 LG 43</v>
          </cell>
          <cell r="C616" t="str">
            <v>R3</v>
          </cell>
          <cell r="D616" t="str">
            <v>M3M Capital Walk in M3M Capital Phase-2</v>
          </cell>
          <cell r="E616" t="str">
            <v>cwBOOKING/00593/22-23</v>
          </cell>
          <cell r="F616" t="str">
            <v>Mr. ANKUR JAIN</v>
          </cell>
          <cell r="G616" t="str">
            <v>cwFLAP/00898/22-23</v>
          </cell>
          <cell r="H616" t="str">
            <v>On Application of OC</v>
          </cell>
          <cell r="I616">
            <v>0</v>
          </cell>
          <cell r="J616">
            <v>45043</v>
          </cell>
          <cell r="K616">
            <v>46144</v>
          </cell>
          <cell r="L616">
            <v>46164</v>
          </cell>
          <cell r="M616">
            <v>1540420</v>
          </cell>
          <cell r="N616">
            <v>184850</v>
          </cell>
          <cell r="O616">
            <v>1725270</v>
          </cell>
          <cell r="P616"/>
          <cell r="Q616"/>
          <cell r="R616"/>
          <cell r="S616"/>
          <cell r="T616">
            <v>0</v>
          </cell>
          <cell r="U616">
            <v>0</v>
          </cell>
          <cell r="V616">
            <v>0</v>
          </cell>
          <cell r="W616">
            <v>1725270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/>
          <cell r="AC616"/>
          <cell r="AD616"/>
          <cell r="AE616"/>
          <cell r="AF616" t="str">
            <v>UnRegistered</v>
          </cell>
        </row>
        <row r="617">
          <cell r="B617" t="str">
            <v>R4 UG 02</v>
          </cell>
          <cell r="C617" t="str">
            <v>R4</v>
          </cell>
          <cell r="D617" t="str">
            <v>M3M Capital Walk in M3M Capital Phase-2</v>
          </cell>
          <cell r="E617" t="str">
            <v>cwBOOKING/00594/22-23</v>
          </cell>
          <cell r="F617" t="str">
            <v>Ms. Alka Sharma</v>
          </cell>
          <cell r="G617" t="str">
            <v>cwFLAP/00450/22-23</v>
          </cell>
          <cell r="H617" t="str">
            <v>On Application of OC</v>
          </cell>
          <cell r="I617">
            <v>0</v>
          </cell>
          <cell r="J617">
            <v>45043</v>
          </cell>
          <cell r="K617">
            <v>46144</v>
          </cell>
          <cell r="L617">
            <v>46164</v>
          </cell>
          <cell r="M617">
            <v>6151331</v>
          </cell>
          <cell r="N617">
            <v>738160</v>
          </cell>
          <cell r="O617">
            <v>6889491</v>
          </cell>
          <cell r="P617"/>
          <cell r="Q617"/>
          <cell r="R617"/>
          <cell r="S617"/>
          <cell r="T617">
            <v>0</v>
          </cell>
          <cell r="U617">
            <v>25060.01</v>
          </cell>
          <cell r="V617">
            <v>0</v>
          </cell>
          <cell r="W617">
            <v>6864430.9900000002</v>
          </cell>
          <cell r="X617">
            <v>157.12</v>
          </cell>
          <cell r="Y617">
            <v>0</v>
          </cell>
          <cell r="Z617">
            <v>157.12</v>
          </cell>
          <cell r="AA617">
            <v>0</v>
          </cell>
          <cell r="AB617"/>
          <cell r="AC617"/>
          <cell r="AD617"/>
          <cell r="AE617"/>
          <cell r="AF617" t="str">
            <v>UnRegistered</v>
          </cell>
        </row>
        <row r="618">
          <cell r="B618" t="str">
            <v>R4 133</v>
          </cell>
          <cell r="C618" t="str">
            <v>R4</v>
          </cell>
          <cell r="D618" t="str">
            <v>M3M Capital Walk in M3M Capital Phase-2</v>
          </cell>
          <cell r="E618" t="str">
            <v>cwBOOKING/00595/22-23</v>
          </cell>
          <cell r="F618" t="str">
            <v>Ms. NEETU SINGH</v>
          </cell>
          <cell r="G618" t="str">
            <v>cwFLAP/00900/22-23</v>
          </cell>
          <cell r="H618" t="str">
            <v>On Application of OC</v>
          </cell>
          <cell r="I618">
            <v>0</v>
          </cell>
          <cell r="J618">
            <v>45160</v>
          </cell>
          <cell r="K618">
            <v>46144</v>
          </cell>
          <cell r="L618">
            <v>46164</v>
          </cell>
          <cell r="M618">
            <v>4202823</v>
          </cell>
          <cell r="N618">
            <v>504338</v>
          </cell>
          <cell r="O618">
            <v>4707161</v>
          </cell>
          <cell r="P618"/>
          <cell r="Q618"/>
          <cell r="R618"/>
          <cell r="S618"/>
          <cell r="T618">
            <v>0</v>
          </cell>
          <cell r="U618">
            <v>14</v>
          </cell>
          <cell r="V618">
            <v>0</v>
          </cell>
          <cell r="W618">
            <v>4707147</v>
          </cell>
          <cell r="X618">
            <v>430</v>
          </cell>
          <cell r="Y618">
            <v>0</v>
          </cell>
          <cell r="Z618">
            <v>0</v>
          </cell>
          <cell r="AA618">
            <v>430</v>
          </cell>
          <cell r="AB618"/>
          <cell r="AC618"/>
          <cell r="AD618"/>
          <cell r="AE618"/>
          <cell r="AF618" t="str">
            <v>UnRegistered</v>
          </cell>
        </row>
        <row r="619">
          <cell r="B619" t="str">
            <v>R5 G 15</v>
          </cell>
          <cell r="C619" t="str">
            <v>R5</v>
          </cell>
          <cell r="D619" t="str">
            <v>M3M Capital Walk in M3M Capital Phase-2</v>
          </cell>
          <cell r="E619" t="str">
            <v>cwBOOKING/00596/22-23</v>
          </cell>
          <cell r="F619" t="str">
            <v>M/S. Shree Radha Krishna Real Estate Private Limited</v>
          </cell>
          <cell r="G619" t="str">
            <v>cwFLAP/00477/22-23</v>
          </cell>
          <cell r="H619" t="str">
            <v>On Application of OC</v>
          </cell>
          <cell r="I619">
            <v>0</v>
          </cell>
          <cell r="J619">
            <v>45281</v>
          </cell>
          <cell r="K619">
            <v>46144</v>
          </cell>
          <cell r="L619">
            <v>46164</v>
          </cell>
          <cell r="M619">
            <v>9138600</v>
          </cell>
          <cell r="N619">
            <v>1096632</v>
          </cell>
          <cell r="O619">
            <v>10235232</v>
          </cell>
          <cell r="P619"/>
          <cell r="Q619"/>
          <cell r="R619"/>
          <cell r="S619"/>
          <cell r="T619">
            <v>0</v>
          </cell>
          <cell r="U619">
            <v>39</v>
          </cell>
          <cell r="V619">
            <v>0</v>
          </cell>
          <cell r="W619">
            <v>10235193</v>
          </cell>
          <cell r="X619">
            <v>80399</v>
          </cell>
          <cell r="Y619">
            <v>0</v>
          </cell>
          <cell r="Z619">
            <v>80399</v>
          </cell>
          <cell r="AA619">
            <v>0</v>
          </cell>
          <cell r="AB619"/>
          <cell r="AC619"/>
          <cell r="AD619"/>
          <cell r="AE619"/>
          <cell r="AF619" t="str">
            <v>UnRegistered</v>
          </cell>
        </row>
        <row r="620">
          <cell r="B620" t="str">
            <v>R4 G 14</v>
          </cell>
          <cell r="C620" t="str">
            <v>R4</v>
          </cell>
          <cell r="D620" t="str">
            <v>M3M Capital Walk in M3M Capital Phase-2</v>
          </cell>
          <cell r="E620" t="str">
            <v>cwBOOKING/00597/22-23</v>
          </cell>
          <cell r="F620" t="str">
            <v>Mr. ASHISH .</v>
          </cell>
          <cell r="G620" t="str">
            <v>cwFLAP/00476/22-23</v>
          </cell>
          <cell r="H620" t="str">
            <v>On Application of OC</v>
          </cell>
          <cell r="I620">
            <v>0</v>
          </cell>
          <cell r="J620">
            <v>45265</v>
          </cell>
          <cell r="K620">
            <v>46144</v>
          </cell>
          <cell r="L620">
            <v>46164</v>
          </cell>
          <cell r="M620">
            <v>10026675</v>
          </cell>
          <cell r="N620">
            <v>1203202</v>
          </cell>
          <cell r="O620">
            <v>11229877</v>
          </cell>
          <cell r="P620"/>
          <cell r="Q620"/>
          <cell r="R620"/>
          <cell r="S620"/>
          <cell r="T620">
            <v>0</v>
          </cell>
          <cell r="U620">
            <v>315</v>
          </cell>
          <cell r="V620">
            <v>0</v>
          </cell>
          <cell r="W620">
            <v>11229562</v>
          </cell>
          <cell r="X620">
            <v>42224</v>
          </cell>
          <cell r="Y620">
            <v>0</v>
          </cell>
          <cell r="Z620">
            <v>5808</v>
          </cell>
          <cell r="AA620">
            <v>36416</v>
          </cell>
          <cell r="AB620"/>
          <cell r="AC620"/>
          <cell r="AD620"/>
          <cell r="AE620"/>
          <cell r="AF620" t="str">
            <v>UnRegistered</v>
          </cell>
        </row>
        <row r="621">
          <cell r="B621" t="str">
            <v>R5 UG 44</v>
          </cell>
          <cell r="C621" t="str">
            <v>R5</v>
          </cell>
          <cell r="D621" t="str">
            <v>M3M Capital Walk in M3M Capital Phase-2</v>
          </cell>
          <cell r="E621" t="str">
            <v>cwBOOKING/00602/22-23</v>
          </cell>
          <cell r="F621" t="str">
            <v>Ms. ABHA GHOSH</v>
          </cell>
          <cell r="G621" t="str">
            <v>cwFLAP/00902/22-23</v>
          </cell>
          <cell r="H621" t="str">
            <v>On Application of OC</v>
          </cell>
          <cell r="I621">
            <v>0</v>
          </cell>
          <cell r="J621">
            <v>45072</v>
          </cell>
          <cell r="K621">
            <v>46144</v>
          </cell>
          <cell r="L621">
            <v>46164</v>
          </cell>
          <cell r="M621">
            <v>2994722</v>
          </cell>
          <cell r="N621">
            <v>359366</v>
          </cell>
          <cell r="O621">
            <v>3354088</v>
          </cell>
          <cell r="P621"/>
          <cell r="Q621"/>
          <cell r="R621"/>
          <cell r="S621"/>
          <cell r="T621">
            <v>0</v>
          </cell>
          <cell r="U621">
            <v>0</v>
          </cell>
          <cell r="V621">
            <v>5.7199999999720603</v>
          </cell>
          <cell r="W621">
            <v>3354093.7199999997</v>
          </cell>
          <cell r="X621">
            <v>339.48</v>
          </cell>
          <cell r="Y621">
            <v>0</v>
          </cell>
          <cell r="Z621">
            <v>0</v>
          </cell>
          <cell r="AA621">
            <v>339.48</v>
          </cell>
          <cell r="AB621"/>
          <cell r="AC621"/>
          <cell r="AD621"/>
          <cell r="AE621"/>
          <cell r="AF621" t="str">
            <v>UnRegistered</v>
          </cell>
        </row>
        <row r="622">
          <cell r="B622" t="str">
            <v>R3 LG 51</v>
          </cell>
          <cell r="C622" t="str">
            <v>R3</v>
          </cell>
          <cell r="D622" t="str">
            <v>M3M Capital Walk in M3M Capital Phase-2</v>
          </cell>
          <cell r="E622" t="str">
            <v>cwBOOKING/00603/22-23</v>
          </cell>
          <cell r="F622" t="str">
            <v>Mr ANIRUDH KAPOOR</v>
          </cell>
          <cell r="G622" t="str">
            <v>cwFLAP/00819/22-23</v>
          </cell>
          <cell r="H622" t="str">
            <v>On Application of OC</v>
          </cell>
          <cell r="I622">
            <v>0</v>
          </cell>
          <cell r="J622">
            <v>45047</v>
          </cell>
          <cell r="K622">
            <v>46144</v>
          </cell>
          <cell r="L622">
            <v>46164</v>
          </cell>
          <cell r="M622">
            <v>1999993</v>
          </cell>
          <cell r="N622">
            <v>240000</v>
          </cell>
          <cell r="O622">
            <v>2239993</v>
          </cell>
          <cell r="P622"/>
          <cell r="Q622"/>
          <cell r="R622"/>
          <cell r="S622"/>
          <cell r="T622">
            <v>0</v>
          </cell>
          <cell r="U622">
            <v>8</v>
          </cell>
          <cell r="V622">
            <v>0</v>
          </cell>
          <cell r="W622">
            <v>2239985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/>
          <cell r="AC622"/>
          <cell r="AD622"/>
          <cell r="AE622"/>
          <cell r="AF622" t="str">
            <v>UnRegistered</v>
          </cell>
        </row>
        <row r="623">
          <cell r="B623" t="str">
            <v>R1 UG 24</v>
          </cell>
          <cell r="C623" t="str">
            <v>R1</v>
          </cell>
          <cell r="D623" t="str">
            <v>M3M Capital Walk in M3M Capital Phase-2</v>
          </cell>
          <cell r="E623" t="str">
            <v>cwBOOKING/00604/22-23</v>
          </cell>
          <cell r="F623" t="str">
            <v>Mr. MANISH SHOKEEN</v>
          </cell>
          <cell r="G623" t="str">
            <v>cwFLAP/00903/22-23</v>
          </cell>
          <cell r="H623" t="str">
            <v>On Application of OC</v>
          </cell>
          <cell r="I623">
            <v>0</v>
          </cell>
          <cell r="J623">
            <v>45040</v>
          </cell>
          <cell r="K623">
            <v>46144</v>
          </cell>
          <cell r="L623">
            <v>46164</v>
          </cell>
          <cell r="M623">
            <v>5185195</v>
          </cell>
          <cell r="N623">
            <v>622224</v>
          </cell>
          <cell r="O623">
            <v>5807419</v>
          </cell>
          <cell r="P623">
            <v>2649584.0319000003</v>
          </cell>
          <cell r="Q623"/>
          <cell r="R623"/>
          <cell r="S623">
            <v>317950.083828</v>
          </cell>
          <cell r="T623">
            <v>2967534.1157280002</v>
          </cell>
          <cell r="U623">
            <v>16</v>
          </cell>
          <cell r="V623">
            <v>0</v>
          </cell>
          <cell r="W623">
            <v>2839868.8842719998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 t="str">
            <v>Executed</v>
          </cell>
          <cell r="AC623" t="str">
            <v>Yes</v>
          </cell>
          <cell r="AD623">
            <v>0.2763527734816138</v>
          </cell>
          <cell r="AE623" t="str">
            <v>Less than 35%</v>
          </cell>
          <cell r="AF623" t="str">
            <v>UnRegistered</v>
          </cell>
        </row>
        <row r="624">
          <cell r="B624" t="str">
            <v>R1 K 301</v>
          </cell>
          <cell r="C624" t="str">
            <v>R1</v>
          </cell>
          <cell r="D624" t="str">
            <v>M3M Capital Walk in M3M Capital Phase-2</v>
          </cell>
          <cell r="E624" t="str">
            <v>cwBOOKING/00606/22-23</v>
          </cell>
          <cell r="F624" t="str">
            <v>Mr. ARUN KUMAR TYAGI</v>
          </cell>
          <cell r="G624" t="str">
            <v>cwFLAP/00666/22-23</v>
          </cell>
          <cell r="H624" t="str">
            <v>On Application of OC</v>
          </cell>
          <cell r="I624">
            <v>0</v>
          </cell>
          <cell r="J624">
            <v>45041</v>
          </cell>
          <cell r="K624">
            <v>46144</v>
          </cell>
          <cell r="L624">
            <v>46164</v>
          </cell>
          <cell r="M624">
            <v>6198572</v>
          </cell>
          <cell r="N624">
            <v>743828</v>
          </cell>
          <cell r="O624">
            <v>6942400</v>
          </cell>
          <cell r="P624"/>
          <cell r="Q624"/>
          <cell r="R624"/>
          <cell r="S624"/>
          <cell r="T624">
            <v>0</v>
          </cell>
          <cell r="U624">
            <v>2</v>
          </cell>
          <cell r="V624">
            <v>0</v>
          </cell>
          <cell r="W624">
            <v>6942398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/>
          <cell r="AC624"/>
          <cell r="AD624"/>
          <cell r="AE624"/>
          <cell r="AF624" t="str">
            <v>UnRegistered</v>
          </cell>
        </row>
        <row r="625">
          <cell r="B625" t="str">
            <v>R2 203</v>
          </cell>
          <cell r="C625" t="str">
            <v>R2</v>
          </cell>
          <cell r="D625" t="str">
            <v>M3M Capital Walk in M3M Capital Phase-2</v>
          </cell>
          <cell r="E625" t="str">
            <v>cwBOOKING/00607/22-23</v>
          </cell>
          <cell r="F625" t="str">
            <v>Mr. HANSA DATT</v>
          </cell>
          <cell r="G625" t="str">
            <v>cwFLAP/00638/22-23</v>
          </cell>
          <cell r="H625" t="str">
            <v>On Application of OC</v>
          </cell>
          <cell r="I625">
            <v>0</v>
          </cell>
          <cell r="J625">
            <v>45064</v>
          </cell>
          <cell r="K625">
            <v>46144</v>
          </cell>
          <cell r="L625">
            <v>46164</v>
          </cell>
          <cell r="M625">
            <v>6020827</v>
          </cell>
          <cell r="N625">
            <v>722500</v>
          </cell>
          <cell r="O625">
            <v>6743327</v>
          </cell>
          <cell r="P625"/>
          <cell r="Q625"/>
          <cell r="R625"/>
          <cell r="S625"/>
          <cell r="T625">
            <v>0</v>
          </cell>
          <cell r="U625">
            <v>0</v>
          </cell>
          <cell r="V625">
            <v>0</v>
          </cell>
          <cell r="W625">
            <v>6743327</v>
          </cell>
          <cell r="X625">
            <v>75.84</v>
          </cell>
          <cell r="Y625">
            <v>0</v>
          </cell>
          <cell r="Z625">
            <v>0</v>
          </cell>
          <cell r="AA625">
            <v>75.84</v>
          </cell>
          <cell r="AB625"/>
          <cell r="AC625"/>
          <cell r="AD625"/>
          <cell r="AE625"/>
          <cell r="AF625" t="str">
            <v>UnRegistered</v>
          </cell>
        </row>
        <row r="626">
          <cell r="B626" t="str">
            <v>R3 LG 29</v>
          </cell>
          <cell r="C626" t="str">
            <v>R3</v>
          </cell>
          <cell r="D626" t="str">
            <v>M3M Capital Walk in M3M Capital Phase-2</v>
          </cell>
          <cell r="E626" t="str">
            <v>cwBOOKING/00608/22-23</v>
          </cell>
          <cell r="F626" t="str">
            <v>Ms. SUKHWINDER KAUR</v>
          </cell>
          <cell r="G626" t="str">
            <v>cwFLAP/00904/22-23</v>
          </cell>
          <cell r="H626" t="str">
            <v>On Application of OC</v>
          </cell>
          <cell r="I626">
            <v>0</v>
          </cell>
          <cell r="J626">
            <v>45169</v>
          </cell>
          <cell r="K626">
            <v>46144</v>
          </cell>
          <cell r="L626">
            <v>46164</v>
          </cell>
          <cell r="M626">
            <v>3293644</v>
          </cell>
          <cell r="N626">
            <v>395238</v>
          </cell>
          <cell r="O626">
            <v>3688882</v>
          </cell>
          <cell r="P626"/>
          <cell r="Q626"/>
          <cell r="R626"/>
          <cell r="S626"/>
          <cell r="T626">
            <v>0</v>
          </cell>
          <cell r="U626">
            <v>0.44</v>
          </cell>
          <cell r="V626">
            <v>0</v>
          </cell>
          <cell r="W626">
            <v>3688881.56</v>
          </cell>
          <cell r="X626">
            <v>16451.560000000001</v>
          </cell>
          <cell r="Y626">
            <v>0</v>
          </cell>
          <cell r="Z626">
            <v>16451.560000000001</v>
          </cell>
          <cell r="AA626">
            <v>0</v>
          </cell>
          <cell r="AB626"/>
          <cell r="AC626"/>
          <cell r="AD626"/>
          <cell r="AE626"/>
          <cell r="AF626" t="str">
            <v>UnRegistered</v>
          </cell>
        </row>
        <row r="627">
          <cell r="B627" t="str">
            <v>R1 240</v>
          </cell>
          <cell r="C627" t="str">
            <v>R1</v>
          </cell>
          <cell r="D627" t="str">
            <v>M3M Capital Walk in M3M Capital Phase-2</v>
          </cell>
          <cell r="E627" t="str">
            <v>cwBOOKING/00609/22-23</v>
          </cell>
          <cell r="F627" t="str">
            <v>Ms. RAJANI MEENA</v>
          </cell>
          <cell r="G627" t="str">
            <v>cwFLAP/00503/22-23</v>
          </cell>
          <cell r="H627" t="str">
            <v>On Application of OC</v>
          </cell>
          <cell r="I627">
            <v>0</v>
          </cell>
          <cell r="J627">
            <v>45034</v>
          </cell>
          <cell r="K627">
            <v>46144</v>
          </cell>
          <cell r="L627">
            <v>46164</v>
          </cell>
          <cell r="M627">
            <v>3624510</v>
          </cell>
          <cell r="N627">
            <v>434942</v>
          </cell>
          <cell r="O627">
            <v>4059452</v>
          </cell>
          <cell r="P627"/>
          <cell r="Q627"/>
          <cell r="R627"/>
          <cell r="S627"/>
          <cell r="T627">
            <v>0</v>
          </cell>
          <cell r="U627">
            <v>0</v>
          </cell>
          <cell r="V627">
            <v>0</v>
          </cell>
          <cell r="W627">
            <v>4059452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/>
          <cell r="AC627"/>
          <cell r="AD627"/>
          <cell r="AE627"/>
          <cell r="AF627" t="str">
            <v>UnRegistered</v>
          </cell>
        </row>
        <row r="628">
          <cell r="B628" t="str">
            <v>R5 101</v>
          </cell>
          <cell r="C628" t="str">
            <v>R5</v>
          </cell>
          <cell r="D628" t="str">
            <v>M3M Capital Walk in M3M Capital Phase-2</v>
          </cell>
          <cell r="E628" t="str">
            <v>cwBOOKING/00610/22-23</v>
          </cell>
          <cell r="F628" t="str">
            <v>Ms. SHASHI SHARMA</v>
          </cell>
          <cell r="G628" t="str">
            <v>cwFLAP/00648/22-23</v>
          </cell>
          <cell r="H628" t="str">
            <v>On Application of OC</v>
          </cell>
          <cell r="I628">
            <v>0</v>
          </cell>
          <cell r="J628">
            <v>45110</v>
          </cell>
          <cell r="K628">
            <v>46144</v>
          </cell>
          <cell r="L628">
            <v>46164</v>
          </cell>
          <cell r="M628">
            <v>6457278</v>
          </cell>
          <cell r="N628">
            <v>774874</v>
          </cell>
          <cell r="O628">
            <v>7232152</v>
          </cell>
          <cell r="P628"/>
          <cell r="Q628"/>
          <cell r="R628"/>
          <cell r="S628"/>
          <cell r="T628">
            <v>0</v>
          </cell>
          <cell r="U628">
            <v>0</v>
          </cell>
          <cell r="V628">
            <v>0</v>
          </cell>
          <cell r="W628">
            <v>7232152</v>
          </cell>
          <cell r="X628">
            <v>807.24</v>
          </cell>
          <cell r="Y628">
            <v>0</v>
          </cell>
          <cell r="Z628">
            <v>0</v>
          </cell>
          <cell r="AA628">
            <v>807.24</v>
          </cell>
          <cell r="AB628"/>
          <cell r="AC628"/>
          <cell r="AD628"/>
          <cell r="AE628"/>
          <cell r="AF628" t="str">
            <v>UnRegistered</v>
          </cell>
        </row>
        <row r="629">
          <cell r="B629" t="str">
            <v>R2 UG 04</v>
          </cell>
          <cell r="C629" t="str">
            <v>R2</v>
          </cell>
          <cell r="D629" t="str">
            <v>M3M Capital Walk in M3M Capital Phase-2</v>
          </cell>
          <cell r="E629" t="str">
            <v>cwBOOKING/00611/22-23</v>
          </cell>
          <cell r="F629" t="str">
            <v>Mr. GAUTAM BANSAL</v>
          </cell>
          <cell r="G629" t="str">
            <v>cwFLAP/00835/22-23</v>
          </cell>
          <cell r="H629" t="str">
            <v>On Application of OC</v>
          </cell>
          <cell r="I629">
            <v>0</v>
          </cell>
          <cell r="J629">
            <v>45334</v>
          </cell>
          <cell r="K629">
            <v>46144</v>
          </cell>
          <cell r="L629">
            <v>46164</v>
          </cell>
          <cell r="M629">
            <v>5530187</v>
          </cell>
          <cell r="N629">
            <v>663622</v>
          </cell>
          <cell r="O629">
            <v>6193809</v>
          </cell>
          <cell r="P629"/>
          <cell r="Q629"/>
          <cell r="R629"/>
          <cell r="S629"/>
          <cell r="T629">
            <v>0</v>
          </cell>
          <cell r="U629">
            <v>0</v>
          </cell>
          <cell r="V629">
            <v>0</v>
          </cell>
          <cell r="W629">
            <v>6193809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/>
          <cell r="AC629"/>
          <cell r="AD629"/>
          <cell r="AE629"/>
          <cell r="AF629" t="str">
            <v>UnRegistered</v>
          </cell>
        </row>
        <row r="630">
          <cell r="B630" t="str">
            <v>R1 141</v>
          </cell>
          <cell r="C630" t="str">
            <v>R1</v>
          </cell>
          <cell r="D630" t="str">
            <v>M3M Capital Walk in M3M Capital Phase-2</v>
          </cell>
          <cell r="E630" t="str">
            <v>cwBOOKING/00612/22-23</v>
          </cell>
          <cell r="F630" t="str">
            <v>Ms. ANITA RANA</v>
          </cell>
          <cell r="G630" t="str">
            <v>cwFLAP/00514/22-23</v>
          </cell>
          <cell r="H630" t="str">
            <v>On Application of OC</v>
          </cell>
          <cell r="I630">
            <v>0</v>
          </cell>
          <cell r="J630">
            <v>45272</v>
          </cell>
          <cell r="K630">
            <v>46144</v>
          </cell>
          <cell r="L630">
            <v>46164</v>
          </cell>
          <cell r="M630">
            <v>3287592</v>
          </cell>
          <cell r="N630">
            <v>394512</v>
          </cell>
          <cell r="O630">
            <v>3682104</v>
          </cell>
          <cell r="P630"/>
          <cell r="Q630"/>
          <cell r="R630"/>
          <cell r="S630"/>
          <cell r="T630">
            <v>0</v>
          </cell>
          <cell r="U630">
            <v>0</v>
          </cell>
          <cell r="V630">
            <v>0</v>
          </cell>
          <cell r="W630">
            <v>3682104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/>
          <cell r="AC630"/>
          <cell r="AD630"/>
          <cell r="AE630"/>
          <cell r="AF630" t="str">
            <v>UnRegistered</v>
          </cell>
        </row>
        <row r="631">
          <cell r="B631" t="str">
            <v>R4 UG 11</v>
          </cell>
          <cell r="C631" t="str">
            <v>R4</v>
          </cell>
          <cell r="D631" t="str">
            <v>M3M Capital Walk in M3M Capital Phase-2</v>
          </cell>
          <cell r="E631" t="str">
            <v>cwBOOKING/00613/22-23</v>
          </cell>
          <cell r="F631" t="str">
            <v>Ms. Salvina Richards</v>
          </cell>
          <cell r="G631" t="str">
            <v>cwFLAP/00597/22-23</v>
          </cell>
          <cell r="H631" t="str">
            <v>On Application of OC</v>
          </cell>
          <cell r="I631">
            <v>0</v>
          </cell>
          <cell r="J631">
            <v>45180</v>
          </cell>
          <cell r="K631">
            <v>46144</v>
          </cell>
          <cell r="L631">
            <v>46164</v>
          </cell>
          <cell r="M631">
            <v>3494313</v>
          </cell>
          <cell r="N631">
            <v>419318</v>
          </cell>
          <cell r="O631">
            <v>3913631</v>
          </cell>
          <cell r="P631"/>
          <cell r="Q631"/>
          <cell r="R631"/>
          <cell r="S631"/>
          <cell r="T631">
            <v>0</v>
          </cell>
          <cell r="U631">
            <v>0</v>
          </cell>
          <cell r="V631">
            <v>2</v>
          </cell>
          <cell r="W631">
            <v>3913633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/>
          <cell r="AC631"/>
          <cell r="AD631"/>
          <cell r="AE631"/>
          <cell r="AF631" t="str">
            <v>UnRegistered</v>
          </cell>
        </row>
        <row r="632">
          <cell r="B632" t="str">
            <v>R1 210</v>
          </cell>
          <cell r="C632" t="str">
            <v>R1</v>
          </cell>
          <cell r="D632" t="str">
            <v>M3M Capital Walk in M3M Capital Phase-2</v>
          </cell>
          <cell r="E632" t="str">
            <v>cwBOOKING/00614/22-23</v>
          </cell>
          <cell r="F632" t="str">
            <v>Ms. MANJU SHARMA</v>
          </cell>
          <cell r="G632" t="str">
            <v>cwFLAP/00526/22-23</v>
          </cell>
          <cell r="H632" t="str">
            <v>On Application of OC</v>
          </cell>
          <cell r="I632">
            <v>0</v>
          </cell>
          <cell r="J632">
            <v>45079</v>
          </cell>
          <cell r="K632">
            <v>46144</v>
          </cell>
          <cell r="L632">
            <v>46164</v>
          </cell>
          <cell r="M632">
            <v>2093627</v>
          </cell>
          <cell r="N632">
            <v>251236</v>
          </cell>
          <cell r="O632">
            <v>2344863</v>
          </cell>
          <cell r="P632"/>
          <cell r="Q632"/>
          <cell r="R632"/>
          <cell r="S632"/>
          <cell r="T632">
            <v>0</v>
          </cell>
          <cell r="U632">
            <v>0</v>
          </cell>
          <cell r="V632">
            <v>0</v>
          </cell>
          <cell r="W632">
            <v>2344863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/>
          <cell r="AC632"/>
          <cell r="AD632"/>
          <cell r="AE632"/>
          <cell r="AF632" t="str">
            <v>UnRegistered</v>
          </cell>
        </row>
        <row r="633">
          <cell r="B633" t="str">
            <v>R1 K 302</v>
          </cell>
          <cell r="C633" t="str">
            <v>R1</v>
          </cell>
          <cell r="D633" t="str">
            <v>M3M Capital Walk in M3M Capital Phase-2</v>
          </cell>
          <cell r="E633" t="str">
            <v>cwBOOKING/00615/22-23</v>
          </cell>
          <cell r="F633" t="str">
            <v>Mr. RANDEEP MALIK</v>
          </cell>
          <cell r="G633" t="str">
            <v>cwFLAP/00675/22-23</v>
          </cell>
          <cell r="H633" t="str">
            <v>On Application of OC</v>
          </cell>
          <cell r="I633">
            <v>0</v>
          </cell>
          <cell r="J633">
            <v>45295</v>
          </cell>
          <cell r="K633">
            <v>46144</v>
          </cell>
          <cell r="L633">
            <v>46164</v>
          </cell>
          <cell r="M633">
            <v>13113529</v>
          </cell>
          <cell r="N633">
            <v>1573624</v>
          </cell>
          <cell r="O633">
            <v>14687153</v>
          </cell>
          <cell r="P633"/>
          <cell r="Q633"/>
          <cell r="R633"/>
          <cell r="S633"/>
          <cell r="T633">
            <v>0</v>
          </cell>
          <cell r="U633">
            <v>0</v>
          </cell>
          <cell r="V633">
            <v>4000</v>
          </cell>
          <cell r="W633">
            <v>14691153</v>
          </cell>
          <cell r="X633">
            <v>1513.44</v>
          </cell>
          <cell r="Y633">
            <v>0</v>
          </cell>
          <cell r="Z633">
            <v>0</v>
          </cell>
          <cell r="AA633">
            <v>1513.44</v>
          </cell>
          <cell r="AB633"/>
          <cell r="AC633"/>
          <cell r="AD633"/>
          <cell r="AE633"/>
          <cell r="AF633" t="str">
            <v>UnRegistered</v>
          </cell>
        </row>
        <row r="634">
          <cell r="B634" t="str">
            <v>R1 G 18</v>
          </cell>
          <cell r="C634" t="str">
            <v>R1</v>
          </cell>
          <cell r="D634" t="str">
            <v>M3M Capital Walk in M3M Capital Phase-2</v>
          </cell>
          <cell r="E634" t="str">
            <v>cwBOOKING/00616/22-23</v>
          </cell>
          <cell r="F634" t="str">
            <v>Ms. RASHMI KEDIA</v>
          </cell>
          <cell r="G634" t="str">
            <v>cwFLAP/00207/22-23</v>
          </cell>
          <cell r="H634" t="str">
            <v>On Application of OC</v>
          </cell>
          <cell r="I634">
            <v>0</v>
          </cell>
          <cell r="J634">
            <v>45477</v>
          </cell>
          <cell r="K634">
            <v>46144</v>
          </cell>
          <cell r="L634">
            <v>46164</v>
          </cell>
          <cell r="M634">
            <v>29470110</v>
          </cell>
          <cell r="N634">
            <v>3536414</v>
          </cell>
          <cell r="O634">
            <v>33006524</v>
          </cell>
          <cell r="P634"/>
          <cell r="Q634"/>
          <cell r="R634"/>
          <cell r="S634"/>
          <cell r="T634">
            <v>0</v>
          </cell>
          <cell r="U634">
            <v>0</v>
          </cell>
          <cell r="V634">
            <v>130000</v>
          </cell>
          <cell r="W634">
            <v>33136524</v>
          </cell>
          <cell r="X634">
            <v>82538</v>
          </cell>
          <cell r="Y634">
            <v>0</v>
          </cell>
          <cell r="Z634">
            <v>0</v>
          </cell>
          <cell r="AA634">
            <v>82538</v>
          </cell>
          <cell r="AB634"/>
          <cell r="AC634"/>
          <cell r="AD634"/>
          <cell r="AE634"/>
          <cell r="AF634" t="str">
            <v>UnRegistered</v>
          </cell>
        </row>
        <row r="635">
          <cell r="B635" t="str">
            <v>R6 LG 01</v>
          </cell>
          <cell r="C635" t="str">
            <v>R6</v>
          </cell>
          <cell r="D635" t="str">
            <v>M3M Capital Walk in M3M Capital Phase-2</v>
          </cell>
          <cell r="E635" t="str">
            <v>cwBOOKING/00617/22-23</v>
          </cell>
          <cell r="F635" t="str">
            <v>Ms. NIDHI RAI</v>
          </cell>
          <cell r="G635" t="str">
            <v>cwFLAP/00701/22-23</v>
          </cell>
          <cell r="H635" t="str">
            <v>On Application of OC</v>
          </cell>
          <cell r="I635">
            <v>0</v>
          </cell>
          <cell r="J635">
            <v>45699</v>
          </cell>
          <cell r="K635">
            <v>46144</v>
          </cell>
          <cell r="L635">
            <v>46164</v>
          </cell>
          <cell r="M635">
            <v>12014721</v>
          </cell>
          <cell r="N635">
            <v>1441766</v>
          </cell>
          <cell r="O635">
            <v>13456487</v>
          </cell>
          <cell r="P635">
            <v>660842.73560000001</v>
          </cell>
          <cell r="Q635"/>
          <cell r="R635"/>
          <cell r="S635">
            <v>79301.128272000002</v>
          </cell>
          <cell r="T635">
            <v>740143.86387200002</v>
          </cell>
          <cell r="U635">
            <v>0</v>
          </cell>
          <cell r="V635">
            <v>0</v>
          </cell>
          <cell r="W635">
            <v>12716343.136128001</v>
          </cell>
          <cell r="X635">
            <v>89584</v>
          </cell>
          <cell r="Y635">
            <v>44791.32</v>
          </cell>
          <cell r="Z635">
            <v>44792.68</v>
          </cell>
          <cell r="AA635">
            <v>0</v>
          </cell>
          <cell r="AB635" t="str">
            <v>Executed</v>
          </cell>
          <cell r="AC635" t="str">
            <v>Yes</v>
          </cell>
          <cell r="AD635">
            <v>3.0045346822425028E-2</v>
          </cell>
          <cell r="AE635" t="str">
            <v>Less than 35%</v>
          </cell>
          <cell r="AF635" t="str">
            <v>UnRegistered</v>
          </cell>
        </row>
        <row r="636">
          <cell r="B636" t="str">
            <v>R5 118</v>
          </cell>
          <cell r="C636" t="str">
            <v>R5</v>
          </cell>
          <cell r="D636" t="str">
            <v>M3M Capital Walk in M3M Capital Phase-2</v>
          </cell>
          <cell r="E636" t="str">
            <v>cwBOOKING/00619/22-23</v>
          </cell>
          <cell r="F636" t="str">
            <v>Ms. Deepali Malik</v>
          </cell>
          <cell r="G636" t="str">
            <v>cwFLAP/00554/22-23</v>
          </cell>
          <cell r="H636" t="str">
            <v>On Application of OC</v>
          </cell>
          <cell r="I636">
            <v>0</v>
          </cell>
          <cell r="J636">
            <v>45141</v>
          </cell>
          <cell r="K636">
            <v>46144</v>
          </cell>
          <cell r="L636">
            <v>46164</v>
          </cell>
          <cell r="M636">
            <v>930012</v>
          </cell>
          <cell r="N636">
            <v>111602</v>
          </cell>
          <cell r="O636">
            <v>1041614</v>
          </cell>
          <cell r="P636"/>
          <cell r="Q636"/>
          <cell r="R636"/>
          <cell r="S636"/>
          <cell r="T636">
            <v>0</v>
          </cell>
          <cell r="U636">
            <v>1</v>
          </cell>
          <cell r="V636">
            <v>0</v>
          </cell>
          <cell r="W636">
            <v>1041613</v>
          </cell>
          <cell r="X636">
            <v>79242</v>
          </cell>
          <cell r="Y636">
            <v>0</v>
          </cell>
          <cell r="Z636">
            <v>79242</v>
          </cell>
          <cell r="AA636">
            <v>0</v>
          </cell>
          <cell r="AB636"/>
          <cell r="AC636"/>
          <cell r="AD636"/>
          <cell r="AE636"/>
          <cell r="AF636" t="str">
            <v>UnRegistered</v>
          </cell>
        </row>
        <row r="637">
          <cell r="B637" t="str">
            <v>R5 LG 40</v>
          </cell>
          <cell r="C637" t="str">
            <v>R5</v>
          </cell>
          <cell r="D637" t="str">
            <v>M3M Capital Walk in M3M Capital Phase-2</v>
          </cell>
          <cell r="E637" t="str">
            <v>cwBOOKING/00631/22-23</v>
          </cell>
          <cell r="F637" t="str">
            <v>Mr. SHAMBHU SHARAN SINGH</v>
          </cell>
          <cell r="G637" t="str">
            <v>cwFLAP/00587/22-23</v>
          </cell>
          <cell r="H637" t="str">
            <v>On Application of OC</v>
          </cell>
          <cell r="I637">
            <v>0</v>
          </cell>
          <cell r="J637">
            <v>45110</v>
          </cell>
          <cell r="K637">
            <v>46144</v>
          </cell>
          <cell r="L637">
            <v>46164</v>
          </cell>
          <cell r="M637">
            <v>2966716</v>
          </cell>
          <cell r="N637">
            <v>356006</v>
          </cell>
          <cell r="O637">
            <v>3322722</v>
          </cell>
          <cell r="P637"/>
          <cell r="Q637"/>
          <cell r="R637"/>
          <cell r="S637"/>
          <cell r="T637">
            <v>0</v>
          </cell>
          <cell r="U637">
            <v>0</v>
          </cell>
          <cell r="V637">
            <v>0</v>
          </cell>
          <cell r="W637">
            <v>3322722</v>
          </cell>
          <cell r="X637">
            <v>41784.720000000001</v>
          </cell>
          <cell r="Y637">
            <v>0</v>
          </cell>
          <cell r="Z637">
            <v>0</v>
          </cell>
          <cell r="AA637">
            <v>41784.720000000001</v>
          </cell>
          <cell r="AB637"/>
          <cell r="AC637"/>
          <cell r="AD637"/>
          <cell r="AE637"/>
          <cell r="AF637" t="str">
            <v>UnRegistered</v>
          </cell>
        </row>
        <row r="638">
          <cell r="B638" t="str">
            <v>R5 134</v>
          </cell>
          <cell r="C638" t="str">
            <v>R5</v>
          </cell>
          <cell r="D638" t="str">
            <v>M3M Capital Walk in M3M Capital Phase-2</v>
          </cell>
          <cell r="E638" t="str">
            <v>cwBOOKING/00634/22-23</v>
          </cell>
          <cell r="F638" t="str">
            <v>Mr. MOHIT SHARMA</v>
          </cell>
          <cell r="G638" t="str">
            <v>cwFLAP/00603/22-23</v>
          </cell>
          <cell r="H638" t="str">
            <v>On Application of OC</v>
          </cell>
          <cell r="I638">
            <v>0</v>
          </cell>
          <cell r="J638">
            <v>45072</v>
          </cell>
          <cell r="K638">
            <v>46144</v>
          </cell>
          <cell r="L638">
            <v>46164</v>
          </cell>
          <cell r="M638">
            <v>4869178</v>
          </cell>
          <cell r="N638">
            <v>584302</v>
          </cell>
          <cell r="O638">
            <v>5453480</v>
          </cell>
          <cell r="P638"/>
          <cell r="Q638"/>
          <cell r="R638"/>
          <cell r="S638"/>
          <cell r="T638">
            <v>0</v>
          </cell>
          <cell r="U638">
            <v>0</v>
          </cell>
          <cell r="V638">
            <v>0</v>
          </cell>
          <cell r="W638">
            <v>5453480</v>
          </cell>
          <cell r="X638">
            <v>1492</v>
          </cell>
          <cell r="Y638">
            <v>0</v>
          </cell>
          <cell r="Z638">
            <v>1492</v>
          </cell>
          <cell r="AA638">
            <v>0</v>
          </cell>
          <cell r="AB638"/>
          <cell r="AC638"/>
          <cell r="AD638"/>
          <cell r="AE638"/>
          <cell r="AF638" t="str">
            <v>UnRegistered</v>
          </cell>
        </row>
        <row r="639">
          <cell r="B639" t="str">
            <v>R4 130</v>
          </cell>
          <cell r="C639" t="str">
            <v>R4</v>
          </cell>
          <cell r="D639" t="str">
            <v>M3M Capital Walk in M3M Capital Phase-2</v>
          </cell>
          <cell r="E639" t="str">
            <v>cwBOOKING/00636/22-23</v>
          </cell>
          <cell r="F639" t="str">
            <v>Mr. MURARI LAL GUPTA</v>
          </cell>
          <cell r="G639" t="str">
            <v>cwFLAP/00553/22-23</v>
          </cell>
          <cell r="H639" t="str">
            <v>On Application of OC</v>
          </cell>
          <cell r="I639">
            <v>0</v>
          </cell>
          <cell r="J639">
            <v>45040</v>
          </cell>
          <cell r="K639">
            <v>46144</v>
          </cell>
          <cell r="L639">
            <v>46164</v>
          </cell>
          <cell r="M639">
            <v>1281795</v>
          </cell>
          <cell r="N639">
            <v>153816</v>
          </cell>
          <cell r="O639">
            <v>1435611</v>
          </cell>
          <cell r="P639"/>
          <cell r="Q639"/>
          <cell r="R639"/>
          <cell r="S639"/>
          <cell r="T639">
            <v>0</v>
          </cell>
          <cell r="U639">
            <v>0</v>
          </cell>
          <cell r="V639">
            <v>1.1300000008195639</v>
          </cell>
          <cell r="W639">
            <v>1435612.1300000008</v>
          </cell>
          <cell r="X639">
            <v>6924</v>
          </cell>
          <cell r="Y639">
            <v>0</v>
          </cell>
          <cell r="Z639">
            <v>6924</v>
          </cell>
          <cell r="AA639">
            <v>0</v>
          </cell>
          <cell r="AB639"/>
          <cell r="AC639"/>
          <cell r="AD639"/>
          <cell r="AE639"/>
          <cell r="AF639" t="str">
            <v>UnRegistered</v>
          </cell>
        </row>
        <row r="640">
          <cell r="B640" t="str">
            <v>R1 LG 25</v>
          </cell>
          <cell r="C640" t="str">
            <v>R1</v>
          </cell>
          <cell r="D640" t="str">
            <v>M3M Capital Walk in M3M Capital Phase-2</v>
          </cell>
          <cell r="E640" t="str">
            <v>cwBOOKING/00638/22-23</v>
          </cell>
          <cell r="F640" t="str">
            <v>Ms. JYOTI</v>
          </cell>
          <cell r="G640" t="str">
            <v>cwFLAP/00724/22-23</v>
          </cell>
          <cell r="H640" t="str">
            <v>On Application of OC</v>
          </cell>
          <cell r="I640">
            <v>0</v>
          </cell>
          <cell r="J640">
            <v>45098</v>
          </cell>
          <cell r="K640">
            <v>46144</v>
          </cell>
          <cell r="L640">
            <v>46164</v>
          </cell>
          <cell r="M640">
            <v>7838108</v>
          </cell>
          <cell r="N640">
            <v>940572</v>
          </cell>
          <cell r="O640">
            <v>8778680</v>
          </cell>
          <cell r="P640"/>
          <cell r="Q640"/>
          <cell r="R640"/>
          <cell r="S640"/>
          <cell r="T640">
            <v>0</v>
          </cell>
          <cell r="U640">
            <v>0</v>
          </cell>
          <cell r="V640">
            <v>5976.1399999996647</v>
          </cell>
          <cell r="W640">
            <v>8784656.1400000006</v>
          </cell>
          <cell r="X640">
            <v>5111.16</v>
          </cell>
          <cell r="Y640">
            <v>0</v>
          </cell>
          <cell r="Z640">
            <v>0</v>
          </cell>
          <cell r="AA640">
            <v>5111.16</v>
          </cell>
          <cell r="AB640"/>
          <cell r="AC640"/>
          <cell r="AD640"/>
          <cell r="AE640"/>
          <cell r="AF640" t="str">
            <v>UnRegistered</v>
          </cell>
        </row>
        <row r="641">
          <cell r="B641" t="str">
            <v>R2 LG 03</v>
          </cell>
          <cell r="C641" t="str">
            <v>R2</v>
          </cell>
          <cell r="D641" t="str">
            <v>M3M Capital Walk in M3M Capital Phase-2</v>
          </cell>
          <cell r="E641" t="str">
            <v>cwBOOKING/00639/22-23</v>
          </cell>
          <cell r="F641" t="str">
            <v>Ms. RATANI DEVI</v>
          </cell>
          <cell r="G641" t="str">
            <v>cwFLAP/00911/22-23</v>
          </cell>
          <cell r="H641" t="str">
            <v>On Application of OC</v>
          </cell>
          <cell r="I641">
            <v>0</v>
          </cell>
          <cell r="J641">
            <v>45293</v>
          </cell>
          <cell r="K641">
            <v>46144</v>
          </cell>
          <cell r="L641">
            <v>46164</v>
          </cell>
          <cell r="M641">
            <v>4318069</v>
          </cell>
          <cell r="N641">
            <v>518168</v>
          </cell>
          <cell r="O641">
            <v>4836237</v>
          </cell>
          <cell r="P641">
            <v>1339953.7061999999</v>
          </cell>
          <cell r="Q641"/>
          <cell r="R641"/>
          <cell r="S641">
            <v>160794.44474399998</v>
          </cell>
          <cell r="T641">
            <v>1500748.1509439999</v>
          </cell>
          <cell r="U641">
            <v>0</v>
          </cell>
          <cell r="V641">
            <v>0</v>
          </cell>
          <cell r="W641">
            <v>3335488.8490559999</v>
          </cell>
          <cell r="X641">
            <v>248</v>
          </cell>
          <cell r="Y641">
            <v>0</v>
          </cell>
          <cell r="Z641">
            <v>0</v>
          </cell>
          <cell r="AA641">
            <v>248</v>
          </cell>
          <cell r="AB641" t="str">
            <v>Executed</v>
          </cell>
          <cell r="AC641" t="str">
            <v>Yes</v>
          </cell>
          <cell r="AD641">
            <v>0.20925169729290782</v>
          </cell>
          <cell r="AE641" t="str">
            <v>Less than 35%</v>
          </cell>
          <cell r="AF641" t="str">
            <v>UnRegistered</v>
          </cell>
        </row>
        <row r="642">
          <cell r="B642" t="str">
            <v>R4 LG 05</v>
          </cell>
          <cell r="C642" t="str">
            <v>R4</v>
          </cell>
          <cell r="D642" t="str">
            <v>M3M Capital Walk in M3M Capital Phase-2</v>
          </cell>
          <cell r="E642" t="str">
            <v>cwBOOKING/00641/22-23</v>
          </cell>
          <cell r="F642" t="str">
            <v>Ms. Poonam Mehta</v>
          </cell>
          <cell r="G642" t="str">
            <v>cwFLAP/00397/22-23</v>
          </cell>
          <cell r="H642" t="str">
            <v>On Application of OC</v>
          </cell>
          <cell r="I642">
            <v>0</v>
          </cell>
          <cell r="J642">
            <v>45064</v>
          </cell>
          <cell r="K642">
            <v>46144</v>
          </cell>
          <cell r="L642">
            <v>46164</v>
          </cell>
          <cell r="M642">
            <v>4384995</v>
          </cell>
          <cell r="N642">
            <v>526200</v>
          </cell>
          <cell r="O642">
            <v>4911195</v>
          </cell>
          <cell r="P642"/>
          <cell r="Q642"/>
          <cell r="R642"/>
          <cell r="S642"/>
          <cell r="T642">
            <v>0</v>
          </cell>
          <cell r="U642">
            <v>1.88</v>
          </cell>
          <cell r="V642">
            <v>0</v>
          </cell>
          <cell r="W642">
            <v>4911193.12</v>
          </cell>
          <cell r="X642">
            <v>17678.12</v>
          </cell>
          <cell r="Y642">
            <v>0</v>
          </cell>
          <cell r="Z642">
            <v>17678.12</v>
          </cell>
          <cell r="AA642">
            <v>0</v>
          </cell>
          <cell r="AB642"/>
          <cell r="AC642"/>
          <cell r="AD642"/>
          <cell r="AE642"/>
          <cell r="AF642" t="str">
            <v>UnRegistered</v>
          </cell>
        </row>
        <row r="643">
          <cell r="B643" t="str">
            <v>R4 219</v>
          </cell>
          <cell r="C643" t="str">
            <v>R4</v>
          </cell>
          <cell r="D643" t="str">
            <v>M3M Capital Walk in M3M Capital Phase-2</v>
          </cell>
          <cell r="E643" t="str">
            <v>cwBOOKING/00643/22-23</v>
          </cell>
          <cell r="F643" t="str">
            <v>Ms. Madhu Saini</v>
          </cell>
          <cell r="G643" t="str">
            <v>cwFLAP/00912/22-23</v>
          </cell>
          <cell r="H643" t="str">
            <v>On Application of OC</v>
          </cell>
          <cell r="I643">
            <v>0</v>
          </cell>
          <cell r="J643">
            <v>45099</v>
          </cell>
          <cell r="K643">
            <v>46144</v>
          </cell>
          <cell r="L643">
            <v>46164</v>
          </cell>
          <cell r="M643">
            <v>3589398</v>
          </cell>
          <cell r="N643">
            <v>430728</v>
          </cell>
          <cell r="O643">
            <v>4020126</v>
          </cell>
          <cell r="P643"/>
          <cell r="Q643"/>
          <cell r="R643"/>
          <cell r="S643"/>
          <cell r="T643">
            <v>0</v>
          </cell>
          <cell r="U643">
            <v>327</v>
          </cell>
          <cell r="V643">
            <v>0</v>
          </cell>
          <cell r="W643">
            <v>4019799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/>
          <cell r="AC643"/>
          <cell r="AD643"/>
          <cell r="AE643"/>
          <cell r="AF643" t="str">
            <v>UnRegistered</v>
          </cell>
        </row>
        <row r="644">
          <cell r="B644" t="str">
            <v>R6 215</v>
          </cell>
          <cell r="C644" t="str">
            <v>R6</v>
          </cell>
          <cell r="D644" t="str">
            <v>M3M Capital Walk in M3M Capital Phase-2</v>
          </cell>
          <cell r="E644" t="str">
            <v>cwBOOKING/00644/22-23</v>
          </cell>
          <cell r="F644" t="str">
            <v>Mr. RAJENDER BODH</v>
          </cell>
          <cell r="G644" t="str">
            <v>cwFLAP/00914/22-23</v>
          </cell>
          <cell r="H644" t="str">
            <v>On Application of OC</v>
          </cell>
          <cell r="I644">
            <v>0</v>
          </cell>
          <cell r="J644">
            <v>45358</v>
          </cell>
          <cell r="K644">
            <v>46144</v>
          </cell>
          <cell r="L644">
            <v>46164</v>
          </cell>
          <cell r="M644">
            <v>6408360</v>
          </cell>
          <cell r="N644">
            <v>769004</v>
          </cell>
          <cell r="O644">
            <v>7177364</v>
          </cell>
          <cell r="P644"/>
          <cell r="Q644"/>
          <cell r="R644"/>
          <cell r="S644"/>
          <cell r="T644">
            <v>0</v>
          </cell>
          <cell r="U644">
            <v>0</v>
          </cell>
          <cell r="V644">
            <v>716</v>
          </cell>
          <cell r="W644">
            <v>7178080</v>
          </cell>
          <cell r="X644">
            <v>1131.28</v>
          </cell>
          <cell r="Y644">
            <v>0</v>
          </cell>
          <cell r="Z644">
            <v>0</v>
          </cell>
          <cell r="AA644">
            <v>1131.28</v>
          </cell>
          <cell r="AB644"/>
          <cell r="AC644"/>
          <cell r="AD644"/>
          <cell r="AE644"/>
          <cell r="AF644" t="str">
            <v>UnRegistered</v>
          </cell>
        </row>
        <row r="645">
          <cell r="B645" t="str">
            <v>R3 UG 30</v>
          </cell>
          <cell r="C645" t="str">
            <v>R3</v>
          </cell>
          <cell r="D645" t="str">
            <v>M3M Capital Walk in M3M Capital Phase-2</v>
          </cell>
          <cell r="E645" t="str">
            <v>cwBOOKING/00645/22-23</v>
          </cell>
          <cell r="F645" t="str">
            <v>Ms. SUNITA AHUJA</v>
          </cell>
          <cell r="G645" t="str">
            <v>cwFLAP/00668/22-23</v>
          </cell>
          <cell r="H645" t="str">
            <v>On Application of OC</v>
          </cell>
          <cell r="I645">
            <v>0</v>
          </cell>
          <cell r="J645">
            <v>45239</v>
          </cell>
          <cell r="K645">
            <v>46144</v>
          </cell>
          <cell r="L645">
            <v>46164</v>
          </cell>
          <cell r="M645">
            <v>4999753</v>
          </cell>
          <cell r="N645">
            <v>599970</v>
          </cell>
          <cell r="O645">
            <v>5599723</v>
          </cell>
          <cell r="P645"/>
          <cell r="Q645"/>
          <cell r="R645"/>
          <cell r="S645"/>
          <cell r="T645">
            <v>0</v>
          </cell>
          <cell r="U645">
            <v>0</v>
          </cell>
          <cell r="V645">
            <v>0</v>
          </cell>
          <cell r="W645">
            <v>5599723</v>
          </cell>
          <cell r="X645">
            <v>78922</v>
          </cell>
          <cell r="Y645">
            <v>0</v>
          </cell>
          <cell r="Z645">
            <v>0</v>
          </cell>
          <cell r="AA645">
            <v>78922</v>
          </cell>
          <cell r="AB645"/>
          <cell r="AC645"/>
          <cell r="AD645"/>
          <cell r="AE645"/>
          <cell r="AF645" t="str">
            <v>UnRegistered</v>
          </cell>
        </row>
        <row r="646">
          <cell r="B646" t="str">
            <v>R4 123</v>
          </cell>
          <cell r="C646" t="str">
            <v>R4</v>
          </cell>
          <cell r="D646" t="str">
            <v>M3M Capital Walk in M3M Capital Phase-2</v>
          </cell>
          <cell r="E646" t="str">
            <v>cwBOOKING/00646/22-23</v>
          </cell>
          <cell r="F646" t="str">
            <v>Ms. Gurpreet Kaur Bhatia</v>
          </cell>
          <cell r="G646" t="str">
            <v>cwFLAP/00627/22-23</v>
          </cell>
          <cell r="H646" t="str">
            <v>On Application of OC</v>
          </cell>
          <cell r="I646">
            <v>0</v>
          </cell>
          <cell r="J646">
            <v>45483</v>
          </cell>
          <cell r="K646">
            <v>46144</v>
          </cell>
          <cell r="L646">
            <v>46164</v>
          </cell>
          <cell r="M646">
            <v>6830220</v>
          </cell>
          <cell r="N646">
            <v>819626</v>
          </cell>
          <cell r="O646">
            <v>7649846</v>
          </cell>
          <cell r="P646"/>
          <cell r="Q646"/>
          <cell r="R646"/>
          <cell r="S646"/>
          <cell r="T646">
            <v>0</v>
          </cell>
          <cell r="U646">
            <v>0</v>
          </cell>
          <cell r="V646">
            <v>1</v>
          </cell>
          <cell r="W646">
            <v>7649847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/>
          <cell r="AC646"/>
          <cell r="AD646"/>
          <cell r="AE646"/>
          <cell r="AF646" t="str">
            <v>UnRegistered</v>
          </cell>
        </row>
        <row r="647">
          <cell r="B647" t="str">
            <v>R4 G 17</v>
          </cell>
          <cell r="C647" t="str">
            <v>R4</v>
          </cell>
          <cell r="D647" t="str">
            <v>M3M Capital Walk in M3M Capital Phase-2</v>
          </cell>
          <cell r="E647" t="str">
            <v>cwBOOKING/00647/22-23</v>
          </cell>
          <cell r="F647" t="str">
            <v>Mr. Mohan Singh Suden</v>
          </cell>
          <cell r="G647" t="str">
            <v>cwFLAP/00551/22-23</v>
          </cell>
          <cell r="H647" t="str">
            <v>On Application of OC</v>
          </cell>
          <cell r="I647">
            <v>0</v>
          </cell>
          <cell r="J647">
            <v>45049</v>
          </cell>
          <cell r="K647">
            <v>46144</v>
          </cell>
          <cell r="L647">
            <v>46164</v>
          </cell>
          <cell r="M647">
            <v>10276950</v>
          </cell>
          <cell r="N647">
            <v>1233234</v>
          </cell>
          <cell r="O647">
            <v>11510184</v>
          </cell>
          <cell r="P647"/>
          <cell r="Q647"/>
          <cell r="R647"/>
          <cell r="S647"/>
          <cell r="T647">
            <v>0</v>
          </cell>
          <cell r="U647">
            <v>0.38</v>
          </cell>
          <cell r="V647">
            <v>0</v>
          </cell>
          <cell r="W647">
            <v>11510183.619999999</v>
          </cell>
          <cell r="X647">
            <v>40182.519999999997</v>
          </cell>
          <cell r="Y647">
            <v>0</v>
          </cell>
          <cell r="Z647">
            <v>40182.519999999997</v>
          </cell>
          <cell r="AA647">
            <v>0</v>
          </cell>
          <cell r="AB647"/>
          <cell r="AC647"/>
          <cell r="AD647"/>
          <cell r="AE647"/>
          <cell r="AF647" t="str">
            <v>UnRegistered</v>
          </cell>
        </row>
        <row r="648">
          <cell r="B648" t="str">
            <v>R1 103</v>
          </cell>
          <cell r="C648" t="str">
            <v>R1</v>
          </cell>
          <cell r="D648" t="str">
            <v>M3M Capital Walk in M3M Capital Phase-2</v>
          </cell>
          <cell r="E648" t="str">
            <v>cwBOOKING/00648/22-23</v>
          </cell>
          <cell r="F648" t="str">
            <v>Mr. RAKESH KUMAR VERMA</v>
          </cell>
          <cell r="G648" t="str">
            <v>cwFLAP/00518/22-23</v>
          </cell>
          <cell r="H648" t="str">
            <v>On Application of OC</v>
          </cell>
          <cell r="I648">
            <v>0</v>
          </cell>
          <cell r="J648">
            <v>45155</v>
          </cell>
          <cell r="K648">
            <v>46144</v>
          </cell>
          <cell r="L648">
            <v>46164</v>
          </cell>
          <cell r="M648">
            <v>3480334</v>
          </cell>
          <cell r="N648">
            <v>417640</v>
          </cell>
          <cell r="O648">
            <v>3897974</v>
          </cell>
          <cell r="P648"/>
          <cell r="Q648"/>
          <cell r="R648"/>
          <cell r="S648"/>
          <cell r="T648">
            <v>0</v>
          </cell>
          <cell r="U648">
            <v>0</v>
          </cell>
          <cell r="V648">
            <v>0</v>
          </cell>
          <cell r="W648">
            <v>3897974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/>
          <cell r="AC648"/>
          <cell r="AD648"/>
          <cell r="AE648"/>
          <cell r="AF648" t="str">
            <v>07ACLPV3982B2Z9</v>
          </cell>
        </row>
        <row r="649">
          <cell r="B649" t="str">
            <v>R4 K 304</v>
          </cell>
          <cell r="C649" t="str">
            <v>R4</v>
          </cell>
          <cell r="D649" t="str">
            <v>M3M Capital Walk in M3M Capital Phase-2</v>
          </cell>
          <cell r="E649" t="str">
            <v>cwBOOKING/00649/22-23</v>
          </cell>
          <cell r="F649" t="str">
            <v>Ms. SANTOSH KUMARI</v>
          </cell>
          <cell r="G649" t="str">
            <v>cwFLAP/00850/22-23</v>
          </cell>
          <cell r="H649" t="str">
            <v>On Application of OC</v>
          </cell>
          <cell r="I649">
            <v>0</v>
          </cell>
          <cell r="J649">
            <v>45334</v>
          </cell>
          <cell r="K649">
            <v>46144</v>
          </cell>
          <cell r="L649">
            <v>46164</v>
          </cell>
          <cell r="M649">
            <v>4527564</v>
          </cell>
          <cell r="N649">
            <v>543308</v>
          </cell>
          <cell r="O649">
            <v>5070872</v>
          </cell>
          <cell r="P649"/>
          <cell r="Q649"/>
          <cell r="R649"/>
          <cell r="S649"/>
          <cell r="T649">
            <v>0</v>
          </cell>
          <cell r="U649">
            <v>0</v>
          </cell>
          <cell r="V649">
            <v>4098591</v>
          </cell>
          <cell r="W649">
            <v>9169463</v>
          </cell>
          <cell r="X649">
            <v>1533967</v>
          </cell>
          <cell r="Y649">
            <v>0</v>
          </cell>
          <cell r="Z649">
            <v>0</v>
          </cell>
          <cell r="AA649">
            <v>1533967</v>
          </cell>
          <cell r="AB649"/>
          <cell r="AC649"/>
          <cell r="AD649"/>
          <cell r="AE649"/>
          <cell r="AF649" t="str">
            <v>UnRegistered</v>
          </cell>
        </row>
        <row r="650">
          <cell r="B650" t="str">
            <v>R4 UG 25</v>
          </cell>
          <cell r="C650" t="str">
            <v>R4</v>
          </cell>
          <cell r="D650" t="str">
            <v>M3M Capital Walk in M3M Capital Phase-2</v>
          </cell>
          <cell r="E650" t="str">
            <v>cwBOOKING/00651/22-23</v>
          </cell>
          <cell r="F650" t="str">
            <v>Ms. SHEHZADI GULNAR MIRZA</v>
          </cell>
          <cell r="G650" t="str">
            <v>cwFLAP/00916/22-23</v>
          </cell>
          <cell r="H650" t="str">
            <v>On Application of OC</v>
          </cell>
          <cell r="I650">
            <v>0</v>
          </cell>
          <cell r="J650">
            <v>45302</v>
          </cell>
          <cell r="K650">
            <v>46144</v>
          </cell>
          <cell r="L650">
            <v>46164</v>
          </cell>
          <cell r="M650">
            <v>1400419</v>
          </cell>
          <cell r="N650">
            <v>168050</v>
          </cell>
          <cell r="O650">
            <v>1568469</v>
          </cell>
          <cell r="P650"/>
          <cell r="Q650"/>
          <cell r="R650"/>
          <cell r="S650"/>
          <cell r="T650">
            <v>0</v>
          </cell>
          <cell r="U650">
            <v>0</v>
          </cell>
          <cell r="V650">
            <v>0</v>
          </cell>
          <cell r="W650">
            <v>1568469</v>
          </cell>
          <cell r="X650">
            <v>36782</v>
          </cell>
          <cell r="Y650">
            <v>0</v>
          </cell>
          <cell r="Z650">
            <v>0</v>
          </cell>
          <cell r="AA650">
            <v>36782</v>
          </cell>
          <cell r="AB650"/>
          <cell r="AC650"/>
          <cell r="AD650"/>
          <cell r="AE650"/>
          <cell r="AF650" t="str">
            <v>UnRegistered</v>
          </cell>
        </row>
        <row r="651">
          <cell r="B651" t="str">
            <v>R4 LG 02</v>
          </cell>
          <cell r="C651" t="str">
            <v>R4</v>
          </cell>
          <cell r="D651" t="str">
            <v>M3M Capital Walk in M3M Capital Phase-2</v>
          </cell>
          <cell r="E651" t="str">
            <v>cwBOOKING/00653/22-23</v>
          </cell>
          <cell r="F651" t="str">
            <v>Col. KAPIL DALAL</v>
          </cell>
          <cell r="G651" t="str">
            <v>cwFLAP/00788/22-23</v>
          </cell>
          <cell r="H651" t="str">
            <v>On Application of OC</v>
          </cell>
          <cell r="I651">
            <v>0</v>
          </cell>
          <cell r="J651">
            <v>45293</v>
          </cell>
          <cell r="K651">
            <v>46144</v>
          </cell>
          <cell r="L651">
            <v>46164</v>
          </cell>
          <cell r="M651">
            <v>9817520</v>
          </cell>
          <cell r="N651">
            <v>1178102</v>
          </cell>
          <cell r="O651">
            <v>10995622</v>
          </cell>
          <cell r="P651"/>
          <cell r="Q651"/>
          <cell r="R651"/>
          <cell r="S651"/>
          <cell r="T651">
            <v>0</v>
          </cell>
          <cell r="U651">
            <v>0</v>
          </cell>
          <cell r="V651">
            <v>0</v>
          </cell>
          <cell r="W651">
            <v>10995622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/>
          <cell r="AC651"/>
          <cell r="AD651"/>
          <cell r="AE651"/>
          <cell r="AF651" t="str">
            <v>UnRegistered</v>
          </cell>
        </row>
        <row r="652">
          <cell r="B652" t="str">
            <v>R3 LG 50</v>
          </cell>
          <cell r="C652" t="str">
            <v>R3</v>
          </cell>
          <cell r="D652" t="str">
            <v>M3M Capital Walk in M3M Capital Phase-2</v>
          </cell>
          <cell r="E652" t="str">
            <v>cwBOOKING/00654/22-23</v>
          </cell>
          <cell r="F652" t="str">
            <v>Ms. AISHWARYA SINGH</v>
          </cell>
          <cell r="G652" t="str">
            <v>cwFLAP/00820/22-23</v>
          </cell>
          <cell r="H652" t="str">
            <v>On Application of OC</v>
          </cell>
          <cell r="I652">
            <v>0</v>
          </cell>
          <cell r="J652">
            <v>45049</v>
          </cell>
          <cell r="K652">
            <v>46144</v>
          </cell>
          <cell r="L652">
            <v>46164</v>
          </cell>
          <cell r="M652">
            <v>1999993</v>
          </cell>
          <cell r="N652">
            <v>240000</v>
          </cell>
          <cell r="O652">
            <v>2239993</v>
          </cell>
          <cell r="P652"/>
          <cell r="Q652"/>
          <cell r="R652"/>
          <cell r="S652"/>
          <cell r="T652">
            <v>0</v>
          </cell>
          <cell r="U652">
            <v>8</v>
          </cell>
          <cell r="V652">
            <v>0</v>
          </cell>
          <cell r="W652">
            <v>2239985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/>
          <cell r="AC652"/>
          <cell r="AD652"/>
          <cell r="AE652"/>
          <cell r="AF652" t="str">
            <v>UnRegistered</v>
          </cell>
        </row>
        <row r="653">
          <cell r="B653" t="str">
            <v>R5 LG 43</v>
          </cell>
          <cell r="C653" t="str">
            <v>R5</v>
          </cell>
          <cell r="D653" t="str">
            <v>M3M Capital Walk in M3M Capital Phase-2</v>
          </cell>
          <cell r="E653" t="str">
            <v>cwBOOKING/00656/22-23</v>
          </cell>
          <cell r="F653" t="str">
            <v>Ms. RAMADEVI BOPPANA</v>
          </cell>
          <cell r="G653" t="str">
            <v>cwFLAP/00919/22-23</v>
          </cell>
          <cell r="H653" t="str">
            <v>On Application of OC</v>
          </cell>
          <cell r="I653">
            <v>0</v>
          </cell>
          <cell r="J653">
            <v>45338</v>
          </cell>
          <cell r="K653">
            <v>46144</v>
          </cell>
          <cell r="L653">
            <v>46164</v>
          </cell>
          <cell r="M653">
            <v>2041840</v>
          </cell>
          <cell r="N653">
            <v>245020</v>
          </cell>
          <cell r="O653">
            <v>2286860</v>
          </cell>
          <cell r="P653">
            <v>1329168.9212499999</v>
          </cell>
          <cell r="Q653"/>
          <cell r="R653"/>
          <cell r="S653">
            <v>159500.27054999999</v>
          </cell>
          <cell r="T653">
            <v>1488669.1917999999</v>
          </cell>
          <cell r="U653">
            <v>0</v>
          </cell>
          <cell r="V653">
            <v>0</v>
          </cell>
          <cell r="W653">
            <v>798190.80820000009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 t="str">
            <v>Executed</v>
          </cell>
          <cell r="AC653" t="str">
            <v>Yes</v>
          </cell>
          <cell r="AD653">
            <v>0.26038936805076845</v>
          </cell>
          <cell r="AE653" t="str">
            <v>Less than 35%</v>
          </cell>
          <cell r="AF653" t="str">
            <v>UnRegistered</v>
          </cell>
        </row>
        <row r="654">
          <cell r="B654" t="str">
            <v>R6 LG 12A</v>
          </cell>
          <cell r="C654" t="str">
            <v>R6</v>
          </cell>
          <cell r="D654" t="str">
            <v>M3M Capital Walk in M3M Capital Phase-2</v>
          </cell>
          <cell r="E654" t="str">
            <v>cwBOOKING/00657/22-23</v>
          </cell>
          <cell r="F654" t="str">
            <v>Ms. Sunita Kajal</v>
          </cell>
          <cell r="G654" t="str">
            <v>cwFLAP/00507/22-23</v>
          </cell>
          <cell r="H654" t="str">
            <v>On Application of OC</v>
          </cell>
          <cell r="I654">
            <v>0</v>
          </cell>
          <cell r="J654">
            <v>45274</v>
          </cell>
          <cell r="K654">
            <v>46144</v>
          </cell>
          <cell r="L654">
            <v>46164</v>
          </cell>
          <cell r="M654">
            <v>4827077</v>
          </cell>
          <cell r="N654">
            <v>579250</v>
          </cell>
          <cell r="O654">
            <v>5406327</v>
          </cell>
          <cell r="P654"/>
          <cell r="Q654"/>
          <cell r="R654"/>
          <cell r="S654"/>
          <cell r="T654">
            <v>0</v>
          </cell>
          <cell r="U654">
            <v>0</v>
          </cell>
          <cell r="V654">
            <v>0</v>
          </cell>
          <cell r="W654">
            <v>5406327</v>
          </cell>
          <cell r="X654">
            <v>140152</v>
          </cell>
          <cell r="Y654">
            <v>0</v>
          </cell>
          <cell r="Z654">
            <v>140151</v>
          </cell>
          <cell r="AA654">
            <v>1</v>
          </cell>
          <cell r="AB654"/>
          <cell r="AC654"/>
          <cell r="AD654"/>
          <cell r="AE654"/>
          <cell r="AF654" t="str">
            <v>UnRegistered</v>
          </cell>
        </row>
        <row r="655">
          <cell r="B655" t="str">
            <v>R5 LG 02</v>
          </cell>
          <cell r="C655" t="str">
            <v>R5</v>
          </cell>
          <cell r="D655" t="str">
            <v>M3M Capital Walk in M3M Capital Phase-2</v>
          </cell>
          <cell r="E655" t="str">
            <v>cwBOOKING/00658/22-23</v>
          </cell>
          <cell r="F655" t="str">
            <v>Mr. VISHAL GUPTA</v>
          </cell>
          <cell r="G655" t="str">
            <v>cwFLAP/00651/22-23</v>
          </cell>
          <cell r="H655" t="str">
            <v>On Application of OC</v>
          </cell>
          <cell r="I655">
            <v>0</v>
          </cell>
          <cell r="J655">
            <v>45177</v>
          </cell>
          <cell r="K655">
            <v>46144</v>
          </cell>
          <cell r="L655">
            <v>46164</v>
          </cell>
          <cell r="M655">
            <v>8457420</v>
          </cell>
          <cell r="N655">
            <v>1014890</v>
          </cell>
          <cell r="O655">
            <v>9472310</v>
          </cell>
          <cell r="P655"/>
          <cell r="Q655"/>
          <cell r="R655"/>
          <cell r="S655"/>
          <cell r="T655">
            <v>0</v>
          </cell>
          <cell r="U655">
            <v>0</v>
          </cell>
          <cell r="V655">
            <v>0</v>
          </cell>
          <cell r="W655">
            <v>9472310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/>
          <cell r="AC655"/>
          <cell r="AD655"/>
          <cell r="AE655"/>
          <cell r="AF655" t="str">
            <v>UnRegistered</v>
          </cell>
        </row>
        <row r="656">
          <cell r="B656" t="str">
            <v>R5 116</v>
          </cell>
          <cell r="C656" t="str">
            <v>R5</v>
          </cell>
          <cell r="D656" t="str">
            <v>M3M Capital Walk in M3M Capital Phase-2</v>
          </cell>
          <cell r="E656" t="str">
            <v>cwBOOKING/00659/22-23</v>
          </cell>
          <cell r="F656" t="str">
            <v>M/S. Beauty Inn</v>
          </cell>
          <cell r="G656" t="str">
            <v>cwFLAP/00491/22-23</v>
          </cell>
          <cell r="H656" t="str">
            <v>On Application of OC</v>
          </cell>
          <cell r="I656">
            <v>0</v>
          </cell>
          <cell r="J656">
            <v>45274</v>
          </cell>
          <cell r="K656">
            <v>46144</v>
          </cell>
          <cell r="L656">
            <v>46164</v>
          </cell>
          <cell r="M656">
            <v>2602332</v>
          </cell>
          <cell r="N656">
            <v>312280</v>
          </cell>
          <cell r="O656">
            <v>2914612</v>
          </cell>
          <cell r="P656"/>
          <cell r="Q656"/>
          <cell r="R656"/>
          <cell r="S656"/>
          <cell r="T656">
            <v>0</v>
          </cell>
          <cell r="U656">
            <v>0</v>
          </cell>
          <cell r="V656">
            <v>0</v>
          </cell>
          <cell r="W656">
            <v>2914612</v>
          </cell>
          <cell r="X656">
            <v>192604</v>
          </cell>
          <cell r="Y656">
            <v>0</v>
          </cell>
          <cell r="Z656">
            <v>192604</v>
          </cell>
          <cell r="AA656">
            <v>0</v>
          </cell>
          <cell r="AB656"/>
          <cell r="AC656"/>
          <cell r="AD656"/>
          <cell r="AE656"/>
          <cell r="AF656" t="str">
            <v>UnRegistered</v>
          </cell>
        </row>
        <row r="657">
          <cell r="B657" t="str">
            <v>R6 110</v>
          </cell>
          <cell r="C657" t="str">
            <v>R6</v>
          </cell>
          <cell r="D657" t="str">
            <v>M3M Capital Walk in M3M Capital Phase-2</v>
          </cell>
          <cell r="E657" t="str">
            <v>cwBOOKING/00660/22-23</v>
          </cell>
          <cell r="F657" t="str">
            <v>Ms. NEELIMA RAJ</v>
          </cell>
          <cell r="G657" t="str">
            <v>cwFLAP/00508/22-23</v>
          </cell>
          <cell r="H657" t="str">
            <v>On Application of OC</v>
          </cell>
          <cell r="I657">
            <v>0</v>
          </cell>
          <cell r="J657">
            <v>45357</v>
          </cell>
          <cell r="K657">
            <v>46144</v>
          </cell>
          <cell r="L657">
            <v>46164</v>
          </cell>
          <cell r="M657">
            <v>4345552</v>
          </cell>
          <cell r="N657">
            <v>521466</v>
          </cell>
          <cell r="O657">
            <v>4867018</v>
          </cell>
          <cell r="P657"/>
          <cell r="Q657"/>
          <cell r="R657"/>
          <cell r="S657"/>
          <cell r="T657">
            <v>0</v>
          </cell>
          <cell r="U657">
            <v>253</v>
          </cell>
          <cell r="V657">
            <v>0</v>
          </cell>
          <cell r="W657">
            <v>4866765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/>
          <cell r="AC657"/>
          <cell r="AD657"/>
          <cell r="AE657"/>
          <cell r="AF657" t="str">
            <v>UnRegistered</v>
          </cell>
        </row>
        <row r="658">
          <cell r="B658" t="str">
            <v>R4 140</v>
          </cell>
          <cell r="C658" t="str">
            <v>R4</v>
          </cell>
          <cell r="D658" t="str">
            <v>M3M Capital Walk in M3M Capital Phase-2</v>
          </cell>
          <cell r="E658" t="str">
            <v>cwBOOKING/00661/22-23</v>
          </cell>
          <cell r="F658" t="str">
            <v>Ms. NEELIMA RAJ</v>
          </cell>
          <cell r="G658" t="str">
            <v>cwFLAP/00556/22-23</v>
          </cell>
          <cell r="H658" t="str">
            <v>On Application of OC</v>
          </cell>
          <cell r="I658">
            <v>0</v>
          </cell>
          <cell r="J658">
            <v>45357</v>
          </cell>
          <cell r="K658">
            <v>46144</v>
          </cell>
          <cell r="L658">
            <v>46164</v>
          </cell>
          <cell r="M658">
            <v>5373899</v>
          </cell>
          <cell r="N658">
            <v>644868</v>
          </cell>
          <cell r="O658">
            <v>6018767</v>
          </cell>
          <cell r="P658"/>
          <cell r="Q658"/>
          <cell r="R658"/>
          <cell r="S658"/>
          <cell r="T658">
            <v>0</v>
          </cell>
          <cell r="U658">
            <v>169346</v>
          </cell>
          <cell r="V658">
            <v>0</v>
          </cell>
          <cell r="W658">
            <v>5849421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/>
          <cell r="AC658"/>
          <cell r="AD658"/>
          <cell r="AE658"/>
          <cell r="AF658" t="str">
            <v>UnRegistered</v>
          </cell>
        </row>
        <row r="659">
          <cell r="B659" t="str">
            <v>R1 212</v>
          </cell>
          <cell r="C659" t="str">
            <v>R1</v>
          </cell>
          <cell r="D659" t="str">
            <v>M3M Capital Walk in M3M Capital Phase-2</v>
          </cell>
          <cell r="E659" t="str">
            <v>cwBOOKING/00662/22-23</v>
          </cell>
          <cell r="F659" t="str">
            <v>Dr. MAHENDRA PRATAP GANDHI</v>
          </cell>
          <cell r="G659" t="str">
            <v>cwFLAP/00572/22-23</v>
          </cell>
          <cell r="H659" t="str">
            <v>On Application of OC</v>
          </cell>
          <cell r="I659">
            <v>0</v>
          </cell>
          <cell r="J659">
            <v>45043</v>
          </cell>
          <cell r="K659">
            <v>46144</v>
          </cell>
          <cell r="L659">
            <v>46164</v>
          </cell>
          <cell r="M659">
            <v>3314065</v>
          </cell>
          <cell r="N659">
            <v>397688</v>
          </cell>
          <cell r="O659">
            <v>3711753</v>
          </cell>
          <cell r="P659"/>
          <cell r="Q659"/>
          <cell r="R659"/>
          <cell r="S659"/>
          <cell r="T659">
            <v>0</v>
          </cell>
          <cell r="U659">
            <v>0</v>
          </cell>
          <cell r="V659">
            <v>1</v>
          </cell>
          <cell r="W659">
            <v>3711754</v>
          </cell>
          <cell r="X659">
            <v>12712</v>
          </cell>
          <cell r="Y659">
            <v>0</v>
          </cell>
          <cell r="Z659">
            <v>0</v>
          </cell>
          <cell r="AA659">
            <v>12712</v>
          </cell>
          <cell r="AB659"/>
          <cell r="AC659"/>
          <cell r="AD659"/>
          <cell r="AE659"/>
          <cell r="AF659" t="str">
            <v>UnRegistered</v>
          </cell>
        </row>
        <row r="660">
          <cell r="B660" t="str">
            <v>R5 170</v>
          </cell>
          <cell r="C660" t="str">
            <v>R5</v>
          </cell>
          <cell r="D660" t="str">
            <v>M3M Capital Walk in M3M Capital Phase-2</v>
          </cell>
          <cell r="E660" t="str">
            <v>cwBOOKING/00663/22-23</v>
          </cell>
          <cell r="F660" t="str">
            <v>Ms. NEELAM SINGH</v>
          </cell>
          <cell r="G660" t="str">
            <v>cwFLAP/00595/22-23</v>
          </cell>
          <cell r="H660" t="str">
            <v>On Application of OC</v>
          </cell>
          <cell r="I660">
            <v>0</v>
          </cell>
          <cell r="J660">
            <v>45033</v>
          </cell>
          <cell r="K660">
            <v>46144</v>
          </cell>
          <cell r="L660">
            <v>46164</v>
          </cell>
          <cell r="M660">
            <v>2531857</v>
          </cell>
          <cell r="N660">
            <v>303822</v>
          </cell>
          <cell r="O660">
            <v>2835679</v>
          </cell>
          <cell r="P660"/>
          <cell r="Q660"/>
          <cell r="R660"/>
          <cell r="S660"/>
          <cell r="T660">
            <v>0</v>
          </cell>
          <cell r="U660">
            <v>0</v>
          </cell>
          <cell r="V660">
            <v>1</v>
          </cell>
          <cell r="W660">
            <v>2835680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/>
          <cell r="AC660"/>
          <cell r="AD660"/>
          <cell r="AE660"/>
          <cell r="AF660" t="str">
            <v>UnRegistered</v>
          </cell>
        </row>
        <row r="661">
          <cell r="B661" t="str">
            <v>R6 LG 02</v>
          </cell>
          <cell r="C661" t="str">
            <v>R6</v>
          </cell>
          <cell r="D661" t="str">
            <v>M3M Capital Walk in M3M Capital Phase-2</v>
          </cell>
          <cell r="E661" t="str">
            <v>cwBOOKING/00665/22-23</v>
          </cell>
          <cell r="F661" t="str">
            <v>Ms. POONAM</v>
          </cell>
          <cell r="G661" t="str">
            <v>cwFLAP/00685/22-23</v>
          </cell>
          <cell r="H661" t="str">
            <v>On Application of OC</v>
          </cell>
          <cell r="I661">
            <v>0</v>
          </cell>
          <cell r="J661">
            <v>45036</v>
          </cell>
          <cell r="K661">
            <v>46144</v>
          </cell>
          <cell r="L661">
            <v>46164</v>
          </cell>
          <cell r="M661">
            <v>4959707</v>
          </cell>
          <cell r="N661">
            <v>595164</v>
          </cell>
          <cell r="O661">
            <v>5554871</v>
          </cell>
          <cell r="P661"/>
          <cell r="Q661"/>
          <cell r="R661"/>
          <cell r="S661"/>
          <cell r="T661">
            <v>0</v>
          </cell>
          <cell r="U661">
            <v>0</v>
          </cell>
          <cell r="V661">
            <v>0</v>
          </cell>
          <cell r="W661">
            <v>5554871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/>
          <cell r="AC661"/>
          <cell r="AD661"/>
          <cell r="AE661"/>
          <cell r="AF661" t="str">
            <v>UnRegistered</v>
          </cell>
        </row>
        <row r="662">
          <cell r="B662" t="str">
            <v>R1 225</v>
          </cell>
          <cell r="C662" t="str">
            <v>R1</v>
          </cell>
          <cell r="D662" t="str">
            <v>M3M Capital Walk in M3M Capital Phase-2</v>
          </cell>
          <cell r="E662" t="str">
            <v>cwBOOKING/00666/22-23</v>
          </cell>
          <cell r="F662" t="str">
            <v>Mr. MADAN LAL</v>
          </cell>
          <cell r="G662" t="str">
            <v>cwFLAP/00923/22-23</v>
          </cell>
          <cell r="H662" t="str">
            <v>On Application of OC</v>
          </cell>
          <cell r="I662">
            <v>0</v>
          </cell>
          <cell r="J662">
            <v>45154</v>
          </cell>
          <cell r="K662">
            <v>46144</v>
          </cell>
          <cell r="L662">
            <v>46164</v>
          </cell>
          <cell r="M662">
            <v>1819893</v>
          </cell>
          <cell r="N662">
            <v>218388</v>
          </cell>
          <cell r="O662">
            <v>2038281</v>
          </cell>
          <cell r="P662">
            <v>717070.7929</v>
          </cell>
          <cell r="Q662"/>
          <cell r="R662"/>
          <cell r="S662">
            <v>86048.495148000002</v>
          </cell>
          <cell r="T662">
            <v>803119.28804799996</v>
          </cell>
          <cell r="U662">
            <v>0</v>
          </cell>
          <cell r="V662">
            <v>1</v>
          </cell>
          <cell r="W662">
            <v>1235162.7119519999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 t="str">
            <v>Executed</v>
          </cell>
          <cell r="AC662" t="str">
            <v>Yes</v>
          </cell>
          <cell r="AD662">
            <v>0.15926892501074855</v>
          </cell>
          <cell r="AE662" t="str">
            <v>Less than 35%</v>
          </cell>
          <cell r="AF662" t="str">
            <v>UnRegistered</v>
          </cell>
        </row>
        <row r="663">
          <cell r="B663" t="str">
            <v>R5 LG 33</v>
          </cell>
          <cell r="C663" t="str">
            <v>R5</v>
          </cell>
          <cell r="D663" t="str">
            <v>M3M Capital Walk in M3M Capital Phase-2</v>
          </cell>
          <cell r="E663" t="str">
            <v>cwBOOKING/00667/22-23</v>
          </cell>
          <cell r="F663" t="str">
            <v>Ms. Sunita Yadav</v>
          </cell>
          <cell r="G663" t="str">
            <v>cwFLAP/00922/22-23</v>
          </cell>
          <cell r="H663" t="str">
            <v>On Application of OC</v>
          </cell>
          <cell r="I663">
            <v>0</v>
          </cell>
          <cell r="J663">
            <v>45065</v>
          </cell>
          <cell r="K663">
            <v>46144</v>
          </cell>
          <cell r="L663">
            <v>46164</v>
          </cell>
          <cell r="M663">
            <v>2283183</v>
          </cell>
          <cell r="N663">
            <v>273982</v>
          </cell>
          <cell r="O663">
            <v>2557165</v>
          </cell>
          <cell r="P663"/>
          <cell r="Q663"/>
          <cell r="R663"/>
          <cell r="S663"/>
          <cell r="T663">
            <v>0</v>
          </cell>
          <cell r="U663">
            <v>33786</v>
          </cell>
          <cell r="V663">
            <v>0</v>
          </cell>
          <cell r="W663">
            <v>2523379</v>
          </cell>
          <cell r="X663">
            <v>165</v>
          </cell>
          <cell r="Y663">
            <v>0</v>
          </cell>
          <cell r="Z663">
            <v>0</v>
          </cell>
          <cell r="AA663">
            <v>165</v>
          </cell>
          <cell r="AB663"/>
          <cell r="AC663"/>
          <cell r="AD663"/>
          <cell r="AE663"/>
          <cell r="AF663" t="str">
            <v>UnRegistered</v>
          </cell>
        </row>
        <row r="664">
          <cell r="B664" t="str">
            <v>R6 130</v>
          </cell>
          <cell r="C664" t="str">
            <v>R6</v>
          </cell>
          <cell r="D664" t="str">
            <v>M3M Capital Walk in M3M Capital Phase-2</v>
          </cell>
          <cell r="E664" t="str">
            <v>cwBOOKING/00668/22-23</v>
          </cell>
          <cell r="F664" t="str">
            <v>Ms. JUHI KHANNA</v>
          </cell>
          <cell r="G664" t="str">
            <v>cwFLAP/00924/22-23</v>
          </cell>
          <cell r="H664" t="str">
            <v>On Application of OC</v>
          </cell>
          <cell r="I664">
            <v>0</v>
          </cell>
          <cell r="J664">
            <v>45244</v>
          </cell>
          <cell r="K664">
            <v>46144</v>
          </cell>
          <cell r="L664">
            <v>46164</v>
          </cell>
          <cell r="M664">
            <v>4329647</v>
          </cell>
          <cell r="N664">
            <v>519558</v>
          </cell>
          <cell r="O664">
            <v>4849205</v>
          </cell>
          <cell r="P664"/>
          <cell r="Q664"/>
          <cell r="R664"/>
          <cell r="S664"/>
          <cell r="T664">
            <v>0</v>
          </cell>
          <cell r="U664">
            <v>0</v>
          </cell>
          <cell r="V664">
            <v>0</v>
          </cell>
          <cell r="W664">
            <v>4849205</v>
          </cell>
          <cell r="X664">
            <v>11243.96</v>
          </cell>
          <cell r="Y664">
            <v>0</v>
          </cell>
          <cell r="Z664">
            <v>0</v>
          </cell>
          <cell r="AA664">
            <v>11243.96</v>
          </cell>
          <cell r="AB664"/>
          <cell r="AC664"/>
          <cell r="AD664"/>
          <cell r="AE664"/>
          <cell r="AF664" t="str">
            <v>UnRegistered</v>
          </cell>
        </row>
        <row r="665">
          <cell r="B665" t="str">
            <v>R5 142</v>
          </cell>
          <cell r="C665" t="str">
            <v>R5</v>
          </cell>
          <cell r="D665" t="str">
            <v>M3M Capital Walk in M3M Capital Phase-2</v>
          </cell>
          <cell r="E665" t="str">
            <v>cwBOOKING/00669/22-23</v>
          </cell>
          <cell r="F665" t="str">
            <v>Ms. ANURADHA</v>
          </cell>
          <cell r="G665" t="str">
            <v>cwFLAP/00925/22-23</v>
          </cell>
          <cell r="H665" t="str">
            <v>On Application of OC</v>
          </cell>
          <cell r="I665">
            <v>0</v>
          </cell>
          <cell r="J665">
            <v>45316</v>
          </cell>
          <cell r="K665">
            <v>46144</v>
          </cell>
          <cell r="L665">
            <v>46164</v>
          </cell>
          <cell r="M665">
            <v>4024955</v>
          </cell>
          <cell r="N665">
            <v>482994</v>
          </cell>
          <cell r="O665">
            <v>4507949</v>
          </cell>
          <cell r="P665">
            <v>1227288.6756000002</v>
          </cell>
          <cell r="Q665"/>
          <cell r="R665"/>
          <cell r="S665">
            <v>147274.64107200003</v>
          </cell>
          <cell r="T665">
            <v>1374563.3166720001</v>
          </cell>
          <cell r="U665">
            <v>2668</v>
          </cell>
          <cell r="V665">
            <v>0</v>
          </cell>
          <cell r="W665">
            <v>3130717.6833279999</v>
          </cell>
          <cell r="X665">
            <v>616</v>
          </cell>
          <cell r="Y665">
            <v>0</v>
          </cell>
          <cell r="Z665">
            <v>616</v>
          </cell>
          <cell r="AA665">
            <v>0</v>
          </cell>
          <cell r="AB665" t="str">
            <v>Executed</v>
          </cell>
          <cell r="AC665" t="str">
            <v>Yes</v>
          </cell>
          <cell r="AD665">
            <v>0.1447527686756169</v>
          </cell>
          <cell r="AE665" t="str">
            <v>Less than 35%</v>
          </cell>
          <cell r="AF665" t="str">
            <v>UnRegistered</v>
          </cell>
        </row>
        <row r="666">
          <cell r="B666" t="str">
            <v>R6 LG 16</v>
          </cell>
          <cell r="C666" t="str">
            <v>R6</v>
          </cell>
          <cell r="D666" t="str">
            <v>M3M Capital Walk in M3M Capital Phase-2</v>
          </cell>
          <cell r="E666" t="str">
            <v>cwBOOKING/00670/22-23</v>
          </cell>
          <cell r="F666" t="str">
            <v>Ms. RASHMI HUKKU</v>
          </cell>
          <cell r="G666" t="str">
            <v>cwFLAP/00696/22-23</v>
          </cell>
          <cell r="H666" t="str">
            <v>On Application of OC</v>
          </cell>
          <cell r="I666">
            <v>0</v>
          </cell>
          <cell r="J666">
            <v>45238</v>
          </cell>
          <cell r="K666">
            <v>46144</v>
          </cell>
          <cell r="L666">
            <v>46164</v>
          </cell>
          <cell r="M666">
            <v>13746006</v>
          </cell>
          <cell r="N666">
            <v>1649520</v>
          </cell>
          <cell r="O666">
            <v>15395526</v>
          </cell>
          <cell r="P666"/>
          <cell r="Q666"/>
          <cell r="R666"/>
          <cell r="S666"/>
          <cell r="T666">
            <v>0</v>
          </cell>
          <cell r="U666">
            <v>20000</v>
          </cell>
          <cell r="V666">
            <v>0</v>
          </cell>
          <cell r="W666">
            <v>15375526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/>
          <cell r="AC666"/>
          <cell r="AD666"/>
          <cell r="AE666"/>
          <cell r="AF666" t="str">
            <v>UnRegistered</v>
          </cell>
        </row>
        <row r="667">
          <cell r="B667" t="str">
            <v>R1 256</v>
          </cell>
          <cell r="C667" t="str">
            <v>R1</v>
          </cell>
          <cell r="D667" t="str">
            <v>M3M Capital Walk in M3M Capital Phase-2</v>
          </cell>
          <cell r="E667" t="str">
            <v>cwBOOKING/00672/22-23</v>
          </cell>
          <cell r="F667" t="str">
            <v>Ms. DIKSHA GUPTA</v>
          </cell>
          <cell r="G667" t="str">
            <v>cwFLAP/00803/22-23</v>
          </cell>
          <cell r="H667" t="str">
            <v>On Application of OC</v>
          </cell>
          <cell r="I667">
            <v>0</v>
          </cell>
          <cell r="J667">
            <v>45048</v>
          </cell>
          <cell r="K667">
            <v>46144</v>
          </cell>
          <cell r="L667">
            <v>46164</v>
          </cell>
          <cell r="M667">
            <v>2750401</v>
          </cell>
          <cell r="N667">
            <v>330048</v>
          </cell>
          <cell r="O667">
            <v>3080449</v>
          </cell>
          <cell r="P667"/>
          <cell r="Q667"/>
          <cell r="R667"/>
          <cell r="S667"/>
          <cell r="T667">
            <v>0</v>
          </cell>
          <cell r="U667">
            <v>0</v>
          </cell>
          <cell r="V667">
            <v>1</v>
          </cell>
          <cell r="W667">
            <v>3080450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/>
          <cell r="AC667"/>
          <cell r="AD667"/>
          <cell r="AE667"/>
          <cell r="AF667" t="str">
            <v>UnRegistered</v>
          </cell>
        </row>
        <row r="668">
          <cell r="B668" t="str">
            <v>R5 LG 34</v>
          </cell>
          <cell r="C668" t="str">
            <v>R5</v>
          </cell>
          <cell r="D668" t="str">
            <v>M3M Capital Walk in M3M Capital Phase-2</v>
          </cell>
          <cell r="E668" t="str">
            <v>cwBOOKING/00673/22-23</v>
          </cell>
          <cell r="F668" t="str">
            <v>Ms. RENU YADAV</v>
          </cell>
          <cell r="G668" t="str">
            <v>cwFLAP/00926/22-23</v>
          </cell>
          <cell r="H668" t="str">
            <v>On Application of OC</v>
          </cell>
          <cell r="I668">
            <v>0</v>
          </cell>
          <cell r="J668">
            <v>45065</v>
          </cell>
          <cell r="K668">
            <v>46144</v>
          </cell>
          <cell r="L668">
            <v>46164</v>
          </cell>
          <cell r="M668">
            <v>2822967</v>
          </cell>
          <cell r="N668">
            <v>338756</v>
          </cell>
          <cell r="O668">
            <v>3161723</v>
          </cell>
          <cell r="P668"/>
          <cell r="Q668"/>
          <cell r="R668"/>
          <cell r="S668"/>
          <cell r="T668">
            <v>0</v>
          </cell>
          <cell r="U668">
            <v>0</v>
          </cell>
          <cell r="V668">
            <v>1361</v>
          </cell>
          <cell r="W668">
            <v>3163084</v>
          </cell>
          <cell r="X668">
            <v>836.96</v>
          </cell>
          <cell r="Y668">
            <v>0</v>
          </cell>
          <cell r="Z668">
            <v>0</v>
          </cell>
          <cell r="AA668">
            <v>836.96</v>
          </cell>
          <cell r="AB668"/>
          <cell r="AC668"/>
          <cell r="AD668"/>
          <cell r="AE668"/>
          <cell r="AF668" t="str">
            <v>UnRegistered</v>
          </cell>
        </row>
        <row r="669">
          <cell r="B669" t="str">
            <v>R3 LG 08</v>
          </cell>
          <cell r="C669" t="str">
            <v>R3</v>
          </cell>
          <cell r="D669" t="str">
            <v>M3M Capital Walk in M3M Capital Phase-2</v>
          </cell>
          <cell r="E669" t="str">
            <v>cwBOOKING/00674/22-23</v>
          </cell>
          <cell r="F669" t="str">
            <v>Ms. SULOCHANA DEVI</v>
          </cell>
          <cell r="G669" t="str">
            <v>cwFLAP/00826/22-23</v>
          </cell>
          <cell r="H669" t="str">
            <v>On Application of OC</v>
          </cell>
          <cell r="I669">
            <v>0</v>
          </cell>
          <cell r="J669">
            <v>45084</v>
          </cell>
          <cell r="K669">
            <v>46144</v>
          </cell>
          <cell r="L669">
            <v>46164</v>
          </cell>
          <cell r="M669">
            <v>3413754</v>
          </cell>
          <cell r="N669">
            <v>409650</v>
          </cell>
          <cell r="O669">
            <v>3823404</v>
          </cell>
          <cell r="P669"/>
          <cell r="Q669"/>
          <cell r="R669"/>
          <cell r="S669"/>
          <cell r="T669">
            <v>0</v>
          </cell>
          <cell r="U669">
            <v>0</v>
          </cell>
          <cell r="V669">
            <v>0</v>
          </cell>
          <cell r="W669">
            <v>3823404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/>
          <cell r="AC669"/>
          <cell r="AD669"/>
          <cell r="AE669"/>
          <cell r="AF669" t="str">
            <v>UnRegistered</v>
          </cell>
        </row>
        <row r="670">
          <cell r="B670" t="str">
            <v>R5 G 12A</v>
          </cell>
          <cell r="C670" t="str">
            <v>R5</v>
          </cell>
          <cell r="D670" t="str">
            <v>M3M Capital Walk in M3M Capital Phase-2</v>
          </cell>
          <cell r="E670" t="str">
            <v>cwBOOKING/00675/22-23</v>
          </cell>
          <cell r="F670" t="str">
            <v>M/S. SRM CONTRACTORS LIMITED</v>
          </cell>
          <cell r="G670" t="str">
            <v>cwFLAP/00552/22-23</v>
          </cell>
          <cell r="H670" t="str">
            <v>On Application of OC</v>
          </cell>
          <cell r="I670">
            <v>0</v>
          </cell>
          <cell r="J670">
            <v>45314</v>
          </cell>
          <cell r="K670">
            <v>46144</v>
          </cell>
          <cell r="L670">
            <v>46164</v>
          </cell>
          <cell r="M670">
            <v>9978225</v>
          </cell>
          <cell r="N670">
            <v>1197388</v>
          </cell>
          <cell r="O670">
            <v>11175613</v>
          </cell>
          <cell r="P670"/>
          <cell r="Q670"/>
          <cell r="R670"/>
          <cell r="S670"/>
          <cell r="T670">
            <v>0</v>
          </cell>
          <cell r="U670">
            <v>0.7</v>
          </cell>
          <cell r="V670">
            <v>0</v>
          </cell>
          <cell r="W670">
            <v>11175612.300000001</v>
          </cell>
          <cell r="X670">
            <v>482240</v>
          </cell>
          <cell r="Y670">
            <v>0</v>
          </cell>
          <cell r="Z670">
            <v>482240</v>
          </cell>
          <cell r="AA670">
            <v>0</v>
          </cell>
          <cell r="AB670"/>
          <cell r="AC670"/>
          <cell r="AD670"/>
          <cell r="AE670"/>
          <cell r="AF670" t="str">
            <v>UnRegistered</v>
          </cell>
        </row>
        <row r="671">
          <cell r="B671" t="str">
            <v>R3 LG 09</v>
          </cell>
          <cell r="C671" t="str">
            <v>R3</v>
          </cell>
          <cell r="D671" t="str">
            <v>M3M Capital Walk in M3M Capital Phase-2</v>
          </cell>
          <cell r="E671" t="str">
            <v>cwBOOKING/00677/22-23</v>
          </cell>
          <cell r="F671" t="str">
            <v>Mr. NITIN TALWAR</v>
          </cell>
          <cell r="G671" t="str">
            <v>cwFLAP/00929/22-23</v>
          </cell>
          <cell r="H671" t="str">
            <v>On Application of OC</v>
          </cell>
          <cell r="I671">
            <v>0</v>
          </cell>
          <cell r="J671">
            <v>45077</v>
          </cell>
          <cell r="K671">
            <v>46144</v>
          </cell>
          <cell r="L671">
            <v>46164</v>
          </cell>
          <cell r="M671">
            <v>3748494</v>
          </cell>
          <cell r="N671">
            <v>449820</v>
          </cell>
          <cell r="O671">
            <v>4198314</v>
          </cell>
          <cell r="P671"/>
          <cell r="Q671"/>
          <cell r="R671"/>
          <cell r="S671"/>
          <cell r="T671">
            <v>0</v>
          </cell>
          <cell r="U671">
            <v>0</v>
          </cell>
          <cell r="V671">
            <v>0</v>
          </cell>
          <cell r="W671">
            <v>4198314</v>
          </cell>
          <cell r="X671">
            <v>3518</v>
          </cell>
          <cell r="Y671">
            <v>0</v>
          </cell>
          <cell r="Z671">
            <v>0</v>
          </cell>
          <cell r="AA671">
            <v>3518</v>
          </cell>
          <cell r="AB671"/>
          <cell r="AC671"/>
          <cell r="AD671"/>
          <cell r="AE671"/>
          <cell r="AF671" t="str">
            <v>UnRegistered</v>
          </cell>
        </row>
        <row r="672">
          <cell r="B672" t="str">
            <v>R4 UG 01</v>
          </cell>
          <cell r="C672" t="str">
            <v>R4</v>
          </cell>
          <cell r="D672" t="str">
            <v>M3M Capital Walk in M3M Capital Phase-2</v>
          </cell>
          <cell r="E672" t="str">
            <v>cwBOOKING/00678/22-23</v>
          </cell>
          <cell r="F672" t="str">
            <v>Mr. MITESH JAIN</v>
          </cell>
          <cell r="G672" t="str">
            <v>cwFLAP/00930/22-23</v>
          </cell>
          <cell r="H672" t="str">
            <v>On Application of OC</v>
          </cell>
          <cell r="I672">
            <v>0</v>
          </cell>
          <cell r="J672">
            <v>45483</v>
          </cell>
          <cell r="K672">
            <v>46144</v>
          </cell>
          <cell r="L672">
            <v>46164</v>
          </cell>
          <cell r="M672">
            <v>6021442</v>
          </cell>
          <cell r="N672">
            <v>722574</v>
          </cell>
          <cell r="O672">
            <v>6744016</v>
          </cell>
          <cell r="P672"/>
          <cell r="Q672"/>
          <cell r="R672"/>
          <cell r="S672"/>
          <cell r="T672">
            <v>0</v>
          </cell>
          <cell r="U672">
            <v>0</v>
          </cell>
          <cell r="V672">
            <v>0</v>
          </cell>
          <cell r="W672">
            <v>6744016</v>
          </cell>
          <cell r="X672">
            <v>249838</v>
          </cell>
          <cell r="Y672">
            <v>0</v>
          </cell>
          <cell r="Z672">
            <v>0</v>
          </cell>
          <cell r="AA672">
            <v>249838</v>
          </cell>
          <cell r="AB672"/>
          <cell r="AC672"/>
          <cell r="AD672"/>
          <cell r="AE672"/>
          <cell r="AF672" t="str">
            <v>UnRegistered</v>
          </cell>
        </row>
        <row r="673">
          <cell r="B673" t="str">
            <v>R6 231</v>
          </cell>
          <cell r="C673" t="str">
            <v>R6</v>
          </cell>
          <cell r="D673" t="str">
            <v>M3M Capital Walk in M3M Capital Phase-2</v>
          </cell>
          <cell r="E673" t="str">
            <v>cwBOOKING/00679/22-23</v>
          </cell>
          <cell r="F673" t="str">
            <v>Ms. PRAVEEN KUMARI</v>
          </cell>
          <cell r="G673" t="str">
            <v>cwFLAP/00530/22-23</v>
          </cell>
          <cell r="H673" t="str">
            <v>On Application of OC</v>
          </cell>
          <cell r="I673">
            <v>0</v>
          </cell>
          <cell r="J673">
            <v>45163</v>
          </cell>
          <cell r="K673">
            <v>46144</v>
          </cell>
          <cell r="L673">
            <v>46164</v>
          </cell>
          <cell r="M673">
            <v>3836626</v>
          </cell>
          <cell r="N673">
            <v>460396</v>
          </cell>
          <cell r="O673">
            <v>4297022</v>
          </cell>
          <cell r="P673"/>
          <cell r="Q673"/>
          <cell r="R673"/>
          <cell r="S673"/>
          <cell r="T673">
            <v>0</v>
          </cell>
          <cell r="U673">
            <v>0</v>
          </cell>
          <cell r="V673">
            <v>10000</v>
          </cell>
          <cell r="W673">
            <v>4307022</v>
          </cell>
          <cell r="X673">
            <v>27026</v>
          </cell>
          <cell r="Y673">
            <v>0</v>
          </cell>
          <cell r="Z673">
            <v>0</v>
          </cell>
          <cell r="AA673">
            <v>27026</v>
          </cell>
          <cell r="AB673"/>
          <cell r="AC673"/>
          <cell r="AD673"/>
          <cell r="AE673"/>
          <cell r="AF673" t="str">
            <v>UnRegistered</v>
          </cell>
        </row>
        <row r="674">
          <cell r="B674" t="str">
            <v>R1 138</v>
          </cell>
          <cell r="C674" t="str">
            <v>R1</v>
          </cell>
          <cell r="D674" t="str">
            <v>M3M Capital Walk in M3M Capital Phase-2</v>
          </cell>
          <cell r="E674" t="str">
            <v>cwBOOKING/00680/22-23</v>
          </cell>
          <cell r="F674" t="str">
            <v>Mr. TEJ PAL</v>
          </cell>
          <cell r="G674" t="str">
            <v>cwFLAP/00641/22-23</v>
          </cell>
          <cell r="H674" t="str">
            <v>On Application of OC</v>
          </cell>
          <cell r="I674">
            <v>0</v>
          </cell>
          <cell r="J674">
            <v>45076</v>
          </cell>
          <cell r="K674">
            <v>46144</v>
          </cell>
          <cell r="L674">
            <v>46164</v>
          </cell>
          <cell r="M674">
            <v>4844589</v>
          </cell>
          <cell r="N674">
            <v>581350</v>
          </cell>
          <cell r="O674">
            <v>5425939</v>
          </cell>
          <cell r="P674"/>
          <cell r="Q674"/>
          <cell r="R674"/>
          <cell r="S674"/>
          <cell r="T674">
            <v>0</v>
          </cell>
          <cell r="U674">
            <v>2</v>
          </cell>
          <cell r="V674">
            <v>0</v>
          </cell>
          <cell r="W674">
            <v>5425937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/>
          <cell r="AC674"/>
          <cell r="AD674"/>
          <cell r="AE674"/>
          <cell r="AF674" t="str">
            <v>UnRegistered</v>
          </cell>
        </row>
        <row r="675">
          <cell r="B675" t="str">
            <v>R5 UG 50</v>
          </cell>
          <cell r="C675" t="str">
            <v>R5</v>
          </cell>
          <cell r="D675" t="str">
            <v>M3M Capital Walk in M3M Capital Phase-2</v>
          </cell>
          <cell r="E675" t="str">
            <v>cwBOOKING/00681/22-23</v>
          </cell>
          <cell r="F675" t="str">
            <v>Ms. SUKHMANA</v>
          </cell>
          <cell r="G675" t="str">
            <v>cwFLAP/00838/22-23</v>
          </cell>
          <cell r="H675" t="str">
            <v>On Application of OC</v>
          </cell>
          <cell r="I675">
            <v>0</v>
          </cell>
          <cell r="J675">
            <v>45433</v>
          </cell>
          <cell r="K675">
            <v>46144</v>
          </cell>
          <cell r="L675">
            <v>46164</v>
          </cell>
          <cell r="M675">
            <v>3569990</v>
          </cell>
          <cell r="N675">
            <v>428398</v>
          </cell>
          <cell r="O675">
            <v>3998388</v>
          </cell>
          <cell r="P675"/>
          <cell r="Q675"/>
          <cell r="R675"/>
          <cell r="S675"/>
          <cell r="T675">
            <v>0</v>
          </cell>
          <cell r="U675">
            <v>0</v>
          </cell>
          <cell r="V675">
            <v>3</v>
          </cell>
          <cell r="W675">
            <v>3998391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/>
          <cell r="AC675"/>
          <cell r="AD675"/>
          <cell r="AE675"/>
          <cell r="AF675" t="str">
            <v>UnRegistered</v>
          </cell>
        </row>
        <row r="676">
          <cell r="B676" t="str">
            <v>R6 219</v>
          </cell>
          <cell r="C676" t="str">
            <v>R6</v>
          </cell>
          <cell r="D676" t="str">
            <v>M3M Capital Walk in M3M Capital Phase-2</v>
          </cell>
          <cell r="E676" t="str">
            <v>cwBOOKING/00684/22-23</v>
          </cell>
          <cell r="F676" t="str">
            <v>Mr. DEEPAK GUPTA</v>
          </cell>
          <cell r="G676" t="str">
            <v>cwFLAP/00468/22-23</v>
          </cell>
          <cell r="H676" t="str">
            <v>On Application of OC</v>
          </cell>
          <cell r="I676">
            <v>0</v>
          </cell>
          <cell r="J676">
            <v>45246</v>
          </cell>
          <cell r="K676">
            <v>46144</v>
          </cell>
          <cell r="L676">
            <v>46164</v>
          </cell>
          <cell r="M676">
            <v>4964875</v>
          </cell>
          <cell r="N676">
            <v>595786</v>
          </cell>
          <cell r="O676">
            <v>5560661</v>
          </cell>
          <cell r="P676"/>
          <cell r="Q676"/>
          <cell r="R676"/>
          <cell r="S676"/>
          <cell r="T676">
            <v>0</v>
          </cell>
          <cell r="U676">
            <v>10329.81</v>
          </cell>
          <cell r="V676">
            <v>0</v>
          </cell>
          <cell r="W676">
            <v>5550331.1900000004</v>
          </cell>
          <cell r="X676">
            <v>2198.7199999999998</v>
          </cell>
          <cell r="Y676">
            <v>0</v>
          </cell>
          <cell r="Z676">
            <v>0</v>
          </cell>
          <cell r="AA676">
            <v>2198.7199999999998</v>
          </cell>
          <cell r="AB676"/>
          <cell r="AC676"/>
          <cell r="AD676"/>
          <cell r="AE676"/>
          <cell r="AF676" t="str">
            <v>UnRegistered</v>
          </cell>
        </row>
        <row r="677">
          <cell r="B677" t="str">
            <v>R3 UG 31</v>
          </cell>
          <cell r="C677" t="str">
            <v>R3</v>
          </cell>
          <cell r="D677" t="str">
            <v>M3M Capital Walk in M3M Capital Phase-2</v>
          </cell>
          <cell r="E677" t="str">
            <v>cwBOOKING/00686/22-23</v>
          </cell>
          <cell r="F677" t="str">
            <v>Ms. NITIKA JETLEY</v>
          </cell>
          <cell r="G677" t="str">
            <v>cwFLAP/00669/22-23</v>
          </cell>
          <cell r="H677" t="str">
            <v>On Application of OC</v>
          </cell>
          <cell r="I677">
            <v>0</v>
          </cell>
          <cell r="J677">
            <v>45084</v>
          </cell>
          <cell r="K677">
            <v>46144</v>
          </cell>
          <cell r="L677">
            <v>46164</v>
          </cell>
          <cell r="M677">
            <v>7870893</v>
          </cell>
          <cell r="N677">
            <v>944508</v>
          </cell>
          <cell r="O677">
            <v>8815401</v>
          </cell>
          <cell r="P677"/>
          <cell r="Q677"/>
          <cell r="R677"/>
          <cell r="S677">
            <v>0</v>
          </cell>
          <cell r="T677">
            <v>0</v>
          </cell>
          <cell r="U677">
            <v>1</v>
          </cell>
          <cell r="V677">
            <v>0</v>
          </cell>
          <cell r="W677">
            <v>8815400</v>
          </cell>
          <cell r="X677">
            <v>3490</v>
          </cell>
          <cell r="Y677">
            <v>0</v>
          </cell>
          <cell r="Z677">
            <v>0</v>
          </cell>
          <cell r="AA677">
            <v>3490</v>
          </cell>
          <cell r="AB677"/>
          <cell r="AC677"/>
          <cell r="AD677">
            <v>0</v>
          </cell>
          <cell r="AE677" t="str">
            <v>Less than 35%</v>
          </cell>
          <cell r="AF677" t="str">
            <v>UnRegistered</v>
          </cell>
        </row>
        <row r="678">
          <cell r="B678" t="str">
            <v>R2 207</v>
          </cell>
          <cell r="C678" t="str">
            <v>R2</v>
          </cell>
          <cell r="D678" t="str">
            <v>M3M Capital Walk in M3M Capital Phase-2</v>
          </cell>
          <cell r="E678" t="str">
            <v>cwBOOKING/00687/22-23</v>
          </cell>
          <cell r="F678" t="str">
            <v>Ms. PRITI AGARWAL</v>
          </cell>
          <cell r="G678" t="str">
            <v>cwFLAP/00831/22-23</v>
          </cell>
          <cell r="H678" t="str">
            <v>On Application of OC</v>
          </cell>
          <cell r="I678">
            <v>0</v>
          </cell>
          <cell r="J678">
            <v>45272</v>
          </cell>
          <cell r="K678">
            <v>46144</v>
          </cell>
          <cell r="L678">
            <v>46164</v>
          </cell>
          <cell r="M678">
            <v>6602824</v>
          </cell>
          <cell r="N678">
            <v>792338</v>
          </cell>
          <cell r="O678">
            <v>7395162</v>
          </cell>
          <cell r="P678"/>
          <cell r="Q678"/>
          <cell r="R678"/>
          <cell r="S678"/>
          <cell r="T678">
            <v>0</v>
          </cell>
          <cell r="U678">
            <v>0</v>
          </cell>
          <cell r="V678">
            <v>0</v>
          </cell>
          <cell r="W678">
            <v>7395162</v>
          </cell>
          <cell r="X678">
            <v>3872</v>
          </cell>
          <cell r="Y678">
            <v>0</v>
          </cell>
          <cell r="Z678">
            <v>0</v>
          </cell>
          <cell r="AA678">
            <v>3872</v>
          </cell>
          <cell r="AB678"/>
          <cell r="AC678"/>
          <cell r="AD678"/>
          <cell r="AE678"/>
          <cell r="AF678" t="str">
            <v>UnRegistered</v>
          </cell>
        </row>
        <row r="679">
          <cell r="B679" t="str">
            <v>R5 143</v>
          </cell>
          <cell r="C679" t="str">
            <v>R5</v>
          </cell>
          <cell r="D679" t="str">
            <v>M3M Capital Walk in M3M Capital Phase-2</v>
          </cell>
          <cell r="E679" t="str">
            <v>cwBOOKING/00688/22-23</v>
          </cell>
          <cell r="F679" t="str">
            <v>Mr. VISHAL KAMRA</v>
          </cell>
          <cell r="G679" t="str">
            <v>cwFLAP/00596/22-23</v>
          </cell>
          <cell r="H679" t="str">
            <v>On Application of OC</v>
          </cell>
          <cell r="I679">
            <v>0</v>
          </cell>
          <cell r="J679">
            <v>45041</v>
          </cell>
          <cell r="K679">
            <v>46144</v>
          </cell>
          <cell r="L679">
            <v>46164</v>
          </cell>
          <cell r="M679">
            <v>1506747</v>
          </cell>
          <cell r="N679">
            <v>180810</v>
          </cell>
          <cell r="O679">
            <v>1687557</v>
          </cell>
          <cell r="P679">
            <v>472309.05904000002</v>
          </cell>
          <cell r="Q679"/>
          <cell r="R679"/>
          <cell r="S679">
            <v>56677.087084799998</v>
          </cell>
          <cell r="T679">
            <v>528986.14612479997</v>
          </cell>
          <cell r="U679">
            <v>0</v>
          </cell>
          <cell r="V679">
            <v>0</v>
          </cell>
          <cell r="W679">
            <v>1158570.8538752</v>
          </cell>
          <cell r="X679">
            <v>270</v>
          </cell>
          <cell r="Y679">
            <v>0</v>
          </cell>
          <cell r="Z679">
            <v>0</v>
          </cell>
          <cell r="AA679">
            <v>270</v>
          </cell>
          <cell r="AB679" t="str">
            <v>Executed</v>
          </cell>
          <cell r="AC679" t="str">
            <v>Yes</v>
          </cell>
          <cell r="AD679">
            <v>0.15772316507840148</v>
          </cell>
          <cell r="AE679" t="str">
            <v>Less than 35%</v>
          </cell>
          <cell r="AF679" t="str">
            <v>UnRegistered</v>
          </cell>
        </row>
        <row r="680">
          <cell r="B680" t="str">
            <v>R5 UG 47</v>
          </cell>
          <cell r="C680" t="str">
            <v>R5</v>
          </cell>
          <cell r="D680" t="str">
            <v>M3M Capital Walk in M3M Capital Phase-2</v>
          </cell>
          <cell r="E680" t="str">
            <v>cwBOOKING/00689/22-23</v>
          </cell>
          <cell r="F680" t="str">
            <v>Mr. ASHWINI AGARWAL</v>
          </cell>
          <cell r="G680" t="str">
            <v>cwFLAP/00588/22-23</v>
          </cell>
          <cell r="H680" t="str">
            <v>On Application of OC</v>
          </cell>
          <cell r="I680">
            <v>0</v>
          </cell>
          <cell r="J680">
            <v>45056</v>
          </cell>
          <cell r="K680">
            <v>46144</v>
          </cell>
          <cell r="L680">
            <v>46164</v>
          </cell>
          <cell r="M680">
            <v>3544630</v>
          </cell>
          <cell r="N680">
            <v>425356</v>
          </cell>
          <cell r="O680">
            <v>3969986</v>
          </cell>
          <cell r="P680"/>
          <cell r="Q680"/>
          <cell r="R680"/>
          <cell r="S680"/>
          <cell r="T680">
            <v>0</v>
          </cell>
          <cell r="U680">
            <v>0</v>
          </cell>
          <cell r="V680">
            <v>0</v>
          </cell>
          <cell r="W680">
            <v>3969986</v>
          </cell>
          <cell r="X680">
            <v>29.36</v>
          </cell>
          <cell r="Y680">
            <v>0</v>
          </cell>
          <cell r="Z680">
            <v>0</v>
          </cell>
          <cell r="AA680">
            <v>29.36</v>
          </cell>
          <cell r="AB680"/>
          <cell r="AC680"/>
          <cell r="AD680"/>
          <cell r="AE680"/>
          <cell r="AF680" t="str">
            <v>UnRegistered</v>
          </cell>
        </row>
        <row r="681">
          <cell r="B681" t="str">
            <v>R4 134</v>
          </cell>
          <cell r="C681" t="str">
            <v>R4</v>
          </cell>
          <cell r="D681" t="str">
            <v>M3M Capital Walk in M3M Capital Phase-2</v>
          </cell>
          <cell r="E681" t="str">
            <v>cwBOOKING/00692/22-23</v>
          </cell>
          <cell r="F681" t="str">
            <v>Mr. NITESH KUNDU</v>
          </cell>
          <cell r="G681" t="str">
            <v>cwFLAP/00590/22-23</v>
          </cell>
          <cell r="H681" t="str">
            <v>On Application of OC</v>
          </cell>
          <cell r="I681">
            <v>0</v>
          </cell>
          <cell r="J681">
            <v>45033</v>
          </cell>
          <cell r="K681">
            <v>46144</v>
          </cell>
          <cell r="L681">
            <v>46164</v>
          </cell>
          <cell r="M681">
            <v>4055589</v>
          </cell>
          <cell r="N681">
            <v>486670</v>
          </cell>
          <cell r="O681">
            <v>4542259</v>
          </cell>
          <cell r="P681">
            <v>422355.44447999995</v>
          </cell>
          <cell r="Q681"/>
          <cell r="R681"/>
          <cell r="S681">
            <v>50682.653337599993</v>
          </cell>
          <cell r="T681">
            <v>473038.09781759995</v>
          </cell>
          <cell r="U681">
            <v>30000</v>
          </cell>
          <cell r="V681">
            <v>0</v>
          </cell>
          <cell r="W681">
            <v>4039220.9021824002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 t="str">
            <v>Executed</v>
          </cell>
          <cell r="AC681" t="str">
            <v>Yes</v>
          </cell>
          <cell r="AD681">
            <v>5.3878175631166723E-2</v>
          </cell>
          <cell r="AE681" t="str">
            <v>Less than 35%</v>
          </cell>
          <cell r="AF681" t="str">
            <v>UnRegistered</v>
          </cell>
        </row>
        <row r="682">
          <cell r="B682" t="str">
            <v>R1 254</v>
          </cell>
          <cell r="C682" t="str">
            <v>R1</v>
          </cell>
          <cell r="D682" t="str">
            <v>M3M Capital Walk in M3M Capital Phase-2</v>
          </cell>
          <cell r="E682" t="str">
            <v>cwBOOKING/00693/22-23</v>
          </cell>
          <cell r="F682" t="str">
            <v>Mr. ROHAN GOEL</v>
          </cell>
          <cell r="G682" t="str">
            <v>cwFLAP/00581/22-23</v>
          </cell>
          <cell r="H682" t="str">
            <v>On Application of OC</v>
          </cell>
          <cell r="I682">
            <v>0</v>
          </cell>
          <cell r="J682">
            <v>45047</v>
          </cell>
          <cell r="K682">
            <v>46144</v>
          </cell>
          <cell r="L682">
            <v>46164</v>
          </cell>
          <cell r="M682">
            <v>4712501</v>
          </cell>
          <cell r="N682">
            <v>565500</v>
          </cell>
          <cell r="O682">
            <v>5278001</v>
          </cell>
          <cell r="P682"/>
          <cell r="Q682"/>
          <cell r="R682"/>
          <cell r="S682"/>
          <cell r="T682">
            <v>0</v>
          </cell>
          <cell r="U682">
            <v>0</v>
          </cell>
          <cell r="V682">
            <v>1</v>
          </cell>
          <cell r="W682">
            <v>5278002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/>
          <cell r="AC682"/>
          <cell r="AD682"/>
          <cell r="AE682"/>
          <cell r="AF682" t="str">
            <v>UnRegistered</v>
          </cell>
        </row>
        <row r="683">
          <cell r="B683" t="str">
            <v>R5 133</v>
          </cell>
          <cell r="C683" t="str">
            <v>R5</v>
          </cell>
          <cell r="D683" t="str">
            <v>M3M Capital Walk in M3M Capital Phase-2</v>
          </cell>
          <cell r="E683" t="str">
            <v>cwBOOKING/00694/22-23</v>
          </cell>
          <cell r="F683" t="str">
            <v>Mr. PARVEEN VERMA</v>
          </cell>
          <cell r="G683" t="str">
            <v>cwFLAP/00565/22-23</v>
          </cell>
          <cell r="H683" t="str">
            <v>On Application of OC</v>
          </cell>
          <cell r="I683">
            <v>0</v>
          </cell>
          <cell r="J683">
            <v>45154</v>
          </cell>
          <cell r="K683">
            <v>46144</v>
          </cell>
          <cell r="L683">
            <v>46164</v>
          </cell>
          <cell r="M683">
            <v>7698247</v>
          </cell>
          <cell r="N683">
            <v>923790</v>
          </cell>
          <cell r="O683">
            <v>8622037</v>
          </cell>
          <cell r="P683"/>
          <cell r="Q683"/>
          <cell r="R683"/>
          <cell r="S683"/>
          <cell r="T683">
            <v>0</v>
          </cell>
          <cell r="U683">
            <v>2</v>
          </cell>
          <cell r="V683">
            <v>0</v>
          </cell>
          <cell r="W683">
            <v>8622035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/>
          <cell r="AC683"/>
          <cell r="AD683"/>
          <cell r="AE683"/>
          <cell r="AF683" t="str">
            <v>UnRegistered</v>
          </cell>
        </row>
        <row r="684">
          <cell r="B684" t="str">
            <v>R3 LG 33</v>
          </cell>
          <cell r="C684" t="str">
            <v>R3</v>
          </cell>
          <cell r="D684" t="str">
            <v>M3M Capital Walk in M3M Capital Phase-2</v>
          </cell>
          <cell r="E684" t="str">
            <v>cwBOOKING/00696/22-23</v>
          </cell>
          <cell r="F684" t="str">
            <v>Ms. SANDEEP KAUR CHANNA</v>
          </cell>
          <cell r="G684" t="str">
            <v>cwFLAP/00799/22-23</v>
          </cell>
          <cell r="H684" t="str">
            <v>On Application of OC</v>
          </cell>
          <cell r="I684">
            <v>0</v>
          </cell>
          <cell r="J684">
            <v>45085</v>
          </cell>
          <cell r="K684">
            <v>46144</v>
          </cell>
          <cell r="L684">
            <v>46164</v>
          </cell>
          <cell r="M684">
            <v>2423924</v>
          </cell>
          <cell r="N684">
            <v>290870</v>
          </cell>
          <cell r="O684">
            <v>2714794</v>
          </cell>
          <cell r="P684"/>
          <cell r="Q684"/>
          <cell r="R684"/>
          <cell r="S684"/>
          <cell r="T684">
            <v>0</v>
          </cell>
          <cell r="U684">
            <v>0</v>
          </cell>
          <cell r="V684">
            <v>1</v>
          </cell>
          <cell r="W684">
            <v>2714795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/>
          <cell r="AC684"/>
          <cell r="AD684"/>
          <cell r="AE684"/>
          <cell r="AF684" t="str">
            <v>UnRegistered</v>
          </cell>
        </row>
        <row r="685">
          <cell r="B685" t="str">
            <v>R1 148</v>
          </cell>
          <cell r="C685" t="str">
            <v>R1</v>
          </cell>
          <cell r="D685" t="str">
            <v>M3M Capital Walk in M3M Capital Phase-2</v>
          </cell>
          <cell r="E685" t="str">
            <v>cwBOOKING/00697/22-23</v>
          </cell>
          <cell r="F685" t="str">
            <v>Mr. KARUNESH KUMAR</v>
          </cell>
          <cell r="G685" t="str">
            <v>cwFLAP/00938/22-23</v>
          </cell>
          <cell r="H685" t="str">
            <v>On Application of OC</v>
          </cell>
          <cell r="I685">
            <v>0</v>
          </cell>
          <cell r="J685">
            <v>45058</v>
          </cell>
          <cell r="K685">
            <v>46144</v>
          </cell>
          <cell r="L685">
            <v>46164</v>
          </cell>
          <cell r="M685">
            <v>4094048</v>
          </cell>
          <cell r="N685">
            <v>491286</v>
          </cell>
          <cell r="O685">
            <v>4585334</v>
          </cell>
          <cell r="P685"/>
          <cell r="Q685"/>
          <cell r="R685"/>
          <cell r="S685"/>
          <cell r="T685">
            <v>0</v>
          </cell>
          <cell r="U685">
            <v>0.76</v>
          </cell>
          <cell r="V685">
            <v>0</v>
          </cell>
          <cell r="W685">
            <v>4585333.24</v>
          </cell>
          <cell r="X685">
            <v>223</v>
          </cell>
          <cell r="Y685">
            <v>0</v>
          </cell>
          <cell r="Z685">
            <v>0</v>
          </cell>
          <cell r="AA685">
            <v>223</v>
          </cell>
          <cell r="AB685"/>
          <cell r="AC685"/>
          <cell r="AD685"/>
          <cell r="AE685"/>
          <cell r="AF685" t="str">
            <v>UnRegistered</v>
          </cell>
        </row>
        <row r="686">
          <cell r="B686" t="str">
            <v>R5 LG 46</v>
          </cell>
          <cell r="C686" t="str">
            <v>R5</v>
          </cell>
          <cell r="D686" t="str">
            <v>M3M Capital Walk in M3M Capital Phase-2</v>
          </cell>
          <cell r="E686" t="str">
            <v>cwBOOKING/00698/22-23</v>
          </cell>
          <cell r="F686" t="str">
            <v>Ms. AANCHAL RASTOGI</v>
          </cell>
          <cell r="G686" t="str">
            <v>cwFLAP/00681/22-23</v>
          </cell>
          <cell r="H686" t="str">
            <v>On Application of OC</v>
          </cell>
          <cell r="I686">
            <v>0</v>
          </cell>
          <cell r="J686">
            <v>45309</v>
          </cell>
          <cell r="K686">
            <v>46144</v>
          </cell>
          <cell r="L686">
            <v>46164</v>
          </cell>
          <cell r="M686">
            <v>4521143</v>
          </cell>
          <cell r="N686">
            <v>542538</v>
          </cell>
          <cell r="O686">
            <v>5063681</v>
          </cell>
          <cell r="P686">
            <v>492042.37333333329</v>
          </cell>
          <cell r="Q686"/>
          <cell r="R686"/>
          <cell r="S686">
            <v>59045.08479999999</v>
          </cell>
          <cell r="T686">
            <v>551087.45813333325</v>
          </cell>
          <cell r="U686">
            <v>0</v>
          </cell>
          <cell r="V686">
            <v>0</v>
          </cell>
          <cell r="W686">
            <v>4512593.5418666666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 t="str">
            <v>Executed</v>
          </cell>
          <cell r="AC686" t="str">
            <v>Yes</v>
          </cell>
          <cell r="AD686">
            <v>5.684892553326179E-2</v>
          </cell>
          <cell r="AE686" t="str">
            <v>Less than 35%</v>
          </cell>
          <cell r="AF686" t="str">
            <v>UnRegistered</v>
          </cell>
        </row>
        <row r="687">
          <cell r="B687" t="str">
            <v>R3 LG 54</v>
          </cell>
          <cell r="C687" t="str">
            <v>R3</v>
          </cell>
          <cell r="D687" t="str">
            <v>M3M Capital Walk in M3M Capital Phase-2</v>
          </cell>
          <cell r="E687" t="str">
            <v>cwBOOKING/00699/22-23</v>
          </cell>
          <cell r="F687" t="str">
            <v>Ms. NIDHI SHARMA</v>
          </cell>
          <cell r="G687" t="str">
            <v>cwFLAP/00802/22-23</v>
          </cell>
          <cell r="H687" t="str">
            <v>On Application of OC</v>
          </cell>
          <cell r="I687">
            <v>0</v>
          </cell>
          <cell r="J687">
            <v>45159</v>
          </cell>
          <cell r="K687">
            <v>46144</v>
          </cell>
          <cell r="L687">
            <v>46164</v>
          </cell>
          <cell r="M687">
            <v>3131327</v>
          </cell>
          <cell r="N687">
            <v>375760</v>
          </cell>
          <cell r="O687">
            <v>3507087</v>
          </cell>
          <cell r="P687"/>
          <cell r="Q687"/>
          <cell r="R687"/>
          <cell r="S687"/>
          <cell r="T687">
            <v>0</v>
          </cell>
          <cell r="U687">
            <v>0</v>
          </cell>
          <cell r="V687">
            <v>0</v>
          </cell>
          <cell r="W687">
            <v>3507087</v>
          </cell>
          <cell r="X687">
            <v>7804.12</v>
          </cell>
          <cell r="Y687">
            <v>0</v>
          </cell>
          <cell r="Z687">
            <v>0</v>
          </cell>
          <cell r="AA687">
            <v>7804.12</v>
          </cell>
          <cell r="AB687"/>
          <cell r="AC687"/>
          <cell r="AD687"/>
          <cell r="AE687"/>
          <cell r="AF687" t="str">
            <v>UnRegistered</v>
          </cell>
        </row>
        <row r="688">
          <cell r="B688" t="str">
            <v>R1 UG 14</v>
          </cell>
          <cell r="C688" t="str">
            <v>R1</v>
          </cell>
          <cell r="D688" t="str">
            <v>M3M Capital Walk in M3M Capital Phase-2</v>
          </cell>
          <cell r="E688" t="str">
            <v>cwBOOKING/00700/22-23</v>
          </cell>
          <cell r="F688" t="str">
            <v>Mr. DEEPINDER SINGH JAGGI</v>
          </cell>
          <cell r="G688" t="str">
            <v>cwFLAP/00652/22-23</v>
          </cell>
          <cell r="H688" t="str">
            <v>On Application of OC</v>
          </cell>
          <cell r="I688">
            <v>0</v>
          </cell>
          <cell r="J688">
            <v>45075</v>
          </cell>
          <cell r="K688">
            <v>46144</v>
          </cell>
          <cell r="L688">
            <v>46164</v>
          </cell>
          <cell r="M688">
            <v>3284992</v>
          </cell>
          <cell r="N688">
            <v>394200</v>
          </cell>
          <cell r="O688">
            <v>3679192</v>
          </cell>
          <cell r="P688"/>
          <cell r="Q688"/>
          <cell r="R688"/>
          <cell r="S688"/>
          <cell r="T688">
            <v>0</v>
          </cell>
          <cell r="U688">
            <v>1</v>
          </cell>
          <cell r="V688">
            <v>0</v>
          </cell>
          <cell r="W688">
            <v>3679191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/>
          <cell r="AC688"/>
          <cell r="AD688"/>
          <cell r="AE688"/>
          <cell r="AF688" t="str">
            <v>UnRegistered</v>
          </cell>
        </row>
        <row r="689">
          <cell r="B689" t="str">
            <v>R6 132</v>
          </cell>
          <cell r="C689" t="str">
            <v>R6</v>
          </cell>
          <cell r="D689" t="str">
            <v>M3M Capital Walk in M3M Capital Phase-2</v>
          </cell>
          <cell r="E689" t="str">
            <v>cwBOOKING/00701/22-23</v>
          </cell>
          <cell r="F689" t="str">
            <v>Ms. JYOTI</v>
          </cell>
          <cell r="G689" t="str">
            <v>cwFLAP/00577/22-23</v>
          </cell>
          <cell r="H689" t="str">
            <v>On Application of OC</v>
          </cell>
          <cell r="I689">
            <v>0</v>
          </cell>
          <cell r="J689">
            <v>45141</v>
          </cell>
          <cell r="K689">
            <v>46144</v>
          </cell>
          <cell r="L689">
            <v>46164</v>
          </cell>
          <cell r="M689">
            <v>2400037</v>
          </cell>
          <cell r="N689">
            <v>288004</v>
          </cell>
          <cell r="O689">
            <v>2688041</v>
          </cell>
          <cell r="P689"/>
          <cell r="Q689"/>
          <cell r="R689"/>
          <cell r="S689"/>
          <cell r="T689">
            <v>0</v>
          </cell>
          <cell r="U689">
            <v>0</v>
          </cell>
          <cell r="V689">
            <v>0</v>
          </cell>
          <cell r="W689">
            <v>2688041</v>
          </cell>
          <cell r="X689">
            <v>2574</v>
          </cell>
          <cell r="Y689">
            <v>0</v>
          </cell>
          <cell r="Z689">
            <v>0</v>
          </cell>
          <cell r="AA689">
            <v>2574</v>
          </cell>
          <cell r="AB689"/>
          <cell r="AC689"/>
          <cell r="AD689"/>
          <cell r="AE689"/>
          <cell r="AF689" t="str">
            <v>UnRegistered</v>
          </cell>
        </row>
        <row r="690">
          <cell r="B690" t="str">
            <v>R5 UG 46</v>
          </cell>
          <cell r="C690" t="str">
            <v>R5</v>
          </cell>
          <cell r="D690" t="str">
            <v>M3M Capital Walk in M3M Capital Phase-2</v>
          </cell>
          <cell r="E690" t="str">
            <v>cwBOOKING/00702/22-23</v>
          </cell>
          <cell r="F690" t="str">
            <v>Ms. NIDHI GUPTA</v>
          </cell>
          <cell r="G690" t="str">
            <v>cwFAP0026/00005/22-23</v>
          </cell>
          <cell r="H690" t="str">
            <v>On Application of OC</v>
          </cell>
          <cell r="I690">
            <v>0</v>
          </cell>
          <cell r="J690">
            <v>45370</v>
          </cell>
          <cell r="K690">
            <v>46144</v>
          </cell>
          <cell r="L690">
            <v>46164</v>
          </cell>
          <cell r="M690">
            <v>3004579</v>
          </cell>
          <cell r="N690">
            <v>360550</v>
          </cell>
          <cell r="O690">
            <v>3365129</v>
          </cell>
          <cell r="P690"/>
          <cell r="Q690"/>
          <cell r="R690"/>
          <cell r="S690"/>
          <cell r="T690">
            <v>0</v>
          </cell>
          <cell r="U690">
            <v>0</v>
          </cell>
          <cell r="V690">
            <v>0</v>
          </cell>
          <cell r="W690">
            <v>3365129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/>
          <cell r="AC690"/>
          <cell r="AD690"/>
          <cell r="AE690"/>
          <cell r="AF690" t="str">
            <v>UnRegistered</v>
          </cell>
        </row>
        <row r="691">
          <cell r="B691" t="str">
            <v>R1 K 304</v>
          </cell>
          <cell r="C691" t="str">
            <v>R1</v>
          </cell>
          <cell r="D691" t="str">
            <v>M3M Capital Walk in M3M Capital Phase-2</v>
          </cell>
          <cell r="E691" t="str">
            <v>cwBOOKING/00703/22-23</v>
          </cell>
          <cell r="F691" t="str">
            <v>Ms. SEEMA SHARMA</v>
          </cell>
          <cell r="G691" t="str">
            <v>cwFLAP/00649/22-23</v>
          </cell>
          <cell r="H691" t="str">
            <v>On Application of OC</v>
          </cell>
          <cell r="I691">
            <v>0</v>
          </cell>
          <cell r="J691">
            <v>45161</v>
          </cell>
          <cell r="K691">
            <v>46144</v>
          </cell>
          <cell r="L691">
            <v>46164</v>
          </cell>
          <cell r="M691">
            <v>8216443</v>
          </cell>
          <cell r="N691">
            <v>985974</v>
          </cell>
          <cell r="O691">
            <v>9202417</v>
          </cell>
          <cell r="P691"/>
          <cell r="Q691"/>
          <cell r="R691"/>
          <cell r="S691"/>
          <cell r="T691">
            <v>0</v>
          </cell>
          <cell r="U691">
            <v>2</v>
          </cell>
          <cell r="V691">
            <v>0</v>
          </cell>
          <cell r="W691">
            <v>9202415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/>
          <cell r="AC691"/>
          <cell r="AD691"/>
          <cell r="AE691"/>
          <cell r="AF691" t="str">
            <v>UnRegistered</v>
          </cell>
        </row>
        <row r="692">
          <cell r="B692" t="str">
            <v>R4 136</v>
          </cell>
          <cell r="C692" t="str">
            <v>R4</v>
          </cell>
          <cell r="D692" t="str">
            <v>M3M Capital Walk in M3M Capital Phase-2</v>
          </cell>
          <cell r="E692" t="str">
            <v>cwBOOKING/00705/22-23</v>
          </cell>
          <cell r="F692" t="str">
            <v>Mr. SACHIN SHARMA</v>
          </cell>
          <cell r="G692" t="str">
            <v>cwFLAP/00501/22-23</v>
          </cell>
          <cell r="H692" t="str">
            <v>On Application of OC</v>
          </cell>
          <cell r="I692">
            <v>0</v>
          </cell>
          <cell r="J692">
            <v>45041</v>
          </cell>
          <cell r="K692">
            <v>46144</v>
          </cell>
          <cell r="L692">
            <v>46164</v>
          </cell>
          <cell r="M692">
            <v>5473353</v>
          </cell>
          <cell r="N692">
            <v>656802</v>
          </cell>
          <cell r="O692">
            <v>6130155</v>
          </cell>
          <cell r="P692"/>
          <cell r="Q692"/>
          <cell r="R692"/>
          <cell r="S692"/>
          <cell r="T692">
            <v>0</v>
          </cell>
          <cell r="U692">
            <v>2</v>
          </cell>
          <cell r="V692">
            <v>0</v>
          </cell>
          <cell r="W692">
            <v>6130153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/>
          <cell r="AC692"/>
          <cell r="AD692"/>
          <cell r="AE692"/>
          <cell r="AF692" t="str">
            <v>UnRegistered</v>
          </cell>
        </row>
        <row r="693">
          <cell r="B693" t="str">
            <v>R5 LG 45</v>
          </cell>
          <cell r="C693" t="str">
            <v>R5</v>
          </cell>
          <cell r="D693" t="str">
            <v>M3M Capital Walk in M3M Capital Phase-2</v>
          </cell>
          <cell r="E693" t="str">
            <v>cwBOOKING/00706/22-23</v>
          </cell>
          <cell r="F693" t="str">
            <v>Mr. ANKIT KUMAR</v>
          </cell>
          <cell r="G693" t="str">
            <v>cwFLAP/00713/22-23</v>
          </cell>
          <cell r="H693" t="str">
            <v>On Application of OC</v>
          </cell>
          <cell r="I693">
            <v>0</v>
          </cell>
          <cell r="J693">
            <v>45064</v>
          </cell>
          <cell r="K693">
            <v>46144</v>
          </cell>
          <cell r="L693">
            <v>46164</v>
          </cell>
          <cell r="M693">
            <v>2505920</v>
          </cell>
          <cell r="N693">
            <v>300710</v>
          </cell>
          <cell r="O693">
            <v>2806630</v>
          </cell>
          <cell r="P693"/>
          <cell r="Q693"/>
          <cell r="R693"/>
          <cell r="S693"/>
          <cell r="T693">
            <v>0</v>
          </cell>
          <cell r="U693">
            <v>0</v>
          </cell>
          <cell r="V693">
            <v>0</v>
          </cell>
          <cell r="W693">
            <v>2806630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/>
          <cell r="AC693"/>
          <cell r="AD693"/>
          <cell r="AE693"/>
          <cell r="AF693" t="str">
            <v>UnRegistered</v>
          </cell>
        </row>
        <row r="694">
          <cell r="B694" t="str">
            <v>R3 LG 45</v>
          </cell>
          <cell r="C694" t="str">
            <v>R3</v>
          </cell>
          <cell r="D694" t="str">
            <v>M3M Capital Walk in M3M Capital Phase-2</v>
          </cell>
          <cell r="E694" t="str">
            <v>cwBOOKING/00707/22-23</v>
          </cell>
          <cell r="F694" t="str">
            <v>Ms. Namita Kumari</v>
          </cell>
          <cell r="G694" t="str">
            <v>cwFLAP/00672/22-23</v>
          </cell>
          <cell r="H694" t="str">
            <v>On Application of OC</v>
          </cell>
          <cell r="I694">
            <v>0</v>
          </cell>
          <cell r="J694">
            <v>45077</v>
          </cell>
          <cell r="K694">
            <v>46144</v>
          </cell>
          <cell r="L694">
            <v>46164</v>
          </cell>
          <cell r="M694">
            <v>1980214</v>
          </cell>
          <cell r="N694">
            <v>237626</v>
          </cell>
          <cell r="O694">
            <v>2217840</v>
          </cell>
          <cell r="P694"/>
          <cell r="Q694"/>
          <cell r="R694"/>
          <cell r="S694"/>
          <cell r="T694">
            <v>0</v>
          </cell>
          <cell r="U694">
            <v>0</v>
          </cell>
          <cell r="V694">
            <v>0</v>
          </cell>
          <cell r="W694">
            <v>2217840</v>
          </cell>
          <cell r="X694">
            <v>1651</v>
          </cell>
          <cell r="Y694">
            <v>0</v>
          </cell>
          <cell r="Z694">
            <v>0</v>
          </cell>
          <cell r="AA694">
            <v>1651</v>
          </cell>
          <cell r="AB694"/>
          <cell r="AC694"/>
          <cell r="AD694"/>
          <cell r="AE694"/>
          <cell r="AF694" t="str">
            <v>UnRegistered</v>
          </cell>
        </row>
        <row r="695">
          <cell r="B695" t="str">
            <v>R1 UG 09</v>
          </cell>
          <cell r="C695" t="str">
            <v>R1</v>
          </cell>
          <cell r="D695" t="str">
            <v>M3M Capital Walk in M3M Capital Phase-2</v>
          </cell>
          <cell r="E695" t="str">
            <v>cwBOOKING/00708/22-23</v>
          </cell>
          <cell r="F695" t="str">
            <v>Ms. KANCHANA CHAKRABORTY</v>
          </cell>
          <cell r="G695" t="str">
            <v>cwFLAP/00943/22-23</v>
          </cell>
          <cell r="H695" t="str">
            <v>On Application of OC</v>
          </cell>
          <cell r="I695">
            <v>0</v>
          </cell>
          <cell r="J695">
            <v>45349</v>
          </cell>
          <cell r="K695">
            <v>46144</v>
          </cell>
          <cell r="L695">
            <v>46164</v>
          </cell>
          <cell r="M695">
            <v>4006902</v>
          </cell>
          <cell r="N695">
            <v>480828</v>
          </cell>
          <cell r="O695">
            <v>4487730</v>
          </cell>
          <cell r="P695">
            <v>1108011.2804</v>
          </cell>
          <cell r="Q695"/>
          <cell r="R695"/>
          <cell r="S695">
            <v>132961.35364799999</v>
          </cell>
          <cell r="T695">
            <v>1240972.634048</v>
          </cell>
          <cell r="U695">
            <v>100</v>
          </cell>
          <cell r="V695">
            <v>0</v>
          </cell>
          <cell r="W695">
            <v>3246657.365952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 t="str">
            <v>Executed</v>
          </cell>
          <cell r="AC695" t="str">
            <v>Yes</v>
          </cell>
          <cell r="AD695">
            <v>9.0034351223841208E-2</v>
          </cell>
          <cell r="AE695" t="str">
            <v>Less than 35%</v>
          </cell>
          <cell r="AF695" t="str">
            <v>UnRegistered</v>
          </cell>
        </row>
        <row r="696">
          <cell r="B696" t="str">
            <v>R5 127</v>
          </cell>
          <cell r="C696" t="str">
            <v>R5</v>
          </cell>
          <cell r="D696" t="str">
            <v>M3M Capital Walk in M3M Capital Phase-2</v>
          </cell>
          <cell r="E696" t="str">
            <v>cwBOOKING/00709/22-23</v>
          </cell>
          <cell r="F696" t="str">
            <v>Ms. RENU YADAV</v>
          </cell>
          <cell r="G696" t="str">
            <v>cwFLAP/00950/22-23</v>
          </cell>
          <cell r="H696" t="str">
            <v>On Application of OC</v>
          </cell>
          <cell r="I696">
            <v>0</v>
          </cell>
          <cell r="J696">
            <v>45084</v>
          </cell>
          <cell r="K696">
            <v>46144</v>
          </cell>
          <cell r="L696">
            <v>46164</v>
          </cell>
          <cell r="M696">
            <v>5163225</v>
          </cell>
          <cell r="N696">
            <v>619588</v>
          </cell>
          <cell r="O696">
            <v>5782813</v>
          </cell>
          <cell r="P696">
            <v>1556009.72226</v>
          </cell>
          <cell r="Q696"/>
          <cell r="R696"/>
          <cell r="S696">
            <v>186721.16667119999</v>
          </cell>
          <cell r="T696">
            <v>1742730.8889311999</v>
          </cell>
          <cell r="U696">
            <v>2</v>
          </cell>
          <cell r="V696">
            <v>0</v>
          </cell>
          <cell r="W696">
            <v>4040080.1110688001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 t="str">
            <v>Executed</v>
          </cell>
          <cell r="AC696" t="str">
            <v>Yes</v>
          </cell>
          <cell r="AD696">
            <v>0.2180954150129632</v>
          </cell>
          <cell r="AE696" t="str">
            <v>Less than 35%</v>
          </cell>
          <cell r="AF696" t="str">
            <v>UnRegistered</v>
          </cell>
        </row>
        <row r="697">
          <cell r="B697" t="str">
            <v>R1 UG 12</v>
          </cell>
          <cell r="C697" t="str">
            <v>R1</v>
          </cell>
          <cell r="D697" t="str">
            <v>M3M Capital Walk in M3M Capital Phase-2</v>
          </cell>
          <cell r="E697" t="str">
            <v>cwBOOKING/00711/22-23</v>
          </cell>
          <cell r="F697" t="str">
            <v>Ms. SUPREET KAUR SAWHNEY</v>
          </cell>
          <cell r="G697" t="str">
            <v>cwFLAP/00848/22-23</v>
          </cell>
          <cell r="H697" t="str">
            <v>On Application of OC</v>
          </cell>
          <cell r="I697">
            <v>0</v>
          </cell>
          <cell r="J697">
            <v>45574</v>
          </cell>
          <cell r="K697">
            <v>46144</v>
          </cell>
          <cell r="L697">
            <v>46164</v>
          </cell>
          <cell r="M697">
            <v>5247733</v>
          </cell>
          <cell r="N697">
            <v>629728</v>
          </cell>
          <cell r="O697">
            <v>5877461</v>
          </cell>
          <cell r="P697"/>
          <cell r="Q697"/>
          <cell r="R697"/>
          <cell r="S697"/>
          <cell r="T697">
            <v>0</v>
          </cell>
          <cell r="U697">
            <v>1</v>
          </cell>
          <cell r="V697">
            <v>0</v>
          </cell>
          <cell r="W697">
            <v>5877460</v>
          </cell>
          <cell r="X697">
            <v>24495</v>
          </cell>
          <cell r="Y697">
            <v>0</v>
          </cell>
          <cell r="Z697">
            <v>0</v>
          </cell>
          <cell r="AA697">
            <v>24495</v>
          </cell>
          <cell r="AB697"/>
          <cell r="AC697"/>
          <cell r="AD697"/>
          <cell r="AE697"/>
          <cell r="AF697" t="str">
            <v>UnRegistered</v>
          </cell>
        </row>
        <row r="698">
          <cell r="B698" t="str">
            <v>R1 UG 03</v>
          </cell>
          <cell r="C698" t="str">
            <v>R1</v>
          </cell>
          <cell r="D698" t="str">
            <v>M3M Capital Walk in M3M Capital Phase-2</v>
          </cell>
          <cell r="E698" t="str">
            <v>cwBOOKING/00712/22-23</v>
          </cell>
          <cell r="F698" t="str">
            <v>Ms. SIMMI MAKKER</v>
          </cell>
          <cell r="G698" t="str">
            <v>cwFLAP/00954/22-23</v>
          </cell>
          <cell r="H698" t="str">
            <v>On Application of OC</v>
          </cell>
          <cell r="I698">
            <v>0</v>
          </cell>
          <cell r="J698">
            <v>45065</v>
          </cell>
          <cell r="K698">
            <v>46144</v>
          </cell>
          <cell r="L698">
            <v>46164</v>
          </cell>
          <cell r="M698">
            <v>6737628</v>
          </cell>
          <cell r="N698">
            <v>808516</v>
          </cell>
          <cell r="O698">
            <v>7546144</v>
          </cell>
          <cell r="P698"/>
          <cell r="Q698"/>
          <cell r="R698"/>
          <cell r="S698"/>
          <cell r="T698">
            <v>0</v>
          </cell>
          <cell r="U698">
            <v>0</v>
          </cell>
          <cell r="V698">
            <v>0</v>
          </cell>
          <cell r="W698">
            <v>7546144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/>
          <cell r="AC698"/>
          <cell r="AD698"/>
          <cell r="AE698"/>
          <cell r="AF698" t="str">
            <v>UnRegistered</v>
          </cell>
        </row>
        <row r="699">
          <cell r="B699" t="str">
            <v>R6 LG 04</v>
          </cell>
          <cell r="C699" t="str">
            <v>R6</v>
          </cell>
          <cell r="D699" t="str">
            <v>M3M Capital Walk in M3M Capital Phase-2</v>
          </cell>
          <cell r="E699" t="str">
            <v>cwBOOKING/00713/22-23</v>
          </cell>
          <cell r="F699" t="str">
            <v>Ms. VAISHNOW MALHOTRA</v>
          </cell>
          <cell r="G699" t="str">
            <v>cwFLAP/00558/22-23</v>
          </cell>
          <cell r="H699" t="str">
            <v>On Application of OC</v>
          </cell>
          <cell r="I699">
            <v>0</v>
          </cell>
          <cell r="J699">
            <v>45512</v>
          </cell>
          <cell r="K699">
            <v>46144</v>
          </cell>
          <cell r="L699">
            <v>46164</v>
          </cell>
          <cell r="M699">
            <v>18453702</v>
          </cell>
          <cell r="N699">
            <v>2214444</v>
          </cell>
          <cell r="O699">
            <v>20668146</v>
          </cell>
          <cell r="P699">
            <v>174669.60793999999</v>
          </cell>
          <cell r="Q699"/>
          <cell r="R699"/>
          <cell r="S699">
            <v>20960.352952799996</v>
          </cell>
          <cell r="T699">
            <v>195629.96089279998</v>
          </cell>
          <cell r="U699">
            <v>0</v>
          </cell>
          <cell r="V699">
            <v>0</v>
          </cell>
          <cell r="W699">
            <v>20472516.0391072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 t="str">
            <v>Executed</v>
          </cell>
          <cell r="AC699" t="str">
            <v>Yes</v>
          </cell>
          <cell r="AD699">
            <v>4.9873430089319671E-3</v>
          </cell>
          <cell r="AE699" t="str">
            <v>Less than 35%</v>
          </cell>
          <cell r="AF699" t="str">
            <v>UnRegistered</v>
          </cell>
        </row>
        <row r="700">
          <cell r="B700" t="str">
            <v>R6 LG 10</v>
          </cell>
          <cell r="C700" t="str">
            <v>R6</v>
          </cell>
          <cell r="D700" t="str">
            <v>M3M Capital Walk in M3M Capital Phase-2</v>
          </cell>
          <cell r="E700" t="str">
            <v>cwBOOKING/00714/22-23</v>
          </cell>
          <cell r="F700" t="str">
            <v>Mr. VIKAS YADAV</v>
          </cell>
          <cell r="G700" t="str">
            <v>cwFLAP/00487/22-23</v>
          </cell>
          <cell r="H700" t="str">
            <v>On Application of OC</v>
          </cell>
          <cell r="I700">
            <v>0</v>
          </cell>
          <cell r="J700">
            <v>45062</v>
          </cell>
          <cell r="K700">
            <v>46144</v>
          </cell>
          <cell r="L700">
            <v>46164</v>
          </cell>
          <cell r="M700">
            <v>4860031</v>
          </cell>
          <cell r="N700">
            <v>583204</v>
          </cell>
          <cell r="O700">
            <v>5443235</v>
          </cell>
          <cell r="P700"/>
          <cell r="Q700"/>
          <cell r="R700"/>
          <cell r="S700">
            <v>0</v>
          </cell>
          <cell r="T700">
            <v>0</v>
          </cell>
          <cell r="U700">
            <v>4344735</v>
          </cell>
          <cell r="V700">
            <v>0</v>
          </cell>
          <cell r="W700">
            <v>1098500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/>
          <cell r="AC700"/>
          <cell r="AD700">
            <v>0</v>
          </cell>
          <cell r="AE700" t="str">
            <v>Less than 35%</v>
          </cell>
          <cell r="AF700" t="str">
            <v>UnRegistered</v>
          </cell>
        </row>
        <row r="701">
          <cell r="B701" t="str">
            <v>R3 LG 55</v>
          </cell>
          <cell r="C701" t="str">
            <v>R3</v>
          </cell>
          <cell r="D701" t="str">
            <v>M3M Capital Walk in M3M Capital Phase-2</v>
          </cell>
          <cell r="E701" t="str">
            <v>cwBOOKING/00715/22-23</v>
          </cell>
          <cell r="F701" t="str">
            <v>Mr. SHAILY THAKUR JHA</v>
          </cell>
          <cell r="G701" t="str">
            <v>cwFLAP/00955/22-23</v>
          </cell>
          <cell r="H701" t="str">
            <v>On Application of OC</v>
          </cell>
          <cell r="I701">
            <v>0</v>
          </cell>
          <cell r="J701">
            <v>45041</v>
          </cell>
          <cell r="K701">
            <v>46144</v>
          </cell>
          <cell r="L701">
            <v>46164</v>
          </cell>
          <cell r="M701">
            <v>2239991</v>
          </cell>
          <cell r="N701">
            <v>268798</v>
          </cell>
          <cell r="O701">
            <v>2508789</v>
          </cell>
          <cell r="P701"/>
          <cell r="Q701"/>
          <cell r="R701"/>
          <cell r="S701"/>
          <cell r="T701">
            <v>0</v>
          </cell>
          <cell r="U701">
            <v>70</v>
          </cell>
          <cell r="V701">
            <v>0</v>
          </cell>
          <cell r="W701">
            <v>2508719</v>
          </cell>
          <cell r="X701">
            <v>4594</v>
          </cell>
          <cell r="Y701">
            <v>0</v>
          </cell>
          <cell r="Z701">
            <v>0</v>
          </cell>
          <cell r="AA701">
            <v>4594</v>
          </cell>
          <cell r="AB701"/>
          <cell r="AC701"/>
          <cell r="AD701"/>
          <cell r="AE701"/>
          <cell r="AF701" t="str">
            <v>UnRegistered</v>
          </cell>
        </row>
        <row r="702">
          <cell r="B702" t="str">
            <v>R5 UG 43</v>
          </cell>
          <cell r="C702" t="str">
            <v>R5</v>
          </cell>
          <cell r="D702" t="str">
            <v>M3M Capital Walk in M3M Capital Phase-2</v>
          </cell>
          <cell r="E702" t="str">
            <v>cwBOOKING/00716/22-23</v>
          </cell>
          <cell r="F702" t="str">
            <v>Ms. SHAILY THAKUR JHA</v>
          </cell>
          <cell r="G702" t="str">
            <v>cwFLAP/00725/22-23</v>
          </cell>
          <cell r="H702" t="str">
            <v>On Application of OC</v>
          </cell>
          <cell r="I702">
            <v>0</v>
          </cell>
          <cell r="J702">
            <v>45041</v>
          </cell>
          <cell r="K702">
            <v>46144</v>
          </cell>
          <cell r="L702">
            <v>46164</v>
          </cell>
          <cell r="M702">
            <v>2340294</v>
          </cell>
          <cell r="N702">
            <v>280836</v>
          </cell>
          <cell r="O702">
            <v>2621130</v>
          </cell>
          <cell r="P702"/>
          <cell r="Q702"/>
          <cell r="R702"/>
          <cell r="S702"/>
          <cell r="T702">
            <v>0</v>
          </cell>
          <cell r="U702">
            <v>0</v>
          </cell>
          <cell r="V702">
            <v>0</v>
          </cell>
          <cell r="W702">
            <v>2621130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/>
          <cell r="AC702"/>
          <cell r="AD702"/>
          <cell r="AE702"/>
          <cell r="AF702" t="str">
            <v>UnRegistered</v>
          </cell>
        </row>
        <row r="703">
          <cell r="B703" t="str">
            <v>R5 122</v>
          </cell>
          <cell r="C703" t="str">
            <v>R5</v>
          </cell>
          <cell r="D703" t="str">
            <v>M3M Capital Walk in M3M Capital Phase-2</v>
          </cell>
          <cell r="E703" t="str">
            <v>cwBOOKING/00717/22-23</v>
          </cell>
          <cell r="F703" t="str">
            <v>Ms. SONIA BANSAL</v>
          </cell>
          <cell r="G703" t="str">
            <v>cwFAP0026/00003/22-23</v>
          </cell>
          <cell r="H703" t="str">
            <v>On Application of OC</v>
          </cell>
          <cell r="I703">
            <v>0</v>
          </cell>
          <cell r="J703">
            <v>45449</v>
          </cell>
          <cell r="K703">
            <v>46144</v>
          </cell>
          <cell r="L703">
            <v>46164</v>
          </cell>
          <cell r="M703">
            <v>8405722</v>
          </cell>
          <cell r="N703">
            <v>1008686</v>
          </cell>
          <cell r="O703">
            <v>9414408</v>
          </cell>
          <cell r="P703"/>
          <cell r="Q703"/>
          <cell r="R703"/>
          <cell r="S703"/>
          <cell r="T703">
            <v>0</v>
          </cell>
          <cell r="U703">
            <v>1314</v>
          </cell>
          <cell r="V703">
            <v>0</v>
          </cell>
          <cell r="W703">
            <v>9413094</v>
          </cell>
          <cell r="X703">
            <v>3938</v>
          </cell>
          <cell r="Y703">
            <v>0</v>
          </cell>
          <cell r="Z703">
            <v>0</v>
          </cell>
          <cell r="AA703">
            <v>3938</v>
          </cell>
          <cell r="AB703"/>
          <cell r="AC703"/>
          <cell r="AD703"/>
          <cell r="AE703"/>
          <cell r="AF703" t="str">
            <v>UnRegistered</v>
          </cell>
        </row>
        <row r="704">
          <cell r="B704" t="str">
            <v>R4 UG 09</v>
          </cell>
          <cell r="C704" t="str">
            <v>R4</v>
          </cell>
          <cell r="D704" t="str">
            <v>M3M Capital Walk in M3M Capital Phase-2</v>
          </cell>
          <cell r="E704" t="str">
            <v>cwBOOKING/00718/22-23</v>
          </cell>
          <cell r="F704" t="str">
            <v>Mr. PRADEEP MAHINDRU</v>
          </cell>
          <cell r="G704" t="str">
            <v>cwFLAP/00782/22-23</v>
          </cell>
          <cell r="H704" t="str">
            <v>On Application of OC</v>
          </cell>
          <cell r="I704">
            <v>0</v>
          </cell>
          <cell r="J704">
            <v>45047</v>
          </cell>
          <cell r="K704">
            <v>46144</v>
          </cell>
          <cell r="L704">
            <v>46164</v>
          </cell>
          <cell r="M704">
            <v>7178482</v>
          </cell>
          <cell r="N704">
            <v>861418</v>
          </cell>
          <cell r="O704">
            <v>8039900</v>
          </cell>
          <cell r="P704"/>
          <cell r="Q704"/>
          <cell r="R704"/>
          <cell r="S704"/>
          <cell r="T704">
            <v>0</v>
          </cell>
          <cell r="U704">
            <v>211</v>
          </cell>
          <cell r="V704">
            <v>0</v>
          </cell>
          <cell r="W704">
            <v>8039689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/>
          <cell r="AC704"/>
          <cell r="AD704"/>
          <cell r="AE704"/>
          <cell r="AF704" t="str">
            <v>UnRegistered</v>
          </cell>
        </row>
        <row r="705">
          <cell r="B705" t="str">
            <v>R4 LG 08</v>
          </cell>
          <cell r="C705" t="str">
            <v>R4</v>
          </cell>
          <cell r="D705" t="str">
            <v>M3M Capital Walk in M3M Capital Phase-2</v>
          </cell>
          <cell r="E705" t="str">
            <v>cwBOOKING/00719/22-23</v>
          </cell>
          <cell r="F705" t="str">
            <v>Mr. VIPUL TYAGI</v>
          </cell>
          <cell r="G705" t="str">
            <v>cwFLAP/00722/22-23</v>
          </cell>
          <cell r="H705" t="str">
            <v>On Application of OC</v>
          </cell>
          <cell r="I705">
            <v>0</v>
          </cell>
          <cell r="J705">
            <v>45049</v>
          </cell>
          <cell r="K705">
            <v>46144</v>
          </cell>
          <cell r="L705">
            <v>46164</v>
          </cell>
          <cell r="M705">
            <v>5483247</v>
          </cell>
          <cell r="N705">
            <v>657990</v>
          </cell>
          <cell r="O705">
            <v>6141237</v>
          </cell>
          <cell r="P705"/>
          <cell r="Q705"/>
          <cell r="R705"/>
          <cell r="S705"/>
          <cell r="T705">
            <v>0</v>
          </cell>
          <cell r="U705">
            <v>0</v>
          </cell>
          <cell r="V705">
            <v>1</v>
          </cell>
          <cell r="W705">
            <v>6141238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/>
          <cell r="AC705"/>
          <cell r="AD705"/>
          <cell r="AE705"/>
          <cell r="AF705" t="str">
            <v>UnRegistered</v>
          </cell>
        </row>
        <row r="706">
          <cell r="B706" t="str">
            <v>R5 171</v>
          </cell>
          <cell r="C706" t="str">
            <v>R5</v>
          </cell>
          <cell r="D706" t="str">
            <v>M3M Capital Walk in M3M Capital Phase-2</v>
          </cell>
          <cell r="E706" t="str">
            <v>cwBOOKING/00720/22-23</v>
          </cell>
          <cell r="F706" t="str">
            <v>Mr. RAJESH KUMAR SANSANWAL</v>
          </cell>
          <cell r="G706" t="str">
            <v>cwFLAP/00960/22-23</v>
          </cell>
          <cell r="H706" t="str">
            <v>On Application of OC</v>
          </cell>
          <cell r="I706">
            <v>0</v>
          </cell>
          <cell r="J706">
            <v>45076</v>
          </cell>
          <cell r="K706">
            <v>46144</v>
          </cell>
          <cell r="L706">
            <v>46164</v>
          </cell>
          <cell r="M706">
            <v>3398479</v>
          </cell>
          <cell r="N706">
            <v>407818</v>
          </cell>
          <cell r="O706">
            <v>3806297</v>
          </cell>
          <cell r="P706">
            <v>1067139.5272266667</v>
          </cell>
          <cell r="Q706"/>
          <cell r="R706"/>
          <cell r="S706">
            <v>128056.7432672</v>
          </cell>
          <cell r="T706">
            <v>1195196.2704938666</v>
          </cell>
          <cell r="U706">
            <v>1147</v>
          </cell>
          <cell r="V706">
            <v>1</v>
          </cell>
          <cell r="W706">
            <v>2609954.7295061331</v>
          </cell>
          <cell r="X706">
            <v>445</v>
          </cell>
          <cell r="Y706">
            <v>0</v>
          </cell>
          <cell r="Z706">
            <v>0</v>
          </cell>
          <cell r="AA706">
            <v>445</v>
          </cell>
          <cell r="AB706" t="str">
            <v>Executed</v>
          </cell>
          <cell r="AC706" t="str">
            <v>Yes</v>
          </cell>
          <cell r="AD706">
            <v>0.14393686008971593</v>
          </cell>
          <cell r="AE706" t="str">
            <v>Less than 35%</v>
          </cell>
          <cell r="AF706" t="str">
            <v>UnRegistered</v>
          </cell>
        </row>
        <row r="707">
          <cell r="B707" t="str">
            <v>R5 UG 22</v>
          </cell>
          <cell r="C707" t="str">
            <v>R5</v>
          </cell>
          <cell r="D707" t="str">
            <v>M3M Capital Walk in M3M Capital Phase-2</v>
          </cell>
          <cell r="E707" t="str">
            <v>cwBOOKING/00721/22-23</v>
          </cell>
          <cell r="F707" t="str">
            <v>Ms. PARUL SINGH</v>
          </cell>
          <cell r="G707" t="str">
            <v>cwFLAP/00959/22-23</v>
          </cell>
          <cell r="H707" t="str">
            <v>On Application of OC</v>
          </cell>
          <cell r="I707">
            <v>0</v>
          </cell>
          <cell r="J707">
            <v>45098</v>
          </cell>
          <cell r="K707">
            <v>46144</v>
          </cell>
          <cell r="L707">
            <v>46164</v>
          </cell>
          <cell r="M707">
            <v>2924794</v>
          </cell>
          <cell r="N707">
            <v>350976</v>
          </cell>
          <cell r="O707">
            <v>3275770</v>
          </cell>
          <cell r="P707">
            <v>2551240.2239999999</v>
          </cell>
          <cell r="Q707"/>
          <cell r="R707"/>
          <cell r="S707">
            <v>306148.82688000001</v>
          </cell>
          <cell r="T707">
            <v>2857389.05088</v>
          </cell>
          <cell r="U707">
            <v>0</v>
          </cell>
          <cell r="V707">
            <v>69</v>
          </cell>
          <cell r="W707">
            <v>418449.94912</v>
          </cell>
          <cell r="X707">
            <v>26.88</v>
          </cell>
          <cell r="Y707">
            <v>0</v>
          </cell>
          <cell r="Z707">
            <v>0</v>
          </cell>
          <cell r="AA707">
            <v>26.88</v>
          </cell>
          <cell r="AB707" t="str">
            <v>Executed</v>
          </cell>
          <cell r="AC707" t="str">
            <v>Yes</v>
          </cell>
          <cell r="AD707">
            <v>0.67583673394627342</v>
          </cell>
          <cell r="AE707" t="str">
            <v>Above 35%</v>
          </cell>
          <cell r="AF707" t="str">
            <v>UnRegistered</v>
          </cell>
        </row>
        <row r="708">
          <cell r="B708" t="str">
            <v>R5 UG 36</v>
          </cell>
          <cell r="C708" t="str">
            <v>R5</v>
          </cell>
          <cell r="D708" t="str">
            <v>M3M Capital Walk in M3M Capital Phase-2</v>
          </cell>
          <cell r="E708" t="str">
            <v>cwBOOKING/00722/22-23</v>
          </cell>
          <cell r="F708" t="str">
            <v>Ms. SHILPA KUKREJA</v>
          </cell>
          <cell r="G708" t="str">
            <v>cwFLAP/00425/22-23</v>
          </cell>
          <cell r="H708" t="str">
            <v>On Application of OC</v>
          </cell>
          <cell r="I708">
            <v>0</v>
          </cell>
          <cell r="J708">
            <v>45302</v>
          </cell>
          <cell r="K708">
            <v>46144</v>
          </cell>
          <cell r="L708">
            <v>46164</v>
          </cell>
          <cell r="M708">
            <v>1646367</v>
          </cell>
          <cell r="N708">
            <v>197564</v>
          </cell>
          <cell r="O708">
            <v>1843931</v>
          </cell>
          <cell r="P708">
            <v>342893.76212000003</v>
          </cell>
          <cell r="Q708"/>
          <cell r="R708"/>
          <cell r="S708">
            <v>41147.251454400001</v>
          </cell>
          <cell r="T708">
            <v>384041.01357440004</v>
          </cell>
          <cell r="U708">
            <v>0</v>
          </cell>
          <cell r="V708">
            <v>0</v>
          </cell>
          <cell r="W708">
            <v>1459889.9864256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 t="str">
            <v>Executed</v>
          </cell>
          <cell r="AC708" t="str">
            <v>Yes</v>
          </cell>
          <cell r="AD708">
            <v>7.1145517537516467E-2</v>
          </cell>
          <cell r="AE708" t="str">
            <v>Less than 35%</v>
          </cell>
          <cell r="AF708" t="str">
            <v>UnRegistered</v>
          </cell>
        </row>
        <row r="709">
          <cell r="B709" t="str">
            <v>R5 144</v>
          </cell>
          <cell r="C709" t="str">
            <v>R5</v>
          </cell>
          <cell r="D709" t="str">
            <v>M3M Capital Walk in M3M Capital Phase-2</v>
          </cell>
          <cell r="E709" t="str">
            <v>cwBOOKING/00723/22-23</v>
          </cell>
          <cell r="F709" t="str">
            <v>Ms. PRIYANKA PANDEY</v>
          </cell>
          <cell r="G709" t="str">
            <v>cwFLAP/00961/22-23</v>
          </cell>
          <cell r="H709" t="str">
            <v>On Application of OC</v>
          </cell>
          <cell r="I709">
            <v>0</v>
          </cell>
          <cell r="J709">
            <v>45057</v>
          </cell>
          <cell r="K709">
            <v>46144</v>
          </cell>
          <cell r="L709">
            <v>46164</v>
          </cell>
          <cell r="M709">
            <v>4764729</v>
          </cell>
          <cell r="N709">
            <v>571768</v>
          </cell>
          <cell r="O709">
            <v>5336497</v>
          </cell>
          <cell r="P709">
            <v>1245107.5327600001</v>
          </cell>
          <cell r="Q709"/>
          <cell r="R709"/>
          <cell r="S709">
            <v>149412.90393120001</v>
          </cell>
          <cell r="T709">
            <v>1394520.4366912001</v>
          </cell>
          <cell r="U709">
            <v>1000000.84</v>
          </cell>
          <cell r="V709">
            <v>0</v>
          </cell>
          <cell r="W709">
            <v>2941975.7233087998</v>
          </cell>
          <cell r="X709">
            <v>20444</v>
          </cell>
          <cell r="Y709">
            <v>20444</v>
          </cell>
          <cell r="Z709">
            <v>0</v>
          </cell>
          <cell r="AA709">
            <v>0</v>
          </cell>
          <cell r="AB709" t="str">
            <v>Executed</v>
          </cell>
          <cell r="AC709" t="str">
            <v>Yes</v>
          </cell>
          <cell r="AD709">
            <v>0.13065877353931113</v>
          </cell>
          <cell r="AE709" t="str">
            <v>Less than 35%</v>
          </cell>
          <cell r="AF709" t="str">
            <v>UnRegistered</v>
          </cell>
        </row>
        <row r="710">
          <cell r="B710" t="str">
            <v>R1 UG 19</v>
          </cell>
          <cell r="C710" t="str">
            <v>R1</v>
          </cell>
          <cell r="D710" t="str">
            <v>M3M Capital Walk in M3M Capital Phase-2</v>
          </cell>
          <cell r="E710" t="str">
            <v>cwBOOKING/00724/22-23</v>
          </cell>
          <cell r="F710" t="str">
            <v>Mr. SATPAL</v>
          </cell>
          <cell r="G710" t="str">
            <v>cwFLAP/00688/22-23</v>
          </cell>
          <cell r="H710" t="str">
            <v>On Application of OC</v>
          </cell>
          <cell r="I710">
            <v>0</v>
          </cell>
          <cell r="J710">
            <v>45434</v>
          </cell>
          <cell r="K710">
            <v>46144</v>
          </cell>
          <cell r="L710">
            <v>46164</v>
          </cell>
          <cell r="M710">
            <v>5502601</v>
          </cell>
          <cell r="N710">
            <v>660312</v>
          </cell>
          <cell r="O710">
            <v>6162913</v>
          </cell>
          <cell r="P710"/>
          <cell r="Q710"/>
          <cell r="R710"/>
          <cell r="S710"/>
          <cell r="T710">
            <v>0</v>
          </cell>
          <cell r="U710">
            <v>0</v>
          </cell>
          <cell r="V710">
            <v>180</v>
          </cell>
          <cell r="W710">
            <v>6163093</v>
          </cell>
          <cell r="X710">
            <v>1253.96</v>
          </cell>
          <cell r="Y710">
            <v>0</v>
          </cell>
          <cell r="Z710">
            <v>0</v>
          </cell>
          <cell r="AA710">
            <v>1253.96</v>
          </cell>
          <cell r="AB710"/>
          <cell r="AC710"/>
          <cell r="AD710"/>
          <cell r="AE710"/>
          <cell r="AF710" t="str">
            <v>UnRegistered</v>
          </cell>
        </row>
        <row r="711">
          <cell r="B711" t="str">
            <v>R1 UG 31</v>
          </cell>
          <cell r="C711" t="str">
            <v>R1</v>
          </cell>
          <cell r="D711" t="str">
            <v>M3M Capital Walk in M3M Capital Phase-2</v>
          </cell>
          <cell r="E711" t="str">
            <v>cwBOOKING/00725/22-23</v>
          </cell>
          <cell r="F711" t="str">
            <v>Mr. RAJ KUMAR PANWAR</v>
          </cell>
          <cell r="G711" t="str">
            <v>cwFLAP/00962/22-23</v>
          </cell>
          <cell r="H711" t="str">
            <v>On Application of OC</v>
          </cell>
          <cell r="I711">
            <v>0</v>
          </cell>
          <cell r="J711">
            <v>45370</v>
          </cell>
          <cell r="K711">
            <v>46144</v>
          </cell>
          <cell r="L711">
            <v>46164</v>
          </cell>
          <cell r="M711">
            <v>3348253</v>
          </cell>
          <cell r="N711">
            <v>401790</v>
          </cell>
          <cell r="O711">
            <v>3750043</v>
          </cell>
          <cell r="P711">
            <v>684222.78468266653</v>
          </cell>
          <cell r="Q711"/>
          <cell r="R711"/>
          <cell r="S711">
            <v>82106.734161919987</v>
          </cell>
          <cell r="T711">
            <v>766329.51884458656</v>
          </cell>
          <cell r="U711">
            <v>32766</v>
          </cell>
          <cell r="V711">
            <v>0</v>
          </cell>
          <cell r="W711">
            <v>2950947.4811554132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 t="str">
            <v>Executed</v>
          </cell>
          <cell r="AC711" t="str">
            <v>Yes</v>
          </cell>
          <cell r="AD711">
            <v>9.1748191128267306E-2</v>
          </cell>
          <cell r="AE711" t="str">
            <v>Less than 35%</v>
          </cell>
          <cell r="AF711" t="str">
            <v>UnRegistered</v>
          </cell>
        </row>
        <row r="712">
          <cell r="B712" t="str">
            <v>R5 UG 04</v>
          </cell>
          <cell r="C712" t="str">
            <v>R5</v>
          </cell>
          <cell r="D712" t="str">
            <v>M3M Capital Walk in M3M Capital Phase-2</v>
          </cell>
          <cell r="E712" t="str">
            <v>cwBOOKING/00726/22-23</v>
          </cell>
          <cell r="F712" t="str">
            <v>Ms. MADHU BALA</v>
          </cell>
          <cell r="G712" t="str">
            <v>cwFLAP/00964/22-23</v>
          </cell>
          <cell r="H712" t="str">
            <v>On Application of OC</v>
          </cell>
          <cell r="I712">
            <v>0</v>
          </cell>
          <cell r="J712">
            <v>45043</v>
          </cell>
          <cell r="K712">
            <v>46144</v>
          </cell>
          <cell r="L712">
            <v>46164</v>
          </cell>
          <cell r="M712">
            <v>7518689</v>
          </cell>
          <cell r="N712">
            <v>902242</v>
          </cell>
          <cell r="O712">
            <v>8420931</v>
          </cell>
          <cell r="P712"/>
          <cell r="Q712"/>
          <cell r="R712"/>
          <cell r="S712"/>
          <cell r="T712">
            <v>0</v>
          </cell>
          <cell r="U712">
            <v>0.88</v>
          </cell>
          <cell r="V712">
            <v>0</v>
          </cell>
          <cell r="W712">
            <v>8420930.1199999992</v>
          </cell>
          <cell r="X712">
            <v>10158</v>
          </cell>
          <cell r="Y712">
            <v>0</v>
          </cell>
          <cell r="Z712">
            <v>0</v>
          </cell>
          <cell r="AA712">
            <v>10158</v>
          </cell>
          <cell r="AB712"/>
          <cell r="AC712"/>
          <cell r="AD712"/>
          <cell r="AE712"/>
          <cell r="AF712" t="str">
            <v>UnRegistered</v>
          </cell>
        </row>
        <row r="713">
          <cell r="B713" t="str">
            <v>R4 UG 27</v>
          </cell>
          <cell r="C713" t="str">
            <v>R4</v>
          </cell>
          <cell r="D713" t="str">
            <v>M3M Capital Walk in M3M Capital Phase-2</v>
          </cell>
          <cell r="E713" t="str">
            <v>cwBOOKING/00727/22-23</v>
          </cell>
          <cell r="F713" t="str">
            <v>Mr. SUMIT MALIK</v>
          </cell>
          <cell r="G713" t="str">
            <v>cwFLAP/00963/22-23</v>
          </cell>
          <cell r="H713" t="str">
            <v>On Application of OC</v>
          </cell>
          <cell r="I713">
            <v>0</v>
          </cell>
          <cell r="J713">
            <v>45448</v>
          </cell>
          <cell r="K713">
            <v>46144</v>
          </cell>
          <cell r="L713">
            <v>46164</v>
          </cell>
          <cell r="M713">
            <v>4037198</v>
          </cell>
          <cell r="N713">
            <v>484464</v>
          </cell>
          <cell r="O713">
            <v>4521662</v>
          </cell>
          <cell r="P713"/>
          <cell r="Q713"/>
          <cell r="R713"/>
          <cell r="S713"/>
          <cell r="T713">
            <v>0</v>
          </cell>
          <cell r="U713">
            <v>313</v>
          </cell>
          <cell r="V713">
            <v>0</v>
          </cell>
          <cell r="W713">
            <v>4521349</v>
          </cell>
          <cell r="X713">
            <v>151762</v>
          </cell>
          <cell r="Y713">
            <v>0</v>
          </cell>
          <cell r="Z713">
            <v>0</v>
          </cell>
          <cell r="AA713">
            <v>151762</v>
          </cell>
          <cell r="AB713"/>
          <cell r="AC713"/>
          <cell r="AD713"/>
          <cell r="AE713"/>
          <cell r="AF713" t="str">
            <v>UnRegistered</v>
          </cell>
        </row>
        <row r="714">
          <cell r="B714" t="str">
            <v>R6 UG 03</v>
          </cell>
          <cell r="C714" t="str">
            <v>R6</v>
          </cell>
          <cell r="D714" t="str">
            <v>M3M Capital Walk in M3M Capital Phase-2</v>
          </cell>
          <cell r="E714" t="str">
            <v>cwBOOKING/00728/22-23</v>
          </cell>
          <cell r="F714" t="str">
            <v>Ms. GUNJAN JAIN</v>
          </cell>
          <cell r="G714" t="str">
            <v>cwFLAP/00217/22-23</v>
          </cell>
          <cell r="H714" t="str">
            <v>On Application of OC</v>
          </cell>
          <cell r="I714">
            <v>0</v>
          </cell>
          <cell r="J714">
            <v>45043</v>
          </cell>
          <cell r="K714">
            <v>46144</v>
          </cell>
          <cell r="L714">
            <v>46164</v>
          </cell>
          <cell r="M714">
            <v>8258688</v>
          </cell>
          <cell r="N714">
            <v>991042</v>
          </cell>
          <cell r="O714">
            <v>9249730</v>
          </cell>
          <cell r="P714"/>
          <cell r="Q714"/>
          <cell r="R714"/>
          <cell r="S714"/>
          <cell r="T714">
            <v>0</v>
          </cell>
          <cell r="U714">
            <v>0</v>
          </cell>
          <cell r="V714">
            <v>10330</v>
          </cell>
          <cell r="W714">
            <v>9260060</v>
          </cell>
          <cell r="X714">
            <v>3772</v>
          </cell>
          <cell r="Y714">
            <v>0</v>
          </cell>
          <cell r="Z714">
            <v>0</v>
          </cell>
          <cell r="AA714">
            <v>3772</v>
          </cell>
          <cell r="AB714"/>
          <cell r="AC714"/>
          <cell r="AD714"/>
          <cell r="AE714"/>
          <cell r="AF714" t="str">
            <v>UnRegistered</v>
          </cell>
        </row>
        <row r="715">
          <cell r="B715" t="str">
            <v>R1 G 17</v>
          </cell>
          <cell r="C715" t="str">
            <v>R1</v>
          </cell>
          <cell r="D715" t="str">
            <v>M3M Capital Walk in M3M Capital Phase-2</v>
          </cell>
          <cell r="E715" t="str">
            <v>cwBOOKING/00731/22-23</v>
          </cell>
          <cell r="F715" t="str">
            <v>Ms. KAMNA BAGRODIA</v>
          </cell>
          <cell r="G715" t="str">
            <v>cwFLAP/00965/22-23</v>
          </cell>
          <cell r="H715" t="str">
            <v>On Application of OC</v>
          </cell>
          <cell r="I715">
            <v>0</v>
          </cell>
          <cell r="J715">
            <v>45449</v>
          </cell>
          <cell r="K715">
            <v>46144</v>
          </cell>
          <cell r="L715">
            <v>46164</v>
          </cell>
          <cell r="M715">
            <v>11318354</v>
          </cell>
          <cell r="N715">
            <v>1358202</v>
          </cell>
          <cell r="O715">
            <v>12676556</v>
          </cell>
          <cell r="P715"/>
          <cell r="Q715">
            <v>1327200</v>
          </cell>
          <cell r="R715"/>
          <cell r="S715">
            <v>159264</v>
          </cell>
          <cell r="T715">
            <v>1486464</v>
          </cell>
          <cell r="U715">
            <v>0</v>
          </cell>
          <cell r="V715">
            <v>0</v>
          </cell>
          <cell r="W715">
            <v>11190092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 t="str">
            <v>Not Executed</v>
          </cell>
          <cell r="AC715" t="str">
            <v>No as CL is not Executed</v>
          </cell>
          <cell r="AD715">
            <v>8.5338741868080159E-2</v>
          </cell>
          <cell r="AE715" t="str">
            <v>Less than 35%</v>
          </cell>
          <cell r="AF715" t="str">
            <v>UnRegistered</v>
          </cell>
        </row>
        <row r="716">
          <cell r="B716" t="str">
            <v>R3 UG 12A</v>
          </cell>
          <cell r="C716" t="str">
            <v>R3</v>
          </cell>
          <cell r="D716" t="str">
            <v>M3M Capital Walk in M3M Capital Phase-2</v>
          </cell>
          <cell r="E716" t="str">
            <v>cwBOOKING/00732/22-23</v>
          </cell>
          <cell r="F716" t="str">
            <v>Mr. JAI SHOKEEN</v>
          </cell>
          <cell r="G716" t="str">
            <v>cwFLAP/00823/22-23</v>
          </cell>
          <cell r="H716" t="str">
            <v>On Application of OC</v>
          </cell>
          <cell r="I716">
            <v>0</v>
          </cell>
          <cell r="J716">
            <v>45064</v>
          </cell>
          <cell r="K716">
            <v>46144</v>
          </cell>
          <cell r="L716">
            <v>46164</v>
          </cell>
          <cell r="M716">
            <v>7763586</v>
          </cell>
          <cell r="N716">
            <v>931630</v>
          </cell>
          <cell r="O716">
            <v>8695216</v>
          </cell>
          <cell r="P716"/>
          <cell r="Q716"/>
          <cell r="R716"/>
          <cell r="S716"/>
          <cell r="T716">
            <v>0</v>
          </cell>
          <cell r="U716">
            <v>2</v>
          </cell>
          <cell r="V716">
            <v>0</v>
          </cell>
          <cell r="W716">
            <v>8695214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/>
          <cell r="AC716"/>
          <cell r="AD716"/>
          <cell r="AE716"/>
          <cell r="AF716" t="str">
            <v>UnRegistered</v>
          </cell>
        </row>
        <row r="717">
          <cell r="B717" t="str">
            <v>R3 UG 27</v>
          </cell>
          <cell r="C717" t="str">
            <v>R3</v>
          </cell>
          <cell r="D717" t="str">
            <v>M3M Capital Walk in M3M Capital Phase-2</v>
          </cell>
          <cell r="E717" t="str">
            <v>cwBOOKING/00733/22-23</v>
          </cell>
          <cell r="F717" t="str">
            <v>Ms. SMITA SHARMA</v>
          </cell>
          <cell r="G717" t="str">
            <v>cwFLAP/00966/22-23</v>
          </cell>
          <cell r="H717" t="str">
            <v>On Application of OC</v>
          </cell>
          <cell r="I717">
            <v>0</v>
          </cell>
          <cell r="J717">
            <v>45161</v>
          </cell>
          <cell r="K717">
            <v>46144</v>
          </cell>
          <cell r="L717">
            <v>46164</v>
          </cell>
          <cell r="M717">
            <v>7648079</v>
          </cell>
          <cell r="N717">
            <v>917770</v>
          </cell>
          <cell r="O717">
            <v>8565849</v>
          </cell>
          <cell r="P717">
            <v>725695.44908666669</v>
          </cell>
          <cell r="Q717"/>
          <cell r="R717"/>
          <cell r="S717">
            <v>87083.453890399993</v>
          </cell>
          <cell r="T717">
            <v>812778.9029770667</v>
          </cell>
          <cell r="U717">
            <v>0</v>
          </cell>
          <cell r="V717">
            <v>34206.879999999888</v>
          </cell>
          <cell r="W717">
            <v>7787276.9770229319</v>
          </cell>
          <cell r="X717">
            <v>16089.96</v>
          </cell>
          <cell r="Y717">
            <v>0</v>
          </cell>
          <cell r="Z717">
            <v>0</v>
          </cell>
          <cell r="AA717">
            <v>16089.96</v>
          </cell>
          <cell r="AB717" t="str">
            <v>Not Executed</v>
          </cell>
          <cell r="AC717" t="str">
            <v>No, due to CL not executed but interest is less than 75000</v>
          </cell>
          <cell r="AD717">
            <v>4.9609764818528822E-2</v>
          </cell>
          <cell r="AE717" t="str">
            <v>Less than 35%</v>
          </cell>
          <cell r="AF717" t="str">
            <v>UnRegistered</v>
          </cell>
        </row>
        <row r="718">
          <cell r="B718" t="str">
            <v>R1 131</v>
          </cell>
          <cell r="C718" t="str">
            <v>R1</v>
          </cell>
          <cell r="D718" t="str">
            <v>M3M Capital Walk in M3M Capital Phase-2</v>
          </cell>
          <cell r="E718" t="str">
            <v>cwBOOKING/00734/22-23</v>
          </cell>
          <cell r="F718" t="str">
            <v>Mr. ANIL BHARDWAJ</v>
          </cell>
          <cell r="G718" t="str">
            <v>cwFLAP/00967/22-23</v>
          </cell>
          <cell r="H718" t="str">
            <v>On Application of OC</v>
          </cell>
          <cell r="I718">
            <v>0</v>
          </cell>
          <cell r="J718">
            <v>45173</v>
          </cell>
          <cell r="K718">
            <v>46144</v>
          </cell>
          <cell r="L718">
            <v>46164</v>
          </cell>
          <cell r="M718">
            <v>6155619</v>
          </cell>
          <cell r="N718">
            <v>738674</v>
          </cell>
          <cell r="O718">
            <v>6894293</v>
          </cell>
          <cell r="P718"/>
          <cell r="Q718"/>
          <cell r="R718"/>
          <cell r="S718"/>
          <cell r="T718">
            <v>0</v>
          </cell>
          <cell r="U718">
            <v>1</v>
          </cell>
          <cell r="V718">
            <v>0</v>
          </cell>
          <cell r="W718">
            <v>6894292</v>
          </cell>
          <cell r="X718">
            <v>749</v>
          </cell>
          <cell r="Y718">
            <v>0</v>
          </cell>
          <cell r="Z718">
            <v>0</v>
          </cell>
          <cell r="AA718">
            <v>749</v>
          </cell>
          <cell r="AB718"/>
          <cell r="AC718"/>
          <cell r="AD718"/>
          <cell r="AE718"/>
          <cell r="AF718" t="str">
            <v>06AHKPB1463H1ZN</v>
          </cell>
        </row>
        <row r="719">
          <cell r="B719" t="str">
            <v>R6 UG 11</v>
          </cell>
          <cell r="C719" t="str">
            <v>R6</v>
          </cell>
          <cell r="D719" t="str">
            <v>M3M Capital Walk in M3M Capital Phase-2</v>
          </cell>
          <cell r="E719" t="str">
            <v>cwBOOKING/00735/22-23</v>
          </cell>
          <cell r="F719" t="str">
            <v>Mr. ARYAN SHARMA</v>
          </cell>
          <cell r="G719" t="str">
            <v>cwFLAP/00764/22-23</v>
          </cell>
          <cell r="H719" t="str">
            <v>On Application of OC</v>
          </cell>
          <cell r="I719">
            <v>0</v>
          </cell>
          <cell r="J719">
            <v>45328</v>
          </cell>
          <cell r="K719">
            <v>46144</v>
          </cell>
          <cell r="L719">
            <v>46164</v>
          </cell>
          <cell r="M719">
            <v>5736402</v>
          </cell>
          <cell r="N719">
            <v>688368</v>
          </cell>
          <cell r="O719">
            <v>6424770</v>
          </cell>
          <cell r="P719"/>
          <cell r="Q719"/>
          <cell r="R719"/>
          <cell r="S719"/>
          <cell r="T719">
            <v>0</v>
          </cell>
          <cell r="U719">
            <v>0</v>
          </cell>
          <cell r="V719">
            <v>1</v>
          </cell>
          <cell r="W719">
            <v>6424771</v>
          </cell>
          <cell r="X719">
            <v>22655</v>
          </cell>
          <cell r="Y719">
            <v>0</v>
          </cell>
          <cell r="Z719">
            <v>0</v>
          </cell>
          <cell r="AA719">
            <v>22655</v>
          </cell>
          <cell r="AB719"/>
          <cell r="AC719"/>
          <cell r="AD719"/>
          <cell r="AE719"/>
          <cell r="AF719" t="str">
            <v>UnRegistered</v>
          </cell>
        </row>
        <row r="720">
          <cell r="B720" t="str">
            <v>R6 203</v>
          </cell>
          <cell r="C720" t="str">
            <v>R6</v>
          </cell>
          <cell r="D720" t="str">
            <v>M3M Capital Walk in M3M Capital Phase-2</v>
          </cell>
          <cell r="E720" t="str">
            <v>cwBOOKING/00736/22-23</v>
          </cell>
          <cell r="F720" t="str">
            <v>Mr. RITESH AGARWAL</v>
          </cell>
          <cell r="G720" t="str">
            <v>cwFLAP/00589/22-23</v>
          </cell>
          <cell r="H720" t="str">
            <v>On Application of OC</v>
          </cell>
          <cell r="I720">
            <v>0</v>
          </cell>
          <cell r="J720">
            <v>45247</v>
          </cell>
          <cell r="K720">
            <v>46144</v>
          </cell>
          <cell r="L720">
            <v>46164</v>
          </cell>
          <cell r="M720">
            <v>794311</v>
          </cell>
          <cell r="N720">
            <v>95318</v>
          </cell>
          <cell r="O720">
            <v>889629</v>
          </cell>
          <cell r="P720"/>
          <cell r="Q720"/>
          <cell r="R720"/>
          <cell r="S720"/>
          <cell r="T720">
            <v>0</v>
          </cell>
          <cell r="U720">
            <v>0</v>
          </cell>
          <cell r="V720">
            <v>14257.009999999776</v>
          </cell>
          <cell r="W720">
            <v>903886.00999999978</v>
          </cell>
          <cell r="X720">
            <v>6753</v>
          </cell>
          <cell r="Y720">
            <v>0</v>
          </cell>
          <cell r="Z720">
            <v>0</v>
          </cell>
          <cell r="AA720">
            <v>6753</v>
          </cell>
          <cell r="AB720"/>
          <cell r="AC720"/>
          <cell r="AD720"/>
          <cell r="AE720"/>
          <cell r="AF720" t="str">
            <v>UnRegistered</v>
          </cell>
        </row>
        <row r="721">
          <cell r="B721" t="str">
            <v>R5 UG 16</v>
          </cell>
          <cell r="C721" t="str">
            <v>R5</v>
          </cell>
          <cell r="D721" t="str">
            <v>M3M Capital Walk in M3M Capital Phase-2</v>
          </cell>
          <cell r="E721" t="str">
            <v>cwBOOKING/00737/22-23</v>
          </cell>
          <cell r="F721" t="str">
            <v>Ms. JAYMALA NANDWANI</v>
          </cell>
          <cell r="G721" t="str">
            <v>cwFLAP/00969/22-23</v>
          </cell>
          <cell r="H721" t="str">
            <v>On Application of OC</v>
          </cell>
          <cell r="I721">
            <v>0</v>
          </cell>
          <cell r="J721">
            <v>45062</v>
          </cell>
          <cell r="K721">
            <v>46144</v>
          </cell>
          <cell r="L721">
            <v>46164</v>
          </cell>
          <cell r="M721">
            <v>2156125</v>
          </cell>
          <cell r="N721">
            <v>258736</v>
          </cell>
          <cell r="O721">
            <v>2414861</v>
          </cell>
          <cell r="P721"/>
          <cell r="Q721"/>
          <cell r="R721"/>
          <cell r="S721"/>
          <cell r="T721">
            <v>0</v>
          </cell>
          <cell r="U721">
            <v>0</v>
          </cell>
          <cell r="V721">
            <v>129</v>
          </cell>
          <cell r="W721">
            <v>2414990</v>
          </cell>
          <cell r="X721">
            <v>48.72</v>
          </cell>
          <cell r="Y721">
            <v>0</v>
          </cell>
          <cell r="Z721">
            <v>0</v>
          </cell>
          <cell r="AA721">
            <v>48.72</v>
          </cell>
          <cell r="AB721"/>
          <cell r="AC721"/>
          <cell r="AD721"/>
          <cell r="AE721"/>
          <cell r="AF721" t="str">
            <v>UnRegistered</v>
          </cell>
        </row>
        <row r="722">
          <cell r="B722" t="str">
            <v>R1 235</v>
          </cell>
          <cell r="C722" t="str">
            <v>R1</v>
          </cell>
          <cell r="D722" t="str">
            <v>M3M Capital Walk in M3M Capital Phase-2</v>
          </cell>
          <cell r="E722" t="str">
            <v>cwBOOKING/00738/22-23</v>
          </cell>
          <cell r="F722" t="str">
            <v>Mr. DEVENDRA SINGH</v>
          </cell>
          <cell r="G722" t="str">
            <v>cwFLAP/00970/22-23</v>
          </cell>
          <cell r="H722" t="str">
            <v>On Application of OC</v>
          </cell>
          <cell r="I722">
            <v>0</v>
          </cell>
          <cell r="J722">
            <v>45279</v>
          </cell>
          <cell r="K722">
            <v>46144</v>
          </cell>
          <cell r="L722">
            <v>46164</v>
          </cell>
          <cell r="M722">
            <v>3043845</v>
          </cell>
          <cell r="N722">
            <v>365262</v>
          </cell>
          <cell r="O722">
            <v>3409107</v>
          </cell>
          <cell r="P722"/>
          <cell r="Q722"/>
          <cell r="R722"/>
          <cell r="S722"/>
          <cell r="T722">
            <v>0</v>
          </cell>
          <cell r="U722">
            <v>0</v>
          </cell>
          <cell r="V722">
            <v>0</v>
          </cell>
          <cell r="W722">
            <v>3409107</v>
          </cell>
          <cell r="X722">
            <v>25933</v>
          </cell>
          <cell r="Y722">
            <v>0</v>
          </cell>
          <cell r="Z722">
            <v>0</v>
          </cell>
          <cell r="AA722">
            <v>25933</v>
          </cell>
          <cell r="AB722"/>
          <cell r="AC722"/>
          <cell r="AD722"/>
          <cell r="AE722"/>
          <cell r="AF722" t="str">
            <v>UnRegistered</v>
          </cell>
        </row>
        <row r="723">
          <cell r="B723" t="str">
            <v>R1 UG 17</v>
          </cell>
          <cell r="C723" t="str">
            <v>R1</v>
          </cell>
          <cell r="D723" t="str">
            <v>M3M Capital Walk in M3M Capital Phase-2</v>
          </cell>
          <cell r="E723" t="str">
            <v>cwBOOKING/00739/22-23</v>
          </cell>
          <cell r="F723" t="str">
            <v>Ms. ANJANA JARYAL</v>
          </cell>
          <cell r="G723" t="str">
            <v>cwFLAP/00564/22-23</v>
          </cell>
          <cell r="H723" t="str">
            <v>On Application of OC</v>
          </cell>
          <cell r="I723">
            <v>0</v>
          </cell>
          <cell r="J723">
            <v>45036</v>
          </cell>
          <cell r="K723">
            <v>46144</v>
          </cell>
          <cell r="L723">
            <v>46164</v>
          </cell>
          <cell r="M723">
            <v>5592088</v>
          </cell>
          <cell r="N723">
            <v>671050</v>
          </cell>
          <cell r="O723">
            <v>6263138</v>
          </cell>
          <cell r="P723"/>
          <cell r="Q723"/>
          <cell r="R723"/>
          <cell r="S723"/>
          <cell r="T723">
            <v>0</v>
          </cell>
          <cell r="U723">
            <v>0</v>
          </cell>
          <cell r="V723">
            <v>0</v>
          </cell>
          <cell r="W723">
            <v>6263138</v>
          </cell>
          <cell r="X723">
            <v>35.36</v>
          </cell>
          <cell r="Y723">
            <v>0</v>
          </cell>
          <cell r="Z723">
            <v>0</v>
          </cell>
          <cell r="AA723">
            <v>35.36</v>
          </cell>
          <cell r="AB723"/>
          <cell r="AC723"/>
          <cell r="AD723"/>
          <cell r="AE723"/>
          <cell r="AF723" t="str">
            <v>UnRegistered</v>
          </cell>
        </row>
        <row r="724">
          <cell r="B724" t="str">
            <v>R1 120</v>
          </cell>
          <cell r="C724" t="str">
            <v>R1</v>
          </cell>
          <cell r="D724" t="str">
            <v>M3M Capital Walk in M3M Capital Phase-2</v>
          </cell>
          <cell r="E724" t="str">
            <v>cwBOOKING/00740/22-23</v>
          </cell>
          <cell r="F724" t="str">
            <v>Mr. SUNIL KAUSHIK</v>
          </cell>
          <cell r="G724" t="str">
            <v>cwFLAP/00646/22-23</v>
          </cell>
          <cell r="H724" t="str">
            <v>On Application of OC</v>
          </cell>
          <cell r="I724">
            <v>0</v>
          </cell>
          <cell r="J724">
            <v>45111</v>
          </cell>
          <cell r="K724">
            <v>46144</v>
          </cell>
          <cell r="L724">
            <v>46164</v>
          </cell>
          <cell r="M724">
            <v>5240859</v>
          </cell>
          <cell r="N724">
            <v>628904</v>
          </cell>
          <cell r="O724">
            <v>5869763</v>
          </cell>
          <cell r="P724"/>
          <cell r="Q724"/>
          <cell r="R724"/>
          <cell r="S724"/>
          <cell r="T724">
            <v>0</v>
          </cell>
          <cell r="U724">
            <v>0</v>
          </cell>
          <cell r="V724">
            <v>1</v>
          </cell>
          <cell r="W724">
            <v>5869764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/>
          <cell r="AC724"/>
          <cell r="AD724"/>
          <cell r="AE724"/>
          <cell r="AF724" t="str">
            <v>UnRegistered</v>
          </cell>
        </row>
        <row r="725">
          <cell r="B725" t="str">
            <v>R1 152</v>
          </cell>
          <cell r="C725" t="str">
            <v>R1</v>
          </cell>
          <cell r="D725" t="str">
            <v>M3M Capital Walk in M3M Capital Phase-2</v>
          </cell>
          <cell r="E725" t="str">
            <v>cwBOOKING/00741/22-23</v>
          </cell>
          <cell r="F725" t="str">
            <v>Mr. SIDDHARTH KUMAR</v>
          </cell>
          <cell r="G725" t="str">
            <v>cwFLAP/00971/22-23</v>
          </cell>
          <cell r="H725" t="str">
            <v>On Application of OC</v>
          </cell>
          <cell r="I725">
            <v>0</v>
          </cell>
          <cell r="J725">
            <v>45057</v>
          </cell>
          <cell r="K725">
            <v>46144</v>
          </cell>
          <cell r="L725">
            <v>46164</v>
          </cell>
          <cell r="M725">
            <v>3430840</v>
          </cell>
          <cell r="N725">
            <v>411700</v>
          </cell>
          <cell r="O725">
            <v>3842540</v>
          </cell>
          <cell r="P725"/>
          <cell r="Q725"/>
          <cell r="R725"/>
          <cell r="S725"/>
          <cell r="T725">
            <v>0</v>
          </cell>
          <cell r="U725">
            <v>0</v>
          </cell>
          <cell r="V725">
            <v>0</v>
          </cell>
          <cell r="W725">
            <v>3842540</v>
          </cell>
          <cell r="X725">
            <v>394</v>
          </cell>
          <cell r="Y725">
            <v>0</v>
          </cell>
          <cell r="Z725">
            <v>0</v>
          </cell>
          <cell r="AA725">
            <v>394</v>
          </cell>
          <cell r="AB725"/>
          <cell r="AC725"/>
          <cell r="AD725"/>
          <cell r="AE725"/>
          <cell r="AF725" t="str">
            <v>UnRegistered</v>
          </cell>
        </row>
        <row r="726">
          <cell r="B726" t="str">
            <v>R1 139</v>
          </cell>
          <cell r="C726" t="str">
            <v>R1</v>
          </cell>
          <cell r="D726" t="str">
            <v>M3M Capital Walk in M3M Capital Phase-2</v>
          </cell>
          <cell r="E726" t="str">
            <v>cwBOOKING/00742/22-23</v>
          </cell>
          <cell r="F726" t="str">
            <v>Ms. NISHA SHARMA</v>
          </cell>
          <cell r="G726" t="str">
            <v>cwFLAP/00973/22-23</v>
          </cell>
          <cell r="H726" t="str">
            <v>On Application of OC</v>
          </cell>
          <cell r="I726">
            <v>0</v>
          </cell>
          <cell r="J726">
            <v>45062</v>
          </cell>
          <cell r="K726">
            <v>46144</v>
          </cell>
          <cell r="L726">
            <v>46164</v>
          </cell>
          <cell r="M726">
            <v>5040352</v>
          </cell>
          <cell r="N726">
            <v>604842</v>
          </cell>
          <cell r="O726">
            <v>5645194</v>
          </cell>
          <cell r="P726"/>
          <cell r="Q726"/>
          <cell r="R726"/>
          <cell r="S726"/>
          <cell r="T726">
            <v>0</v>
          </cell>
          <cell r="U726">
            <v>2</v>
          </cell>
          <cell r="V726">
            <v>1</v>
          </cell>
          <cell r="W726">
            <v>5645193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/>
          <cell r="AC726"/>
          <cell r="AD726"/>
          <cell r="AE726"/>
          <cell r="AF726" t="str">
            <v>UnRegistered</v>
          </cell>
        </row>
        <row r="727">
          <cell r="B727" t="str">
            <v>R1 244</v>
          </cell>
          <cell r="C727" t="str">
            <v>R1</v>
          </cell>
          <cell r="D727" t="str">
            <v>M3M Capital Walk in M3M Capital Phase-2</v>
          </cell>
          <cell r="E727" t="str">
            <v>cwBOOKING/00743/22-23</v>
          </cell>
          <cell r="F727" t="str">
            <v>Ms. SOUNDRYA NIDHI SINGH</v>
          </cell>
          <cell r="G727" t="str">
            <v>cwFLAP/00629/22-23</v>
          </cell>
          <cell r="H727" t="str">
            <v>On Application of OC</v>
          </cell>
          <cell r="I727">
            <v>0</v>
          </cell>
          <cell r="J727">
            <v>45064</v>
          </cell>
          <cell r="K727">
            <v>46144</v>
          </cell>
          <cell r="L727">
            <v>46164</v>
          </cell>
          <cell r="M727">
            <v>6315384</v>
          </cell>
          <cell r="N727">
            <v>757846</v>
          </cell>
          <cell r="O727">
            <v>7073230</v>
          </cell>
          <cell r="P727">
            <v>1457139.4875</v>
          </cell>
          <cell r="Q727"/>
          <cell r="R727"/>
          <cell r="S727">
            <v>174856.73850000001</v>
          </cell>
          <cell r="T727">
            <v>1631996.226</v>
          </cell>
          <cell r="U727">
            <v>0</v>
          </cell>
          <cell r="V727">
            <v>0</v>
          </cell>
          <cell r="W727">
            <v>5441233.7740000002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 t="str">
            <v>Executed</v>
          </cell>
          <cell r="AC727" t="str">
            <v>Yes</v>
          </cell>
          <cell r="AD727">
            <v>0.17926956118840176</v>
          </cell>
          <cell r="AE727" t="str">
            <v>Less than 35%</v>
          </cell>
          <cell r="AF727" t="str">
            <v>UnRegistered</v>
          </cell>
        </row>
        <row r="728">
          <cell r="B728" t="str">
            <v>R5 UG 27</v>
          </cell>
          <cell r="C728" t="str">
            <v>R5</v>
          </cell>
          <cell r="D728" t="str">
            <v>M3M Capital Walk in M3M Capital Phase-2</v>
          </cell>
          <cell r="E728" t="str">
            <v>cwBOOKING/00745/22-23</v>
          </cell>
          <cell r="F728" t="str">
            <v>Mr. HARINDER</v>
          </cell>
          <cell r="G728" t="str">
            <v>cwFLAP/00419/22-23</v>
          </cell>
          <cell r="H728" t="str">
            <v>On Application of OC</v>
          </cell>
          <cell r="I728">
            <v>0</v>
          </cell>
          <cell r="J728">
            <v>45071</v>
          </cell>
          <cell r="K728">
            <v>46144</v>
          </cell>
          <cell r="L728">
            <v>46164</v>
          </cell>
          <cell r="M728">
            <v>1689817</v>
          </cell>
          <cell r="N728">
            <v>202778</v>
          </cell>
          <cell r="O728">
            <v>1892595</v>
          </cell>
          <cell r="P728">
            <v>153587.53999999998</v>
          </cell>
          <cell r="Q728"/>
          <cell r="R728"/>
          <cell r="S728">
            <v>18430.504799999995</v>
          </cell>
          <cell r="T728">
            <v>172018.04479999997</v>
          </cell>
          <cell r="U728">
            <v>0</v>
          </cell>
          <cell r="V728">
            <v>0</v>
          </cell>
          <cell r="W728">
            <v>1720576.9552</v>
          </cell>
          <cell r="X728">
            <v>566.44000000000005</v>
          </cell>
          <cell r="Y728">
            <v>0</v>
          </cell>
          <cell r="Z728">
            <v>0</v>
          </cell>
          <cell r="AA728">
            <v>566.44000000000005</v>
          </cell>
          <cell r="AB728" t="str">
            <v>Executed</v>
          </cell>
          <cell r="AC728" t="str">
            <v>Yes</v>
          </cell>
          <cell r="AD728">
            <v>5.4856681161768131E-2</v>
          </cell>
          <cell r="AE728" t="str">
            <v>Less than 35%</v>
          </cell>
          <cell r="AF728" t="str">
            <v>UnRegistered</v>
          </cell>
        </row>
        <row r="729">
          <cell r="B729" t="str">
            <v>R6 UG 30</v>
          </cell>
          <cell r="C729" t="str">
            <v>R6</v>
          </cell>
          <cell r="D729" t="str">
            <v>M3M Capital Walk in M3M Capital Phase-2</v>
          </cell>
          <cell r="E729" t="str">
            <v>cwBOOKING/00746/22-23</v>
          </cell>
          <cell r="F729" t="str">
            <v>Mr. SAURABH ARORA</v>
          </cell>
          <cell r="G729" t="str">
            <v>cwFLAP/00757/22-23</v>
          </cell>
          <cell r="H729" t="str">
            <v>On Application of OC</v>
          </cell>
          <cell r="I729">
            <v>0</v>
          </cell>
          <cell r="J729">
            <v>45251</v>
          </cell>
          <cell r="K729">
            <v>46144</v>
          </cell>
          <cell r="L729">
            <v>46164</v>
          </cell>
          <cell r="M729">
            <v>6538822</v>
          </cell>
          <cell r="N729">
            <v>784658</v>
          </cell>
          <cell r="O729">
            <v>7323480</v>
          </cell>
          <cell r="P729"/>
          <cell r="Q729"/>
          <cell r="R729"/>
          <cell r="S729"/>
          <cell r="T729">
            <v>0</v>
          </cell>
          <cell r="U729">
            <v>14000</v>
          </cell>
          <cell r="V729">
            <v>0</v>
          </cell>
          <cell r="W729">
            <v>7309480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/>
          <cell r="AC729"/>
          <cell r="AD729"/>
          <cell r="AE729"/>
          <cell r="AF729" t="str">
            <v>UnRegistered</v>
          </cell>
        </row>
        <row r="730">
          <cell r="B730" t="str">
            <v>R5 LG 38</v>
          </cell>
          <cell r="C730" t="str">
            <v>R5</v>
          </cell>
          <cell r="D730" t="str">
            <v>M3M Capital Walk in M3M Capital Phase-2</v>
          </cell>
          <cell r="E730" t="str">
            <v>cwBOOKING/00747/22-23</v>
          </cell>
          <cell r="F730" t="str">
            <v>Mr. SANDEEP JAIN</v>
          </cell>
          <cell r="G730" t="str">
            <v>cwFLAP/00677/22-23</v>
          </cell>
          <cell r="H730" t="str">
            <v>On Application of OC</v>
          </cell>
          <cell r="I730">
            <v>0</v>
          </cell>
          <cell r="J730">
            <v>45307</v>
          </cell>
          <cell r="K730">
            <v>46144</v>
          </cell>
          <cell r="L730">
            <v>46164</v>
          </cell>
          <cell r="M730">
            <v>3903391</v>
          </cell>
          <cell r="N730">
            <v>468406</v>
          </cell>
          <cell r="O730">
            <v>4371797</v>
          </cell>
          <cell r="P730">
            <v>348262.57023999997</v>
          </cell>
          <cell r="Q730"/>
          <cell r="R730">
            <v>1278823</v>
          </cell>
          <cell r="S730">
            <v>41791.508428799993</v>
          </cell>
          <cell r="T730">
            <v>1668877.0786687999</v>
          </cell>
          <cell r="U730">
            <v>3442</v>
          </cell>
          <cell r="V730">
            <v>2</v>
          </cell>
          <cell r="W730">
            <v>2699479.9213311998</v>
          </cell>
          <cell r="X730">
            <v>5691</v>
          </cell>
          <cell r="Y730">
            <v>0</v>
          </cell>
          <cell r="Z730">
            <v>0</v>
          </cell>
          <cell r="AA730">
            <v>5691</v>
          </cell>
          <cell r="AB730" t="str">
            <v>Executed</v>
          </cell>
          <cell r="AC730" t="str">
            <v>Yes</v>
          </cell>
          <cell r="AD730">
            <v>0.20105482390249291</v>
          </cell>
          <cell r="AE730" t="str">
            <v>Less than 35%</v>
          </cell>
          <cell r="AF730" t="str">
            <v>UnRegistered</v>
          </cell>
        </row>
        <row r="731">
          <cell r="B731" t="str">
            <v>R3 UG 19</v>
          </cell>
          <cell r="C731" t="str">
            <v>R3</v>
          </cell>
          <cell r="D731" t="str">
            <v>M3M Capital Walk in M3M Capital Phase-2</v>
          </cell>
          <cell r="E731" t="str">
            <v>cwBOOKING/00748/22-23</v>
          </cell>
          <cell r="F731" t="str">
            <v>Ms. SAROJ CHAUDHARY</v>
          </cell>
          <cell r="G731" t="str">
            <v>cwFLAP/00663/22-23</v>
          </cell>
          <cell r="H731" t="str">
            <v>On Application of OC</v>
          </cell>
          <cell r="I731">
            <v>0</v>
          </cell>
          <cell r="J731">
            <v>45414</v>
          </cell>
          <cell r="K731">
            <v>46144</v>
          </cell>
          <cell r="L731">
            <v>46164</v>
          </cell>
          <cell r="M731">
            <v>5545283</v>
          </cell>
          <cell r="N731">
            <v>665434</v>
          </cell>
          <cell r="O731">
            <v>6210717</v>
          </cell>
          <cell r="P731"/>
          <cell r="Q731"/>
          <cell r="R731"/>
          <cell r="S731"/>
          <cell r="T731">
            <v>0</v>
          </cell>
          <cell r="U731">
            <v>0</v>
          </cell>
          <cell r="V731">
            <v>0</v>
          </cell>
          <cell r="W731">
            <v>6210717</v>
          </cell>
          <cell r="X731">
            <v>981</v>
          </cell>
          <cell r="Y731">
            <v>0</v>
          </cell>
          <cell r="Z731">
            <v>0</v>
          </cell>
          <cell r="AA731">
            <v>981</v>
          </cell>
          <cell r="AB731"/>
          <cell r="AC731"/>
          <cell r="AD731"/>
          <cell r="AE731"/>
          <cell r="AF731" t="str">
            <v>UnRegistered</v>
          </cell>
        </row>
        <row r="732">
          <cell r="B732" t="str">
            <v>R5 UG 49</v>
          </cell>
          <cell r="C732" t="str">
            <v>R5</v>
          </cell>
          <cell r="D732" t="str">
            <v>M3M Capital Walk in M3M Capital Phase-2</v>
          </cell>
          <cell r="E732" t="str">
            <v>cwBOOKING/00749/22-23</v>
          </cell>
          <cell r="F732" t="str">
            <v>Mr. KARAN KOCHHAR</v>
          </cell>
          <cell r="G732" t="str">
            <v>cwFLAP/00975/22-23</v>
          </cell>
          <cell r="H732" t="str">
            <v>On Application of OC</v>
          </cell>
          <cell r="I732">
            <v>0</v>
          </cell>
          <cell r="J732">
            <v>45427</v>
          </cell>
          <cell r="K732">
            <v>46144</v>
          </cell>
          <cell r="L732">
            <v>46164</v>
          </cell>
          <cell r="M732">
            <v>1301997</v>
          </cell>
          <cell r="N732">
            <v>156240</v>
          </cell>
          <cell r="O732">
            <v>1458237</v>
          </cell>
          <cell r="P732">
            <v>647168.75599999994</v>
          </cell>
          <cell r="Q732"/>
          <cell r="R732"/>
          <cell r="S732">
            <v>77660.250719999996</v>
          </cell>
          <cell r="T732">
            <v>724829.00671999995</v>
          </cell>
          <cell r="U732">
            <v>0</v>
          </cell>
          <cell r="V732">
            <v>37767</v>
          </cell>
          <cell r="W732">
            <v>771174.99328000005</v>
          </cell>
          <cell r="X732">
            <v>13773</v>
          </cell>
          <cell r="Y732">
            <v>0</v>
          </cell>
          <cell r="Z732">
            <v>0</v>
          </cell>
          <cell r="AA732">
            <v>13773</v>
          </cell>
          <cell r="AB732" t="str">
            <v>Executed</v>
          </cell>
          <cell r="AC732" t="str">
            <v>Yes due to interest less than 75000</v>
          </cell>
          <cell r="AD732">
            <v>0.12461817126369769</v>
          </cell>
          <cell r="AE732" t="str">
            <v>Less than 35%</v>
          </cell>
          <cell r="AF732" t="str">
            <v>UnRegistered</v>
          </cell>
        </row>
        <row r="733">
          <cell r="B733" t="str">
            <v>R1 LG 28</v>
          </cell>
          <cell r="C733" t="str">
            <v>R1</v>
          </cell>
          <cell r="D733" t="str">
            <v>M3M Capital Walk in M3M Capital Phase-2</v>
          </cell>
          <cell r="E733" t="str">
            <v>cwBOOKING/00750/22-23</v>
          </cell>
          <cell r="F733" t="str">
            <v>Mr. NEERAJ ARORA</v>
          </cell>
          <cell r="G733" t="str">
            <v>cwFLAP/00124/22-23</v>
          </cell>
          <cell r="H733" t="str">
            <v>On Application of OC</v>
          </cell>
          <cell r="I733">
            <v>0</v>
          </cell>
          <cell r="J733">
            <v>45042</v>
          </cell>
          <cell r="K733">
            <v>46144</v>
          </cell>
          <cell r="L733">
            <v>46164</v>
          </cell>
          <cell r="M733">
            <v>10573060</v>
          </cell>
          <cell r="N733">
            <v>1268768</v>
          </cell>
          <cell r="O733">
            <v>11841828</v>
          </cell>
          <cell r="P733">
            <v>1434757.608</v>
          </cell>
          <cell r="Q733"/>
          <cell r="R733"/>
          <cell r="S733">
            <v>172170.91295999999</v>
          </cell>
          <cell r="T733">
            <v>1606928.5209599999</v>
          </cell>
          <cell r="U733">
            <v>216.72</v>
          </cell>
          <cell r="V733">
            <v>0</v>
          </cell>
          <cell r="W733">
            <v>10234682.75904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 t="str">
            <v>Executed</v>
          </cell>
          <cell r="AC733" t="str">
            <v>Yes</v>
          </cell>
          <cell r="AD733">
            <v>8.1625908075792633E-2</v>
          </cell>
          <cell r="AE733" t="str">
            <v>Less than 35%</v>
          </cell>
          <cell r="AF733" t="str">
            <v>UnRegistered</v>
          </cell>
        </row>
        <row r="734">
          <cell r="B734" t="str">
            <v>R5 UG 14</v>
          </cell>
          <cell r="C734" t="str">
            <v>R5</v>
          </cell>
          <cell r="D734" t="str">
            <v>M3M Capital Walk in M3M Capital Phase-2</v>
          </cell>
          <cell r="E734" t="str">
            <v>cwBOOKING/00751/22-23</v>
          </cell>
          <cell r="F734" t="str">
            <v>Ms. RITU SETHI</v>
          </cell>
          <cell r="G734" t="str">
            <v>cwFLAP/00694/22-23</v>
          </cell>
          <cell r="H734" t="str">
            <v>On Application of OC</v>
          </cell>
          <cell r="I734">
            <v>0</v>
          </cell>
          <cell r="J734">
            <v>45237</v>
          </cell>
          <cell r="K734">
            <v>46144</v>
          </cell>
          <cell r="L734">
            <v>46164</v>
          </cell>
          <cell r="M734">
            <v>3083473</v>
          </cell>
          <cell r="N734">
            <v>370016</v>
          </cell>
          <cell r="O734">
            <v>3453489</v>
          </cell>
          <cell r="P734"/>
          <cell r="Q734"/>
          <cell r="R734"/>
          <cell r="S734"/>
          <cell r="T734">
            <v>0</v>
          </cell>
          <cell r="U734">
            <v>0</v>
          </cell>
          <cell r="V734">
            <v>0</v>
          </cell>
          <cell r="W734">
            <v>3453489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/>
          <cell r="AC734"/>
          <cell r="AD734"/>
          <cell r="AE734"/>
          <cell r="AF734" t="str">
            <v>UnRegistered</v>
          </cell>
        </row>
        <row r="735">
          <cell r="B735" t="str">
            <v>R5 UG 17</v>
          </cell>
          <cell r="C735" t="str">
            <v>R5</v>
          </cell>
          <cell r="D735" t="str">
            <v>M3M Capital Walk in M3M Capital Phase-2</v>
          </cell>
          <cell r="E735" t="str">
            <v>cwBOOKING/00752/22-23</v>
          </cell>
          <cell r="F735" t="str">
            <v>Mr. KHAJAN CHAND</v>
          </cell>
          <cell r="G735" t="str">
            <v>cwFLAP/00978/22-23</v>
          </cell>
          <cell r="H735" t="str">
            <v>On Application of OC</v>
          </cell>
          <cell r="I735">
            <v>0</v>
          </cell>
          <cell r="J735">
            <v>45054</v>
          </cell>
          <cell r="K735">
            <v>46144</v>
          </cell>
          <cell r="L735">
            <v>46164</v>
          </cell>
          <cell r="M735">
            <v>3337192</v>
          </cell>
          <cell r="N735">
            <v>400464</v>
          </cell>
          <cell r="O735">
            <v>3737656</v>
          </cell>
          <cell r="P735"/>
          <cell r="Q735"/>
          <cell r="R735"/>
          <cell r="S735"/>
          <cell r="T735">
            <v>0</v>
          </cell>
          <cell r="U735">
            <v>2294</v>
          </cell>
          <cell r="V735">
            <v>2</v>
          </cell>
          <cell r="W735">
            <v>3735364</v>
          </cell>
          <cell r="X735">
            <v>844</v>
          </cell>
          <cell r="Y735">
            <v>0</v>
          </cell>
          <cell r="Z735">
            <v>0</v>
          </cell>
          <cell r="AA735">
            <v>844</v>
          </cell>
          <cell r="AB735"/>
          <cell r="AC735"/>
          <cell r="AD735"/>
          <cell r="AE735"/>
          <cell r="AF735" t="str">
            <v>UnRegistered</v>
          </cell>
        </row>
        <row r="736">
          <cell r="B736" t="str">
            <v>R3 UG 20</v>
          </cell>
          <cell r="C736" t="str">
            <v>R3</v>
          </cell>
          <cell r="D736" t="str">
            <v>M3M Capital Walk in M3M Capital Phase-2</v>
          </cell>
          <cell r="E736" t="str">
            <v>cwBOOKING/00753/22-23</v>
          </cell>
          <cell r="F736" t="str">
            <v>Mr. MOHAN SINGH RAWAT</v>
          </cell>
          <cell r="G736" t="str">
            <v>cwFLAP/00640/22-23</v>
          </cell>
          <cell r="H736" t="str">
            <v>On Application of OC</v>
          </cell>
          <cell r="I736">
            <v>0</v>
          </cell>
          <cell r="J736">
            <v>45258</v>
          </cell>
          <cell r="K736">
            <v>46144</v>
          </cell>
          <cell r="L736">
            <v>46164</v>
          </cell>
          <cell r="M736">
            <v>8922766</v>
          </cell>
          <cell r="N736">
            <v>1070732</v>
          </cell>
          <cell r="O736">
            <v>9993498</v>
          </cell>
          <cell r="P736">
            <v>660061.15310666664</v>
          </cell>
          <cell r="Q736"/>
          <cell r="R736"/>
          <cell r="S736">
            <v>79207.33837279999</v>
          </cell>
          <cell r="T736">
            <v>739268.49147946667</v>
          </cell>
          <cell r="U736">
            <v>0</v>
          </cell>
          <cell r="V736">
            <v>0</v>
          </cell>
          <cell r="W736">
            <v>9254229.5085205324</v>
          </cell>
          <cell r="X736">
            <v>53270</v>
          </cell>
          <cell r="Y736">
            <v>0</v>
          </cell>
          <cell r="Z736">
            <v>53270</v>
          </cell>
          <cell r="AA736">
            <v>0</v>
          </cell>
          <cell r="AB736" t="str">
            <v>Executed</v>
          </cell>
          <cell r="AC736" t="str">
            <v>Yes</v>
          </cell>
          <cell r="AD736">
            <v>4.3977632704398029E-2</v>
          </cell>
          <cell r="AE736" t="str">
            <v>Less than 35%</v>
          </cell>
          <cell r="AF736" t="str">
            <v>UnRegistered</v>
          </cell>
        </row>
        <row r="737">
          <cell r="B737" t="str">
            <v>R1 115</v>
          </cell>
          <cell r="C737" t="str">
            <v>R1</v>
          </cell>
          <cell r="D737" t="str">
            <v>M3M Capital Walk in M3M Capital Phase-2</v>
          </cell>
          <cell r="E737" t="str">
            <v>cwBOOKING/00754/22-23</v>
          </cell>
          <cell r="F737" t="str">
            <v>Mr. NARPENDER DHANKHAR</v>
          </cell>
          <cell r="G737" t="str">
            <v>cwFLAP/00773/22-23</v>
          </cell>
          <cell r="H737" t="str">
            <v>On Application of OC</v>
          </cell>
          <cell r="I737">
            <v>0</v>
          </cell>
          <cell r="J737">
            <v>45090</v>
          </cell>
          <cell r="K737">
            <v>46144</v>
          </cell>
          <cell r="L737">
            <v>46164</v>
          </cell>
          <cell r="M737">
            <v>3421531</v>
          </cell>
          <cell r="N737">
            <v>410584</v>
          </cell>
          <cell r="O737">
            <v>3832115</v>
          </cell>
          <cell r="P737">
            <v>605873.23818666674</v>
          </cell>
          <cell r="Q737"/>
          <cell r="R737"/>
          <cell r="S737">
            <v>72704.788582400011</v>
          </cell>
          <cell r="T737">
            <v>678578.0267690667</v>
          </cell>
          <cell r="U737">
            <v>0</v>
          </cell>
          <cell r="V737">
            <v>0</v>
          </cell>
          <cell r="W737">
            <v>3153536.9732309333</v>
          </cell>
          <cell r="X737">
            <v>15353</v>
          </cell>
          <cell r="Y737">
            <v>0</v>
          </cell>
          <cell r="Z737">
            <v>0</v>
          </cell>
          <cell r="AA737">
            <v>15353</v>
          </cell>
          <cell r="AB737" t="str">
            <v>Not Executed</v>
          </cell>
          <cell r="AC737" t="str">
            <v>No, due to CL not executed but interest is less than 75000</v>
          </cell>
          <cell r="AD737">
            <v>0.10978747148953331</v>
          </cell>
          <cell r="AE737" t="str">
            <v>Less than 35%</v>
          </cell>
          <cell r="AF737" t="str">
            <v>UnRegistered</v>
          </cell>
        </row>
        <row r="738">
          <cell r="B738" t="str">
            <v>R1 UG 21</v>
          </cell>
          <cell r="C738" t="str">
            <v>R1</v>
          </cell>
          <cell r="D738" t="str">
            <v>M3M Capital Walk in M3M Capital Phase-2</v>
          </cell>
          <cell r="E738" t="str">
            <v>cwBOOKING/00755/22-23</v>
          </cell>
          <cell r="F738" t="str">
            <v>Dr. ANKUR JAIN</v>
          </cell>
          <cell r="G738" t="str">
            <v>cwFLAP/00695/22-23</v>
          </cell>
          <cell r="H738" t="str">
            <v>On Application of OC</v>
          </cell>
          <cell r="I738">
            <v>0</v>
          </cell>
          <cell r="J738">
            <v>45043</v>
          </cell>
          <cell r="K738">
            <v>46144</v>
          </cell>
          <cell r="L738">
            <v>46164</v>
          </cell>
          <cell r="M738">
            <v>8325117</v>
          </cell>
          <cell r="N738">
            <v>999014</v>
          </cell>
          <cell r="O738">
            <v>9324131</v>
          </cell>
          <cell r="P738"/>
          <cell r="Q738"/>
          <cell r="R738"/>
          <cell r="S738"/>
          <cell r="T738">
            <v>0</v>
          </cell>
          <cell r="U738">
            <v>2803</v>
          </cell>
          <cell r="V738">
            <v>0</v>
          </cell>
          <cell r="W738">
            <v>9321328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/>
          <cell r="AC738"/>
          <cell r="AD738"/>
          <cell r="AE738"/>
          <cell r="AF738" t="str">
            <v>UnRegistered</v>
          </cell>
        </row>
        <row r="739">
          <cell r="B739" t="str">
            <v>R4 UG 10</v>
          </cell>
          <cell r="C739" t="str">
            <v>R4</v>
          </cell>
          <cell r="D739" t="str">
            <v>M3M Capital Walk in M3M Capital Phase-2</v>
          </cell>
          <cell r="E739" t="str">
            <v>cwBOOKING/00756/22-23</v>
          </cell>
          <cell r="F739" t="str">
            <v>Mr. Rajat Terence Richards</v>
          </cell>
          <cell r="G739" t="str">
            <v>cwFLAP/00598/22-23</v>
          </cell>
          <cell r="H739" t="str">
            <v>On Application of OC</v>
          </cell>
          <cell r="I739">
            <v>0</v>
          </cell>
          <cell r="J739">
            <v>45384</v>
          </cell>
          <cell r="K739">
            <v>46144</v>
          </cell>
          <cell r="L739">
            <v>46164</v>
          </cell>
          <cell r="M739">
            <v>8982435</v>
          </cell>
          <cell r="N739">
            <v>1077892</v>
          </cell>
          <cell r="O739">
            <v>10060327</v>
          </cell>
          <cell r="P739"/>
          <cell r="Q739"/>
          <cell r="R739"/>
          <cell r="S739"/>
          <cell r="T739">
            <v>0</v>
          </cell>
          <cell r="U739">
            <v>0</v>
          </cell>
          <cell r="V739">
            <v>1</v>
          </cell>
          <cell r="W739">
            <v>10060328</v>
          </cell>
          <cell r="X739">
            <v>236724</v>
          </cell>
          <cell r="Y739">
            <v>118362</v>
          </cell>
          <cell r="Z739">
            <v>118362</v>
          </cell>
          <cell r="AA739">
            <v>0</v>
          </cell>
          <cell r="AB739"/>
          <cell r="AC739"/>
          <cell r="AD739"/>
          <cell r="AE739"/>
          <cell r="AF739" t="str">
            <v>UnRegistered</v>
          </cell>
        </row>
        <row r="740">
          <cell r="B740" t="str">
            <v>R3 UG 21</v>
          </cell>
          <cell r="C740" t="str">
            <v>R3</v>
          </cell>
          <cell r="D740" t="str">
            <v>M3M Capital Walk in M3M Capital Phase-2</v>
          </cell>
          <cell r="E740" t="str">
            <v>cwBOOKING/00757/22-23</v>
          </cell>
          <cell r="F740" t="str">
            <v>Mr. MOHAN SINGH RAWAT</v>
          </cell>
          <cell r="G740" t="str">
            <v>cwFLAP/00980/22-23</v>
          </cell>
          <cell r="H740" t="str">
            <v>On Application of OC</v>
          </cell>
          <cell r="I740">
            <v>0</v>
          </cell>
          <cell r="J740">
            <v>45258</v>
          </cell>
          <cell r="K740">
            <v>46144</v>
          </cell>
          <cell r="L740">
            <v>46164</v>
          </cell>
          <cell r="M740">
            <v>9469175</v>
          </cell>
          <cell r="N740">
            <v>1136300</v>
          </cell>
          <cell r="O740">
            <v>10605475</v>
          </cell>
          <cell r="P740">
            <v>700799.82730666664</v>
          </cell>
          <cell r="Q740"/>
          <cell r="R740"/>
          <cell r="S740">
            <v>84095.97927679999</v>
          </cell>
          <cell r="T740">
            <v>784895.80658346659</v>
          </cell>
          <cell r="U740">
            <v>0</v>
          </cell>
          <cell r="V740">
            <v>0</v>
          </cell>
          <cell r="W740">
            <v>9820579.193416534</v>
          </cell>
          <cell r="X740">
            <v>35560</v>
          </cell>
          <cell r="Y740">
            <v>0</v>
          </cell>
          <cell r="Z740">
            <v>35560</v>
          </cell>
          <cell r="AA740">
            <v>0</v>
          </cell>
          <cell r="AB740" t="str">
            <v>Executed</v>
          </cell>
          <cell r="AC740" t="str">
            <v>Yes</v>
          </cell>
          <cell r="AD740">
            <v>4.3849258448790902E-2</v>
          </cell>
          <cell r="AE740" t="str">
            <v>Less than 35%</v>
          </cell>
          <cell r="AF740" t="str">
            <v>UnRegistered</v>
          </cell>
        </row>
        <row r="741">
          <cell r="B741" t="str">
            <v>R5 LG 05</v>
          </cell>
          <cell r="C741" t="str">
            <v>R5</v>
          </cell>
          <cell r="D741" t="str">
            <v>M3M Capital Walk in M3M Capital Phase-2</v>
          </cell>
          <cell r="E741" t="str">
            <v>cwBOOKING/00758/22-23</v>
          </cell>
          <cell r="F741" t="str">
            <v>Ms. PARUL KUMAR</v>
          </cell>
          <cell r="G741" t="str">
            <v>cwFLAP/00510/22-23</v>
          </cell>
          <cell r="H741" t="str">
            <v>On Application of OC</v>
          </cell>
          <cell r="I741">
            <v>0</v>
          </cell>
          <cell r="J741">
            <v>45526</v>
          </cell>
          <cell r="K741">
            <v>46144</v>
          </cell>
          <cell r="L741">
            <v>46164</v>
          </cell>
          <cell r="M741">
            <v>9822275</v>
          </cell>
          <cell r="N741">
            <v>1178672</v>
          </cell>
          <cell r="O741">
            <v>11000947</v>
          </cell>
          <cell r="P741">
            <v>2913250.4888666663</v>
          </cell>
          <cell r="Q741"/>
          <cell r="R741"/>
          <cell r="S741">
            <v>349590.05866399995</v>
          </cell>
          <cell r="T741">
            <v>3262840.5475306665</v>
          </cell>
          <cell r="U741">
            <v>0</v>
          </cell>
          <cell r="V741">
            <v>0</v>
          </cell>
          <cell r="W741">
            <v>7738106.452469334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 t="str">
            <v>Executed</v>
          </cell>
          <cell r="AC741" t="str">
            <v>Yes</v>
          </cell>
          <cell r="AD741">
            <v>0.15945859755641906</v>
          </cell>
          <cell r="AE741" t="str">
            <v>Less than 35%</v>
          </cell>
          <cell r="AF741" t="str">
            <v>UnRegistered</v>
          </cell>
        </row>
        <row r="742">
          <cell r="B742" t="str">
            <v>R4 UG 05</v>
          </cell>
          <cell r="C742" t="str">
            <v>R4</v>
          </cell>
          <cell r="D742" t="str">
            <v>M3M Capital Walk in M3M Capital Phase-2</v>
          </cell>
          <cell r="E742" t="str">
            <v>cwBOOKING/00759/22-23</v>
          </cell>
          <cell r="F742" t="str">
            <v>Ms. SUNDIPIKA WAHAL</v>
          </cell>
          <cell r="G742" t="str">
            <v>cwFLAP/00762/22-23</v>
          </cell>
          <cell r="H742" t="str">
            <v>On Application of OC</v>
          </cell>
          <cell r="I742">
            <v>0</v>
          </cell>
          <cell r="J742">
            <v>45302</v>
          </cell>
          <cell r="K742">
            <v>46144</v>
          </cell>
          <cell r="L742">
            <v>46164</v>
          </cell>
          <cell r="M742">
            <v>5100284</v>
          </cell>
          <cell r="N742">
            <v>612034</v>
          </cell>
          <cell r="O742">
            <v>5712318</v>
          </cell>
          <cell r="P742"/>
          <cell r="Q742"/>
          <cell r="R742"/>
          <cell r="S742"/>
          <cell r="T742">
            <v>0</v>
          </cell>
          <cell r="U742">
            <v>0.54</v>
          </cell>
          <cell r="V742">
            <v>0</v>
          </cell>
          <cell r="W742">
            <v>5712317.46</v>
          </cell>
          <cell r="X742">
            <v>1515</v>
          </cell>
          <cell r="Y742">
            <v>0</v>
          </cell>
          <cell r="Z742">
            <v>0</v>
          </cell>
          <cell r="AA742">
            <v>1515</v>
          </cell>
          <cell r="AB742"/>
          <cell r="AC742"/>
          <cell r="AD742"/>
          <cell r="AE742"/>
          <cell r="AF742" t="str">
            <v>UnRegistered</v>
          </cell>
        </row>
        <row r="743">
          <cell r="B743" t="str">
            <v>R5 LG 17</v>
          </cell>
          <cell r="C743" t="str">
            <v>R5</v>
          </cell>
          <cell r="D743" t="str">
            <v>M3M Capital Walk in M3M Capital Phase-2</v>
          </cell>
          <cell r="E743" t="str">
            <v>cwBOOKING/00760/22-23</v>
          </cell>
          <cell r="F743" t="str">
            <v>Mr. RAKESH KUMAR UPADHYAY</v>
          </cell>
          <cell r="G743" t="str">
            <v>cwFLAP/00983/22-23</v>
          </cell>
          <cell r="H743" t="str">
            <v>On Application of OC</v>
          </cell>
          <cell r="I743">
            <v>0</v>
          </cell>
          <cell r="J743">
            <v>45090</v>
          </cell>
          <cell r="K743">
            <v>46144</v>
          </cell>
          <cell r="L743">
            <v>46164</v>
          </cell>
          <cell r="M743">
            <v>6232082</v>
          </cell>
          <cell r="N743">
            <v>747850</v>
          </cell>
          <cell r="O743">
            <v>6979932</v>
          </cell>
          <cell r="P743">
            <v>1665920.7180000001</v>
          </cell>
          <cell r="Q743"/>
          <cell r="R743"/>
          <cell r="S743">
            <v>199910.48616</v>
          </cell>
          <cell r="T743">
            <v>1865831.2041600002</v>
          </cell>
          <cell r="U743">
            <v>2531</v>
          </cell>
          <cell r="V743">
            <v>0</v>
          </cell>
          <cell r="W743">
            <v>5111569.7958399998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 t="str">
            <v>Executed</v>
          </cell>
          <cell r="AC743" t="str">
            <v>Yes</v>
          </cell>
          <cell r="AD743">
            <v>0.21385085844474414</v>
          </cell>
          <cell r="AE743" t="str">
            <v>Less than 35%</v>
          </cell>
          <cell r="AF743" t="str">
            <v>UnRegistered</v>
          </cell>
        </row>
        <row r="744">
          <cell r="B744" t="str">
            <v>R4 G 08</v>
          </cell>
          <cell r="C744" t="str">
            <v>R4</v>
          </cell>
          <cell r="D744" t="str">
            <v>M3M Capital Walk in M3M Capital Phase-2</v>
          </cell>
          <cell r="E744" t="str">
            <v>cwBOOKING/00762/22-23</v>
          </cell>
          <cell r="F744" t="str">
            <v>Ms. GUNJAN JAIN</v>
          </cell>
          <cell r="G744" t="str">
            <v>cwFLAP/00224/22-23</v>
          </cell>
          <cell r="H744" t="str">
            <v>On Application of OC</v>
          </cell>
          <cell r="I744">
            <v>0</v>
          </cell>
          <cell r="J744">
            <v>45043</v>
          </cell>
          <cell r="K744">
            <v>46144</v>
          </cell>
          <cell r="L744">
            <v>46164</v>
          </cell>
          <cell r="M744">
            <v>19123987</v>
          </cell>
          <cell r="N744">
            <v>2294878</v>
          </cell>
          <cell r="O744">
            <v>21418865</v>
          </cell>
          <cell r="P744"/>
          <cell r="Q744"/>
          <cell r="R744"/>
          <cell r="S744"/>
          <cell r="T744">
            <v>0</v>
          </cell>
          <cell r="U744">
            <v>0</v>
          </cell>
          <cell r="V744">
            <v>25000</v>
          </cell>
          <cell r="W744">
            <v>21443865</v>
          </cell>
          <cell r="X744">
            <v>9097</v>
          </cell>
          <cell r="Y744">
            <v>0</v>
          </cell>
          <cell r="Z744">
            <v>0</v>
          </cell>
          <cell r="AA744">
            <v>9097</v>
          </cell>
          <cell r="AB744"/>
          <cell r="AC744"/>
          <cell r="AD744"/>
          <cell r="AE744"/>
          <cell r="AF744" t="str">
            <v>UnRegistered</v>
          </cell>
        </row>
        <row r="745">
          <cell r="B745" t="str">
            <v>R3 UG 11</v>
          </cell>
          <cell r="C745" t="str">
            <v>R3</v>
          </cell>
          <cell r="D745" t="str">
            <v>M3M Capital Walk in M3M Capital Phase-2</v>
          </cell>
          <cell r="E745" t="str">
            <v>cwBOOKING/00763/22-23</v>
          </cell>
          <cell r="F745" t="str">
            <v>Ms. MADHU AGGARWAL</v>
          </cell>
          <cell r="G745" t="str">
            <v>cwFLAP/00988/22-23</v>
          </cell>
          <cell r="H745" t="str">
            <v>On Application of OC</v>
          </cell>
          <cell r="I745">
            <v>0</v>
          </cell>
          <cell r="J745">
            <v>45190</v>
          </cell>
          <cell r="K745">
            <v>46144</v>
          </cell>
          <cell r="L745">
            <v>46164</v>
          </cell>
          <cell r="M745">
            <v>5916558</v>
          </cell>
          <cell r="N745">
            <v>709986</v>
          </cell>
          <cell r="O745">
            <v>6626544</v>
          </cell>
          <cell r="P745"/>
          <cell r="Q745"/>
          <cell r="R745"/>
          <cell r="S745"/>
          <cell r="T745">
            <v>0</v>
          </cell>
          <cell r="U745">
            <v>1677450.83</v>
          </cell>
          <cell r="V745">
            <v>0</v>
          </cell>
          <cell r="W745">
            <v>4949093.17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/>
          <cell r="AC745"/>
          <cell r="AD745"/>
          <cell r="AE745"/>
          <cell r="AF745" t="str">
            <v>UnRegistered</v>
          </cell>
        </row>
        <row r="746">
          <cell r="B746" t="str">
            <v>R3 UG 16</v>
          </cell>
          <cell r="C746" t="str">
            <v>R3</v>
          </cell>
          <cell r="D746" t="str">
            <v>M3M Capital Walk in M3M Capital Phase-2</v>
          </cell>
          <cell r="E746" t="str">
            <v>cwBOOKING/00764/22-23</v>
          </cell>
          <cell r="F746" t="str">
            <v>Ms. NIKVINDER KAUR</v>
          </cell>
          <cell r="G746" t="str">
            <v>cwFLAP/00654/22-23</v>
          </cell>
          <cell r="H746" t="str">
            <v>On Application of OC</v>
          </cell>
          <cell r="I746">
            <v>0</v>
          </cell>
          <cell r="J746">
            <v>45033</v>
          </cell>
          <cell r="K746">
            <v>46144</v>
          </cell>
          <cell r="L746">
            <v>46164</v>
          </cell>
          <cell r="M746">
            <v>4549831</v>
          </cell>
          <cell r="N746">
            <v>545980</v>
          </cell>
          <cell r="O746">
            <v>5095811</v>
          </cell>
          <cell r="P746"/>
          <cell r="Q746"/>
          <cell r="R746"/>
          <cell r="S746"/>
          <cell r="T746">
            <v>0</v>
          </cell>
          <cell r="U746">
            <v>0</v>
          </cell>
          <cell r="V746">
            <v>0</v>
          </cell>
          <cell r="W746">
            <v>5095811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/>
          <cell r="AC746"/>
          <cell r="AD746"/>
          <cell r="AE746"/>
          <cell r="AF746" t="str">
            <v>UnRegistered</v>
          </cell>
        </row>
        <row r="747">
          <cell r="B747" t="str">
            <v>R5 LG 27</v>
          </cell>
          <cell r="C747" t="str">
            <v>R5</v>
          </cell>
          <cell r="D747" t="str">
            <v>M3M Capital Walk in M3M Capital Phase-2</v>
          </cell>
          <cell r="E747" t="str">
            <v>cwBOOKING/00765/22-23</v>
          </cell>
          <cell r="F747" t="str">
            <v>Mr. PAWAN SONI</v>
          </cell>
          <cell r="G747" t="str">
            <v>cwFLAP/00991/22-23</v>
          </cell>
          <cell r="H747" t="str">
            <v>On Application of OC</v>
          </cell>
          <cell r="I747">
            <v>0</v>
          </cell>
          <cell r="J747">
            <v>45330</v>
          </cell>
          <cell r="K747">
            <v>46144</v>
          </cell>
          <cell r="L747">
            <v>46164</v>
          </cell>
          <cell r="M747">
            <v>2303623</v>
          </cell>
          <cell r="N747">
            <v>276434</v>
          </cell>
          <cell r="O747">
            <v>2580057</v>
          </cell>
          <cell r="P747"/>
          <cell r="Q747"/>
          <cell r="R747"/>
          <cell r="S747"/>
          <cell r="T747">
            <v>0</v>
          </cell>
          <cell r="U747">
            <v>0</v>
          </cell>
          <cell r="V747">
            <v>0</v>
          </cell>
          <cell r="W747">
            <v>2580057</v>
          </cell>
          <cell r="X747">
            <v>2123</v>
          </cell>
          <cell r="Y747">
            <v>0</v>
          </cell>
          <cell r="Z747">
            <v>0</v>
          </cell>
          <cell r="AA747">
            <v>2123</v>
          </cell>
          <cell r="AB747"/>
          <cell r="AC747"/>
          <cell r="AD747"/>
          <cell r="AE747"/>
          <cell r="AF747" t="str">
            <v>UnRegistered</v>
          </cell>
        </row>
        <row r="748">
          <cell r="B748" t="str">
            <v>R5 UG 07</v>
          </cell>
          <cell r="C748" t="str">
            <v>R5</v>
          </cell>
          <cell r="D748" t="str">
            <v>M3M Capital Walk in M3M Capital Phase-2</v>
          </cell>
          <cell r="E748" t="str">
            <v>cwBOOKING/00766/22-23</v>
          </cell>
          <cell r="F748" t="str">
            <v>Ms. REKHA SINGH</v>
          </cell>
          <cell r="G748" t="str">
            <v>cwFLAP/00992/22-23</v>
          </cell>
          <cell r="H748" t="str">
            <v>On Application of OC</v>
          </cell>
          <cell r="I748">
            <v>0</v>
          </cell>
          <cell r="J748">
            <v>45449</v>
          </cell>
          <cell r="K748">
            <v>46144</v>
          </cell>
          <cell r="L748">
            <v>46164</v>
          </cell>
          <cell r="M748">
            <v>7789523</v>
          </cell>
          <cell r="N748">
            <v>934742</v>
          </cell>
          <cell r="O748">
            <v>8724265</v>
          </cell>
          <cell r="P748"/>
          <cell r="Q748"/>
          <cell r="R748"/>
          <cell r="S748"/>
          <cell r="T748">
            <v>0</v>
          </cell>
          <cell r="U748">
            <v>0</v>
          </cell>
          <cell r="V748">
            <v>1</v>
          </cell>
          <cell r="W748">
            <v>8724266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/>
          <cell r="AC748"/>
          <cell r="AD748"/>
          <cell r="AE748"/>
          <cell r="AF748" t="str">
            <v>UnRegistered</v>
          </cell>
        </row>
        <row r="749">
          <cell r="B749" t="str">
            <v>R5 LG 35</v>
          </cell>
          <cell r="C749" t="str">
            <v>R5</v>
          </cell>
          <cell r="D749" t="str">
            <v>M3M Capital Walk in M3M Capital Phase-2</v>
          </cell>
          <cell r="E749" t="str">
            <v>cwBOOKING/00767/22-23</v>
          </cell>
          <cell r="F749" t="str">
            <v>Mr. PUNEET</v>
          </cell>
          <cell r="G749" t="str">
            <v>cwFLAP/00632/22-23</v>
          </cell>
          <cell r="H749" t="str">
            <v>On Application of OC</v>
          </cell>
          <cell r="I749">
            <v>0</v>
          </cell>
          <cell r="J749">
            <v>45035</v>
          </cell>
          <cell r="K749">
            <v>46144</v>
          </cell>
          <cell r="L749">
            <v>46164</v>
          </cell>
          <cell r="M749">
            <v>4090363</v>
          </cell>
          <cell r="N749">
            <v>490844</v>
          </cell>
          <cell r="O749">
            <v>4581207</v>
          </cell>
          <cell r="P749"/>
          <cell r="Q749"/>
          <cell r="R749"/>
          <cell r="S749"/>
          <cell r="T749">
            <v>0</v>
          </cell>
          <cell r="U749">
            <v>0</v>
          </cell>
          <cell r="V749">
            <v>5697</v>
          </cell>
          <cell r="W749">
            <v>4586904</v>
          </cell>
          <cell r="X749">
            <v>2244.04</v>
          </cell>
          <cell r="Y749">
            <v>0</v>
          </cell>
          <cell r="Z749">
            <v>0</v>
          </cell>
          <cell r="AA749">
            <v>2244.04</v>
          </cell>
          <cell r="AB749"/>
          <cell r="AC749"/>
          <cell r="AD749"/>
          <cell r="AE749"/>
          <cell r="AF749" t="str">
            <v>07CRNPP5935M1ZX</v>
          </cell>
        </row>
        <row r="750">
          <cell r="B750" t="str">
            <v>R5 UG 03</v>
          </cell>
          <cell r="C750" t="str">
            <v>R5</v>
          </cell>
          <cell r="D750" t="str">
            <v>M3M Capital Walk in M3M Capital Phase-2</v>
          </cell>
          <cell r="E750" t="str">
            <v>cwBOOKING/00768/22-23</v>
          </cell>
          <cell r="F750" t="str">
            <v>Mr. Vikas Kumar Sharma</v>
          </cell>
          <cell r="G750" t="str">
            <v>cwFLAP/00571/22-23</v>
          </cell>
          <cell r="H750" t="str">
            <v>On Application of OC</v>
          </cell>
          <cell r="I750">
            <v>0</v>
          </cell>
          <cell r="J750">
            <v>45078</v>
          </cell>
          <cell r="K750">
            <v>46144</v>
          </cell>
          <cell r="L750">
            <v>46164</v>
          </cell>
          <cell r="M750">
            <v>6066527</v>
          </cell>
          <cell r="N750">
            <v>727984</v>
          </cell>
          <cell r="O750">
            <v>6794511</v>
          </cell>
          <cell r="P750"/>
          <cell r="Q750"/>
          <cell r="R750"/>
          <cell r="S750"/>
          <cell r="T750">
            <v>0</v>
          </cell>
          <cell r="U750">
            <v>25672.43</v>
          </cell>
          <cell r="V750">
            <v>0</v>
          </cell>
          <cell r="W750">
            <v>6768838.5700000003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/>
          <cell r="AC750"/>
          <cell r="AD750"/>
          <cell r="AE750"/>
          <cell r="AF750" t="str">
            <v>UnRegistered</v>
          </cell>
        </row>
        <row r="751">
          <cell r="B751" t="str">
            <v>R1 127</v>
          </cell>
          <cell r="C751" t="str">
            <v>R1</v>
          </cell>
          <cell r="D751" t="str">
            <v>M3M Capital Walk in M3M Capital Phase-2</v>
          </cell>
          <cell r="E751" t="str">
            <v>cwBOOKING/00769/22-23</v>
          </cell>
          <cell r="F751" t="str">
            <v>Mr. BHUPENDER KATARIA</v>
          </cell>
          <cell r="G751" t="str">
            <v>cwFLAP/00679/22-23</v>
          </cell>
          <cell r="H751" t="str">
            <v>On Application of OC</v>
          </cell>
          <cell r="I751">
            <v>0</v>
          </cell>
          <cell r="J751">
            <v>45252</v>
          </cell>
          <cell r="K751">
            <v>46144</v>
          </cell>
          <cell r="L751">
            <v>46164</v>
          </cell>
          <cell r="M751">
            <v>5337537</v>
          </cell>
          <cell r="N751">
            <v>640504</v>
          </cell>
          <cell r="O751">
            <v>5978041</v>
          </cell>
          <cell r="P751"/>
          <cell r="Q751"/>
          <cell r="R751"/>
          <cell r="S751"/>
          <cell r="T751">
            <v>0</v>
          </cell>
          <cell r="U751">
            <v>0</v>
          </cell>
          <cell r="V751">
            <v>0</v>
          </cell>
          <cell r="W751">
            <v>5978041</v>
          </cell>
          <cell r="X751">
            <v>599</v>
          </cell>
          <cell r="Y751">
            <v>0</v>
          </cell>
          <cell r="Z751">
            <v>0</v>
          </cell>
          <cell r="AA751">
            <v>599</v>
          </cell>
          <cell r="AB751"/>
          <cell r="AC751"/>
          <cell r="AD751"/>
          <cell r="AE751"/>
          <cell r="AF751" t="str">
            <v>UnRegistered</v>
          </cell>
        </row>
        <row r="752">
          <cell r="B752" t="str">
            <v>R1 LG 11</v>
          </cell>
          <cell r="C752" t="str">
            <v>R1</v>
          </cell>
          <cell r="D752" t="str">
            <v>M3M Capital Walk in M3M Capital Phase-2</v>
          </cell>
          <cell r="E752" t="str">
            <v>cwBOOKING/00771/22-23</v>
          </cell>
          <cell r="F752" t="str">
            <v>Mr. PUSHPENDER SINGH RAJPUROHIT</v>
          </cell>
          <cell r="G752" t="str">
            <v>cwFLAP/00656/22-23</v>
          </cell>
          <cell r="H752" t="str">
            <v>On Application of OC</v>
          </cell>
          <cell r="I752">
            <v>0</v>
          </cell>
          <cell r="J752">
            <v>45097</v>
          </cell>
          <cell r="K752">
            <v>46144</v>
          </cell>
          <cell r="L752">
            <v>46164</v>
          </cell>
          <cell r="M752">
            <v>12370880</v>
          </cell>
          <cell r="N752">
            <v>1484506</v>
          </cell>
          <cell r="O752">
            <v>13855386</v>
          </cell>
          <cell r="P752"/>
          <cell r="Q752"/>
          <cell r="R752"/>
          <cell r="S752"/>
          <cell r="T752">
            <v>0</v>
          </cell>
          <cell r="U752">
            <v>0</v>
          </cell>
          <cell r="V752">
            <v>1</v>
          </cell>
          <cell r="W752">
            <v>13855387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/>
          <cell r="AC752"/>
          <cell r="AD752"/>
          <cell r="AE752"/>
          <cell r="AF752" t="str">
            <v>UnRegistered</v>
          </cell>
        </row>
        <row r="753">
          <cell r="B753" t="str">
            <v>R1 LG 10</v>
          </cell>
          <cell r="C753" t="str">
            <v>R1</v>
          </cell>
          <cell r="D753" t="str">
            <v>M3M Capital Walk in M3M Capital Phase-2</v>
          </cell>
          <cell r="E753" t="str">
            <v>cwBOOKING/00772/22-23</v>
          </cell>
          <cell r="F753" t="str">
            <v>Ms. ANITA TOKAS</v>
          </cell>
          <cell r="G753" t="str">
            <v>cwFLAP/00660/22-23</v>
          </cell>
          <cell r="H753" t="str">
            <v>On Application of OC</v>
          </cell>
          <cell r="I753">
            <v>0</v>
          </cell>
          <cell r="J753">
            <v>45091</v>
          </cell>
          <cell r="K753">
            <v>46144</v>
          </cell>
          <cell r="L753">
            <v>46164</v>
          </cell>
          <cell r="M753">
            <v>11376590</v>
          </cell>
          <cell r="N753">
            <v>1365190</v>
          </cell>
          <cell r="O753">
            <v>12741780</v>
          </cell>
          <cell r="P753"/>
          <cell r="Q753"/>
          <cell r="R753"/>
          <cell r="S753">
            <v>0</v>
          </cell>
          <cell r="T753">
            <v>0</v>
          </cell>
          <cell r="U753">
            <v>12000000</v>
          </cell>
          <cell r="V753">
            <v>0</v>
          </cell>
          <cell r="W753">
            <v>741780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/>
          <cell r="AC753"/>
          <cell r="AD753">
            <v>0</v>
          </cell>
          <cell r="AE753" t="str">
            <v>Less than 35%</v>
          </cell>
          <cell r="AF753" t="str">
            <v>UnRegistered</v>
          </cell>
        </row>
        <row r="754">
          <cell r="B754" t="str">
            <v>R5 LG 31</v>
          </cell>
          <cell r="C754" t="str">
            <v>R5</v>
          </cell>
          <cell r="D754" t="str">
            <v>M3M Capital Walk in M3M Capital Phase-2</v>
          </cell>
          <cell r="E754" t="str">
            <v>cwBOOKING/00773/22-23</v>
          </cell>
          <cell r="F754" t="str">
            <v>Mr. ABHINAV MEHTA</v>
          </cell>
          <cell r="G754" t="str">
            <v>cwFLAP/00998/22-23</v>
          </cell>
          <cell r="H754" t="str">
            <v>On Application of OC</v>
          </cell>
          <cell r="I754">
            <v>0</v>
          </cell>
          <cell r="J754">
            <v>45160</v>
          </cell>
          <cell r="K754">
            <v>46144</v>
          </cell>
          <cell r="L754">
            <v>46164</v>
          </cell>
          <cell r="M754">
            <v>2338440</v>
          </cell>
          <cell r="N754">
            <v>280612</v>
          </cell>
          <cell r="O754">
            <v>2619052</v>
          </cell>
          <cell r="P754"/>
          <cell r="Q754"/>
          <cell r="R754"/>
          <cell r="S754"/>
          <cell r="T754">
            <v>0</v>
          </cell>
          <cell r="U754">
            <v>1</v>
          </cell>
          <cell r="V754">
            <v>0</v>
          </cell>
          <cell r="W754">
            <v>2619051</v>
          </cell>
          <cell r="X754">
            <v>9547</v>
          </cell>
          <cell r="Y754">
            <v>0</v>
          </cell>
          <cell r="Z754">
            <v>0</v>
          </cell>
          <cell r="AA754">
            <v>9547</v>
          </cell>
          <cell r="AB754"/>
          <cell r="AC754"/>
          <cell r="AD754"/>
          <cell r="AE754"/>
          <cell r="AF754" t="str">
            <v>UnRegistered</v>
          </cell>
        </row>
        <row r="755">
          <cell r="B755" t="str">
            <v>R3 LG 41</v>
          </cell>
          <cell r="C755" t="str">
            <v>R3</v>
          </cell>
          <cell r="D755" t="str">
            <v>M3M Capital Walk in M3M Capital Phase-2</v>
          </cell>
          <cell r="E755" t="str">
            <v>cwBOOKING/00774/22-23</v>
          </cell>
          <cell r="F755" t="str">
            <v>Mr. NAVEEN KUMAR MANGLE</v>
          </cell>
          <cell r="G755" t="str">
            <v>cwFLAP/00772/22-23</v>
          </cell>
          <cell r="H755" t="str">
            <v>On Application of OC</v>
          </cell>
          <cell r="I755">
            <v>0</v>
          </cell>
          <cell r="J755">
            <v>45076</v>
          </cell>
          <cell r="K755">
            <v>46144</v>
          </cell>
          <cell r="L755">
            <v>46164</v>
          </cell>
          <cell r="M755">
            <v>2900186</v>
          </cell>
          <cell r="N755">
            <v>348022</v>
          </cell>
          <cell r="O755">
            <v>3248208</v>
          </cell>
          <cell r="P755">
            <v>402563.09333333332</v>
          </cell>
          <cell r="Q755"/>
          <cell r="R755"/>
          <cell r="S755">
            <v>48307.571199999998</v>
          </cell>
          <cell r="T755">
            <v>450870.66453333333</v>
          </cell>
          <cell r="U755">
            <v>1</v>
          </cell>
          <cell r="V755">
            <v>1</v>
          </cell>
          <cell r="W755">
            <v>2797337.3354666666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 t="str">
            <v>Executed</v>
          </cell>
          <cell r="AC755" t="str">
            <v>Yes</v>
          </cell>
          <cell r="AD755">
            <v>8.8330896751788401E-2</v>
          </cell>
          <cell r="AE755" t="str">
            <v>Less than 35%</v>
          </cell>
          <cell r="AF755" t="str">
            <v>UnRegistered</v>
          </cell>
        </row>
        <row r="756">
          <cell r="B756" t="str">
            <v>R3 LG 56</v>
          </cell>
          <cell r="C756" t="str">
            <v>R3</v>
          </cell>
          <cell r="D756" t="str">
            <v>M3M Capital Walk in M3M Capital Phase-2</v>
          </cell>
          <cell r="E756" t="str">
            <v>cwBOOKING/00776/22-23</v>
          </cell>
          <cell r="F756" t="str">
            <v>Ms. SUMAN YADAV</v>
          </cell>
          <cell r="G756" t="str">
            <v>cwFLAP/00906/22-23</v>
          </cell>
          <cell r="H756" t="str">
            <v>On Application of OC</v>
          </cell>
          <cell r="I756">
            <v>0</v>
          </cell>
          <cell r="J756">
            <v>45064</v>
          </cell>
          <cell r="K756">
            <v>46144</v>
          </cell>
          <cell r="L756">
            <v>46164</v>
          </cell>
          <cell r="M756">
            <v>2094971</v>
          </cell>
          <cell r="N756">
            <v>251396</v>
          </cell>
          <cell r="O756">
            <v>2346367</v>
          </cell>
          <cell r="P756"/>
          <cell r="Q756"/>
          <cell r="R756"/>
          <cell r="S756"/>
          <cell r="T756">
            <v>0</v>
          </cell>
          <cell r="U756">
            <v>0</v>
          </cell>
          <cell r="V756">
            <v>0</v>
          </cell>
          <cell r="W756">
            <v>2346367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/>
          <cell r="AC756"/>
          <cell r="AD756"/>
          <cell r="AE756"/>
          <cell r="AF756" t="str">
            <v>UnRegistered</v>
          </cell>
        </row>
        <row r="757">
          <cell r="B757" t="str">
            <v>R4 215</v>
          </cell>
          <cell r="C757" t="str">
            <v>R4</v>
          </cell>
          <cell r="D757" t="str">
            <v>M3M Capital Walk in M3M Capital Phase-2</v>
          </cell>
          <cell r="E757" t="str">
            <v>cwBOOKING/00777/22-23</v>
          </cell>
          <cell r="F757" t="str">
            <v>Mr. YATIN SEHGAL</v>
          </cell>
          <cell r="G757" t="str">
            <v>cwFLAP/00539/22-23</v>
          </cell>
          <cell r="H757" t="str">
            <v>On Application of OC</v>
          </cell>
          <cell r="I757">
            <v>0</v>
          </cell>
          <cell r="J757">
            <v>45162</v>
          </cell>
          <cell r="K757">
            <v>46144</v>
          </cell>
          <cell r="L757">
            <v>46164</v>
          </cell>
          <cell r="M757">
            <v>5701083</v>
          </cell>
          <cell r="N757">
            <v>684130</v>
          </cell>
          <cell r="O757">
            <v>6385213</v>
          </cell>
          <cell r="P757"/>
          <cell r="Q757"/>
          <cell r="R757"/>
          <cell r="S757"/>
          <cell r="T757">
            <v>0</v>
          </cell>
          <cell r="U757">
            <v>0</v>
          </cell>
          <cell r="V757">
            <v>0</v>
          </cell>
          <cell r="W757">
            <v>6385213</v>
          </cell>
          <cell r="X757">
            <v>3905.72</v>
          </cell>
          <cell r="Y757">
            <v>0</v>
          </cell>
          <cell r="Z757">
            <v>0</v>
          </cell>
          <cell r="AA757">
            <v>3905.72</v>
          </cell>
          <cell r="AB757"/>
          <cell r="AC757"/>
          <cell r="AD757"/>
          <cell r="AE757"/>
          <cell r="AF757" t="str">
            <v>UnRegistered</v>
          </cell>
        </row>
        <row r="758">
          <cell r="B758" t="str">
            <v>R4 UG 19</v>
          </cell>
          <cell r="C758" t="str">
            <v>R4</v>
          </cell>
          <cell r="D758" t="str">
            <v>M3M Capital Walk in M3M Capital Phase-2</v>
          </cell>
          <cell r="E758" t="str">
            <v>cwBOOKING/00778/22-23</v>
          </cell>
          <cell r="F758" t="str">
            <v>Mr. TARUN JOLLY</v>
          </cell>
          <cell r="G758" t="str">
            <v>cwFLAP/01000/22-23</v>
          </cell>
          <cell r="H758" t="str">
            <v>On Application of OC</v>
          </cell>
          <cell r="I758">
            <v>0</v>
          </cell>
          <cell r="J758">
            <v>45075</v>
          </cell>
          <cell r="K758">
            <v>46144</v>
          </cell>
          <cell r="L758">
            <v>46164</v>
          </cell>
          <cell r="M758">
            <v>8171748</v>
          </cell>
          <cell r="N758">
            <v>980610</v>
          </cell>
          <cell r="O758">
            <v>9152358</v>
          </cell>
          <cell r="P758"/>
          <cell r="Q758"/>
          <cell r="R758"/>
          <cell r="S758"/>
          <cell r="T758">
            <v>0</v>
          </cell>
          <cell r="U758">
            <v>0</v>
          </cell>
          <cell r="V758">
            <v>0</v>
          </cell>
          <cell r="W758">
            <v>9152358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/>
          <cell r="AC758"/>
          <cell r="AD758"/>
          <cell r="AE758"/>
          <cell r="AF758" t="str">
            <v>UnRegistered</v>
          </cell>
        </row>
        <row r="759">
          <cell r="B759" t="str">
            <v>R5 174</v>
          </cell>
          <cell r="C759" t="str">
            <v>R5</v>
          </cell>
          <cell r="D759" t="str">
            <v>M3M Capital Walk in M3M Capital Phase-2</v>
          </cell>
          <cell r="E759" t="str">
            <v>cwBOOKING/00779/22-23</v>
          </cell>
          <cell r="F759" t="str">
            <v>Mr. RISHABH KAUL</v>
          </cell>
          <cell r="G759" t="str">
            <v>cwFLAP/01001/22-23</v>
          </cell>
          <cell r="H759" t="str">
            <v>On Application of OC</v>
          </cell>
          <cell r="I759">
            <v>0</v>
          </cell>
          <cell r="J759">
            <v>45049</v>
          </cell>
          <cell r="K759">
            <v>46144</v>
          </cell>
          <cell r="L759">
            <v>46164</v>
          </cell>
          <cell r="M759">
            <v>2888572</v>
          </cell>
          <cell r="N759">
            <v>346628</v>
          </cell>
          <cell r="O759">
            <v>3235200</v>
          </cell>
          <cell r="P759"/>
          <cell r="Q759"/>
          <cell r="R759"/>
          <cell r="S759"/>
          <cell r="T759">
            <v>0</v>
          </cell>
          <cell r="U759">
            <v>0</v>
          </cell>
          <cell r="V759">
            <v>0</v>
          </cell>
          <cell r="W759">
            <v>3235200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/>
          <cell r="AC759"/>
          <cell r="AD759"/>
          <cell r="AE759"/>
          <cell r="AF759" t="str">
            <v>UnRegistered</v>
          </cell>
        </row>
        <row r="760">
          <cell r="B760" t="str">
            <v>R3 LG 63</v>
          </cell>
          <cell r="C760" t="str">
            <v>R3</v>
          </cell>
          <cell r="D760" t="str">
            <v>M3M Capital Walk in M3M Capital Phase-2</v>
          </cell>
          <cell r="E760" t="str">
            <v>cwBOOKING/00780/22-23</v>
          </cell>
          <cell r="F760" t="str">
            <v>Ms. RAJASHREE ROY</v>
          </cell>
          <cell r="G760" t="str">
            <v>cwFLAP/01002/22-23</v>
          </cell>
          <cell r="H760" t="str">
            <v>On Application of OC</v>
          </cell>
          <cell r="I760">
            <v>0</v>
          </cell>
          <cell r="J760">
            <v>45097</v>
          </cell>
          <cell r="K760">
            <v>46144</v>
          </cell>
          <cell r="L760">
            <v>46164</v>
          </cell>
          <cell r="M760">
            <v>2131402</v>
          </cell>
          <cell r="N760">
            <v>255768</v>
          </cell>
          <cell r="O760">
            <v>2387170</v>
          </cell>
          <cell r="P760"/>
          <cell r="Q760"/>
          <cell r="R760"/>
          <cell r="S760"/>
          <cell r="T760">
            <v>0</v>
          </cell>
          <cell r="U760">
            <v>0</v>
          </cell>
          <cell r="V760">
            <v>0</v>
          </cell>
          <cell r="W760">
            <v>2387170</v>
          </cell>
          <cell r="X760">
            <v>335</v>
          </cell>
          <cell r="Y760">
            <v>0</v>
          </cell>
          <cell r="Z760">
            <v>0</v>
          </cell>
          <cell r="AA760">
            <v>335</v>
          </cell>
          <cell r="AB760"/>
          <cell r="AC760"/>
          <cell r="AD760"/>
          <cell r="AE760"/>
          <cell r="AF760" t="str">
            <v>UnRegistered</v>
          </cell>
        </row>
        <row r="761">
          <cell r="B761" t="str">
            <v>R4 LG 12</v>
          </cell>
          <cell r="C761" t="str">
            <v>R4</v>
          </cell>
          <cell r="D761" t="str">
            <v>M3M Capital Walk in M3M Capital Phase-2</v>
          </cell>
          <cell r="E761" t="str">
            <v>cwBOOKING/00781/22-23</v>
          </cell>
          <cell r="F761" t="str">
            <v>Ms. RITU</v>
          </cell>
          <cell r="G761" t="str">
            <v>cwFLAP/01003/22-23</v>
          </cell>
          <cell r="H761" t="str">
            <v>On Application of OC</v>
          </cell>
          <cell r="I761">
            <v>0</v>
          </cell>
          <cell r="J761">
            <v>45096</v>
          </cell>
          <cell r="K761">
            <v>46144</v>
          </cell>
          <cell r="L761">
            <v>46164</v>
          </cell>
          <cell r="M761">
            <v>9757512</v>
          </cell>
          <cell r="N761">
            <v>1170902</v>
          </cell>
          <cell r="O761">
            <v>10928414</v>
          </cell>
          <cell r="P761"/>
          <cell r="Q761"/>
          <cell r="R761"/>
          <cell r="S761"/>
          <cell r="T761">
            <v>0</v>
          </cell>
          <cell r="U761">
            <v>0.48</v>
          </cell>
          <cell r="V761">
            <v>0</v>
          </cell>
          <cell r="W761">
            <v>10928413.52</v>
          </cell>
          <cell r="X761">
            <v>428.84</v>
          </cell>
          <cell r="Y761">
            <v>0</v>
          </cell>
          <cell r="Z761">
            <v>428.84</v>
          </cell>
          <cell r="AA761">
            <v>0</v>
          </cell>
          <cell r="AB761"/>
          <cell r="AC761"/>
          <cell r="AD761"/>
          <cell r="AE761"/>
          <cell r="AF761" t="str">
            <v>UnRegistered</v>
          </cell>
        </row>
        <row r="762">
          <cell r="B762" t="str">
            <v>R5 UG 18</v>
          </cell>
          <cell r="C762" t="str">
            <v>R5</v>
          </cell>
          <cell r="D762" t="str">
            <v>M3M Capital Walk in M3M Capital Phase-2</v>
          </cell>
          <cell r="E762" t="str">
            <v>cwBOOKING/00782/22-23</v>
          </cell>
          <cell r="F762" t="str">
            <v>Mr. UDAY SINGH</v>
          </cell>
          <cell r="G762" t="str">
            <v>cwFLAP/00775/22-23</v>
          </cell>
          <cell r="H762" t="str">
            <v>On Application of OC</v>
          </cell>
          <cell r="I762">
            <v>0</v>
          </cell>
          <cell r="J762">
            <v>45247</v>
          </cell>
          <cell r="K762">
            <v>46144</v>
          </cell>
          <cell r="L762">
            <v>46164</v>
          </cell>
          <cell r="M762">
            <v>2950907</v>
          </cell>
          <cell r="N762">
            <v>354108</v>
          </cell>
          <cell r="O762">
            <v>3305015</v>
          </cell>
          <cell r="P762"/>
          <cell r="Q762"/>
          <cell r="R762">
            <v>50000</v>
          </cell>
          <cell r="S762">
            <v>0</v>
          </cell>
          <cell r="T762">
            <v>50000</v>
          </cell>
          <cell r="U762">
            <v>0</v>
          </cell>
          <cell r="V762">
            <v>2</v>
          </cell>
          <cell r="W762">
            <v>3255017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 t="str">
            <v>Not Executed</v>
          </cell>
          <cell r="AC762" t="str">
            <v>No as CL is not Executed</v>
          </cell>
          <cell r="AD762">
            <v>7.6776622562591754E-3</v>
          </cell>
          <cell r="AE762" t="str">
            <v>Less than 35%</v>
          </cell>
          <cell r="AF762" t="str">
            <v>UnRegistered</v>
          </cell>
        </row>
        <row r="763">
          <cell r="B763" t="str">
            <v>R6 207</v>
          </cell>
          <cell r="C763" t="str">
            <v>R6</v>
          </cell>
          <cell r="D763" t="str">
            <v>M3M Capital Walk in M3M Capital Phase-2</v>
          </cell>
          <cell r="E763" t="str">
            <v>cwBOOKING/00783/22-23</v>
          </cell>
          <cell r="F763" t="str">
            <v>Mr. CHETAN AGRAWAL</v>
          </cell>
          <cell r="G763" t="str">
            <v>cwFLAP/00728/22-23</v>
          </cell>
          <cell r="H763" t="str">
            <v>On Application of OC</v>
          </cell>
          <cell r="I763">
            <v>0</v>
          </cell>
          <cell r="J763">
            <v>45288</v>
          </cell>
          <cell r="K763">
            <v>46144</v>
          </cell>
          <cell r="L763">
            <v>46164</v>
          </cell>
          <cell r="M763">
            <v>5150150</v>
          </cell>
          <cell r="N763">
            <v>618018</v>
          </cell>
          <cell r="O763">
            <v>5768168</v>
          </cell>
          <cell r="P763">
            <v>389031.76970000006</v>
          </cell>
          <cell r="Q763"/>
          <cell r="R763"/>
          <cell r="S763">
            <v>46683.812364000005</v>
          </cell>
          <cell r="T763">
            <v>435715.58206400007</v>
          </cell>
          <cell r="U763">
            <v>0.64</v>
          </cell>
          <cell r="V763">
            <v>0</v>
          </cell>
          <cell r="W763">
            <v>5332451.7779360004</v>
          </cell>
          <cell r="X763">
            <v>309</v>
          </cell>
          <cell r="Y763">
            <v>309</v>
          </cell>
          <cell r="Z763">
            <v>0</v>
          </cell>
          <cell r="AA763">
            <v>0</v>
          </cell>
          <cell r="AB763" t="str">
            <v>Executed</v>
          </cell>
          <cell r="AC763" t="str">
            <v>Yes</v>
          </cell>
          <cell r="AD763">
            <v>6.103720910148934E-2</v>
          </cell>
          <cell r="AE763" t="str">
            <v>Less than 35%</v>
          </cell>
          <cell r="AF763" t="str">
            <v>UnRegistered</v>
          </cell>
        </row>
        <row r="764">
          <cell r="B764" t="str">
            <v>R7 203</v>
          </cell>
          <cell r="C764" t="str">
            <v>R7</v>
          </cell>
          <cell r="D764" t="str">
            <v>M3M Capital Walk in M3M Capital Phase-3</v>
          </cell>
          <cell r="E764" t="str">
            <v>W3BOOKING/00002/24-25</v>
          </cell>
          <cell r="F764" t="str">
            <v>Ms. Rasika Singh Tomar</v>
          </cell>
          <cell r="G764" t="str">
            <v>W3FLAP/00021/24-25</v>
          </cell>
          <cell r="H764" t="str">
            <v>On Application of OC</v>
          </cell>
          <cell r="I764">
            <v>0</v>
          </cell>
          <cell r="J764">
            <v>45575</v>
          </cell>
          <cell r="K764">
            <v>46144</v>
          </cell>
          <cell r="L764">
            <v>46164</v>
          </cell>
          <cell r="M764">
            <v>3376100</v>
          </cell>
          <cell r="N764">
            <v>168804</v>
          </cell>
          <cell r="O764">
            <v>3544904</v>
          </cell>
          <cell r="P764"/>
          <cell r="Q764"/>
          <cell r="R764"/>
          <cell r="S764"/>
          <cell r="T764">
            <v>0</v>
          </cell>
          <cell r="U764">
            <v>67522</v>
          </cell>
          <cell r="V764">
            <v>0</v>
          </cell>
          <cell r="W764">
            <v>3477382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/>
          <cell r="AC764"/>
          <cell r="AD764"/>
          <cell r="AE764"/>
          <cell r="AF764" t="str">
            <v>UnRegistered</v>
          </cell>
        </row>
        <row r="765">
          <cell r="B765" t="str">
            <v>R7 UG 09</v>
          </cell>
          <cell r="C765" t="str">
            <v>R7</v>
          </cell>
          <cell r="D765" t="str">
            <v>M3M Capital Walk in M3M Capital Phase-3</v>
          </cell>
          <cell r="E765" t="str">
            <v>W3BOOKING/00003/24-25</v>
          </cell>
          <cell r="F765" t="str">
            <v>Ms. Sarita</v>
          </cell>
          <cell r="G765" t="str">
            <v>W3FLAP/00011/24-25</v>
          </cell>
          <cell r="H765" t="str">
            <v>On Application of OC</v>
          </cell>
          <cell r="I765">
            <v>0</v>
          </cell>
          <cell r="J765">
            <v>45560</v>
          </cell>
          <cell r="K765">
            <v>46144</v>
          </cell>
          <cell r="L765">
            <v>46164</v>
          </cell>
          <cell r="M765">
            <v>7466075</v>
          </cell>
          <cell r="N765">
            <v>373304</v>
          </cell>
          <cell r="O765">
            <v>7839379</v>
          </cell>
          <cell r="P765"/>
          <cell r="Q765"/>
          <cell r="R765"/>
          <cell r="S765"/>
          <cell r="T765">
            <v>0</v>
          </cell>
          <cell r="U765">
            <v>0</v>
          </cell>
          <cell r="V765">
            <v>0</v>
          </cell>
          <cell r="W765">
            <v>7839379</v>
          </cell>
          <cell r="X765">
            <v>14755</v>
          </cell>
          <cell r="Y765">
            <v>0</v>
          </cell>
          <cell r="Z765">
            <v>0</v>
          </cell>
          <cell r="AA765">
            <v>14755</v>
          </cell>
          <cell r="AB765"/>
          <cell r="AC765"/>
          <cell r="AD765"/>
          <cell r="AE765"/>
          <cell r="AF765" t="str">
            <v>UnRegistered</v>
          </cell>
        </row>
        <row r="766">
          <cell r="B766" t="str">
            <v>R7 202</v>
          </cell>
          <cell r="C766" t="str">
            <v>R7</v>
          </cell>
          <cell r="D766" t="str">
            <v>M3M Capital Walk in M3M Capital Phase-3</v>
          </cell>
          <cell r="E766" t="str">
            <v>W3BOOKING/00006/24-25</v>
          </cell>
          <cell r="F766" t="str">
            <v>Mr. Raj Kumar Ajmeria</v>
          </cell>
          <cell r="G766" t="str">
            <v>W3FLAP/00024/24-25</v>
          </cell>
          <cell r="H766" t="str">
            <v>On Application of OC</v>
          </cell>
          <cell r="I766">
            <v>0</v>
          </cell>
          <cell r="J766">
            <v>45560</v>
          </cell>
          <cell r="K766">
            <v>46144</v>
          </cell>
          <cell r="L766">
            <v>46164</v>
          </cell>
          <cell r="M766">
            <v>835257</v>
          </cell>
          <cell r="N766">
            <v>41762</v>
          </cell>
          <cell r="O766">
            <v>877019</v>
          </cell>
          <cell r="P766"/>
          <cell r="Q766"/>
          <cell r="R766"/>
          <cell r="S766"/>
          <cell r="T766">
            <v>0</v>
          </cell>
          <cell r="U766">
            <v>0</v>
          </cell>
          <cell r="V766">
            <v>33129</v>
          </cell>
          <cell r="W766">
            <v>910148</v>
          </cell>
          <cell r="X766">
            <v>6378.76</v>
          </cell>
          <cell r="Y766">
            <v>0</v>
          </cell>
          <cell r="Z766">
            <v>0</v>
          </cell>
          <cell r="AA766">
            <v>6378.76</v>
          </cell>
          <cell r="AB766"/>
          <cell r="AC766"/>
          <cell r="AD766"/>
          <cell r="AE766"/>
          <cell r="AF766" t="str">
            <v>UnRegistered</v>
          </cell>
        </row>
        <row r="767">
          <cell r="B767" t="str">
            <v>R7 UG 02</v>
          </cell>
          <cell r="C767" t="str">
            <v>R7</v>
          </cell>
          <cell r="D767" t="str">
            <v>M3M Capital Walk in M3M Capital Phase-3</v>
          </cell>
          <cell r="E767" t="str">
            <v>W3BOOKING/00007/24-25</v>
          </cell>
          <cell r="F767" t="str">
            <v>Mr. Dharmender Singh</v>
          </cell>
          <cell r="G767" t="str">
            <v>W3FLAP/00025/24-25</v>
          </cell>
          <cell r="H767" t="str">
            <v>On Application of OC</v>
          </cell>
          <cell r="I767">
            <v>0</v>
          </cell>
          <cell r="J767">
            <v>45560</v>
          </cell>
          <cell r="K767">
            <v>46144</v>
          </cell>
          <cell r="L767">
            <v>46164</v>
          </cell>
          <cell r="M767">
            <v>1116024</v>
          </cell>
          <cell r="N767">
            <v>55802</v>
          </cell>
          <cell r="O767">
            <v>1171826</v>
          </cell>
          <cell r="P767"/>
          <cell r="Q767"/>
          <cell r="R767"/>
          <cell r="S767"/>
          <cell r="T767">
            <v>0</v>
          </cell>
          <cell r="U767">
            <v>128190</v>
          </cell>
          <cell r="V767">
            <v>0</v>
          </cell>
          <cell r="W767">
            <v>1043636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/>
          <cell r="AC767"/>
          <cell r="AD767"/>
          <cell r="AE767"/>
          <cell r="AF767" t="str">
            <v>UnRegistered</v>
          </cell>
        </row>
        <row r="768">
          <cell r="B768" t="str">
            <v>R7 102</v>
          </cell>
          <cell r="C768" t="str">
            <v>R7</v>
          </cell>
          <cell r="D768" t="str">
            <v>M3M Capital Walk in M3M Capital Phase-3</v>
          </cell>
          <cell r="E768" t="str">
            <v>W3BOOKING/00009/24-25</v>
          </cell>
          <cell r="F768" t="str">
            <v>M/S. Sanah Forex And Travels Private Limited</v>
          </cell>
          <cell r="G768" t="str">
            <v>W3FLAP/00014/24-25</v>
          </cell>
          <cell r="H768" t="str">
            <v>On Application of OC</v>
          </cell>
          <cell r="I768">
            <v>0</v>
          </cell>
          <cell r="J768">
            <v>45547</v>
          </cell>
          <cell r="K768">
            <v>46144</v>
          </cell>
          <cell r="L768">
            <v>46164</v>
          </cell>
          <cell r="M768">
            <v>730800</v>
          </cell>
          <cell r="N768">
            <v>36540</v>
          </cell>
          <cell r="O768">
            <v>767340</v>
          </cell>
          <cell r="P768"/>
          <cell r="Q768"/>
          <cell r="R768"/>
          <cell r="S768"/>
          <cell r="T768">
            <v>0</v>
          </cell>
          <cell r="U768">
            <v>121550</v>
          </cell>
          <cell r="V768">
            <v>0</v>
          </cell>
          <cell r="W768">
            <v>645790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/>
          <cell r="AC768"/>
          <cell r="AD768"/>
          <cell r="AE768"/>
          <cell r="AF768" t="str">
            <v>07AATCS9878C1ZJ</v>
          </cell>
        </row>
        <row r="769">
          <cell r="B769" t="str">
            <v>R7 208</v>
          </cell>
          <cell r="C769" t="str">
            <v>R7</v>
          </cell>
          <cell r="D769" t="str">
            <v>M3M Capital Walk in M3M Capital Phase-3</v>
          </cell>
          <cell r="E769" t="str">
            <v>W3BOOKING/00013/24-25</v>
          </cell>
          <cell r="F769" t="str">
            <v>Ms. Suman</v>
          </cell>
          <cell r="G769" t="str">
            <v>W3FLAP/00012/24-25</v>
          </cell>
          <cell r="H769" t="str">
            <v>On Application of OC</v>
          </cell>
          <cell r="I769">
            <v>0</v>
          </cell>
          <cell r="J769">
            <v>45554</v>
          </cell>
          <cell r="K769">
            <v>46144</v>
          </cell>
          <cell r="L769">
            <v>46164</v>
          </cell>
          <cell r="M769">
            <v>3680000</v>
          </cell>
          <cell r="N769">
            <v>184000</v>
          </cell>
          <cell r="O769">
            <v>3864000</v>
          </cell>
          <cell r="P769"/>
          <cell r="Q769"/>
          <cell r="R769"/>
          <cell r="S769"/>
          <cell r="T769">
            <v>0</v>
          </cell>
          <cell r="U769">
            <v>40089</v>
          </cell>
          <cell r="V769">
            <v>0</v>
          </cell>
          <cell r="W769">
            <v>3823911</v>
          </cell>
          <cell r="X769">
            <v>43739</v>
          </cell>
          <cell r="Y769">
            <v>0</v>
          </cell>
          <cell r="Z769">
            <v>0</v>
          </cell>
          <cell r="AA769">
            <v>43739</v>
          </cell>
          <cell r="AB769"/>
          <cell r="AC769"/>
          <cell r="AD769"/>
          <cell r="AE769"/>
          <cell r="AF769" t="str">
            <v>UnRegistered</v>
          </cell>
        </row>
        <row r="770">
          <cell r="B770" t="str">
            <v>R7 209</v>
          </cell>
          <cell r="C770" t="str">
            <v>R7</v>
          </cell>
          <cell r="D770" t="str">
            <v>M3M Capital Walk in M3M Capital Phase-3</v>
          </cell>
          <cell r="E770" t="str">
            <v>W3BOOKING/00014/24-25</v>
          </cell>
          <cell r="F770" t="str">
            <v>Mr. Amit Rai</v>
          </cell>
          <cell r="G770" t="str">
            <v>W3FLAP/00013/24-25</v>
          </cell>
          <cell r="H770" t="str">
            <v>On Application of OC</v>
          </cell>
          <cell r="I770">
            <v>0</v>
          </cell>
          <cell r="J770">
            <v>45560</v>
          </cell>
          <cell r="K770">
            <v>46144</v>
          </cell>
          <cell r="L770">
            <v>46164</v>
          </cell>
          <cell r="M770">
            <v>3640700</v>
          </cell>
          <cell r="N770">
            <v>182034</v>
          </cell>
          <cell r="O770">
            <v>3822734</v>
          </cell>
          <cell r="P770"/>
          <cell r="Q770"/>
          <cell r="R770"/>
          <cell r="S770"/>
          <cell r="T770">
            <v>0</v>
          </cell>
          <cell r="U770">
            <v>30772</v>
          </cell>
          <cell r="V770">
            <v>0</v>
          </cell>
          <cell r="W770">
            <v>3791962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/>
          <cell r="AC770"/>
          <cell r="AD770"/>
          <cell r="AE770"/>
          <cell r="AF770" t="str">
            <v>UnRegistered</v>
          </cell>
        </row>
        <row r="771">
          <cell r="B771" t="str">
            <v>R7 103</v>
          </cell>
          <cell r="C771" t="str">
            <v>R7</v>
          </cell>
          <cell r="D771" t="str">
            <v>M3M Capital Walk in M3M Capital Phase-3</v>
          </cell>
          <cell r="E771" t="str">
            <v>W3BOOKING/00018/24-25</v>
          </cell>
          <cell r="F771" t="str">
            <v>Mr. Gopal Manna</v>
          </cell>
          <cell r="G771" t="str">
            <v>W3FLAP/00010/24-25</v>
          </cell>
          <cell r="H771" t="str">
            <v>On Application of OC</v>
          </cell>
          <cell r="I771">
            <v>0</v>
          </cell>
          <cell r="J771">
            <v>45588</v>
          </cell>
          <cell r="K771">
            <v>46144</v>
          </cell>
          <cell r="L771">
            <v>46164</v>
          </cell>
          <cell r="M771">
            <v>2226000</v>
          </cell>
          <cell r="N771">
            <v>111300</v>
          </cell>
          <cell r="O771">
            <v>2337300</v>
          </cell>
          <cell r="P771"/>
          <cell r="Q771"/>
          <cell r="R771"/>
          <cell r="S771"/>
          <cell r="T771">
            <v>0</v>
          </cell>
          <cell r="U771">
            <v>166950</v>
          </cell>
          <cell r="V771">
            <v>0</v>
          </cell>
          <cell r="W771">
            <v>2170350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/>
          <cell r="AC771"/>
          <cell r="AD771"/>
          <cell r="AE771"/>
          <cell r="AF771" t="str">
            <v>UnRegistered</v>
          </cell>
        </row>
        <row r="772">
          <cell r="B772" t="str">
            <v>R7 101</v>
          </cell>
          <cell r="C772" t="str">
            <v>R7</v>
          </cell>
          <cell r="D772" t="str">
            <v>M3M Capital Walk in M3M Capital Phase-3</v>
          </cell>
          <cell r="E772" t="str">
            <v>W3BOOKING/00019/24-25</v>
          </cell>
          <cell r="F772" t="str">
            <v>Ms. Neelam Chhabra</v>
          </cell>
          <cell r="G772" t="str">
            <v>W3FLAP/00043/24-25</v>
          </cell>
          <cell r="H772" t="str">
            <v>On Application of OC</v>
          </cell>
          <cell r="I772">
            <v>0</v>
          </cell>
          <cell r="J772">
            <v>45587</v>
          </cell>
          <cell r="K772">
            <v>46144</v>
          </cell>
          <cell r="L772">
            <v>46164</v>
          </cell>
          <cell r="M772">
            <v>5061096</v>
          </cell>
          <cell r="N772">
            <v>253054</v>
          </cell>
          <cell r="O772">
            <v>5314150</v>
          </cell>
          <cell r="P772"/>
          <cell r="Q772"/>
          <cell r="R772"/>
          <cell r="S772"/>
          <cell r="T772">
            <v>0</v>
          </cell>
          <cell r="U772">
            <v>305402.85000000003</v>
          </cell>
          <cell r="V772">
            <v>0</v>
          </cell>
          <cell r="W772">
            <v>5008747.1500000004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/>
          <cell r="AC772"/>
          <cell r="AD772"/>
          <cell r="AE772"/>
          <cell r="AF772" t="str">
            <v>UnRegistered</v>
          </cell>
        </row>
        <row r="773">
          <cell r="B773" t="str">
            <v>R7 205</v>
          </cell>
          <cell r="C773" t="str">
            <v>R7</v>
          </cell>
          <cell r="D773" t="str">
            <v>M3M Capital Walk in M3M Capital Phase-3</v>
          </cell>
          <cell r="E773" t="str">
            <v>W3BOOKING/00020/24-25</v>
          </cell>
          <cell r="F773" t="str">
            <v>Mr. Jayanta Kumar Bose</v>
          </cell>
          <cell r="G773" t="str">
            <v>W3FLAP/00026/24-25</v>
          </cell>
          <cell r="H773" t="str">
            <v>On Application of OC</v>
          </cell>
          <cell r="I773">
            <v>0</v>
          </cell>
          <cell r="J773">
            <v>45588</v>
          </cell>
          <cell r="K773">
            <v>46144</v>
          </cell>
          <cell r="L773">
            <v>46164</v>
          </cell>
          <cell r="M773">
            <v>7062159</v>
          </cell>
          <cell r="N773">
            <v>353108</v>
          </cell>
          <cell r="O773">
            <v>7415267</v>
          </cell>
          <cell r="P773"/>
          <cell r="Q773"/>
          <cell r="R773"/>
          <cell r="S773"/>
          <cell r="T773">
            <v>0</v>
          </cell>
          <cell r="U773">
            <v>0</v>
          </cell>
          <cell r="V773">
            <v>0</v>
          </cell>
          <cell r="W773">
            <v>7415267</v>
          </cell>
          <cell r="X773">
            <v>3829</v>
          </cell>
          <cell r="Y773">
            <v>0</v>
          </cell>
          <cell r="Z773">
            <v>0</v>
          </cell>
          <cell r="AA773">
            <v>3829</v>
          </cell>
          <cell r="AB773"/>
          <cell r="AC773"/>
          <cell r="AD773"/>
          <cell r="AE773"/>
          <cell r="AF773" t="str">
            <v>UnRegistered</v>
          </cell>
        </row>
        <row r="774">
          <cell r="B774" t="str">
            <v>R7 206</v>
          </cell>
          <cell r="C774" t="str">
            <v>R7</v>
          </cell>
          <cell r="D774" t="str">
            <v>M3M Capital Walk in M3M Capital Phase-3</v>
          </cell>
          <cell r="E774" t="str">
            <v>W3BOOKING/00021/24-25</v>
          </cell>
          <cell r="F774" t="str">
            <v>Mr. Jayanta Kumar Bose</v>
          </cell>
          <cell r="G774" t="str">
            <v>W3FLAP/00034/24-25</v>
          </cell>
          <cell r="H774" t="str">
            <v>On Application of OC</v>
          </cell>
          <cell r="I774">
            <v>0</v>
          </cell>
          <cell r="J774">
            <v>45588</v>
          </cell>
          <cell r="K774">
            <v>46144</v>
          </cell>
          <cell r="L774">
            <v>46164</v>
          </cell>
          <cell r="M774">
            <v>7062159</v>
          </cell>
          <cell r="N774">
            <v>353108</v>
          </cell>
          <cell r="O774">
            <v>7415267</v>
          </cell>
          <cell r="P774"/>
          <cell r="Q774"/>
          <cell r="R774"/>
          <cell r="S774"/>
          <cell r="T774">
            <v>0</v>
          </cell>
          <cell r="U774">
            <v>0</v>
          </cell>
          <cell r="V774">
            <v>0</v>
          </cell>
          <cell r="W774">
            <v>7415267</v>
          </cell>
          <cell r="X774">
            <v>4690</v>
          </cell>
          <cell r="Y774">
            <v>0</v>
          </cell>
          <cell r="Z774">
            <v>0</v>
          </cell>
          <cell r="AA774">
            <v>4690</v>
          </cell>
          <cell r="AB774"/>
          <cell r="AC774"/>
          <cell r="AD774"/>
          <cell r="AE774"/>
          <cell r="AF774" t="str">
            <v>UnRegistered</v>
          </cell>
        </row>
        <row r="775">
          <cell r="B775" t="str">
            <v>R7 LG 02</v>
          </cell>
          <cell r="C775" t="str">
            <v>R7</v>
          </cell>
          <cell r="D775" t="str">
            <v>M3M Capital Walk in M3M Capital Phase-3</v>
          </cell>
          <cell r="E775" t="str">
            <v>W3BOOKING/00022/24-25</v>
          </cell>
          <cell r="F775" t="str">
            <v>Ms. Manisha Nagal</v>
          </cell>
          <cell r="G775" t="str">
            <v>W3FLAP/00039/24-25</v>
          </cell>
          <cell r="H775" t="str">
            <v>On Application of OC</v>
          </cell>
          <cell r="I775">
            <v>0</v>
          </cell>
          <cell r="J775">
            <v>45589</v>
          </cell>
          <cell r="K775">
            <v>46144</v>
          </cell>
          <cell r="L775">
            <v>46164</v>
          </cell>
          <cell r="M775">
            <v>2004864</v>
          </cell>
          <cell r="N775">
            <v>100244</v>
          </cell>
          <cell r="O775">
            <v>2105108</v>
          </cell>
          <cell r="P775"/>
          <cell r="Q775"/>
          <cell r="R775"/>
          <cell r="S775"/>
          <cell r="T775">
            <v>0</v>
          </cell>
          <cell r="U775">
            <v>0</v>
          </cell>
          <cell r="V775">
            <v>0</v>
          </cell>
          <cell r="W775">
            <v>2105108</v>
          </cell>
          <cell r="X775">
            <v>15132</v>
          </cell>
          <cell r="Y775">
            <v>0</v>
          </cell>
          <cell r="Z775">
            <v>0</v>
          </cell>
          <cell r="AA775">
            <v>15132</v>
          </cell>
          <cell r="AB775"/>
          <cell r="AC775"/>
          <cell r="AD775"/>
          <cell r="AE775"/>
          <cell r="AF775" t="str">
            <v>UnRegistered</v>
          </cell>
        </row>
        <row r="776">
          <cell r="B776" t="str">
            <v>R1 219</v>
          </cell>
          <cell r="C776" t="str">
            <v>R1</v>
          </cell>
          <cell r="D776" t="str">
            <v>M3M Capital Walk in M3M Capital Phase-2</v>
          </cell>
          <cell r="E776" t="str">
            <v>cwBOOKING/00123/22-23</v>
          </cell>
          <cell r="F776" t="str">
            <v>Mr. SANJAY SINGH</v>
          </cell>
          <cell r="G776" t="str">
            <v>cwFLAP/00280/22-23</v>
          </cell>
          <cell r="H776" t="str">
            <v>On Application of OC</v>
          </cell>
          <cell r="I776">
            <v>0</v>
          </cell>
          <cell r="J776">
            <v>45236</v>
          </cell>
          <cell r="K776">
            <v>46144</v>
          </cell>
          <cell r="L776">
            <v>46164</v>
          </cell>
          <cell r="M776">
            <v>1451494</v>
          </cell>
          <cell r="N776">
            <v>174180</v>
          </cell>
          <cell r="O776">
            <v>1625674</v>
          </cell>
          <cell r="P776">
            <v>1375745.8586666668</v>
          </cell>
          <cell r="Q776"/>
          <cell r="R776"/>
          <cell r="S776">
            <v>165089.50304000001</v>
          </cell>
          <cell r="T776">
            <v>1540835.3617066669</v>
          </cell>
          <cell r="U776">
            <v>1</v>
          </cell>
          <cell r="V776">
            <v>0</v>
          </cell>
          <cell r="W776">
            <v>84837.638293333119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 t="str">
            <v>Executed</v>
          </cell>
          <cell r="AC776" t="str">
            <v>Yes</v>
          </cell>
          <cell r="AD776">
            <v>0.38080059750974454</v>
          </cell>
          <cell r="AE776" t="str">
            <v>Above 35%</v>
          </cell>
          <cell r="AF776" t="str">
            <v>UnRegistered</v>
          </cell>
        </row>
        <row r="777">
          <cell r="B777" t="str">
            <v>R3 UG 40</v>
          </cell>
          <cell r="C777" t="str">
            <v>R3</v>
          </cell>
          <cell r="D777" t="str">
            <v>M3M Capital Walk in M3M Capital Phase-2</v>
          </cell>
          <cell r="E777" t="str">
            <v>cwBOOKING/00024/22-23</v>
          </cell>
          <cell r="F777" t="str">
            <v>Mr. MANDEEP YADAV</v>
          </cell>
          <cell r="G777" t="str">
            <v>cwFLAP/00045/22-23</v>
          </cell>
          <cell r="H777" t="str">
            <v>On Application of OC</v>
          </cell>
          <cell r="I777">
            <v>0</v>
          </cell>
          <cell r="J777">
            <v>44958</v>
          </cell>
          <cell r="K777">
            <v>46144</v>
          </cell>
          <cell r="L777">
            <v>46164</v>
          </cell>
          <cell r="M777">
            <v>1767635</v>
          </cell>
          <cell r="N777">
            <v>212116</v>
          </cell>
          <cell r="O777">
            <v>1979751</v>
          </cell>
          <cell r="P777">
            <v>1880540.0439999998</v>
          </cell>
          <cell r="Q777"/>
          <cell r="R777"/>
          <cell r="S777">
            <v>225664.80527999997</v>
          </cell>
          <cell r="T777">
            <v>2106204.8492799997</v>
          </cell>
          <cell r="U777">
            <v>1</v>
          </cell>
          <cell r="V777"/>
          <cell r="W777">
            <v>-126454.84927999973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 t="str">
            <v>Executed</v>
          </cell>
          <cell r="AC777" t="str">
            <v>Yes</v>
          </cell>
          <cell r="AD777">
            <v>0.17264363330157029</v>
          </cell>
          <cell r="AE777" t="str">
            <v>Less than 35%</v>
          </cell>
          <cell r="AF777" t="str">
            <v>UnRegistered</v>
          </cell>
        </row>
        <row r="778">
          <cell r="B778" t="str">
            <v>R5 135</v>
          </cell>
          <cell r="C778" t="str">
            <v>R5</v>
          </cell>
          <cell r="D778" t="str">
            <v>M3M Capital Walk in M3M Capital Phase-2</v>
          </cell>
          <cell r="E778" t="str">
            <v>cwBOOKING/00045/22-23</v>
          </cell>
          <cell r="F778" t="str">
            <v>Mr. LAKSHAY MEHTA</v>
          </cell>
          <cell r="G778" t="str">
            <v>cwFLAP/00084/22-23</v>
          </cell>
          <cell r="H778" t="str">
            <v>On Application of OC</v>
          </cell>
          <cell r="I778">
            <v>0</v>
          </cell>
          <cell r="J778">
            <v>45329</v>
          </cell>
          <cell r="K778">
            <v>46144</v>
          </cell>
          <cell r="L778">
            <v>46164</v>
          </cell>
          <cell r="M778">
            <v>5701250</v>
          </cell>
          <cell r="N778">
            <v>684150</v>
          </cell>
          <cell r="O778">
            <v>6385400</v>
          </cell>
          <cell r="P778">
            <v>1802518.8028632258</v>
          </cell>
          <cell r="Q778"/>
          <cell r="R778"/>
          <cell r="S778">
            <v>216302.2563435871</v>
          </cell>
          <cell r="T778">
            <v>2018821.0592068129</v>
          </cell>
          <cell r="U778">
            <v>7383381</v>
          </cell>
          <cell r="V778"/>
          <cell r="W778">
            <v>-3016802.0592068126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 t="str">
            <v>Executed</v>
          </cell>
          <cell r="AC778" t="str">
            <v>Yes</v>
          </cell>
          <cell r="AD778">
            <v>0.16444398297994942</v>
          </cell>
          <cell r="AE778" t="str">
            <v>Less than 35%</v>
          </cell>
          <cell r="AF778" t="str">
            <v>UnRegistered</v>
          </cell>
        </row>
        <row r="779">
          <cell r="B779" t="str">
            <v>R5 LG 11</v>
          </cell>
          <cell r="C779" t="str">
            <v>R5</v>
          </cell>
          <cell r="D779" t="str">
            <v>M3M Capital Walk in M3M Capital Phase-2</v>
          </cell>
          <cell r="E779" t="str">
            <v>cwBOOKING/00072/22-23</v>
          </cell>
          <cell r="F779" t="str">
            <v>Mr. ALOK KUMAR AGGARWAL</v>
          </cell>
          <cell r="G779" t="str">
            <v>cwFLAP/00136/22-23</v>
          </cell>
          <cell r="H779" t="str">
            <v>On Application of OC</v>
          </cell>
          <cell r="I779">
            <v>0</v>
          </cell>
          <cell r="J779">
            <v>45047</v>
          </cell>
          <cell r="K779">
            <v>46144</v>
          </cell>
          <cell r="L779">
            <v>46164</v>
          </cell>
          <cell r="M779">
            <v>4791757</v>
          </cell>
          <cell r="N779">
            <v>575010</v>
          </cell>
          <cell r="O779">
            <v>5366767</v>
          </cell>
          <cell r="P779">
            <v>7441393.5853666663</v>
          </cell>
          <cell r="Q779"/>
          <cell r="R779"/>
          <cell r="S779">
            <v>892967.23024399998</v>
          </cell>
          <cell r="T779">
            <v>8334360.8156106658</v>
          </cell>
          <cell r="U779">
            <v>89</v>
          </cell>
          <cell r="V779"/>
          <cell r="W779">
            <v>-2967682.8156106658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 t="str">
            <v>Executed</v>
          </cell>
          <cell r="AC779" t="str">
            <v>Yes</v>
          </cell>
          <cell r="AD779">
            <v>0.66050764921054494</v>
          </cell>
          <cell r="AE779" t="str">
            <v>Above 35%</v>
          </cell>
          <cell r="AF779" t="str">
            <v>UnRegistered</v>
          </cell>
        </row>
        <row r="780">
          <cell r="B780" t="str">
            <v>R1 G 03</v>
          </cell>
          <cell r="C780" t="str">
            <v>R1</v>
          </cell>
          <cell r="D780" t="str">
            <v>M3M Capital Walk in M3M Capital Phase-2</v>
          </cell>
          <cell r="E780" t="str">
            <v>cwBOOKING/00176/23-24</v>
          </cell>
          <cell r="F780" t="str">
            <v>M/S. INVESTOR HOME SOLUTIONS PVT. LTD.</v>
          </cell>
          <cell r="G780" t="str">
            <v>cwFLAP/00146/22-23</v>
          </cell>
          <cell r="H780" t="str">
            <v>On Application of OC</v>
          </cell>
          <cell r="I780">
            <v>0</v>
          </cell>
          <cell r="J780">
            <v>45154</v>
          </cell>
          <cell r="K780">
            <v>46144</v>
          </cell>
          <cell r="L780">
            <v>46164</v>
          </cell>
          <cell r="M780">
            <v>4552740</v>
          </cell>
          <cell r="N780">
            <v>546328</v>
          </cell>
          <cell r="O780">
            <v>5099068</v>
          </cell>
          <cell r="P780"/>
          <cell r="Q780"/>
          <cell r="R780">
            <v>5099070</v>
          </cell>
          <cell r="S780">
            <v>0</v>
          </cell>
          <cell r="T780">
            <v>5099070</v>
          </cell>
          <cell r="U780">
            <v>0</v>
          </cell>
          <cell r="V780">
            <v>0</v>
          </cell>
          <cell r="W780">
            <v>-2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 t="str">
            <v>Executed</v>
          </cell>
          <cell r="AC780" t="str">
            <v>Yes</v>
          </cell>
          <cell r="AD780">
            <v>0.20802016678672164</v>
          </cell>
          <cell r="AE780" t="str">
            <v>Less than 35%</v>
          </cell>
          <cell r="AF780" t="str">
            <v>06AACCI6387H1ZC</v>
          </cell>
        </row>
        <row r="781">
          <cell r="B781" t="str">
            <v>R1 G 04</v>
          </cell>
          <cell r="C781" t="str">
            <v>R1</v>
          </cell>
          <cell r="D781" t="str">
            <v>M3M Capital Walk in M3M Capital Phase-2</v>
          </cell>
          <cell r="E781" t="str">
            <v>cwBOOKING/00180/23-24</v>
          </cell>
          <cell r="F781" t="str">
            <v>M/S. INVESTOR HOME SOLUTIONS PVT. LTD.</v>
          </cell>
          <cell r="G781" t="str">
            <v>cwFLAP/00152/22-23</v>
          </cell>
          <cell r="H781" t="str">
            <v>On Application of OC</v>
          </cell>
          <cell r="I781">
            <v>0</v>
          </cell>
          <cell r="J781">
            <v>45154</v>
          </cell>
          <cell r="K781">
            <v>46144</v>
          </cell>
          <cell r="L781">
            <v>46164</v>
          </cell>
          <cell r="M781">
            <v>5076621</v>
          </cell>
          <cell r="N781">
            <v>609194</v>
          </cell>
          <cell r="O781">
            <v>5685815</v>
          </cell>
          <cell r="P781"/>
          <cell r="Q781"/>
          <cell r="R781">
            <v>5685816.0000000009</v>
          </cell>
          <cell r="S781">
            <v>0</v>
          </cell>
          <cell r="T781">
            <v>5685816.0000000009</v>
          </cell>
          <cell r="U781">
            <v>0</v>
          </cell>
          <cell r="V781">
            <v>0</v>
          </cell>
          <cell r="W781">
            <v>-1.0000000009313226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 t="str">
            <v>Executed</v>
          </cell>
          <cell r="AC781" t="str">
            <v>Yes</v>
          </cell>
          <cell r="AD781">
            <v>0.21637310109905569</v>
          </cell>
          <cell r="AE781" t="str">
            <v>Less than 35%</v>
          </cell>
          <cell r="AF781" t="str">
            <v>06AACCI6387H1ZC</v>
          </cell>
        </row>
        <row r="782">
          <cell r="B782" t="str">
            <v>R2 209</v>
          </cell>
          <cell r="C782" t="str">
            <v>R2</v>
          </cell>
          <cell r="D782" t="str">
            <v>M3M Capital Walk in M3M Capital Phase-2</v>
          </cell>
          <cell r="E782" t="str">
            <v>cwBOOKING/00184/23-24</v>
          </cell>
          <cell r="F782" t="str">
            <v>Ms. HEMA PARESH DESAI</v>
          </cell>
          <cell r="G782" t="str">
            <v>cwFLAP/00067/23-24</v>
          </cell>
          <cell r="H782" t="str">
            <v>On Application of OC</v>
          </cell>
          <cell r="I782">
            <v>0</v>
          </cell>
          <cell r="J782">
            <v>45187</v>
          </cell>
          <cell r="K782">
            <v>46144</v>
          </cell>
          <cell r="L782">
            <v>46164</v>
          </cell>
          <cell r="M782">
            <v>2814243</v>
          </cell>
          <cell r="N782">
            <v>337710</v>
          </cell>
          <cell r="O782">
            <v>3151953</v>
          </cell>
          <cell r="P782">
            <v>3260693.3139200001</v>
          </cell>
          <cell r="Q782"/>
          <cell r="R782"/>
          <cell r="S782">
            <v>391283.19767040003</v>
          </cell>
          <cell r="T782">
            <v>3651976.5115904002</v>
          </cell>
          <cell r="U782">
            <v>42828.62</v>
          </cell>
          <cell r="V782"/>
          <cell r="W782">
            <v>-542852.13159040036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 t="str">
            <v>Executed</v>
          </cell>
          <cell r="AC782" t="str">
            <v>Yes</v>
          </cell>
          <cell r="AD782">
            <v>0.3406711032171425</v>
          </cell>
          <cell r="AE782" t="str">
            <v>Less than 35%</v>
          </cell>
          <cell r="AF782" t="str">
            <v>UnRegistered</v>
          </cell>
        </row>
        <row r="783">
          <cell r="B783" t="str">
            <v>R1 232</v>
          </cell>
          <cell r="C783" t="str">
            <v>R1</v>
          </cell>
          <cell r="D783" t="str">
            <v>M3M Capital Walk in M3M Capital Phase-2</v>
          </cell>
          <cell r="E783" t="str">
            <v>cwBOOKING/00257/22-23</v>
          </cell>
          <cell r="F783" t="str">
            <v>Mr. Praveen Kumar</v>
          </cell>
          <cell r="G783" t="str">
            <v>cwFLAP/00281/22-23</v>
          </cell>
          <cell r="H783" t="str">
            <v>On Application of OC</v>
          </cell>
          <cell r="I783">
            <v>0</v>
          </cell>
          <cell r="J783">
            <v>45272</v>
          </cell>
          <cell r="K783">
            <v>46144</v>
          </cell>
          <cell r="L783">
            <v>46164</v>
          </cell>
          <cell r="M783">
            <v>3833043</v>
          </cell>
          <cell r="N783">
            <v>459966</v>
          </cell>
          <cell r="O783">
            <v>4293009</v>
          </cell>
          <cell r="P783">
            <v>1073874.9747366668</v>
          </cell>
          <cell r="Q783"/>
          <cell r="R783"/>
          <cell r="S783">
            <v>128864.99696840001</v>
          </cell>
          <cell r="T783">
            <v>1202739.9717050667</v>
          </cell>
          <cell r="U783">
            <v>3545388.62</v>
          </cell>
          <cell r="V783"/>
          <cell r="W783">
            <v>-455119.59170506685</v>
          </cell>
          <cell r="X783">
            <v>1017</v>
          </cell>
          <cell r="Y783">
            <v>0</v>
          </cell>
          <cell r="Z783">
            <v>1017</v>
          </cell>
          <cell r="AA783">
            <v>0</v>
          </cell>
          <cell r="AB783" t="str">
            <v>Executed</v>
          </cell>
          <cell r="AC783" t="str">
            <v>Yes</v>
          </cell>
          <cell r="AD783">
            <v>0.19864567554215184</v>
          </cell>
          <cell r="AE783" t="str">
            <v>Less than 35%</v>
          </cell>
          <cell r="AF783" t="str">
            <v>UnRegistered</v>
          </cell>
        </row>
        <row r="784">
          <cell r="B784" t="str">
            <v>R6 LG 30</v>
          </cell>
          <cell r="C784" t="str">
            <v>R6</v>
          </cell>
          <cell r="D784" t="str">
            <v>M3M Capital Walk in M3M Capital Phase-2</v>
          </cell>
          <cell r="E784" t="str">
            <v>cwBOOKING/00305/22-23</v>
          </cell>
          <cell r="F784" t="str">
            <v>Ms. SUNILA KUMARI JAKHAR</v>
          </cell>
          <cell r="G784" t="str">
            <v>cwFLAP/00399/22-23</v>
          </cell>
          <cell r="H784" t="str">
            <v>On Application of OC</v>
          </cell>
          <cell r="I784">
            <v>0</v>
          </cell>
          <cell r="J784">
            <v>44970</v>
          </cell>
          <cell r="K784">
            <v>46144</v>
          </cell>
          <cell r="L784">
            <v>46164</v>
          </cell>
          <cell r="M784">
            <v>4130864</v>
          </cell>
          <cell r="N784">
            <v>495704</v>
          </cell>
          <cell r="O784">
            <v>4626568</v>
          </cell>
          <cell r="P784">
            <v>5694237.2769599985</v>
          </cell>
          <cell r="Q784"/>
          <cell r="R784"/>
          <cell r="S784">
            <v>683308.47323519981</v>
          </cell>
          <cell r="T784">
            <v>6377545.7501951987</v>
          </cell>
          <cell r="U784">
            <v>4732.6000000000004</v>
          </cell>
          <cell r="V784"/>
          <cell r="W784">
            <v>-1755710.3501951983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 t="str">
            <v>Executed</v>
          </cell>
          <cell r="AC784" t="str">
            <v>Yes</v>
          </cell>
          <cell r="AD784">
            <v>0.55138459006288887</v>
          </cell>
          <cell r="AE784" t="str">
            <v>Above 35%</v>
          </cell>
          <cell r="AF784" t="str">
            <v>UnRegistered</v>
          </cell>
        </row>
        <row r="785">
          <cell r="B785" t="str">
            <v>R1 UG 12A</v>
          </cell>
          <cell r="C785" t="str">
            <v>R1</v>
          </cell>
          <cell r="D785" t="str">
            <v>M3M Capital Walk in M3M Capital Phase-2</v>
          </cell>
          <cell r="E785" t="str">
            <v>cwBOOKING/00357/22-23</v>
          </cell>
          <cell r="F785" t="str">
            <v>Mr. DASHMESH KATARIA</v>
          </cell>
          <cell r="G785" t="str">
            <v>cwFLAP/00504/22-23</v>
          </cell>
          <cell r="H785" t="str">
            <v>On Application of OC</v>
          </cell>
          <cell r="I785">
            <v>0</v>
          </cell>
          <cell r="J785">
            <v>45512</v>
          </cell>
          <cell r="K785">
            <v>46144</v>
          </cell>
          <cell r="L785">
            <v>46164</v>
          </cell>
          <cell r="M785">
            <v>2623039</v>
          </cell>
          <cell r="N785">
            <v>314764</v>
          </cell>
          <cell r="O785">
            <v>2937803</v>
          </cell>
          <cell r="P785">
            <v>3772742.5479466668</v>
          </cell>
          <cell r="Q785"/>
          <cell r="R785"/>
          <cell r="S785">
            <v>452729.10575360002</v>
          </cell>
          <cell r="T785">
            <v>4225471.653700267</v>
          </cell>
          <cell r="U785">
            <v>0</v>
          </cell>
          <cell r="V785">
            <v>1</v>
          </cell>
          <cell r="W785">
            <v>-1287667.653700267</v>
          </cell>
          <cell r="X785">
            <v>418530</v>
          </cell>
          <cell r="Y785">
            <v>418530</v>
          </cell>
          <cell r="Z785">
            <v>0</v>
          </cell>
          <cell r="AA785">
            <v>0</v>
          </cell>
          <cell r="AB785" t="str">
            <v>Not Executed</v>
          </cell>
          <cell r="AC785" t="str">
            <v>No as CL is not Executed</v>
          </cell>
          <cell r="AD785">
            <v>0.38896283096699424</v>
          </cell>
          <cell r="AE785" t="str">
            <v>Above 35%</v>
          </cell>
          <cell r="AF785" t="str">
            <v>UnRegistered</v>
          </cell>
        </row>
        <row r="786">
          <cell r="B786" t="str">
            <v>R1 114</v>
          </cell>
          <cell r="C786" t="str">
            <v>R1</v>
          </cell>
          <cell r="D786" t="str">
            <v>M3M Capital Walk in M3M Capital Phase-2</v>
          </cell>
          <cell r="E786" t="str">
            <v>cwBOOKING/00461/22-23</v>
          </cell>
          <cell r="F786" t="str">
            <v>Mr. JITENDER MANAV</v>
          </cell>
          <cell r="G786" t="str">
            <v>cwFLAP/00566/22-23</v>
          </cell>
          <cell r="H786" t="str">
            <v>On Application of OC</v>
          </cell>
          <cell r="I786">
            <v>0</v>
          </cell>
          <cell r="J786">
            <v>45058</v>
          </cell>
          <cell r="K786">
            <v>46144</v>
          </cell>
          <cell r="L786">
            <v>46164</v>
          </cell>
          <cell r="M786">
            <v>1533229</v>
          </cell>
          <cell r="N786">
            <v>183988</v>
          </cell>
          <cell r="O786">
            <v>1717217</v>
          </cell>
          <cell r="P786">
            <v>3107116.4237600002</v>
          </cell>
          <cell r="Q786"/>
          <cell r="R786"/>
          <cell r="S786">
            <v>372853.97085119999</v>
          </cell>
          <cell r="T786">
            <v>3479970.3946112003</v>
          </cell>
          <cell r="U786">
            <v>0</v>
          </cell>
          <cell r="V786">
            <v>0</v>
          </cell>
          <cell r="W786">
            <v>-1762753.3946112003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 t="str">
            <v>Executed</v>
          </cell>
          <cell r="AC786" t="str">
            <v>Yes</v>
          </cell>
          <cell r="AD786">
            <v>0.39295724234389701</v>
          </cell>
          <cell r="AE786" t="str">
            <v>Above 35%</v>
          </cell>
          <cell r="AF786" t="str">
            <v>UnRegistered</v>
          </cell>
        </row>
        <row r="787">
          <cell r="B787" t="str">
            <v>R5 UG 01</v>
          </cell>
          <cell r="C787" t="str">
            <v>R5</v>
          </cell>
          <cell r="D787" t="str">
            <v>M3M Capital Walk in M3M Capital Phase-2</v>
          </cell>
          <cell r="E787" t="str">
            <v>cwBOOKING/00474/22-23</v>
          </cell>
          <cell r="F787" t="str">
            <v>Mr. MOHIT RAJUBHAI SHETH</v>
          </cell>
          <cell r="G787" t="str">
            <v>cwFLAP/00506/22-23</v>
          </cell>
          <cell r="H787" t="str">
            <v>On Application of OC</v>
          </cell>
          <cell r="I787">
            <v>0</v>
          </cell>
          <cell r="J787">
            <v>45083</v>
          </cell>
          <cell r="K787">
            <v>46144</v>
          </cell>
          <cell r="L787">
            <v>46164</v>
          </cell>
          <cell r="M787">
            <v>6699945</v>
          </cell>
          <cell r="N787">
            <v>803994</v>
          </cell>
          <cell r="O787">
            <v>7503939</v>
          </cell>
          <cell r="P787">
            <v>7070206.4664000003</v>
          </cell>
          <cell r="Q787"/>
          <cell r="R787"/>
          <cell r="S787">
            <v>848424.77596799994</v>
          </cell>
          <cell r="T787">
            <v>7918631.2423680006</v>
          </cell>
          <cell r="U787">
            <v>0</v>
          </cell>
          <cell r="V787">
            <v>2</v>
          </cell>
          <cell r="W787">
            <v>-414690.24236800056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 t="str">
            <v>Executed</v>
          </cell>
          <cell r="AC787" t="str">
            <v>Yes</v>
          </cell>
          <cell r="AD787">
            <v>0.7386865564136913</v>
          </cell>
          <cell r="AE787" t="str">
            <v>Above 35%</v>
          </cell>
          <cell r="AF787" t="str">
            <v>UnRegistered</v>
          </cell>
        </row>
        <row r="788">
          <cell r="B788" t="str">
            <v>R1 112A</v>
          </cell>
          <cell r="C788" t="str">
            <v>R1</v>
          </cell>
          <cell r="D788" t="str">
            <v>M3M Capital Walk in M3M Capital Phase-2</v>
          </cell>
          <cell r="E788" t="str">
            <v>cwBOOKING/00507/22-23</v>
          </cell>
          <cell r="F788" t="str">
            <v>Ms. RAJ BALA</v>
          </cell>
          <cell r="G788" t="str">
            <v>cwFLAP/00583/22-23</v>
          </cell>
          <cell r="H788" t="str">
            <v>On Application of OC</v>
          </cell>
          <cell r="I788">
            <v>0</v>
          </cell>
          <cell r="J788">
            <v>45272</v>
          </cell>
          <cell r="K788">
            <v>46144</v>
          </cell>
          <cell r="L788">
            <v>46164</v>
          </cell>
          <cell r="M788">
            <v>3416818</v>
          </cell>
          <cell r="N788">
            <v>410018</v>
          </cell>
          <cell r="O788">
            <v>3826836</v>
          </cell>
          <cell r="P788"/>
          <cell r="Q788"/>
          <cell r="R788"/>
          <cell r="S788">
            <v>0</v>
          </cell>
          <cell r="T788">
            <v>0</v>
          </cell>
          <cell r="U788">
            <v>3826984</v>
          </cell>
          <cell r="V788"/>
          <cell r="W788">
            <v>-148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/>
          <cell r="AC788"/>
          <cell r="AD788">
            <v>0</v>
          </cell>
          <cell r="AE788" t="str">
            <v>Less than 35%</v>
          </cell>
          <cell r="AF788" t="str">
            <v>UnRegistered</v>
          </cell>
        </row>
        <row r="789">
          <cell r="B789" t="str">
            <v>R1 239</v>
          </cell>
          <cell r="C789" t="str">
            <v>R1</v>
          </cell>
          <cell r="D789" t="str">
            <v>M3M Capital Walk in M3M Capital Phase-2</v>
          </cell>
          <cell r="E789" t="str">
            <v>cwBOOKING/00640/22-23</v>
          </cell>
          <cell r="F789" t="str">
            <v>Mr. PARVEEN CHAWLA</v>
          </cell>
          <cell r="G789" t="str">
            <v>cwFLAP/00466/22-23</v>
          </cell>
          <cell r="H789" t="str">
            <v>On Application of OC</v>
          </cell>
          <cell r="I789">
            <v>0</v>
          </cell>
          <cell r="J789">
            <v>45229</v>
          </cell>
          <cell r="K789">
            <v>46144</v>
          </cell>
          <cell r="L789">
            <v>46164</v>
          </cell>
          <cell r="M789">
            <v>3698339</v>
          </cell>
          <cell r="N789">
            <v>443800</v>
          </cell>
          <cell r="O789">
            <v>4142139</v>
          </cell>
          <cell r="P789">
            <v>2744764.9072199999</v>
          </cell>
          <cell r="Q789"/>
          <cell r="R789"/>
          <cell r="S789">
            <v>329371.78886639996</v>
          </cell>
          <cell r="T789">
            <v>3074136.6960863997</v>
          </cell>
          <cell r="U789">
            <v>1602326</v>
          </cell>
          <cell r="V789"/>
          <cell r="W789">
            <v>-534323.69608639972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 t="str">
            <v>Executed</v>
          </cell>
          <cell r="AC789" t="str">
            <v>Yes</v>
          </cell>
          <cell r="AD789">
            <v>0.2968646438619349</v>
          </cell>
          <cell r="AE789" t="str">
            <v>Less than 35%</v>
          </cell>
          <cell r="AF789" t="str">
            <v>UnRegistered</v>
          </cell>
        </row>
        <row r="790">
          <cell r="B790" t="str">
            <v>R1 134</v>
          </cell>
          <cell r="C790" t="str">
            <v>R1</v>
          </cell>
          <cell r="D790" t="str">
            <v>M3M Capital Walk in M3M Capital Phase-2</v>
          </cell>
          <cell r="E790" t="str">
            <v>cwBOOKING/00691/22-23</v>
          </cell>
          <cell r="F790" t="str">
            <v>Mr. VIKASH KUMAR</v>
          </cell>
          <cell r="G790" t="str">
            <v>cwFLAP/00586/22-23</v>
          </cell>
          <cell r="H790" t="str">
            <v>On Application of OC</v>
          </cell>
          <cell r="I790">
            <v>0</v>
          </cell>
          <cell r="J790">
            <v>45083</v>
          </cell>
          <cell r="K790">
            <v>46144</v>
          </cell>
          <cell r="L790">
            <v>46164</v>
          </cell>
          <cell r="M790">
            <v>4331487</v>
          </cell>
          <cell r="N790">
            <v>519778</v>
          </cell>
          <cell r="O790">
            <v>4851265</v>
          </cell>
          <cell r="P790">
            <v>2942727.3301866669</v>
          </cell>
          <cell r="Q790"/>
          <cell r="R790"/>
          <cell r="S790">
            <v>353127.2796224</v>
          </cell>
          <cell r="T790">
            <v>3295854.6098090671</v>
          </cell>
          <cell r="U790">
            <v>2765134</v>
          </cell>
          <cell r="V790"/>
          <cell r="W790">
            <v>-1209723.6098090671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 t="str">
            <v>Executed</v>
          </cell>
          <cell r="AC790" t="str">
            <v>Yes</v>
          </cell>
          <cell r="AD790">
            <v>0.44357895310871137</v>
          </cell>
          <cell r="AE790" t="str">
            <v>Above 35%</v>
          </cell>
          <cell r="AF790" t="str">
            <v>UnRegistered</v>
          </cell>
        </row>
        <row r="791">
          <cell r="B791" t="str">
            <v>R1 226</v>
          </cell>
          <cell r="C791" t="str">
            <v>R1</v>
          </cell>
          <cell r="D791" t="str">
            <v>M3M Capital Walk in M3M Capital Phase-2</v>
          </cell>
          <cell r="E791" t="str">
            <v>CCWBOOKING/00009/22-23</v>
          </cell>
          <cell r="F791" t="str">
            <v>Mr. VISHNU DUTT SHARMA</v>
          </cell>
          <cell r="G791" t="str">
            <v>CCWFLAP/00024/22-23</v>
          </cell>
          <cell r="H791" t="str">
            <v>On Application of OC</v>
          </cell>
          <cell r="I791">
            <v>0</v>
          </cell>
          <cell r="J791">
            <v>45240</v>
          </cell>
          <cell r="K791">
            <v>46144</v>
          </cell>
          <cell r="L791">
            <v>46164</v>
          </cell>
          <cell r="M791">
            <v>2007459</v>
          </cell>
          <cell r="N791">
            <v>240896</v>
          </cell>
          <cell r="O791">
            <v>2248355</v>
          </cell>
          <cell r="P791">
            <v>2127608.5104</v>
          </cell>
          <cell r="Q791"/>
          <cell r="R791"/>
          <cell r="S791">
            <v>255313.021248</v>
          </cell>
          <cell r="T791">
            <v>2382921.5316480002</v>
          </cell>
          <cell r="U791">
            <v>0</v>
          </cell>
          <cell r="V791">
            <v>0</v>
          </cell>
          <cell r="W791">
            <v>-134566.53164800024</v>
          </cell>
          <cell r="X791">
            <v>7543.96</v>
          </cell>
          <cell r="Y791">
            <v>0</v>
          </cell>
          <cell r="Z791">
            <v>0</v>
          </cell>
          <cell r="AA791">
            <v>7543.96</v>
          </cell>
          <cell r="AB791" t="str">
            <v>Executed</v>
          </cell>
          <cell r="AC791" t="str">
            <v>Yes</v>
          </cell>
          <cell r="AD791">
            <v>0.76638915314522582</v>
          </cell>
          <cell r="AE791" t="str">
            <v>Above 35%</v>
          </cell>
          <cell r="AF791" t="str">
            <v>UnRegistered</v>
          </cell>
        </row>
        <row r="792">
          <cell r="B792" t="str">
            <v>R5 108</v>
          </cell>
          <cell r="C792" t="str">
            <v>R5</v>
          </cell>
          <cell r="D792" t="str">
            <v>M3M Capital Walk in M3M Capital Phase-2</v>
          </cell>
          <cell r="E792" t="str">
            <v>cwBOOKING/00026/22-23</v>
          </cell>
          <cell r="F792" t="str">
            <v>Mr. KAMAL SAHNI</v>
          </cell>
          <cell r="G792" t="str">
            <v>cwFLAP/00046/22-23</v>
          </cell>
          <cell r="H792" t="str">
            <v>On Application of OC</v>
          </cell>
          <cell r="I792">
            <v>0</v>
          </cell>
          <cell r="J792">
            <v>44998</v>
          </cell>
          <cell r="K792">
            <v>46144</v>
          </cell>
          <cell r="L792">
            <v>46164</v>
          </cell>
          <cell r="M792">
            <v>1932280</v>
          </cell>
          <cell r="N792">
            <v>231874</v>
          </cell>
          <cell r="O792">
            <v>2164154</v>
          </cell>
          <cell r="P792">
            <v>2008695.6201599999</v>
          </cell>
          <cell r="Q792"/>
          <cell r="R792"/>
          <cell r="S792">
            <v>241043.47441919998</v>
          </cell>
          <cell r="T792">
            <v>2249739.0945791998</v>
          </cell>
          <cell r="U792">
            <v>1</v>
          </cell>
          <cell r="V792"/>
          <cell r="W792">
            <v>-85586.094579199795</v>
          </cell>
          <cell r="X792">
            <v>953</v>
          </cell>
          <cell r="Y792">
            <v>0</v>
          </cell>
          <cell r="Z792">
            <v>0</v>
          </cell>
          <cell r="AA792">
            <v>953</v>
          </cell>
          <cell r="AB792" t="str">
            <v>Executed</v>
          </cell>
          <cell r="AC792" t="str">
            <v>Yes</v>
          </cell>
          <cell r="AD792">
            <v>0.41538879999999995</v>
          </cell>
          <cell r="AE792" t="str">
            <v>Above 35%</v>
          </cell>
          <cell r="AF792" t="str">
            <v>UnRegistered</v>
          </cell>
        </row>
        <row r="793">
          <cell r="B793" t="str">
            <v>R3 LG 65</v>
          </cell>
          <cell r="C793" t="str">
            <v>R3</v>
          </cell>
          <cell r="D793" t="str">
            <v>M3M Capital Walk in M3M Capital Phase-2</v>
          </cell>
          <cell r="E793" t="str">
            <v>cwBOOKING/00191/23-24</v>
          </cell>
          <cell r="F793" t="str">
            <v>Mr. VINAYAK PANT</v>
          </cell>
          <cell r="G793" t="str">
            <v>cwFLAP/00066/23-24</v>
          </cell>
          <cell r="H793" t="str">
            <v>On Application of OC</v>
          </cell>
          <cell r="I793">
            <v>0</v>
          </cell>
          <cell r="J793">
            <v>45240</v>
          </cell>
          <cell r="K793">
            <v>46144</v>
          </cell>
          <cell r="L793">
            <v>46164</v>
          </cell>
          <cell r="M793">
            <v>1231716</v>
          </cell>
          <cell r="N793">
            <v>147806</v>
          </cell>
          <cell r="O793">
            <v>1379522</v>
          </cell>
          <cell r="P793">
            <v>3005946.6666666665</v>
          </cell>
          <cell r="Q793"/>
          <cell r="R793"/>
          <cell r="S793">
            <v>360713.6</v>
          </cell>
          <cell r="T793">
            <v>3366660.2666666666</v>
          </cell>
          <cell r="U793">
            <v>0</v>
          </cell>
          <cell r="V793">
            <v>0</v>
          </cell>
          <cell r="W793">
            <v>-1987138.2666666666</v>
          </cell>
          <cell r="X793">
            <v>1028.68</v>
          </cell>
          <cell r="Y793">
            <v>0</v>
          </cell>
          <cell r="Z793">
            <v>0</v>
          </cell>
          <cell r="AA793">
            <v>1028.68</v>
          </cell>
          <cell r="AB793" t="str">
            <v>Executed</v>
          </cell>
          <cell r="AC793" t="str">
            <v>Yes</v>
          </cell>
          <cell r="AD793">
            <v>0.2436480130599443</v>
          </cell>
          <cell r="AE793" t="str">
            <v>Less than 35%</v>
          </cell>
          <cell r="AF793" t="str">
            <v>UnRegistered</v>
          </cell>
        </row>
        <row r="794">
          <cell r="B794" t="str">
            <v>R4 146</v>
          </cell>
          <cell r="C794" t="str">
            <v>R4</v>
          </cell>
          <cell r="D794" t="str">
            <v>M3M Capital Walk in M3M Capital Phase-2</v>
          </cell>
          <cell r="E794" t="str">
            <v>cwBOOKING/00217/22-23</v>
          </cell>
          <cell r="F794" t="str">
            <v>Mr. GAURAV SUKHIJA</v>
          </cell>
          <cell r="G794" t="str">
            <v>cwFLAP/00186/22-23</v>
          </cell>
          <cell r="H794" t="str">
            <v>On Application of OC</v>
          </cell>
          <cell r="I794">
            <v>0</v>
          </cell>
          <cell r="J794">
            <v>44971</v>
          </cell>
          <cell r="K794">
            <v>46144</v>
          </cell>
          <cell r="L794">
            <v>46164</v>
          </cell>
          <cell r="M794">
            <v>3302254</v>
          </cell>
          <cell r="N794">
            <v>396270</v>
          </cell>
          <cell r="O794">
            <v>3698524</v>
          </cell>
          <cell r="P794">
            <v>2371728.2253180644</v>
          </cell>
          <cell r="Q794">
            <v>1851580.5000000002</v>
          </cell>
          <cell r="R794"/>
          <cell r="S794">
            <v>506797.04703816777</v>
          </cell>
          <cell r="T794">
            <v>4730105.7723562326</v>
          </cell>
          <cell r="U794">
            <v>0</v>
          </cell>
          <cell r="V794">
            <v>3.3600000003352761</v>
          </cell>
          <cell r="W794">
            <v>-1031578.4123562323</v>
          </cell>
          <cell r="X794">
            <v>8873</v>
          </cell>
          <cell r="Y794">
            <v>0</v>
          </cell>
          <cell r="Z794">
            <v>0</v>
          </cell>
          <cell r="AA794">
            <v>8873</v>
          </cell>
          <cell r="AB794" t="str">
            <v>Executed</v>
          </cell>
          <cell r="AC794" t="str">
            <v>Yes</v>
          </cell>
          <cell r="AD794">
            <v>0.38367518641948634</v>
          </cell>
          <cell r="AE794" t="str">
            <v>Above 35%</v>
          </cell>
          <cell r="AF794" t="str">
            <v>UnRegistered</v>
          </cell>
        </row>
        <row r="795">
          <cell r="B795" t="str">
            <v>R6 LG 12</v>
          </cell>
          <cell r="C795" t="str">
            <v>R6</v>
          </cell>
          <cell r="D795" t="str">
            <v>M3M Capital Walk in M3M Capital Phase-2</v>
          </cell>
          <cell r="E795" t="str">
            <v>cwBOOKING/00318/22-23</v>
          </cell>
          <cell r="F795" t="str">
            <v>Ms. SHASHI KIRAN</v>
          </cell>
          <cell r="G795" t="str">
            <v>cwFLAP/00473/22-23</v>
          </cell>
          <cell r="H795" t="str">
            <v>On Application of OC</v>
          </cell>
          <cell r="I795">
            <v>0</v>
          </cell>
          <cell r="J795">
            <v>45341</v>
          </cell>
          <cell r="K795">
            <v>46144</v>
          </cell>
          <cell r="L795">
            <v>46164</v>
          </cell>
          <cell r="M795">
            <v>5526509</v>
          </cell>
          <cell r="N795">
            <v>663182</v>
          </cell>
          <cell r="O795">
            <v>6189691</v>
          </cell>
          <cell r="P795">
            <v>1639379.0883466671</v>
          </cell>
          <cell r="Q795">
            <v>47387</v>
          </cell>
          <cell r="R795"/>
          <cell r="S795">
            <v>202411.93060160003</v>
          </cell>
          <cell r="T795">
            <v>1889178.0189482672</v>
          </cell>
          <cell r="U795">
            <v>6173995</v>
          </cell>
          <cell r="V795"/>
          <cell r="W795">
            <v>-1873482.0189482672</v>
          </cell>
          <cell r="X795">
            <v>3.36</v>
          </cell>
          <cell r="Y795">
            <v>0</v>
          </cell>
          <cell r="Z795">
            <v>0</v>
          </cell>
          <cell r="AA795">
            <v>3.36</v>
          </cell>
          <cell r="AB795" t="str">
            <v>Executed</v>
          </cell>
          <cell r="AC795" t="str">
            <v>Yes</v>
          </cell>
          <cell r="AD795">
            <v>0.19640488393583522</v>
          </cell>
          <cell r="AE795" t="str">
            <v>Less than 35%</v>
          </cell>
          <cell r="AF795" t="str">
            <v>UnRegistered</v>
          </cell>
        </row>
        <row r="796">
          <cell r="B796" t="str">
            <v>R1 215</v>
          </cell>
          <cell r="C796" t="str">
            <v>R1</v>
          </cell>
          <cell r="D796" t="str">
            <v>M3M Capital Walk in M3M Capital Phase-2</v>
          </cell>
          <cell r="E796" t="str">
            <v>cwBOOKING/00327/22-23</v>
          </cell>
          <cell r="F796" t="str">
            <v>Mr. AKASH JAIN</v>
          </cell>
          <cell r="G796" t="str">
            <v>cwFLAP/00265/22-23</v>
          </cell>
          <cell r="H796" t="str">
            <v>On Application of OC</v>
          </cell>
          <cell r="I796">
            <v>0</v>
          </cell>
          <cell r="J796">
            <v>44987</v>
          </cell>
          <cell r="K796">
            <v>46144</v>
          </cell>
          <cell r="L796">
            <v>46164</v>
          </cell>
          <cell r="M796">
            <v>2513580</v>
          </cell>
          <cell r="N796">
            <v>301630</v>
          </cell>
          <cell r="O796">
            <v>2815210</v>
          </cell>
          <cell r="P796">
            <v>1631791.7936933332</v>
          </cell>
          <cell r="Q796">
            <v>1207968</v>
          </cell>
          <cell r="R796"/>
          <cell r="S796">
            <v>340771.17524319992</v>
          </cell>
          <cell r="T796">
            <v>3180530.9689365327</v>
          </cell>
          <cell r="U796">
            <v>90</v>
          </cell>
          <cell r="V796"/>
          <cell r="W796">
            <v>-365410.96893653274</v>
          </cell>
          <cell r="X796">
            <v>2862</v>
          </cell>
          <cell r="Y796">
            <v>0</v>
          </cell>
          <cell r="Z796">
            <v>0</v>
          </cell>
          <cell r="AA796">
            <v>2862</v>
          </cell>
          <cell r="AB796" t="str">
            <v>Executed</v>
          </cell>
          <cell r="AC796" t="str">
            <v>Yes</v>
          </cell>
          <cell r="AD796">
            <v>0.6268950987227534</v>
          </cell>
          <cell r="AE796" t="str">
            <v>Above 35%</v>
          </cell>
          <cell r="AF796" t="str">
            <v>UnRegistered</v>
          </cell>
        </row>
        <row r="797">
          <cell r="B797" t="str">
            <v>R1 243</v>
          </cell>
          <cell r="C797" t="str">
            <v>R1</v>
          </cell>
          <cell r="D797" t="str">
            <v>M3M Capital Walk in M3M Capital Phase-2</v>
          </cell>
          <cell r="E797" t="str">
            <v>cwBOOKING/00685/22-23</v>
          </cell>
          <cell r="F797" t="str">
            <v>Mr. SURESH PRASAD PANDEY</v>
          </cell>
          <cell r="G797" t="str">
            <v>cwFLAP/00936/22-23</v>
          </cell>
          <cell r="H797" t="str">
            <v>On Application of OC</v>
          </cell>
          <cell r="I797">
            <v>0</v>
          </cell>
          <cell r="J797">
            <v>45057</v>
          </cell>
          <cell r="K797">
            <v>46144</v>
          </cell>
          <cell r="L797">
            <v>46164</v>
          </cell>
          <cell r="M797">
            <v>5329601</v>
          </cell>
          <cell r="N797">
            <v>639552</v>
          </cell>
          <cell r="O797">
            <v>5969153</v>
          </cell>
          <cell r="P797">
            <v>1377011.6122000001</v>
          </cell>
          <cell r="Q797"/>
          <cell r="R797"/>
          <cell r="S797">
            <v>165241.39346399999</v>
          </cell>
          <cell r="T797">
            <v>1542253.0056640001</v>
          </cell>
          <cell r="U797">
            <v>5050000</v>
          </cell>
          <cell r="V797"/>
          <cell r="W797">
            <v>-623100.00566400005</v>
          </cell>
          <cell r="X797">
            <v>674.16</v>
          </cell>
          <cell r="Y797">
            <v>0</v>
          </cell>
          <cell r="Z797">
            <v>0</v>
          </cell>
          <cell r="AA797">
            <v>674.16</v>
          </cell>
          <cell r="AB797" t="str">
            <v>Executed</v>
          </cell>
          <cell r="AC797" t="str">
            <v>Yes</v>
          </cell>
          <cell r="AD797">
            <v>0.12918525751050924</v>
          </cell>
          <cell r="AE797" t="str">
            <v>Less than 35%</v>
          </cell>
          <cell r="AF797" t="str">
            <v>UnRegistered</v>
          </cell>
        </row>
        <row r="798">
          <cell r="B798" t="str">
            <v>R1 G 01</v>
          </cell>
          <cell r="C798" t="str">
            <v>R1</v>
          </cell>
          <cell r="D798" t="str">
            <v>M3M Capital Walk in M3M Capital Phase-2</v>
          </cell>
          <cell r="E798" t="str">
            <v>cwBOOKING/00177/23-24</v>
          </cell>
          <cell r="F798" t="str">
            <v>M/S. INVESTOR HOME SOLUTIONS PVT. LTD.</v>
          </cell>
          <cell r="G798" t="str">
            <v>cwFLAP/00147/22-23</v>
          </cell>
          <cell r="H798" t="str">
            <v>On Application of OC</v>
          </cell>
          <cell r="I798">
            <v>0</v>
          </cell>
          <cell r="J798">
            <v>45154</v>
          </cell>
          <cell r="K798">
            <v>46144</v>
          </cell>
          <cell r="L798">
            <v>46164</v>
          </cell>
          <cell r="M798">
            <v>8810430</v>
          </cell>
          <cell r="N798">
            <v>1057252</v>
          </cell>
          <cell r="O798">
            <v>9867682</v>
          </cell>
          <cell r="P798"/>
          <cell r="Q798"/>
          <cell r="R798">
            <v>9867680</v>
          </cell>
          <cell r="S798">
            <v>0</v>
          </cell>
          <cell r="T798">
            <v>9867680</v>
          </cell>
          <cell r="U798">
            <v>1</v>
          </cell>
          <cell r="V798"/>
          <cell r="W798">
            <v>1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 t="str">
            <v>Executed</v>
          </cell>
          <cell r="AC798" t="str">
            <v>Yes</v>
          </cell>
          <cell r="AD798">
            <v>0.28598386683361771</v>
          </cell>
          <cell r="AE798" t="str">
            <v>Less than 35%</v>
          </cell>
          <cell r="AF798" t="str">
            <v>06AACCI6387H1ZC</v>
          </cell>
        </row>
        <row r="799">
          <cell r="B799" t="str">
            <v>R1 G 02</v>
          </cell>
          <cell r="C799" t="str">
            <v>R1</v>
          </cell>
          <cell r="D799" t="str">
            <v>M3M Capital Walk in M3M Capital Phase-2</v>
          </cell>
          <cell r="E799" t="str">
            <v>cwBOOKING/00179/23-24</v>
          </cell>
          <cell r="F799" t="str">
            <v>M/S. INVESTOR HOME SOLUTIONS PVT. LTD.</v>
          </cell>
          <cell r="G799" t="str">
            <v>cwFLAP/00145/22-23</v>
          </cell>
          <cell r="H799" t="str">
            <v>On Application of OC</v>
          </cell>
          <cell r="I799">
            <v>0</v>
          </cell>
          <cell r="J799">
            <v>45154</v>
          </cell>
          <cell r="K799">
            <v>46144</v>
          </cell>
          <cell r="L799">
            <v>46164</v>
          </cell>
          <cell r="M799">
            <v>5601347</v>
          </cell>
          <cell r="N799">
            <v>672162</v>
          </cell>
          <cell r="O799">
            <v>6273509</v>
          </cell>
          <cell r="P799"/>
          <cell r="Q799"/>
          <cell r="R799">
            <v>6273509</v>
          </cell>
          <cell r="S799">
            <v>0</v>
          </cell>
          <cell r="T799">
            <v>6273509</v>
          </cell>
          <cell r="U799">
            <v>0</v>
          </cell>
          <cell r="V799">
            <v>2</v>
          </cell>
          <cell r="W799">
            <v>2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 t="str">
            <v>Executed</v>
          </cell>
          <cell r="AC799" t="str">
            <v>Yes</v>
          </cell>
          <cell r="AD799">
            <v>0.27753644432948094</v>
          </cell>
          <cell r="AE799" t="str">
            <v>Less than 35%</v>
          </cell>
          <cell r="AF799" t="str">
            <v>06AACCI6387H1ZC</v>
          </cell>
        </row>
        <row r="800">
          <cell r="B800" t="str">
            <v>R1 K 305</v>
          </cell>
          <cell r="C800" t="str">
            <v>R1</v>
          </cell>
          <cell r="D800" t="str">
            <v>M3M Capital Walk in M3M Capital Phase-2</v>
          </cell>
          <cell r="E800" t="str">
            <v>cwBOOKING/00635/22-23</v>
          </cell>
          <cell r="F800" t="str">
            <v>Mr. HARISH KUMAR DUSEJA</v>
          </cell>
          <cell r="G800" t="str">
            <v>cwFLAP/00910/22-23</v>
          </cell>
          <cell r="H800" t="str">
            <v>On Application of OC</v>
          </cell>
          <cell r="I800">
            <v>0</v>
          </cell>
          <cell r="J800">
            <v>45075</v>
          </cell>
          <cell r="K800">
            <v>46144</v>
          </cell>
          <cell r="L800">
            <v>46164</v>
          </cell>
          <cell r="M800">
            <v>7086042</v>
          </cell>
          <cell r="N800">
            <v>850326</v>
          </cell>
          <cell r="O800">
            <v>7936368</v>
          </cell>
          <cell r="P800"/>
          <cell r="Q800"/>
          <cell r="R800"/>
          <cell r="S800">
            <v>0</v>
          </cell>
          <cell r="T800">
            <v>0</v>
          </cell>
          <cell r="U800">
            <v>7936368.5499999998</v>
          </cell>
          <cell r="V800"/>
          <cell r="W800">
            <v>-0.54999999981373549</v>
          </cell>
          <cell r="X800">
            <v>314</v>
          </cell>
          <cell r="Y800">
            <v>0</v>
          </cell>
          <cell r="Z800">
            <v>0</v>
          </cell>
          <cell r="AA800">
            <v>314</v>
          </cell>
          <cell r="AB800"/>
          <cell r="AC800"/>
          <cell r="AD800">
            <v>0</v>
          </cell>
          <cell r="AE800" t="str">
            <v>Less than 35%</v>
          </cell>
          <cell r="AF800" t="str">
            <v>UnRegistered</v>
          </cell>
        </row>
        <row r="801">
          <cell r="B801" t="str">
            <v>R1 207</v>
          </cell>
          <cell r="C801" t="str">
            <v>R1</v>
          </cell>
          <cell r="D801" t="str">
            <v>M3M Capital Walk in M3M Capital Phase-2</v>
          </cell>
          <cell r="E801" t="str">
            <v>cwBOOKING/00042/22-23</v>
          </cell>
          <cell r="F801" t="str">
            <v>Ms. ALKA RANI</v>
          </cell>
          <cell r="G801" t="str">
            <v>cwFLAP/00079/22-23</v>
          </cell>
          <cell r="H801" t="str">
            <v>On Application of OC</v>
          </cell>
          <cell r="I801">
            <v>0</v>
          </cell>
          <cell r="J801">
            <v>44949</v>
          </cell>
          <cell r="K801">
            <v>46144</v>
          </cell>
          <cell r="L801">
            <v>46164</v>
          </cell>
          <cell r="M801">
            <v>1627164</v>
          </cell>
          <cell r="N801">
            <v>195260</v>
          </cell>
          <cell r="O801">
            <v>1822424</v>
          </cell>
          <cell r="P801">
            <v>1533956.787</v>
          </cell>
          <cell r="Q801"/>
          <cell r="R801"/>
          <cell r="S801">
            <v>184074.81443999999</v>
          </cell>
          <cell r="T801">
            <v>1718031.6014399999</v>
          </cell>
          <cell r="U801">
            <v>0</v>
          </cell>
          <cell r="V801">
            <v>0</v>
          </cell>
          <cell r="W801">
            <v>104392.39856000012</v>
          </cell>
          <cell r="X801">
            <v>1055</v>
          </cell>
          <cell r="Y801">
            <v>0</v>
          </cell>
          <cell r="Z801">
            <v>0</v>
          </cell>
          <cell r="AA801">
            <v>1055</v>
          </cell>
          <cell r="AB801" t="str">
            <v>Executed</v>
          </cell>
          <cell r="AC801" t="str">
            <v>Yes</v>
          </cell>
          <cell r="AD801">
            <v>0.5184948358019229</v>
          </cell>
          <cell r="AE801" t="str">
            <v>Above 35%</v>
          </cell>
          <cell r="AF801" t="str">
            <v>UnRegistered</v>
          </cell>
        </row>
        <row r="802">
          <cell r="B802" t="str">
            <v>R1 206</v>
          </cell>
          <cell r="C802" t="str">
            <v>R1</v>
          </cell>
          <cell r="D802" t="str">
            <v>M3M Capital Walk in M3M Capital Phase-2</v>
          </cell>
          <cell r="E802" t="str">
            <v>cwBOOKING/00155/22-23</v>
          </cell>
          <cell r="F802" t="str">
            <v>Mr. SURESH CHAND</v>
          </cell>
          <cell r="G802" t="str">
            <v>cwFLAP/00329/22-23</v>
          </cell>
          <cell r="H802" t="str">
            <v>On Application of OC</v>
          </cell>
          <cell r="I802">
            <v>0</v>
          </cell>
          <cell r="J802">
            <v>44978</v>
          </cell>
          <cell r="K802">
            <v>46144</v>
          </cell>
          <cell r="L802">
            <v>46164</v>
          </cell>
          <cell r="M802">
            <v>1905123</v>
          </cell>
          <cell r="N802">
            <v>228614</v>
          </cell>
          <cell r="O802">
            <v>2133737</v>
          </cell>
          <cell r="P802">
            <v>408679.74</v>
          </cell>
          <cell r="Q802"/>
          <cell r="R802"/>
          <cell r="S802">
            <v>49041.568799999994</v>
          </cell>
          <cell r="T802">
            <v>457721.3088</v>
          </cell>
          <cell r="U802">
            <v>0</v>
          </cell>
          <cell r="V802">
            <v>1</v>
          </cell>
          <cell r="W802">
            <v>1676016.6912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 t="str">
            <v>Executed</v>
          </cell>
          <cell r="AC802" t="str">
            <v>Yes</v>
          </cell>
          <cell r="AD802">
            <v>8.5806436814103021E-2</v>
          </cell>
          <cell r="AE802" t="str">
            <v>Less than 35%</v>
          </cell>
          <cell r="AF802" t="str">
            <v>UnRegistered</v>
          </cell>
        </row>
        <row r="803">
          <cell r="B803" t="str">
            <v>R6 209</v>
          </cell>
          <cell r="C803" t="str">
            <v>R6</v>
          </cell>
          <cell r="D803" t="str">
            <v>M3M Capital Walk in M3M Capital Phase-2</v>
          </cell>
          <cell r="E803" t="str">
            <v>cwBOOKING/00209/22-23</v>
          </cell>
          <cell r="F803" t="str">
            <v>Ms. RENUBALA MADAN</v>
          </cell>
          <cell r="G803" t="str">
            <v>cwFLAP/00364/22-23</v>
          </cell>
          <cell r="H803" t="str">
            <v>On Application of OC</v>
          </cell>
          <cell r="I803">
            <v>0</v>
          </cell>
          <cell r="J803">
            <v>44958</v>
          </cell>
          <cell r="K803">
            <v>46144</v>
          </cell>
          <cell r="L803">
            <v>46164</v>
          </cell>
          <cell r="M803">
            <v>1490276</v>
          </cell>
          <cell r="N803">
            <v>178834</v>
          </cell>
          <cell r="O803">
            <v>1669110</v>
          </cell>
          <cell r="P803">
            <v>1473324.5444533336</v>
          </cell>
          <cell r="Q803"/>
          <cell r="R803"/>
          <cell r="S803">
            <v>176798.94533440002</v>
          </cell>
          <cell r="T803">
            <v>1650123.4897877336</v>
          </cell>
          <cell r="U803">
            <v>0</v>
          </cell>
          <cell r="V803">
            <v>0</v>
          </cell>
          <cell r="W803">
            <v>18986.510212266352</v>
          </cell>
          <cell r="X803">
            <v>2038</v>
          </cell>
          <cell r="Y803">
            <v>0</v>
          </cell>
          <cell r="Z803">
            <v>0</v>
          </cell>
          <cell r="AA803">
            <v>2038</v>
          </cell>
          <cell r="AB803" t="str">
            <v>Executed</v>
          </cell>
          <cell r="AC803" t="str">
            <v>Yes</v>
          </cell>
          <cell r="AD803">
            <v>0.33249888868805227</v>
          </cell>
          <cell r="AE803" t="str">
            <v>Less than 35%</v>
          </cell>
          <cell r="AF803" t="str">
            <v>UnRegistered</v>
          </cell>
        </row>
        <row r="804">
          <cell r="B804" t="str">
            <v>R5 UG 26</v>
          </cell>
          <cell r="C804" t="str">
            <v>R5</v>
          </cell>
          <cell r="D804" t="str">
            <v>M3M Capital Walk in M3M Capital Phase-2</v>
          </cell>
          <cell r="E804" t="str">
            <v>cwBOOKING/00317/22-23</v>
          </cell>
          <cell r="F804" t="str">
            <v>Mr. NEERAJ KHURANA</v>
          </cell>
          <cell r="G804" t="str">
            <v>cwFLAP/00472/22-23</v>
          </cell>
          <cell r="H804" t="str">
            <v>On Application of OC</v>
          </cell>
          <cell r="I804">
            <v>0</v>
          </cell>
          <cell r="J804">
            <v>45316</v>
          </cell>
          <cell r="K804">
            <v>46144</v>
          </cell>
          <cell r="L804">
            <v>46164</v>
          </cell>
          <cell r="M804">
            <v>1047803</v>
          </cell>
          <cell r="N804">
            <v>125736</v>
          </cell>
          <cell r="O804">
            <v>1173539</v>
          </cell>
          <cell r="P804">
            <v>873854.67312000005</v>
          </cell>
          <cell r="Q804"/>
          <cell r="R804"/>
          <cell r="S804">
            <v>104862.5607744</v>
          </cell>
          <cell r="T804">
            <v>978717.23389440007</v>
          </cell>
          <cell r="U804">
            <v>0</v>
          </cell>
          <cell r="V804">
            <v>0</v>
          </cell>
          <cell r="W804">
            <v>194821.76610559993</v>
          </cell>
          <cell r="X804">
            <v>2540.36</v>
          </cell>
          <cell r="Y804">
            <v>0</v>
          </cell>
          <cell r="Z804">
            <v>2540.36</v>
          </cell>
          <cell r="AA804">
            <v>0</v>
          </cell>
          <cell r="AB804" t="str">
            <v>Executed</v>
          </cell>
          <cell r="AC804" t="str">
            <v>Yes</v>
          </cell>
          <cell r="AD804">
            <v>0.65440909904451405</v>
          </cell>
          <cell r="AE804" t="str">
            <v>Above 35%</v>
          </cell>
          <cell r="AF804" t="str">
            <v>UnRegistered</v>
          </cell>
        </row>
        <row r="805">
          <cell r="B805" t="str">
            <v>R3 LG 60</v>
          </cell>
          <cell r="C805" t="str">
            <v>R3</v>
          </cell>
          <cell r="D805" t="str">
            <v>M3M Capital Walk in M3M Capital Phase-2</v>
          </cell>
          <cell r="E805" t="str">
            <v>cwBOOKING/00761/22-23</v>
          </cell>
          <cell r="F805" t="str">
            <v>Mr. NIKUNJ DUTT</v>
          </cell>
          <cell r="G805" t="str">
            <v>cwFLAP/00986/22-23</v>
          </cell>
          <cell r="H805" t="str">
            <v>On Application of OC</v>
          </cell>
          <cell r="I805">
            <v>0</v>
          </cell>
          <cell r="J805">
            <v>45099</v>
          </cell>
          <cell r="K805">
            <v>46144</v>
          </cell>
          <cell r="L805">
            <v>46164</v>
          </cell>
          <cell r="M805">
            <v>1808864</v>
          </cell>
          <cell r="N805">
            <v>217064</v>
          </cell>
          <cell r="O805">
            <v>2025928</v>
          </cell>
          <cell r="P805">
            <v>1749418.3173333334</v>
          </cell>
          <cell r="Q805"/>
          <cell r="R805"/>
          <cell r="S805">
            <v>209930.19808</v>
          </cell>
          <cell r="T805">
            <v>1959348.5154133334</v>
          </cell>
          <cell r="U805">
            <v>0</v>
          </cell>
          <cell r="V805">
            <v>0</v>
          </cell>
          <cell r="W805">
            <v>66579.484586666571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 t="str">
            <v>Executed</v>
          </cell>
          <cell r="AC805" t="str">
            <v>Yes</v>
          </cell>
          <cell r="AD805">
            <v>0.4937446238061351</v>
          </cell>
          <cell r="AE805" t="str">
            <v>Above 35%</v>
          </cell>
          <cell r="AF805" t="str">
            <v>UnRegistered</v>
          </cell>
        </row>
        <row r="806">
          <cell r="B806" t="str">
            <v>R2 UG 20</v>
          </cell>
          <cell r="C806" t="str">
            <v>R2</v>
          </cell>
          <cell r="D806" t="str">
            <v>M3M Capital Walk in M3M Capital Phase-1</v>
          </cell>
          <cell r="E806" t="str">
            <v>WPBOOKING/00007/22-23</v>
          </cell>
          <cell r="F806" t="str">
            <v>Mr. GULAB CHAND CHAURASIA</v>
          </cell>
          <cell r="G806" t="str">
            <v>WPFLAP/00005/22-23</v>
          </cell>
          <cell r="H806" t="str">
            <v>On Application of OC</v>
          </cell>
          <cell r="I806" t="str">
            <v>Hold due Area Change</v>
          </cell>
          <cell r="J806">
            <v>44984</v>
          </cell>
          <cell r="K806">
            <v>46148</v>
          </cell>
          <cell r="L806">
            <v>46168</v>
          </cell>
          <cell r="M806" t="e">
            <v>#N/A</v>
          </cell>
          <cell r="N806" t="e">
            <v>#N/A</v>
          </cell>
          <cell r="O806">
            <v>9790837</v>
          </cell>
          <cell r="P806">
            <v>1381521.4881866665</v>
          </cell>
          <cell r="Q806"/>
          <cell r="R806"/>
          <cell r="S806">
            <v>69076.074409333334</v>
          </cell>
          <cell r="T806">
            <v>1450597.5625959998</v>
          </cell>
          <cell r="U806">
            <v>0</v>
          </cell>
          <cell r="V806">
            <v>0.10000000009313226</v>
          </cell>
          <cell r="W806">
            <v>8340239.5374039998</v>
          </cell>
          <cell r="X806">
            <v>7782.6</v>
          </cell>
          <cell r="Y806">
            <v>0</v>
          </cell>
          <cell r="Z806">
            <v>0</v>
          </cell>
          <cell r="AA806">
            <v>7782.6</v>
          </cell>
          <cell r="AB806" t="str">
            <v>Executed</v>
          </cell>
          <cell r="AC806" t="str">
            <v>Yes</v>
          </cell>
          <cell r="AD806">
            <v>0.10250186388894109</v>
          </cell>
          <cell r="AE806" t="str">
            <v>Less than 35%</v>
          </cell>
          <cell r="AF806" t="str">
            <v>UnRegistered</v>
          </cell>
        </row>
        <row r="807">
          <cell r="B807" t="str">
            <v>R5 UG 37</v>
          </cell>
          <cell r="C807" t="str">
            <v>R5</v>
          </cell>
          <cell r="D807" t="str">
            <v>M3M Capital Walk in M3M Capital Phase-2</v>
          </cell>
          <cell r="E807" t="str">
            <v>cwBOOKING/00015/23-24</v>
          </cell>
          <cell r="F807" t="str">
            <v>Ms. APARNA</v>
          </cell>
          <cell r="G807" t="str">
            <v>cwFLAP/00628/22-23</v>
          </cell>
          <cell r="H807" t="str">
            <v>On Application of OC</v>
          </cell>
          <cell r="I807" t="str">
            <v>Legal Case</v>
          </cell>
          <cell r="J807">
            <v>45338</v>
          </cell>
          <cell r="K807">
            <v>46150</v>
          </cell>
          <cell r="L807">
            <v>46170</v>
          </cell>
          <cell r="M807" t="e">
            <v>#N/A</v>
          </cell>
          <cell r="N807" t="e">
            <v>#N/A</v>
          </cell>
          <cell r="O807">
            <v>2181760</v>
          </cell>
          <cell r="P807"/>
          <cell r="Q807"/>
          <cell r="R807"/>
          <cell r="S807"/>
          <cell r="T807">
            <v>0</v>
          </cell>
          <cell r="U807">
            <v>0</v>
          </cell>
          <cell r="V807">
            <v>0</v>
          </cell>
          <cell r="W807">
            <v>2181760</v>
          </cell>
          <cell r="X807">
            <v>39.479999999999997</v>
          </cell>
          <cell r="Y807">
            <v>0</v>
          </cell>
          <cell r="Z807">
            <v>0</v>
          </cell>
          <cell r="AA807">
            <v>39.479999999999997</v>
          </cell>
          <cell r="AB807"/>
          <cell r="AC807"/>
          <cell r="AD807"/>
          <cell r="AE807"/>
          <cell r="AF807" t="str">
            <v>UnRegistered</v>
          </cell>
        </row>
        <row r="808">
          <cell r="B808" t="str">
            <v>R2 210</v>
          </cell>
          <cell r="C808" t="str">
            <v>R2</v>
          </cell>
          <cell r="D808" t="str">
            <v>M3M Capital Walk in M3M Capital Phase-2</v>
          </cell>
          <cell r="E808" t="str">
            <v>cwBOOKING/00028/22-23</v>
          </cell>
          <cell r="F808" t="str">
            <v>Ms. PINKI SHARMA</v>
          </cell>
          <cell r="G808" t="str">
            <v>cwFLAP/00050/22-23</v>
          </cell>
          <cell r="H808" t="str">
            <v>On Application of OC</v>
          </cell>
          <cell r="I808" t="str">
            <v>Hold due Area Change</v>
          </cell>
          <cell r="J808">
            <v>45022</v>
          </cell>
          <cell r="K808">
            <v>46148</v>
          </cell>
          <cell r="L808">
            <v>46168</v>
          </cell>
          <cell r="M808" t="e">
            <v>#N/A</v>
          </cell>
          <cell r="N808" t="e">
            <v>#N/A</v>
          </cell>
          <cell r="O808">
            <v>3003302</v>
          </cell>
          <cell r="P808">
            <v>694727.90558999998</v>
          </cell>
          <cell r="Q808"/>
          <cell r="R808"/>
          <cell r="S808">
            <v>83367.348670799998</v>
          </cell>
          <cell r="T808">
            <v>778095.25426079996</v>
          </cell>
          <cell r="U808">
            <v>0</v>
          </cell>
          <cell r="V808">
            <v>0</v>
          </cell>
          <cell r="W808">
            <v>2225206.7457392002</v>
          </cell>
          <cell r="X808">
            <v>4434</v>
          </cell>
          <cell r="Y808">
            <v>0</v>
          </cell>
          <cell r="Z808">
            <v>0</v>
          </cell>
          <cell r="AA808">
            <v>4434</v>
          </cell>
          <cell r="AB808" t="str">
            <v>Executed</v>
          </cell>
          <cell r="AC808" t="str">
            <v>Yes</v>
          </cell>
          <cell r="AD808">
            <v>0.12214089193389564</v>
          </cell>
          <cell r="AE808" t="str">
            <v>Less than 35%</v>
          </cell>
          <cell r="AF808" t="str">
            <v>UnRegistered</v>
          </cell>
        </row>
        <row r="809">
          <cell r="B809" t="str">
            <v>R1 230</v>
          </cell>
          <cell r="C809" t="str">
            <v>R1</v>
          </cell>
          <cell r="D809" t="str">
            <v>M3M Capital Walk in M3M Capital Phase-2</v>
          </cell>
          <cell r="E809" t="str">
            <v>cwBOOKING/00029/22-23</v>
          </cell>
          <cell r="F809" t="str">
            <v>Ms. SEEMA ANISH MALHOTRA</v>
          </cell>
          <cell r="G809" t="str">
            <v>cwFLAP/00051/22-23</v>
          </cell>
          <cell r="H809" t="str">
            <v>On Application of OC</v>
          </cell>
          <cell r="I809" t="str">
            <v>Hold due Area Change</v>
          </cell>
          <cell r="J809">
            <v>44986</v>
          </cell>
          <cell r="K809">
            <v>46148</v>
          </cell>
          <cell r="L809">
            <v>46168</v>
          </cell>
          <cell r="M809" t="e">
            <v>#N/A</v>
          </cell>
          <cell r="N809" t="e">
            <v>#N/A</v>
          </cell>
          <cell r="O809">
            <v>4254456</v>
          </cell>
          <cell r="P809">
            <v>977199.4113700001</v>
          </cell>
          <cell r="Q809"/>
          <cell r="R809"/>
          <cell r="S809">
            <v>117263.92936440001</v>
          </cell>
          <cell r="T809">
            <v>1094463.3407344001</v>
          </cell>
          <cell r="U809">
            <v>0</v>
          </cell>
          <cell r="V809">
            <v>0</v>
          </cell>
          <cell r="W809">
            <v>3159992.6592656001</v>
          </cell>
          <cell r="X809">
            <v>97.56</v>
          </cell>
          <cell r="Y809">
            <v>0</v>
          </cell>
          <cell r="Z809">
            <v>0</v>
          </cell>
          <cell r="AA809">
            <v>97.56</v>
          </cell>
          <cell r="AB809" t="str">
            <v>Executed</v>
          </cell>
          <cell r="AC809" t="str">
            <v>Yes</v>
          </cell>
          <cell r="AD809">
            <v>0.18207656767176744</v>
          </cell>
          <cell r="AE809" t="str">
            <v>Less than 35%</v>
          </cell>
          <cell r="AF809" t="str">
            <v>UnRegistered</v>
          </cell>
        </row>
        <row r="810">
          <cell r="B810" t="str">
            <v>R1 LG 01</v>
          </cell>
          <cell r="C810" t="str">
            <v>R1</v>
          </cell>
          <cell r="D810" t="str">
            <v>M3M Capital Walk in M3M Capital Phase-2</v>
          </cell>
          <cell r="E810" t="str">
            <v>cwBOOKING/00038/23-24</v>
          </cell>
          <cell r="F810" t="str">
            <v>Mr. NIMRAT PAL SABHARWAL</v>
          </cell>
          <cell r="G810" t="str">
            <v>cwFLAP/00933/22-23</v>
          </cell>
          <cell r="H810" t="str">
            <v>On Application of OC</v>
          </cell>
          <cell r="I810" t="str">
            <v>Hold due Area Change</v>
          </cell>
          <cell r="J810">
            <v>45289</v>
          </cell>
          <cell r="K810">
            <v>46148</v>
          </cell>
          <cell r="L810">
            <v>46168</v>
          </cell>
          <cell r="M810" t="e">
            <v>#N/A</v>
          </cell>
          <cell r="N810" t="e">
            <v>#N/A</v>
          </cell>
          <cell r="O810">
            <v>2715973</v>
          </cell>
          <cell r="P810"/>
          <cell r="Q810"/>
          <cell r="R810"/>
          <cell r="S810"/>
          <cell r="T810">
            <v>0</v>
          </cell>
          <cell r="U810">
            <v>38306</v>
          </cell>
          <cell r="V810"/>
          <cell r="W810">
            <v>2677667</v>
          </cell>
          <cell r="X810">
            <v>62602</v>
          </cell>
          <cell r="Y810">
            <v>0</v>
          </cell>
          <cell r="Z810">
            <v>0</v>
          </cell>
          <cell r="AA810">
            <v>62602</v>
          </cell>
          <cell r="AB810"/>
          <cell r="AC810"/>
          <cell r="AD810"/>
          <cell r="AE810"/>
          <cell r="AF810" t="str">
            <v>UnRegistered</v>
          </cell>
        </row>
        <row r="811">
          <cell r="B811" t="str">
            <v>R1 LG 14</v>
          </cell>
          <cell r="C811" t="str">
            <v>R1</v>
          </cell>
          <cell r="D811" t="str">
            <v>M3M Capital Walk in M3M Capital Phase-2</v>
          </cell>
          <cell r="E811" t="str">
            <v>cwBOOKING/00044/23-24</v>
          </cell>
          <cell r="F811" t="str">
            <v>Ms. SHEELA SHARMA</v>
          </cell>
          <cell r="G811" t="str">
            <v>cwFLAP/01038/22-23</v>
          </cell>
          <cell r="H811" t="str">
            <v>On Application of OC</v>
          </cell>
          <cell r="I811" t="str">
            <v>Hold due Area Change</v>
          </cell>
          <cell r="J811">
            <v>45229</v>
          </cell>
          <cell r="K811">
            <v>46148</v>
          </cell>
          <cell r="L811">
            <v>46168</v>
          </cell>
          <cell r="M811" t="e">
            <v>#N/A</v>
          </cell>
          <cell r="N811" t="e">
            <v>#N/A</v>
          </cell>
          <cell r="O811">
            <v>8409098</v>
          </cell>
          <cell r="P811"/>
          <cell r="Q811"/>
          <cell r="R811"/>
          <cell r="S811"/>
          <cell r="T811">
            <v>0</v>
          </cell>
          <cell r="U811">
            <v>0</v>
          </cell>
          <cell r="V811">
            <v>0</v>
          </cell>
          <cell r="W811">
            <v>8409098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/>
          <cell r="AC811"/>
          <cell r="AD811"/>
          <cell r="AE811"/>
          <cell r="AF811" t="str">
            <v>UnRegistered</v>
          </cell>
        </row>
        <row r="812">
          <cell r="B812" t="str">
            <v>R2 UG 17</v>
          </cell>
          <cell r="C812" t="str">
            <v>R2</v>
          </cell>
          <cell r="D812" t="str">
            <v>M3M Capital Walk in M3M Capital Phase-2</v>
          </cell>
          <cell r="E812" t="str">
            <v>cwBOOKING/00106/22-23</v>
          </cell>
          <cell r="F812" t="str">
            <v>Mr. PANNA LAL CHAURASIA</v>
          </cell>
          <cell r="G812" t="str">
            <v>cwFLAP/00250/22-23</v>
          </cell>
          <cell r="H812" t="str">
            <v>On Application of OC</v>
          </cell>
          <cell r="I812" t="str">
            <v>Hold due Area Change</v>
          </cell>
          <cell r="J812">
            <v>44984</v>
          </cell>
          <cell r="K812">
            <v>46148</v>
          </cell>
          <cell r="L812">
            <v>46168</v>
          </cell>
          <cell r="M812" t="e">
            <v>#N/A</v>
          </cell>
          <cell r="N812" t="e">
            <v>#N/A</v>
          </cell>
          <cell r="O812">
            <v>6451197</v>
          </cell>
          <cell r="P812">
            <v>848940.63925000001</v>
          </cell>
          <cell r="Q812"/>
          <cell r="R812"/>
          <cell r="S812">
            <v>101872.87671</v>
          </cell>
          <cell r="T812">
            <v>950813.51595999999</v>
          </cell>
          <cell r="U812">
            <v>1</v>
          </cell>
          <cell r="V812"/>
          <cell r="W812">
            <v>5500382.4840399995</v>
          </cell>
          <cell r="X812">
            <v>23887</v>
          </cell>
          <cell r="Y812">
            <v>0</v>
          </cell>
          <cell r="Z812">
            <v>0</v>
          </cell>
          <cell r="AA812">
            <v>23887</v>
          </cell>
          <cell r="AB812" t="str">
            <v>Not Executed</v>
          </cell>
          <cell r="AC812" t="str">
            <v>No, due to CL not executed but interest is less than 75000</v>
          </cell>
          <cell r="AD812">
            <v>8.3518521335613286E-2</v>
          </cell>
          <cell r="AE812" t="str">
            <v>Less than 35%</v>
          </cell>
          <cell r="AF812" t="str">
            <v>UnRegistered</v>
          </cell>
        </row>
        <row r="813">
          <cell r="B813" t="str">
            <v>R3 UG 22</v>
          </cell>
          <cell r="C813" t="str">
            <v>R3</v>
          </cell>
          <cell r="D813" t="str">
            <v>M3M Capital Walk in M3M Capital Phase-2</v>
          </cell>
          <cell r="E813" t="str">
            <v>cwBOOKING/00120/23-24</v>
          </cell>
          <cell r="F813" t="str">
            <v>Ms. ASHA TOKAS</v>
          </cell>
          <cell r="G813" t="str">
            <v>cwFLAP/01044/22-23</v>
          </cell>
          <cell r="H813" t="str">
            <v>On Application of OC</v>
          </cell>
          <cell r="I813" t="str">
            <v>Hold due Area Change</v>
          </cell>
          <cell r="J813">
            <v>45160</v>
          </cell>
          <cell r="K813">
            <v>46148</v>
          </cell>
          <cell r="L813">
            <v>46168</v>
          </cell>
          <cell r="M813" t="e">
            <v>#N/A</v>
          </cell>
          <cell r="N813" t="e">
            <v>#N/A</v>
          </cell>
          <cell r="O813">
            <v>9268548</v>
          </cell>
          <cell r="P813"/>
          <cell r="Q813"/>
          <cell r="R813"/>
          <cell r="S813"/>
          <cell r="T813">
            <v>0</v>
          </cell>
          <cell r="U813">
            <v>0</v>
          </cell>
          <cell r="V813">
            <v>0</v>
          </cell>
          <cell r="W813">
            <v>9268548</v>
          </cell>
          <cell r="X813">
            <v>826</v>
          </cell>
          <cell r="Y813">
            <v>0</v>
          </cell>
          <cell r="Z813">
            <v>0</v>
          </cell>
          <cell r="AA813">
            <v>826</v>
          </cell>
          <cell r="AB813"/>
          <cell r="AC813"/>
          <cell r="AD813"/>
          <cell r="AE813"/>
          <cell r="AF813" t="str">
            <v>UnRegistered</v>
          </cell>
        </row>
        <row r="814">
          <cell r="B814" t="str">
            <v>R1 UG 01</v>
          </cell>
          <cell r="C814" t="str">
            <v>R1</v>
          </cell>
          <cell r="D814" t="str">
            <v>M3M Capital Walk in M3M Capital Phase-2</v>
          </cell>
          <cell r="E814" t="str">
            <v>cwBOOKING/00124/22-23</v>
          </cell>
          <cell r="F814" t="str">
            <v>Ms. RITA CHAWLA</v>
          </cell>
          <cell r="G814" t="str">
            <v>cwFLAP/00286/22-23</v>
          </cell>
          <cell r="H814" t="str">
            <v>On Application of OC</v>
          </cell>
          <cell r="I814" t="str">
            <v>Hold due Area Change</v>
          </cell>
          <cell r="J814">
            <v>44951</v>
          </cell>
          <cell r="K814">
            <v>46148</v>
          </cell>
          <cell r="L814">
            <v>46168</v>
          </cell>
          <cell r="M814" t="e">
            <v>#N/A</v>
          </cell>
          <cell r="N814" t="e">
            <v>#N/A</v>
          </cell>
          <cell r="O814">
            <v>3229744</v>
          </cell>
          <cell r="P814"/>
          <cell r="Q814"/>
          <cell r="R814"/>
          <cell r="S814"/>
          <cell r="T814">
            <v>0</v>
          </cell>
          <cell r="U814">
            <v>1</v>
          </cell>
          <cell r="V814"/>
          <cell r="W814">
            <v>3229743</v>
          </cell>
          <cell r="X814">
            <v>2995</v>
          </cell>
          <cell r="Y814">
            <v>0</v>
          </cell>
          <cell r="Z814">
            <v>0</v>
          </cell>
          <cell r="AA814">
            <v>2995</v>
          </cell>
          <cell r="AB814"/>
          <cell r="AC814"/>
          <cell r="AD814"/>
          <cell r="AE814"/>
          <cell r="AF814" t="str">
            <v>UnRegistered</v>
          </cell>
        </row>
        <row r="815">
          <cell r="B815" t="str">
            <v>R5 176</v>
          </cell>
          <cell r="C815" t="str">
            <v>R5</v>
          </cell>
          <cell r="D815" t="str">
            <v>M3M Capital Walk in M3M Capital Phase-2</v>
          </cell>
          <cell r="E815" t="str">
            <v>cwBOOKING/00137/23-24</v>
          </cell>
          <cell r="F815" t="str">
            <v>Mr. VIVEK BHANDARI</v>
          </cell>
          <cell r="G815" t="str">
            <v>cwFLAP/01061/22-23</v>
          </cell>
          <cell r="H815" t="str">
            <v>On Application of OC</v>
          </cell>
          <cell r="I815" t="str">
            <v>Hold due Area Change</v>
          </cell>
          <cell r="J815">
            <v>45260</v>
          </cell>
          <cell r="K815">
            <v>46148</v>
          </cell>
          <cell r="L815">
            <v>46168</v>
          </cell>
          <cell r="M815" t="e">
            <v>#N/A</v>
          </cell>
          <cell r="N815" t="e">
            <v>#N/A</v>
          </cell>
          <cell r="O815">
            <v>4250828</v>
          </cell>
          <cell r="P815"/>
          <cell r="Q815"/>
          <cell r="R815"/>
          <cell r="S815"/>
          <cell r="T815">
            <v>0</v>
          </cell>
          <cell r="U815">
            <v>0</v>
          </cell>
          <cell r="V815">
            <v>0</v>
          </cell>
          <cell r="W815">
            <v>4250828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/>
          <cell r="AC815"/>
          <cell r="AD815"/>
          <cell r="AE815"/>
          <cell r="AF815" t="str">
            <v>UnRegistered</v>
          </cell>
        </row>
        <row r="816">
          <cell r="B816" t="str">
            <v>R2 110</v>
          </cell>
          <cell r="C816" t="str">
            <v>R2</v>
          </cell>
          <cell r="D816" t="str">
            <v>M3M Capital Walk in M3M Capital Phase-2</v>
          </cell>
          <cell r="E816" t="str">
            <v>cwBOOKING/00146/22-23</v>
          </cell>
          <cell r="F816" t="str">
            <v>Mr. RAHUL YADAV</v>
          </cell>
          <cell r="G816" t="str">
            <v>cwFLAP/00080/22-23</v>
          </cell>
          <cell r="H816" t="str">
            <v>On Application of OC</v>
          </cell>
          <cell r="I816" t="str">
            <v>Hold due Area Change</v>
          </cell>
          <cell r="J816">
            <v>45177</v>
          </cell>
          <cell r="K816">
            <v>46148</v>
          </cell>
          <cell r="L816">
            <v>46168</v>
          </cell>
          <cell r="M816" t="e">
            <v>#N/A</v>
          </cell>
          <cell r="N816" t="e">
            <v>#N/A</v>
          </cell>
          <cell r="O816">
            <v>4135827</v>
          </cell>
          <cell r="P816">
            <v>427344.89153999998</v>
          </cell>
          <cell r="Q816"/>
          <cell r="R816"/>
          <cell r="S816">
            <v>51281.386984799996</v>
          </cell>
          <cell r="T816">
            <v>478626.27852479997</v>
          </cell>
          <cell r="U816">
            <v>0</v>
          </cell>
          <cell r="V816">
            <v>0</v>
          </cell>
          <cell r="W816">
            <v>3657200.7214751998</v>
          </cell>
          <cell r="X816">
            <v>445</v>
          </cell>
          <cell r="Y816">
            <v>0</v>
          </cell>
          <cell r="Z816">
            <v>0</v>
          </cell>
          <cell r="AA816">
            <v>445</v>
          </cell>
          <cell r="AB816" t="str">
            <v>Executed</v>
          </cell>
          <cell r="AC816" t="str">
            <v>Yes</v>
          </cell>
          <cell r="AD816">
            <v>5.2012056063527289E-2</v>
          </cell>
          <cell r="AE816" t="str">
            <v>Less than 35%</v>
          </cell>
          <cell r="AF816" t="str">
            <v>UnRegistered</v>
          </cell>
        </row>
        <row r="817">
          <cell r="B817" t="str">
            <v>R4 232</v>
          </cell>
          <cell r="C817" t="str">
            <v>R4</v>
          </cell>
          <cell r="D817" t="str">
            <v>M3M Capital Walk in M3M Capital Phase-2</v>
          </cell>
          <cell r="E817" t="str">
            <v>cwBOOKING/00165/22-23</v>
          </cell>
          <cell r="F817" t="str">
            <v>Mr. KRISHAN YADAV</v>
          </cell>
          <cell r="G817" t="str">
            <v>cwFLAP/00333/22-23</v>
          </cell>
          <cell r="H817" t="str">
            <v>On Application of OC</v>
          </cell>
          <cell r="I817" t="str">
            <v>Hold due Area Change</v>
          </cell>
          <cell r="J817">
            <v>45160</v>
          </cell>
          <cell r="K817">
            <v>46148</v>
          </cell>
          <cell r="L817">
            <v>46168</v>
          </cell>
          <cell r="M817" t="e">
            <v>#N/A</v>
          </cell>
          <cell r="N817" t="e">
            <v>#N/A</v>
          </cell>
          <cell r="O817">
            <v>2960581</v>
          </cell>
          <cell r="P817">
            <v>407946.40599999996</v>
          </cell>
          <cell r="Q817"/>
          <cell r="R817"/>
          <cell r="S817">
            <v>48953.568719999996</v>
          </cell>
          <cell r="T817">
            <v>456899.97471999994</v>
          </cell>
          <cell r="U817">
            <v>0</v>
          </cell>
          <cell r="V817">
            <v>0</v>
          </cell>
          <cell r="W817">
            <v>2503681.0252800002</v>
          </cell>
          <cell r="X817">
            <v>4799</v>
          </cell>
          <cell r="Y817">
            <v>0</v>
          </cell>
          <cell r="Z817">
            <v>0</v>
          </cell>
          <cell r="AA817">
            <v>4799</v>
          </cell>
          <cell r="AB817" t="str">
            <v>Executed</v>
          </cell>
          <cell r="AC817" t="str">
            <v>Yes</v>
          </cell>
          <cell r="AD817">
            <v>7.7163903760782082E-2</v>
          </cell>
          <cell r="AE817" t="str">
            <v>Less than 35%</v>
          </cell>
          <cell r="AF817" t="str">
            <v>UnRegistered</v>
          </cell>
        </row>
        <row r="818">
          <cell r="B818" t="str">
            <v>R5 G 16</v>
          </cell>
          <cell r="C818" t="str">
            <v>R5</v>
          </cell>
          <cell r="D818" t="str">
            <v>M3M Capital Walk in M3M Capital Phase-2</v>
          </cell>
          <cell r="E818" t="str">
            <v>cwBOOKING/00190/22-23</v>
          </cell>
          <cell r="F818" t="str">
            <v>Mr. RAJAT KUMAR KHANNA</v>
          </cell>
          <cell r="G818" t="str">
            <v>cwFLAP/00352/22-23</v>
          </cell>
          <cell r="H818" t="str">
            <v>On Application of OC</v>
          </cell>
          <cell r="I818" t="str">
            <v>Hold due Area Change</v>
          </cell>
          <cell r="J818">
            <v>44958</v>
          </cell>
          <cell r="K818">
            <v>46148</v>
          </cell>
          <cell r="L818">
            <v>46168</v>
          </cell>
          <cell r="M818" t="e">
            <v>#N/A</v>
          </cell>
          <cell r="N818" t="e">
            <v>#N/A</v>
          </cell>
          <cell r="O818">
            <v>12868730</v>
          </cell>
          <cell r="P818"/>
          <cell r="Q818"/>
          <cell r="R818"/>
          <cell r="S818"/>
          <cell r="T818">
            <v>0</v>
          </cell>
          <cell r="U818">
            <v>0</v>
          </cell>
          <cell r="V818">
            <v>0</v>
          </cell>
          <cell r="W818">
            <v>12868730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/>
          <cell r="AC818"/>
          <cell r="AD818"/>
          <cell r="AE818"/>
          <cell r="AF818" t="str">
            <v>UnRegistered</v>
          </cell>
        </row>
        <row r="819">
          <cell r="B819" t="str">
            <v>R5 K 201</v>
          </cell>
          <cell r="C819" t="str">
            <v>R5</v>
          </cell>
          <cell r="D819" t="str">
            <v>M3M Capital Walk in M3M Capital Phase-2</v>
          </cell>
          <cell r="E819" t="str">
            <v>cwBOOKING/00270/22-23</v>
          </cell>
          <cell r="F819" t="str">
            <v>Ms. POOJA GUPTA</v>
          </cell>
          <cell r="G819" t="str">
            <v>cwFLAP/00437/22-23</v>
          </cell>
          <cell r="H819" t="str">
            <v>On Application of OC</v>
          </cell>
          <cell r="I819" t="str">
            <v>Hold due Area Change</v>
          </cell>
          <cell r="J819">
            <v>44970</v>
          </cell>
          <cell r="K819">
            <v>46148</v>
          </cell>
          <cell r="L819">
            <v>46168</v>
          </cell>
          <cell r="M819" t="e">
            <v>#N/A</v>
          </cell>
          <cell r="N819" t="e">
            <v>#N/A</v>
          </cell>
          <cell r="O819">
            <v>4598492</v>
          </cell>
          <cell r="P819"/>
          <cell r="Q819"/>
          <cell r="R819"/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4598492</v>
          </cell>
          <cell r="X819">
            <v>9704</v>
          </cell>
          <cell r="Y819">
            <v>0</v>
          </cell>
          <cell r="Z819">
            <v>0</v>
          </cell>
          <cell r="AA819">
            <v>9704</v>
          </cell>
          <cell r="AB819"/>
          <cell r="AC819"/>
          <cell r="AD819">
            <v>0</v>
          </cell>
          <cell r="AE819" t="str">
            <v>Less than 35%</v>
          </cell>
          <cell r="AF819" t="str">
            <v>UnRegistered</v>
          </cell>
        </row>
        <row r="820">
          <cell r="B820" t="str">
            <v>R5 LG 23</v>
          </cell>
          <cell r="C820" t="str">
            <v>R5</v>
          </cell>
          <cell r="D820" t="str">
            <v>M3M Capital Walk in M3M Capital Phase-2</v>
          </cell>
          <cell r="E820" t="str">
            <v>cwBOOKING/00311/23-24</v>
          </cell>
          <cell r="F820" t="str">
            <v>Ms. Rajani Agrawal</v>
          </cell>
          <cell r="G820" t="str">
            <v>cwFLAP/00213/23-24</v>
          </cell>
          <cell r="H820" t="str">
            <v>On Application of OC</v>
          </cell>
          <cell r="I820" t="str">
            <v>Hold due Area Change</v>
          </cell>
          <cell r="J820">
            <v>45426</v>
          </cell>
          <cell r="K820">
            <v>46148</v>
          </cell>
          <cell r="L820">
            <v>46168</v>
          </cell>
          <cell r="M820" t="e">
            <v>#N/A</v>
          </cell>
          <cell r="N820" t="e">
            <v>#N/A</v>
          </cell>
          <cell r="O820">
            <v>5976842</v>
          </cell>
          <cell r="P820"/>
          <cell r="Q820"/>
          <cell r="R820"/>
          <cell r="S820"/>
          <cell r="T820">
            <v>0</v>
          </cell>
          <cell r="U820">
            <v>0</v>
          </cell>
          <cell r="V820">
            <v>1</v>
          </cell>
          <cell r="W820">
            <v>5976843</v>
          </cell>
          <cell r="X820">
            <v>54679</v>
          </cell>
          <cell r="Y820">
            <v>0</v>
          </cell>
          <cell r="Z820">
            <v>54679</v>
          </cell>
          <cell r="AA820">
            <v>0</v>
          </cell>
          <cell r="AB820"/>
          <cell r="AC820"/>
          <cell r="AD820"/>
          <cell r="AE820"/>
          <cell r="AF820" t="str">
            <v>UnRegistered</v>
          </cell>
        </row>
        <row r="821">
          <cell r="B821" t="str">
            <v>R5 138</v>
          </cell>
          <cell r="C821" t="str">
            <v>R5</v>
          </cell>
          <cell r="D821" t="str">
            <v>M3M Capital Walk in M3M Capital Phase-2</v>
          </cell>
          <cell r="E821" t="str">
            <v>cwBOOKING/00397/22-23</v>
          </cell>
          <cell r="F821" t="str">
            <v>Ms. ARTI MALIK</v>
          </cell>
          <cell r="G821" t="str">
            <v>cwFLAP/00134/22-23</v>
          </cell>
          <cell r="H821" t="str">
            <v>On Application of OC</v>
          </cell>
          <cell r="I821" t="str">
            <v>Hold due Area Change</v>
          </cell>
          <cell r="J821">
            <v>45371</v>
          </cell>
          <cell r="K821">
            <v>46148</v>
          </cell>
          <cell r="L821">
            <v>46168</v>
          </cell>
          <cell r="M821" t="e">
            <v>#N/A</v>
          </cell>
          <cell r="N821" t="e">
            <v>#N/A</v>
          </cell>
          <cell r="O821">
            <v>2284302</v>
          </cell>
          <cell r="P821">
            <v>209108.13768000001</v>
          </cell>
          <cell r="Q821"/>
          <cell r="R821"/>
          <cell r="S821">
            <v>25092.976521600001</v>
          </cell>
          <cell r="T821">
            <v>234201.11420160002</v>
          </cell>
          <cell r="U821">
            <v>2</v>
          </cell>
          <cell r="V821"/>
          <cell r="W821">
            <v>2050098.8857984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 t="str">
            <v>Executed</v>
          </cell>
          <cell r="AC821" t="str">
            <v>Yes</v>
          </cell>
          <cell r="AD821">
            <v>6.4022366225218799E-2</v>
          </cell>
          <cell r="AE821" t="str">
            <v>Less than 35%</v>
          </cell>
          <cell r="AF821" t="str">
            <v>UnRegistered</v>
          </cell>
        </row>
        <row r="822">
          <cell r="B822" t="str">
            <v>R1 241</v>
          </cell>
          <cell r="C822" t="str">
            <v>R1</v>
          </cell>
          <cell r="D822" t="str">
            <v>M3M Capital Walk in M3M Capital Phase-2</v>
          </cell>
          <cell r="E822" t="str">
            <v>cwBOOKING/00411/22-23</v>
          </cell>
          <cell r="F822" t="str">
            <v>Mr. ATUL KUMAR SETHI</v>
          </cell>
          <cell r="G822" t="str">
            <v>cwFLAP/00169/22-23</v>
          </cell>
          <cell r="H822" t="str">
            <v>On Application of OC</v>
          </cell>
          <cell r="I822" t="str">
            <v>Hold due Area Change</v>
          </cell>
          <cell r="J822">
            <v>45033</v>
          </cell>
          <cell r="K822">
            <v>46148</v>
          </cell>
          <cell r="L822">
            <v>46168</v>
          </cell>
          <cell r="M822" t="e">
            <v>#N/A</v>
          </cell>
          <cell r="N822" t="e">
            <v>#N/A</v>
          </cell>
          <cell r="O822">
            <v>6095957</v>
          </cell>
          <cell r="P822"/>
          <cell r="Q822"/>
          <cell r="R822"/>
          <cell r="S822"/>
          <cell r="T822">
            <v>0</v>
          </cell>
          <cell r="U822">
            <v>0</v>
          </cell>
          <cell r="V822">
            <v>0</v>
          </cell>
          <cell r="W822">
            <v>6095957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/>
          <cell r="AC822"/>
          <cell r="AD822"/>
          <cell r="AE822"/>
          <cell r="AF822" t="str">
            <v>UnRegistered</v>
          </cell>
        </row>
        <row r="823">
          <cell r="B823" t="str">
            <v>R1 110</v>
          </cell>
          <cell r="C823" t="str">
            <v>R1</v>
          </cell>
          <cell r="D823" t="str">
            <v>M3M Capital Walk in M3M Capital Phase-2</v>
          </cell>
          <cell r="E823" t="str">
            <v>cwBOOKING/00447/22-23</v>
          </cell>
          <cell r="F823" t="str">
            <v>Mr. DEVENDER KUMAR</v>
          </cell>
          <cell r="G823" t="str">
            <v>cwFLAP/00384/22-23</v>
          </cell>
          <cell r="H823" t="str">
            <v>On Application of OC</v>
          </cell>
          <cell r="I823" t="str">
            <v>DNC</v>
          </cell>
          <cell r="J823">
            <v>45265</v>
          </cell>
          <cell r="K823">
            <v>46148</v>
          </cell>
          <cell r="L823">
            <v>46168</v>
          </cell>
          <cell r="M823" t="e">
            <v>#N/A</v>
          </cell>
          <cell r="N823" t="e">
            <v>#N/A</v>
          </cell>
          <cell r="O823">
            <v>2088868</v>
          </cell>
          <cell r="P823"/>
          <cell r="Q823"/>
          <cell r="R823"/>
          <cell r="S823"/>
          <cell r="T823">
            <v>0</v>
          </cell>
          <cell r="U823">
            <v>2</v>
          </cell>
          <cell r="V823"/>
          <cell r="W823">
            <v>2088866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/>
          <cell r="AC823"/>
          <cell r="AD823"/>
          <cell r="AE823"/>
          <cell r="AF823" t="str">
            <v>UnRegistered</v>
          </cell>
        </row>
        <row r="824">
          <cell r="B824" t="str">
            <v>R5 UG 12A</v>
          </cell>
          <cell r="C824" t="str">
            <v>R5</v>
          </cell>
          <cell r="D824" t="str">
            <v>M3M Capital Walk in M3M Capital Phase-2</v>
          </cell>
          <cell r="E824" t="str">
            <v>cwBOOKING/00473/22-23</v>
          </cell>
          <cell r="F824" t="str">
            <v>Ms. ROSHNI</v>
          </cell>
          <cell r="G824" t="str">
            <v>cwFLAP/00288/22-23</v>
          </cell>
          <cell r="H824" t="str">
            <v>On Application of OC</v>
          </cell>
          <cell r="I824" t="str">
            <v>Hold due Area Change</v>
          </cell>
          <cell r="J824">
            <v>45042</v>
          </cell>
          <cell r="K824">
            <v>46148</v>
          </cell>
          <cell r="L824">
            <v>46168</v>
          </cell>
          <cell r="M824" t="e">
            <v>#N/A</v>
          </cell>
          <cell r="N824" t="e">
            <v>#N/A</v>
          </cell>
          <cell r="O824">
            <v>3363316</v>
          </cell>
          <cell r="P824"/>
          <cell r="Q824"/>
          <cell r="R824"/>
          <cell r="S824"/>
          <cell r="T824">
            <v>0</v>
          </cell>
          <cell r="U824">
            <v>0</v>
          </cell>
          <cell r="V824">
            <v>0</v>
          </cell>
          <cell r="W824">
            <v>3363316</v>
          </cell>
          <cell r="X824">
            <v>82.96</v>
          </cell>
          <cell r="Y824">
            <v>0</v>
          </cell>
          <cell r="Z824">
            <v>0</v>
          </cell>
          <cell r="AA824">
            <v>82.96</v>
          </cell>
          <cell r="AB824"/>
          <cell r="AC824"/>
          <cell r="AD824"/>
          <cell r="AE824"/>
          <cell r="AF824" t="str">
            <v>UnRegistered</v>
          </cell>
        </row>
        <row r="825">
          <cell r="B825" t="str">
            <v>R6 216</v>
          </cell>
          <cell r="C825" t="str">
            <v>R6</v>
          </cell>
          <cell r="D825" t="str">
            <v>M3M Capital Walk in M3M Capital Phase-2</v>
          </cell>
          <cell r="E825" t="str">
            <v>cwBOOKING/00485/22-23</v>
          </cell>
          <cell r="F825" t="str">
            <v>Mr. PAVNENDRA BHADAURIA</v>
          </cell>
          <cell r="G825" t="str">
            <v>cwFLAP/00515/22-23</v>
          </cell>
          <cell r="H825" t="str">
            <v>On Application of OC</v>
          </cell>
          <cell r="I825" t="str">
            <v>Hold due Area Change</v>
          </cell>
          <cell r="J825">
            <v>45232</v>
          </cell>
          <cell r="K825">
            <v>46148</v>
          </cell>
          <cell r="L825">
            <v>46168</v>
          </cell>
          <cell r="M825" t="e">
            <v>#N/A</v>
          </cell>
          <cell r="N825" t="e">
            <v>#N/A</v>
          </cell>
          <cell r="O825">
            <v>6257084</v>
          </cell>
          <cell r="P825"/>
          <cell r="Q825"/>
          <cell r="R825"/>
          <cell r="S825"/>
          <cell r="T825">
            <v>0</v>
          </cell>
          <cell r="U825">
            <v>0</v>
          </cell>
          <cell r="V825">
            <v>1.0500000000465661</v>
          </cell>
          <cell r="W825">
            <v>6257085.0499999998</v>
          </cell>
          <cell r="X825">
            <v>4288</v>
          </cell>
          <cell r="Y825">
            <v>0</v>
          </cell>
          <cell r="Z825">
            <v>0</v>
          </cell>
          <cell r="AA825">
            <v>4288</v>
          </cell>
          <cell r="AB825"/>
          <cell r="AC825"/>
          <cell r="AD825"/>
          <cell r="AE825"/>
          <cell r="AF825" t="str">
            <v>UnRegistered</v>
          </cell>
        </row>
        <row r="826">
          <cell r="B826" t="str">
            <v>R1 124</v>
          </cell>
          <cell r="C826" t="str">
            <v>R1</v>
          </cell>
          <cell r="D826" t="str">
            <v>M3M Capital Walk in M3M Capital Phase-2</v>
          </cell>
          <cell r="E826" t="str">
            <v>cwBOOKING/00511/22-23</v>
          </cell>
          <cell r="F826" t="str">
            <v>Mr. SANDEEP BARSAINYA</v>
          </cell>
          <cell r="G826" t="str">
            <v>cwFAP0026/00007/22-23</v>
          </cell>
          <cell r="H826" t="str">
            <v>On Application of OC</v>
          </cell>
          <cell r="I826" t="str">
            <v>Hold due Area Change</v>
          </cell>
          <cell r="J826">
            <v>45413</v>
          </cell>
          <cell r="K826">
            <v>46148</v>
          </cell>
          <cell r="L826">
            <v>46168</v>
          </cell>
          <cell r="M826" t="e">
            <v>#N/A</v>
          </cell>
          <cell r="N826" t="e">
            <v>#N/A</v>
          </cell>
          <cell r="O826">
            <v>10481208</v>
          </cell>
          <cell r="P826"/>
          <cell r="Q826"/>
          <cell r="R826"/>
          <cell r="S826"/>
          <cell r="T826">
            <v>0</v>
          </cell>
          <cell r="U826">
            <v>848</v>
          </cell>
          <cell r="V826"/>
          <cell r="W826">
            <v>10480360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/>
          <cell r="AC826"/>
          <cell r="AD826"/>
          <cell r="AE826"/>
          <cell r="AF826" t="str">
            <v>UnRegistered</v>
          </cell>
        </row>
        <row r="827">
          <cell r="B827" t="str">
            <v>R6 116</v>
          </cell>
          <cell r="C827" t="str">
            <v>R6</v>
          </cell>
          <cell r="D827" t="str">
            <v>M3M Capital Walk in M3M Capital Phase-2</v>
          </cell>
          <cell r="E827" t="str">
            <v>cwBOOKING/00573/22-23</v>
          </cell>
          <cell r="F827" t="str">
            <v>Ms. KAVITA NIKHIL GUPTA</v>
          </cell>
          <cell r="G827" t="str">
            <v>cwFLAP/00888/22-23</v>
          </cell>
          <cell r="H827" t="str">
            <v>On Application of OC</v>
          </cell>
          <cell r="I827" t="str">
            <v>Hold due Area Change</v>
          </cell>
          <cell r="J827">
            <v>45047</v>
          </cell>
          <cell r="K827">
            <v>46148</v>
          </cell>
          <cell r="L827">
            <v>46168</v>
          </cell>
          <cell r="M827" t="e">
            <v>#N/A</v>
          </cell>
          <cell r="N827" t="e">
            <v>#N/A</v>
          </cell>
          <cell r="O827">
            <v>6131941</v>
          </cell>
          <cell r="P827"/>
          <cell r="Q827"/>
          <cell r="R827"/>
          <cell r="S827"/>
          <cell r="T827">
            <v>0</v>
          </cell>
          <cell r="U827">
            <v>0</v>
          </cell>
          <cell r="V827">
            <v>3123</v>
          </cell>
          <cell r="W827">
            <v>6135064</v>
          </cell>
          <cell r="X827">
            <v>3698.44</v>
          </cell>
          <cell r="Y827">
            <v>0</v>
          </cell>
          <cell r="Z827">
            <v>0</v>
          </cell>
          <cell r="AA827">
            <v>3698.44</v>
          </cell>
          <cell r="AB827"/>
          <cell r="AC827"/>
          <cell r="AD827"/>
          <cell r="AE827"/>
          <cell r="AF827" t="str">
            <v>UnRegistered</v>
          </cell>
        </row>
        <row r="828">
          <cell r="B828" t="str">
            <v>R1 135</v>
          </cell>
          <cell r="C828" t="str">
            <v>R1</v>
          </cell>
          <cell r="D828" t="str">
            <v>M3M Capital Walk in M3M Capital Phase-2</v>
          </cell>
          <cell r="E828" t="str">
            <v>cwBOOKING/00710/22-23</v>
          </cell>
          <cell r="F828" t="str">
            <v>Mr. RAJESH KUMAR KARGWAL</v>
          </cell>
          <cell r="G828" t="str">
            <v>cwFLAP/00605/22-23</v>
          </cell>
          <cell r="H828" t="str">
            <v>On Application of OC</v>
          </cell>
          <cell r="I828" t="str">
            <v>Hold due Area Change</v>
          </cell>
          <cell r="J828">
            <v>45448</v>
          </cell>
          <cell r="K828">
            <v>46148</v>
          </cell>
          <cell r="L828">
            <v>46168</v>
          </cell>
          <cell r="M828" t="e">
            <v>#N/A</v>
          </cell>
          <cell r="N828" t="e">
            <v>#N/A</v>
          </cell>
          <cell r="O828">
            <v>3855021</v>
          </cell>
          <cell r="P828"/>
          <cell r="Q828"/>
          <cell r="R828"/>
          <cell r="S828"/>
          <cell r="T828">
            <v>0</v>
          </cell>
          <cell r="U828">
            <v>0</v>
          </cell>
          <cell r="V828">
            <v>1.7900000000372529</v>
          </cell>
          <cell r="W828">
            <v>3855022.79</v>
          </cell>
          <cell r="X828">
            <v>46614.6</v>
          </cell>
          <cell r="Y828">
            <v>0</v>
          </cell>
          <cell r="Z828">
            <v>0</v>
          </cell>
          <cell r="AA828">
            <v>46614.6</v>
          </cell>
          <cell r="AB828"/>
          <cell r="AC828"/>
          <cell r="AD828"/>
          <cell r="AE828"/>
          <cell r="AF828" t="str">
            <v>UnRegistered</v>
          </cell>
        </row>
        <row r="829">
          <cell r="B829" t="str">
            <v>R1 108</v>
          </cell>
          <cell r="C829" t="str">
            <v>R1</v>
          </cell>
          <cell r="D829" t="str">
            <v>M3M Capital Walk in M3M Capital Phase-2</v>
          </cell>
          <cell r="E829" t="str">
            <v>cwBOOKING/00770/22-23</v>
          </cell>
          <cell r="F829" t="str">
            <v>Mr. SANJEEV KUMAR</v>
          </cell>
          <cell r="G829" t="str">
            <v>cwFLAP/00985/22-23</v>
          </cell>
          <cell r="H829" t="str">
            <v>On Application of OC</v>
          </cell>
          <cell r="I829" t="str">
            <v>Hold due Area Change</v>
          </cell>
          <cell r="J829">
            <v>45163</v>
          </cell>
          <cell r="K829">
            <v>46148</v>
          </cell>
          <cell r="L829">
            <v>46168</v>
          </cell>
          <cell r="M829" t="e">
            <v>#N/A</v>
          </cell>
          <cell r="N829" t="e">
            <v>#N/A</v>
          </cell>
          <cell r="O829">
            <v>4228180</v>
          </cell>
          <cell r="P829"/>
          <cell r="Q829"/>
          <cell r="R829"/>
          <cell r="S829"/>
          <cell r="T829">
            <v>0</v>
          </cell>
          <cell r="U829">
            <v>0</v>
          </cell>
          <cell r="V829">
            <v>28366</v>
          </cell>
          <cell r="W829">
            <v>4256546</v>
          </cell>
          <cell r="X829">
            <v>23206</v>
          </cell>
          <cell r="Y829">
            <v>0</v>
          </cell>
          <cell r="Z829">
            <v>0</v>
          </cell>
          <cell r="AA829">
            <v>23206</v>
          </cell>
          <cell r="AB829"/>
          <cell r="AC829"/>
          <cell r="AD829"/>
          <cell r="AE829"/>
          <cell r="AF829" t="str">
            <v>UnRegistered</v>
          </cell>
        </row>
        <row r="830">
          <cell r="B830" t="str">
            <v>R7 207</v>
          </cell>
          <cell r="C830" t="str">
            <v>R7</v>
          </cell>
          <cell r="D830" t="str">
            <v>M3M Capital Walk in M3M Capital Phase-3</v>
          </cell>
          <cell r="E830" t="str">
            <v>W3BOOKING/00005/24-25</v>
          </cell>
          <cell r="F830" t="str">
            <v>Mr. Pradeep Kumar Satija</v>
          </cell>
          <cell r="G830" t="str">
            <v>CW3FLAP/00001/24-25</v>
          </cell>
          <cell r="H830" t="str">
            <v>On Application of OC</v>
          </cell>
          <cell r="I830" t="str">
            <v>Hold due Area Change</v>
          </cell>
          <cell r="J830">
            <v>45547</v>
          </cell>
          <cell r="K830">
            <v>46148</v>
          </cell>
          <cell r="L830">
            <v>46168</v>
          </cell>
          <cell r="M830" t="e">
            <v>#N/A</v>
          </cell>
          <cell r="N830" t="e">
            <v>#N/A</v>
          </cell>
          <cell r="O830">
            <v>2881987</v>
          </cell>
          <cell r="P830"/>
          <cell r="Q830"/>
          <cell r="R830"/>
          <cell r="S830"/>
          <cell r="T830">
            <v>0</v>
          </cell>
          <cell r="U830">
            <v>205856.64000000001</v>
          </cell>
          <cell r="V830"/>
          <cell r="W830">
            <v>2676130.36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/>
          <cell r="AC830"/>
          <cell r="AD830"/>
          <cell r="AE830"/>
          <cell r="AF830" t="str">
            <v>UnRegistered</v>
          </cell>
        </row>
        <row r="831">
          <cell r="B831" t="str">
            <v>R7 211</v>
          </cell>
          <cell r="C831" t="str">
            <v>R7</v>
          </cell>
          <cell r="D831" t="str">
            <v>M3M Capital Walk in M3M Capital Phase-3</v>
          </cell>
          <cell r="E831" t="str">
            <v>W3BOOKING/00008/24-25</v>
          </cell>
          <cell r="F831" t="str">
            <v>Mr. Rajiv Kumar Jain</v>
          </cell>
          <cell r="G831" t="str">
            <v>W3FLAP/00007/24-25</v>
          </cell>
          <cell r="H831" t="str">
            <v>On Application of OC</v>
          </cell>
          <cell r="I831" t="str">
            <v>Hold due Area Change</v>
          </cell>
          <cell r="J831">
            <v>45559</v>
          </cell>
          <cell r="K831">
            <v>46148</v>
          </cell>
          <cell r="L831">
            <v>46168</v>
          </cell>
          <cell r="M831" t="e">
            <v>#N/A</v>
          </cell>
          <cell r="N831" t="e">
            <v>#N/A</v>
          </cell>
          <cell r="O831">
            <v>2809632</v>
          </cell>
          <cell r="P831"/>
          <cell r="Q831"/>
          <cell r="R831"/>
          <cell r="S831"/>
          <cell r="T831">
            <v>0</v>
          </cell>
          <cell r="U831">
            <v>0</v>
          </cell>
          <cell r="V831">
            <v>0</v>
          </cell>
          <cell r="W831">
            <v>2809632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/>
          <cell r="AC831"/>
          <cell r="AD831"/>
          <cell r="AE831"/>
          <cell r="AF831" t="str">
            <v>UnRegistered</v>
          </cell>
        </row>
        <row r="832">
          <cell r="B832" t="str">
            <v>R7 UG 11</v>
          </cell>
          <cell r="C832" t="str">
            <v>R7</v>
          </cell>
          <cell r="D832" t="str">
            <v>M3M Capital Walk in M3M Capital Phase-3</v>
          </cell>
          <cell r="E832" t="str">
            <v>W3BOOKING/00012/24-25</v>
          </cell>
          <cell r="F832" t="str">
            <v>Mr. Gaurav Kharbanda</v>
          </cell>
          <cell r="G832" t="str">
            <v>W3FLAP/00006/24-25</v>
          </cell>
          <cell r="H832" t="str">
            <v>On Application of OC</v>
          </cell>
          <cell r="I832" t="str">
            <v>Hold due Area Change</v>
          </cell>
          <cell r="J832">
            <v>45547</v>
          </cell>
          <cell r="K832">
            <v>46148</v>
          </cell>
          <cell r="L832">
            <v>46168</v>
          </cell>
          <cell r="M832" t="e">
            <v>#N/A</v>
          </cell>
          <cell r="N832" t="e">
            <v>#N/A</v>
          </cell>
          <cell r="O832">
            <v>4603116</v>
          </cell>
          <cell r="P832"/>
          <cell r="Q832"/>
          <cell r="R832"/>
          <cell r="S832"/>
          <cell r="T832">
            <v>0</v>
          </cell>
          <cell r="U832">
            <v>0</v>
          </cell>
          <cell r="V832">
            <v>0</v>
          </cell>
          <cell r="W832">
            <v>4603116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/>
          <cell r="AC832"/>
          <cell r="AD832"/>
          <cell r="AE832"/>
          <cell r="AF832" t="str">
            <v>UnRegistered</v>
          </cell>
        </row>
        <row r="833">
          <cell r="B833" t="str">
            <v>R7 204</v>
          </cell>
          <cell r="C833" t="str">
            <v>R7</v>
          </cell>
          <cell r="D833" t="str">
            <v>M3M Capital Walk in M3M Capital Phase-3</v>
          </cell>
          <cell r="E833" t="str">
            <v>W3BOOKING/00016/24-25</v>
          </cell>
          <cell r="F833" t="str">
            <v>Mr. Dhaval Shivhare</v>
          </cell>
          <cell r="G833" t="str">
            <v>W3FLAP/00023/24-25</v>
          </cell>
          <cell r="H833" t="str">
            <v>On Application of OC</v>
          </cell>
          <cell r="I833" t="str">
            <v>Hold due Area Change</v>
          </cell>
          <cell r="J833">
            <v>45623</v>
          </cell>
          <cell r="K833">
            <v>46148</v>
          </cell>
          <cell r="L833">
            <v>46168</v>
          </cell>
          <cell r="M833" t="e">
            <v>#N/A</v>
          </cell>
          <cell r="N833" t="e">
            <v>#N/A</v>
          </cell>
          <cell r="O833">
            <v>2828279</v>
          </cell>
          <cell r="P833"/>
          <cell r="Q833"/>
          <cell r="R833"/>
          <cell r="S833"/>
          <cell r="T833">
            <v>0</v>
          </cell>
          <cell r="U833">
            <v>53872</v>
          </cell>
          <cell r="V833"/>
          <cell r="W833">
            <v>2774407</v>
          </cell>
          <cell r="X833">
            <v>2564</v>
          </cell>
          <cell r="Y833">
            <v>0</v>
          </cell>
          <cell r="Z833">
            <v>0</v>
          </cell>
          <cell r="AA833">
            <v>2564</v>
          </cell>
          <cell r="AB833"/>
          <cell r="AC833"/>
          <cell r="AD833"/>
          <cell r="AE833"/>
          <cell r="AF833" t="str">
            <v>UnRegistered</v>
          </cell>
        </row>
        <row r="834">
          <cell r="B834" t="str">
            <v>R7 107</v>
          </cell>
          <cell r="C834" t="str">
            <v>R7</v>
          </cell>
          <cell r="D834" t="str">
            <v>M3M Capital Walk in M3M Capital Phase-3</v>
          </cell>
          <cell r="E834" t="str">
            <v>W3BOOKING/00017/24-25</v>
          </cell>
          <cell r="F834" t="str">
            <v>Mr. Ajay Kumar</v>
          </cell>
          <cell r="G834" t="str">
            <v>W3FLAP/00008/24-25</v>
          </cell>
          <cell r="H834" t="str">
            <v>On Application of OC</v>
          </cell>
          <cell r="I834" t="str">
            <v>Hold due Area Change</v>
          </cell>
          <cell r="J834">
            <v>45554</v>
          </cell>
          <cell r="K834">
            <v>46148</v>
          </cell>
          <cell r="L834">
            <v>46168</v>
          </cell>
          <cell r="M834" t="e">
            <v>#N/A</v>
          </cell>
          <cell r="N834" t="e">
            <v>#N/A</v>
          </cell>
          <cell r="O834">
            <v>3771735</v>
          </cell>
          <cell r="P834"/>
          <cell r="Q834"/>
          <cell r="R834"/>
          <cell r="S834"/>
          <cell r="T834">
            <v>0</v>
          </cell>
          <cell r="U834">
            <v>331595.83999999997</v>
          </cell>
          <cell r="V834"/>
          <cell r="W834">
            <v>3440139.16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/>
          <cell r="AC834"/>
          <cell r="AD834"/>
          <cell r="AE834"/>
          <cell r="AF834" t="str">
            <v>UnRegistered</v>
          </cell>
        </row>
        <row r="835">
          <cell r="B835" t="str">
            <v>R7 111</v>
          </cell>
          <cell r="C835" t="str">
            <v>R7</v>
          </cell>
          <cell r="D835" t="str">
            <v>M3M Capital Walk in M3M Capital Phase-3</v>
          </cell>
          <cell r="E835" t="str">
            <v>W3BOOKING/00024/24-25</v>
          </cell>
          <cell r="F835" t="str">
            <v>Ms. Anupam</v>
          </cell>
          <cell r="G835" t="str">
            <v>W3FLAP/00027/24-25</v>
          </cell>
          <cell r="H835" t="str">
            <v>On Application of OC</v>
          </cell>
          <cell r="I835" t="str">
            <v>Hold due Area Change</v>
          </cell>
          <cell r="J835">
            <v>45617</v>
          </cell>
          <cell r="K835">
            <v>46148</v>
          </cell>
          <cell r="L835">
            <v>46168</v>
          </cell>
          <cell r="M835" t="e">
            <v>#N/A</v>
          </cell>
          <cell r="N835" t="e">
            <v>#N/A</v>
          </cell>
          <cell r="O835">
            <v>4582932</v>
          </cell>
          <cell r="P835"/>
          <cell r="Q835"/>
          <cell r="R835"/>
          <cell r="S835"/>
          <cell r="T835">
            <v>0</v>
          </cell>
          <cell r="U835">
            <v>0</v>
          </cell>
          <cell r="V835">
            <v>50000</v>
          </cell>
          <cell r="W835">
            <v>4632932</v>
          </cell>
          <cell r="X835">
            <v>48391</v>
          </cell>
          <cell r="Y835">
            <v>0</v>
          </cell>
          <cell r="Z835">
            <v>0</v>
          </cell>
          <cell r="AA835">
            <v>48391</v>
          </cell>
          <cell r="AB835"/>
          <cell r="AC835"/>
          <cell r="AD835"/>
          <cell r="AE835"/>
          <cell r="AF835" t="str">
            <v>UnRegistered</v>
          </cell>
        </row>
        <row r="836">
          <cell r="W83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D2" t="str">
            <v>R1 205</v>
          </cell>
          <cell r="E2" t="str">
            <v>Mr. KULDEEP KUMAR SHARMA</v>
          </cell>
        </row>
        <row r="3">
          <cell r="D3" t="str">
            <v>R1 G 01</v>
          </cell>
          <cell r="E3" t="str">
            <v>M/S. INVESTOR HOME SOLUTIONS PVT. LTD.</v>
          </cell>
        </row>
        <row r="4">
          <cell r="D4" t="str">
            <v>R1 G 02</v>
          </cell>
          <cell r="E4" t="str">
            <v>M/S. INVESTOR HOME SOLUTIONS PVT. LTD.</v>
          </cell>
        </row>
        <row r="5">
          <cell r="D5" t="str">
            <v>R1 G 03</v>
          </cell>
          <cell r="E5" t="str">
            <v>M/S. INVESTOR HOME SOLUTIONS PVT. LTD.</v>
          </cell>
        </row>
        <row r="6">
          <cell r="D6" t="str">
            <v>R1 G 04</v>
          </cell>
          <cell r="E6" t="str">
            <v>M/S. INVESTOR HOME SOLUTIONS PVT. LTD.</v>
          </cell>
        </row>
        <row r="7">
          <cell r="D7" t="str">
            <v>R1 104</v>
          </cell>
          <cell r="E7" t="str">
            <v>Mr. SHAILENDRA KUMAR PANDEY</v>
          </cell>
        </row>
        <row r="8">
          <cell r="D8" t="str">
            <v>R1 112A</v>
          </cell>
          <cell r="E8" t="str">
            <v>Ms. RAJ BALA</v>
          </cell>
        </row>
        <row r="9">
          <cell r="D9" t="str">
            <v>R1 125</v>
          </cell>
          <cell r="E9" t="str">
            <v>Ms. ELEAROSE FRANCO CHOUDHURY</v>
          </cell>
        </row>
        <row r="10">
          <cell r="D10" t="str">
            <v>R1 134</v>
          </cell>
          <cell r="E10" t="str">
            <v>Mr. VIKASH KUMAR</v>
          </cell>
        </row>
        <row r="11">
          <cell r="D11" t="str">
            <v>R1 136</v>
          </cell>
          <cell r="E11" t="str">
            <v>Ms. SUNITA DEVI</v>
          </cell>
        </row>
        <row r="12">
          <cell r="D12" t="str">
            <v>R1 138</v>
          </cell>
          <cell r="E12" t="str">
            <v>Mr. TEJ PAL</v>
          </cell>
        </row>
        <row r="13">
          <cell r="D13" t="str">
            <v>R1 141</v>
          </cell>
          <cell r="E13" t="str">
            <v>Ms. ANITA RANA</v>
          </cell>
        </row>
        <row r="14">
          <cell r="D14" t="str">
            <v>R1 142</v>
          </cell>
          <cell r="E14" t="str">
            <v>Ms. DISHA AGGARWAL</v>
          </cell>
        </row>
        <row r="15">
          <cell r="D15" t="str">
            <v>R1 153</v>
          </cell>
          <cell r="E15" t="str">
            <v>Mr. Parveen Kumar</v>
          </cell>
        </row>
        <row r="16">
          <cell r="D16" t="str">
            <v>R1 158</v>
          </cell>
          <cell r="E16" t="str">
            <v>Ms. SUGANDHA AGGARWAL</v>
          </cell>
        </row>
        <row r="17">
          <cell r="D17" t="str">
            <v>R1 206</v>
          </cell>
          <cell r="E17" t="str">
            <v>Mr. SURESH CHAND</v>
          </cell>
        </row>
        <row r="18">
          <cell r="D18" t="str">
            <v>R1 209</v>
          </cell>
          <cell r="E18" t="str">
            <v>Ms. Anjana Yadav</v>
          </cell>
        </row>
        <row r="19">
          <cell r="D19" t="str">
            <v>R1 210</v>
          </cell>
          <cell r="E19" t="str">
            <v>Ms. MANJU SHARMA</v>
          </cell>
        </row>
        <row r="20">
          <cell r="D20" t="str">
            <v>R1 222</v>
          </cell>
          <cell r="E20" t="str">
            <v>Mr. KOMAL AHUJA</v>
          </cell>
        </row>
        <row r="21">
          <cell r="D21" t="str">
            <v>R1 228</v>
          </cell>
          <cell r="E21" t="str">
            <v>Ms. SUMAN SHARMA</v>
          </cell>
        </row>
        <row r="22">
          <cell r="D22" t="str">
            <v>R1 231</v>
          </cell>
          <cell r="E22" t="str">
            <v>Ms. GARIMA MOHAN</v>
          </cell>
        </row>
        <row r="23">
          <cell r="D23" t="str">
            <v>R1 232</v>
          </cell>
          <cell r="E23" t="str">
            <v>Mr. PRAVEEN KUMAR</v>
          </cell>
        </row>
        <row r="24">
          <cell r="D24" t="str">
            <v>R1 233</v>
          </cell>
          <cell r="E24" t="str">
            <v>Ms. NELLA MANOJ DAVIS</v>
          </cell>
        </row>
        <row r="25">
          <cell r="D25" t="str">
            <v>R1 238</v>
          </cell>
          <cell r="E25" t="str">
            <v>Ms. URMILA SINHA</v>
          </cell>
        </row>
        <row r="26">
          <cell r="D26" t="str">
            <v>R1 239</v>
          </cell>
          <cell r="E26" t="str">
            <v>Mr. PARVEEN CHAWLA</v>
          </cell>
        </row>
        <row r="27">
          <cell r="D27" t="str">
            <v>R1 241</v>
          </cell>
          <cell r="E27" t="str">
            <v>Mr. ATUL KUMAR SETHI</v>
          </cell>
        </row>
        <row r="28">
          <cell r="D28" t="str">
            <v>R1 242</v>
          </cell>
          <cell r="E28" t="str">
            <v>Mr. ABINASH KUMAR</v>
          </cell>
        </row>
        <row r="29">
          <cell r="D29" t="str">
            <v>R1 244</v>
          </cell>
          <cell r="E29" t="str">
            <v>Ms. SOUNDRYA NIDHI SINGH</v>
          </cell>
        </row>
        <row r="30">
          <cell r="D30" t="str">
            <v>R1 256</v>
          </cell>
          <cell r="E30" t="str">
            <v>Ms. DIKSHA GUPTA</v>
          </cell>
        </row>
        <row r="31">
          <cell r="D31" t="str">
            <v>R1 G 07</v>
          </cell>
          <cell r="E31" t="str">
            <v>Ms. SEJAL JAIN</v>
          </cell>
        </row>
        <row r="32">
          <cell r="D32" t="str">
            <v>R1 LG 03</v>
          </cell>
          <cell r="E32" t="str">
            <v>Mr. SURYAVIR SINGH</v>
          </cell>
        </row>
        <row r="33">
          <cell r="D33" t="str">
            <v>R1 LG 04</v>
          </cell>
          <cell r="E33" t="str">
            <v>Mr. Nand Ram Saini</v>
          </cell>
        </row>
        <row r="34">
          <cell r="D34" t="str">
            <v>R1 LG 05</v>
          </cell>
          <cell r="E34" t="str">
            <v>Mr. Vikas Arora</v>
          </cell>
        </row>
        <row r="35">
          <cell r="D35" t="str">
            <v>R1 LG 08</v>
          </cell>
          <cell r="E35" t="str">
            <v>Mr. Chhotu Ram Saini</v>
          </cell>
        </row>
        <row r="36">
          <cell r="D36" t="str">
            <v>R1 LG 09</v>
          </cell>
          <cell r="E36" t="str">
            <v>Ms. ABHA KALRA</v>
          </cell>
        </row>
        <row r="37">
          <cell r="D37" t="str">
            <v>R1 LG 10</v>
          </cell>
          <cell r="E37" t="str">
            <v>Ms. ANITA TOKAS</v>
          </cell>
        </row>
        <row r="38">
          <cell r="D38" t="str">
            <v>R1 LG 23</v>
          </cell>
          <cell r="E38" t="str">
            <v>M/S. Praveensharma Infrabuild Private Limited</v>
          </cell>
        </row>
        <row r="39">
          <cell r="D39" t="str">
            <v>R1 LG 28</v>
          </cell>
          <cell r="E39" t="str">
            <v>Mr. NEERAJ ARORA</v>
          </cell>
        </row>
        <row r="40">
          <cell r="D40" t="str">
            <v>R1 UG 03</v>
          </cell>
          <cell r="E40" t="str">
            <v>Ms. SIMMI MAKKER</v>
          </cell>
        </row>
        <row r="41">
          <cell r="D41" t="str">
            <v>R1 UG 09</v>
          </cell>
          <cell r="E41" t="str">
            <v>Ms. KANCHANA CHAKRABORTY</v>
          </cell>
        </row>
        <row r="42">
          <cell r="D42" t="str">
            <v>R1 UG 15</v>
          </cell>
          <cell r="E42" t="str">
            <v>Ms. MADHU SIKRI</v>
          </cell>
        </row>
        <row r="43">
          <cell r="D43" t="str">
            <v>R2 209</v>
          </cell>
          <cell r="E43" t="str">
            <v>Ms. HEMA PARESH DESAI</v>
          </cell>
        </row>
        <row r="44">
          <cell r="D44" t="str">
            <v>R2 UG 01</v>
          </cell>
          <cell r="E44" t="str">
            <v>Mrs. DOLLY GOEL</v>
          </cell>
        </row>
        <row r="45">
          <cell r="D45" t="str">
            <v>R2 UG 12</v>
          </cell>
          <cell r="E45" t="str">
            <v>Mrs. KAMLESH SOBTI</v>
          </cell>
        </row>
        <row r="46">
          <cell r="D46" t="str">
            <v>R3 LG 26</v>
          </cell>
          <cell r="E46" t="str">
            <v>Mr. MAHENDER SINGH</v>
          </cell>
        </row>
        <row r="47">
          <cell r="D47" t="str">
            <v>R3 LG 33</v>
          </cell>
          <cell r="E47" t="str">
            <v>Ms. SANDEEP KAUR CHANNA</v>
          </cell>
        </row>
        <row r="48">
          <cell r="D48" t="str">
            <v>R3 LG 43</v>
          </cell>
          <cell r="E48" t="str">
            <v>Mr. ANKUR JAIN</v>
          </cell>
        </row>
        <row r="49">
          <cell r="D49" t="str">
            <v>R3 LG 57</v>
          </cell>
          <cell r="E49" t="str">
            <v>Mr. ISHWAR SINGH</v>
          </cell>
        </row>
        <row r="50">
          <cell r="D50" t="str">
            <v>R3 LG 73</v>
          </cell>
          <cell r="E50" t="str">
            <v>Mr. GAURAV DWIVEDI</v>
          </cell>
        </row>
        <row r="51">
          <cell r="D51" t="str">
            <v>R3 UG 08</v>
          </cell>
          <cell r="E51" t="str">
            <v>M/S. Vishnu Kumar HUF</v>
          </cell>
        </row>
        <row r="52">
          <cell r="D52" t="str">
            <v>R3 UG 12A</v>
          </cell>
          <cell r="E52" t="str">
            <v>Mr. JAI SHOKEEN</v>
          </cell>
        </row>
        <row r="53">
          <cell r="D53" t="str">
            <v>R3 UG 28</v>
          </cell>
          <cell r="E53" t="str">
            <v>Ms. VEENA MALIK</v>
          </cell>
        </row>
        <row r="54">
          <cell r="D54" t="str">
            <v>R3 UG 40</v>
          </cell>
          <cell r="E54" t="str">
            <v>Mr. MANDEEP YADAV</v>
          </cell>
        </row>
        <row r="55">
          <cell r="D55" t="str">
            <v>R3 UG 41</v>
          </cell>
          <cell r="E55" t="str">
            <v>Mr. ABHIJIT SINHA</v>
          </cell>
        </row>
        <row r="56">
          <cell r="D56" t="str">
            <v>R4 104</v>
          </cell>
          <cell r="E56" t="str">
            <v>Mr. MANOJ KUMAR SHARMA</v>
          </cell>
        </row>
        <row r="57">
          <cell r="D57" t="str">
            <v>R4 118</v>
          </cell>
          <cell r="E57" t="str">
            <v>Mr. DEEPAK CHAHAL</v>
          </cell>
        </row>
        <row r="58">
          <cell r="D58" t="str">
            <v>R4 123</v>
          </cell>
          <cell r="E58" t="str">
            <v>Ms. Gurpreet Kaur Bhatia</v>
          </cell>
        </row>
        <row r="59">
          <cell r="D59" t="str">
            <v>R4 131</v>
          </cell>
          <cell r="E59" t="str">
            <v>Mr. PANKAJ SAINI</v>
          </cell>
        </row>
        <row r="60">
          <cell r="D60" t="str">
            <v>R4 137</v>
          </cell>
          <cell r="E60" t="str">
            <v>Mr. SURESH KUMAR ARORA</v>
          </cell>
        </row>
        <row r="61">
          <cell r="D61" t="str">
            <v>R4 144</v>
          </cell>
          <cell r="E61" t="str">
            <v>Mr. RAMESH KUMAR SINGH</v>
          </cell>
        </row>
        <row r="62">
          <cell r="D62" t="str">
            <v>R4 145</v>
          </cell>
          <cell r="E62" t="str">
            <v>Ms. SWETA KUMARI</v>
          </cell>
        </row>
        <row r="63">
          <cell r="D63" t="str">
            <v>R4 212A</v>
          </cell>
          <cell r="E63" t="str">
            <v>Mrs. SUMAN JAIN</v>
          </cell>
        </row>
        <row r="64">
          <cell r="D64" t="str">
            <v>R4 219</v>
          </cell>
          <cell r="E64" t="str">
            <v>Ms. Madhu Saini</v>
          </cell>
        </row>
        <row r="65">
          <cell r="D65" t="str">
            <v>R4 224</v>
          </cell>
          <cell r="E65" t="str">
            <v>Mr. SUSHIL MALIK</v>
          </cell>
        </row>
        <row r="66">
          <cell r="D66" t="str">
            <v>R4 228</v>
          </cell>
          <cell r="E66" t="str">
            <v>Ms. SAVITA SINGHAL</v>
          </cell>
        </row>
        <row r="67">
          <cell r="D67" t="str">
            <v>R4 230</v>
          </cell>
          <cell r="E67" t="str">
            <v>Ms. ISHITA SINGHAL</v>
          </cell>
        </row>
        <row r="68">
          <cell r="D68" t="str">
            <v>R4 233</v>
          </cell>
          <cell r="E68" t="str">
            <v>Ms. PRABHATI VARMA</v>
          </cell>
        </row>
        <row r="69">
          <cell r="D69" t="str">
            <v>R4 235</v>
          </cell>
          <cell r="E69" t="str">
            <v>Mr. SATISH CHANDER SAROHA</v>
          </cell>
        </row>
        <row r="70">
          <cell r="D70" t="str">
            <v>R4 236</v>
          </cell>
          <cell r="E70" t="str">
            <v>Mr. MUKESH KUMAR</v>
          </cell>
        </row>
        <row r="71">
          <cell r="D71" t="str">
            <v>R4 238</v>
          </cell>
          <cell r="E71" t="str">
            <v>Mr. SEELAM SINGH TYAGI</v>
          </cell>
        </row>
        <row r="72">
          <cell r="D72" t="str">
            <v>R4 242</v>
          </cell>
          <cell r="E72" t="str">
            <v>Mr. Sunil Kumanna Chougule</v>
          </cell>
        </row>
        <row r="73">
          <cell r="D73" t="str">
            <v>R4 245</v>
          </cell>
          <cell r="E73" t="str">
            <v>Ms. Riya Ganotra</v>
          </cell>
        </row>
        <row r="74">
          <cell r="D74" t="str">
            <v>R4 246</v>
          </cell>
          <cell r="E74" t="str">
            <v>Mr. OM KAILASH</v>
          </cell>
        </row>
        <row r="75">
          <cell r="D75" t="str">
            <v>R4 247</v>
          </cell>
          <cell r="E75" t="str">
            <v>Mr. RAKESH DAHIYA</v>
          </cell>
        </row>
        <row r="76">
          <cell r="D76" t="str">
            <v>R4 248</v>
          </cell>
          <cell r="E76" t="str">
            <v>Ms. MEENA SINGLA</v>
          </cell>
        </row>
        <row r="77">
          <cell r="D77" t="str">
            <v>R4 249</v>
          </cell>
          <cell r="E77" t="str">
            <v>Mr. KULBHUSHAN CHAUDHARY</v>
          </cell>
        </row>
        <row r="78">
          <cell r="D78" t="str">
            <v>R4 G 12A</v>
          </cell>
          <cell r="E78" t="str">
            <v>Ms. POONAM LAKRA</v>
          </cell>
        </row>
        <row r="79">
          <cell r="D79" t="str">
            <v>R4 LG 03</v>
          </cell>
          <cell r="E79" t="str">
            <v>Ms. KAVITA DALAL</v>
          </cell>
        </row>
        <row r="80">
          <cell r="D80" t="str">
            <v>R4 LG 09</v>
          </cell>
          <cell r="E80" t="str">
            <v>Mr. KAPIL GANDHI</v>
          </cell>
        </row>
        <row r="81">
          <cell r="D81" t="str">
            <v>R4 LG 17</v>
          </cell>
          <cell r="E81" t="str">
            <v>Ms. SADHNA SINGH</v>
          </cell>
        </row>
        <row r="82">
          <cell r="D82" t="str">
            <v>R4 LG 19</v>
          </cell>
          <cell r="E82" t="str">
            <v>Mr. RAJINDER SINGH YADAV</v>
          </cell>
        </row>
        <row r="83">
          <cell r="D83" t="str">
            <v>R4 UG 10</v>
          </cell>
          <cell r="E83" t="str">
            <v>Mr. Rajat Terence Richards</v>
          </cell>
        </row>
        <row r="84">
          <cell r="D84" t="str">
            <v>R4 UG 11</v>
          </cell>
          <cell r="E84" t="str">
            <v>Ms. Salvina Richards</v>
          </cell>
        </row>
        <row r="85">
          <cell r="D85" t="str">
            <v>R4 UG 17</v>
          </cell>
          <cell r="E85" t="str">
            <v>Ms. SURABHI MITTAL</v>
          </cell>
        </row>
        <row r="86">
          <cell r="D86" t="str">
            <v>R5 107</v>
          </cell>
          <cell r="E86" t="str">
            <v>Mr. SANJEEV KUMAR</v>
          </cell>
        </row>
        <row r="87">
          <cell r="D87" t="str">
            <v>R5 109</v>
          </cell>
          <cell r="E87" t="str">
            <v>Ms. POOJA KIRAN TAGRA</v>
          </cell>
        </row>
        <row r="88">
          <cell r="D88" t="str">
            <v>R5 111</v>
          </cell>
          <cell r="E88" t="str">
            <v>Ms. GEETA SATYAKUMAR SINGH</v>
          </cell>
        </row>
        <row r="89">
          <cell r="D89" t="str">
            <v>R5 116</v>
          </cell>
          <cell r="E89" t="str">
            <v>M/S. Beauty Inn</v>
          </cell>
        </row>
        <row r="90">
          <cell r="D90" t="str">
            <v>R5 118</v>
          </cell>
          <cell r="E90" t="str">
            <v>Ms. Deepali Malik</v>
          </cell>
        </row>
        <row r="91">
          <cell r="D91" t="str">
            <v>R5 120</v>
          </cell>
          <cell r="E91" t="str">
            <v>Mr. SHALABH MALIK</v>
          </cell>
        </row>
        <row r="92">
          <cell r="D92" t="str">
            <v>R5 125</v>
          </cell>
          <cell r="E92" t="str">
            <v>Mr. Manish Arora</v>
          </cell>
        </row>
        <row r="93">
          <cell r="D93" t="str">
            <v>R5 127</v>
          </cell>
          <cell r="E93" t="str">
            <v>Ms. RENU YADAV</v>
          </cell>
        </row>
        <row r="94">
          <cell r="D94" t="str">
            <v>R5 129</v>
          </cell>
          <cell r="E94" t="str">
            <v>Mr. SHASHANK SHYAM SHARMA</v>
          </cell>
        </row>
        <row r="95">
          <cell r="D95" t="str">
            <v>R5 131</v>
          </cell>
          <cell r="E95" t="str">
            <v>Ms. KANCHAN KAKRAN</v>
          </cell>
        </row>
        <row r="96">
          <cell r="D96" t="str">
            <v>R5 133</v>
          </cell>
          <cell r="E96" t="str">
            <v>Mr. PARVEEN VERMA</v>
          </cell>
        </row>
        <row r="97">
          <cell r="D97" t="str">
            <v>R5 138</v>
          </cell>
          <cell r="E97" t="str">
            <v>Ms. ARTI MALIK</v>
          </cell>
        </row>
        <row r="98">
          <cell r="D98" t="str">
            <v>R5 141</v>
          </cell>
          <cell r="E98" t="str">
            <v>Ms. POONAM SAWHNEY</v>
          </cell>
        </row>
        <row r="99">
          <cell r="D99" t="str">
            <v>R5 144</v>
          </cell>
          <cell r="E99" t="str">
            <v>Ms. PRIYANKA PANDEY</v>
          </cell>
        </row>
        <row r="100">
          <cell r="D100" t="str">
            <v>R5 147</v>
          </cell>
          <cell r="E100" t="str">
            <v>Ms. SARITA DAHIYA</v>
          </cell>
        </row>
        <row r="101">
          <cell r="D101" t="str">
            <v>R5 149</v>
          </cell>
          <cell r="E101" t="str">
            <v>Ms. Sarika Jain</v>
          </cell>
        </row>
        <row r="102">
          <cell r="D102" t="str">
            <v>R5 152</v>
          </cell>
          <cell r="E102" t="str">
            <v>M/S. BLISS INFOSOFT PRIVATE LIMITED</v>
          </cell>
        </row>
        <row r="103">
          <cell r="D103" t="str">
            <v>R5 153</v>
          </cell>
          <cell r="E103" t="str">
            <v>M/S. BLISS INFOSOFT PRIVATE LIMITED</v>
          </cell>
        </row>
        <row r="104">
          <cell r="D104" t="str">
            <v>R5 155</v>
          </cell>
          <cell r="E104" t="str">
            <v>Mr. ASHOK KUMAR</v>
          </cell>
        </row>
        <row r="105">
          <cell r="D105" t="str">
            <v>R5 164</v>
          </cell>
          <cell r="E105" t="str">
            <v>Ms. INDU CHAWLA</v>
          </cell>
        </row>
        <row r="106">
          <cell r="D106" t="str">
            <v>R5 167</v>
          </cell>
          <cell r="E106" t="str">
            <v>Ms. SANGEETA SAINI</v>
          </cell>
        </row>
        <row r="107">
          <cell r="D107" t="str">
            <v>R5 170</v>
          </cell>
          <cell r="E107" t="str">
            <v>Ms. NEELAM SINGH</v>
          </cell>
        </row>
        <row r="108">
          <cell r="D108" t="str">
            <v>R5 201</v>
          </cell>
          <cell r="E108" t="str">
            <v>Ms. MONIKA DEVI</v>
          </cell>
        </row>
        <row r="109">
          <cell r="D109" t="str">
            <v>R5 209</v>
          </cell>
          <cell r="E109" t="str">
            <v>Ms. SAMIDHA SHIKHA</v>
          </cell>
        </row>
        <row r="110">
          <cell r="D110" t="str">
            <v>R5 223</v>
          </cell>
          <cell r="E110" t="str">
            <v>Mrs. RICHA KUMARI</v>
          </cell>
        </row>
        <row r="111">
          <cell r="D111" t="str">
            <v>R5 G 16</v>
          </cell>
          <cell r="E111" t="str">
            <v>Mr. RAJAT KUMAR KHANNA</v>
          </cell>
        </row>
        <row r="112">
          <cell r="D112" t="str">
            <v>R5 G 25</v>
          </cell>
          <cell r="E112" t="str">
            <v>Ms. Sangita Arora</v>
          </cell>
        </row>
        <row r="113">
          <cell r="D113" t="str">
            <v>R5 K 205</v>
          </cell>
          <cell r="E113" t="str">
            <v>Mr. SURINDER KUMAR</v>
          </cell>
        </row>
        <row r="114">
          <cell r="D114" t="str">
            <v>R5 K 209</v>
          </cell>
          <cell r="E114" t="str">
            <v>Ms. NIDHI MEHRA</v>
          </cell>
        </row>
        <row r="115">
          <cell r="D115" t="str">
            <v>R5 K 222</v>
          </cell>
          <cell r="E115" t="str">
            <v>Mr. GAURAV LAKHANPAL</v>
          </cell>
        </row>
        <row r="116">
          <cell r="D116" t="str">
            <v>R5 LG 01</v>
          </cell>
          <cell r="E116" t="str">
            <v>Mr. Pradeep Kumar Jain</v>
          </cell>
        </row>
        <row r="117">
          <cell r="D117" t="str">
            <v>R5 LG 05</v>
          </cell>
          <cell r="E117" t="str">
            <v>Ms. PARUL KUMAR</v>
          </cell>
        </row>
        <row r="118">
          <cell r="D118" t="str">
            <v>R5 LG 37</v>
          </cell>
          <cell r="E118" t="str">
            <v>Mr. VIJAY MAIRA</v>
          </cell>
        </row>
        <row r="119">
          <cell r="D119" t="str">
            <v>R5 LG 39</v>
          </cell>
          <cell r="E119" t="str">
            <v>Mr. ANIL KUMAR</v>
          </cell>
        </row>
        <row r="120">
          <cell r="D120" t="str">
            <v>R5 LG 45</v>
          </cell>
          <cell r="E120" t="str">
            <v>Mr. ANKIT KUMAR</v>
          </cell>
        </row>
        <row r="121">
          <cell r="D121" t="str">
            <v>R5 LG 48</v>
          </cell>
          <cell r="E121" t="str">
            <v>Ms. Sapna</v>
          </cell>
        </row>
        <row r="122">
          <cell r="D122" t="str">
            <v>R5 LG 51</v>
          </cell>
          <cell r="E122" t="str">
            <v>Mr. Bharat Meena</v>
          </cell>
        </row>
        <row r="123">
          <cell r="D123" t="str">
            <v>R5 LG 52</v>
          </cell>
          <cell r="E123" t="str">
            <v>Ms. Asha Meena</v>
          </cell>
        </row>
        <row r="124">
          <cell r="D124" t="str">
            <v>R5 UG 06</v>
          </cell>
          <cell r="E124" t="str">
            <v>Ms. MANISHA SINGHAL</v>
          </cell>
        </row>
        <row r="125">
          <cell r="D125" t="str">
            <v>R5 UG 10</v>
          </cell>
          <cell r="E125" t="str">
            <v>Mr. OM PRAKASH ARORA</v>
          </cell>
        </row>
        <row r="126">
          <cell r="D126" t="str">
            <v>R5 UG 24</v>
          </cell>
          <cell r="E126" t="str">
            <v>Mrs. REKHA RANI</v>
          </cell>
        </row>
        <row r="127">
          <cell r="D127" t="str">
            <v>R5 UG 28</v>
          </cell>
          <cell r="E127" t="str">
            <v>Ms. VIJAY SHREE</v>
          </cell>
        </row>
        <row r="128">
          <cell r="D128" t="str">
            <v>R5 UG 31</v>
          </cell>
          <cell r="E128" t="str">
            <v>Ms. MEGHA GUPTA</v>
          </cell>
        </row>
        <row r="129">
          <cell r="D129" t="str">
            <v>R5 UG 35</v>
          </cell>
          <cell r="E129" t="str">
            <v>Ms. AMARJEET NAMSOT</v>
          </cell>
        </row>
        <row r="130">
          <cell r="D130" t="str">
            <v>R5 UG 36</v>
          </cell>
          <cell r="E130" t="str">
            <v>Ms. SHILPA KUKREJA</v>
          </cell>
        </row>
        <row r="131">
          <cell r="D131" t="str">
            <v>R5 UG 39</v>
          </cell>
          <cell r="E131" t="str">
            <v>Mr. SANDEEP KUMAR</v>
          </cell>
        </row>
        <row r="132">
          <cell r="D132" t="str">
            <v>R5 UG 42</v>
          </cell>
          <cell r="E132" t="str">
            <v>Mr. MRITUNJAY KUMAR SINGH</v>
          </cell>
        </row>
        <row r="133">
          <cell r="D133" t="str">
            <v>R6 124</v>
          </cell>
          <cell r="E133" t="str">
            <v>Mr. SAURABH ARORA</v>
          </cell>
        </row>
        <row r="134">
          <cell r="D134" t="str">
            <v>R6 127</v>
          </cell>
          <cell r="E134" t="str">
            <v>Ms. SANJEETA SEHRAWAT</v>
          </cell>
        </row>
        <row r="135">
          <cell r="D135" t="str">
            <v>R6 206</v>
          </cell>
          <cell r="E135" t="str">
            <v>Mr. Anuj Garg</v>
          </cell>
        </row>
        <row r="136">
          <cell r="D136" t="str">
            <v>R6 217</v>
          </cell>
          <cell r="E136" t="str">
            <v>Mr. NARAIN SINGH</v>
          </cell>
        </row>
        <row r="137">
          <cell r="D137" t="str">
            <v>R6 220</v>
          </cell>
          <cell r="E137" t="str">
            <v>Ms. Mamta Rani</v>
          </cell>
        </row>
        <row r="138">
          <cell r="D138" t="str">
            <v>R6 230</v>
          </cell>
          <cell r="E138" t="str">
            <v>Ms. KIRAN KOUSHAL</v>
          </cell>
        </row>
        <row r="139">
          <cell r="D139" t="str">
            <v>R6 LG 10</v>
          </cell>
          <cell r="E139" t="str">
            <v>Mr. VIKAS YADAV</v>
          </cell>
        </row>
        <row r="140">
          <cell r="D140" t="str">
            <v>R6 LG 20</v>
          </cell>
          <cell r="E140" t="str">
            <v>Mr. JASBIR SINGH LOYAL</v>
          </cell>
        </row>
        <row r="141">
          <cell r="D141" t="str">
            <v>R6 UG 16</v>
          </cell>
          <cell r="E141" t="str">
            <v>Mr. KARAN THUKRAL</v>
          </cell>
        </row>
        <row r="142">
          <cell r="D142" t="str">
            <v>R6 UG 18</v>
          </cell>
          <cell r="E142" t="str">
            <v>Ms. JYOTI KAPOOR</v>
          </cell>
        </row>
        <row r="143">
          <cell r="D143" t="str">
            <v>R6 UG 19</v>
          </cell>
          <cell r="E143" t="str">
            <v>Mr. MOHINDER SINGH VERMA</v>
          </cell>
        </row>
        <row r="144">
          <cell r="D144" t="str">
            <v>R5 LG 22</v>
          </cell>
          <cell r="E144" t="str">
            <v>Mr. Rajul Shrivastava</v>
          </cell>
        </row>
        <row r="145">
          <cell r="D145" t="str">
            <v>R5 140</v>
          </cell>
          <cell r="E145" t="str">
            <v>Ms. Geeta Devi</v>
          </cell>
        </row>
        <row r="146">
          <cell r="D146" t="str">
            <v>R2 108</v>
          </cell>
          <cell r="E146" t="str">
            <v>M/S. Gouri Prasad Das (HUF)</v>
          </cell>
        </row>
        <row r="147">
          <cell r="D147" t="str">
            <v>R1 UG 11</v>
          </cell>
          <cell r="E147" t="str">
            <v>Mr. Rajiv Gupta</v>
          </cell>
        </row>
        <row r="148">
          <cell r="D148" t="str">
            <v>R5 203</v>
          </cell>
          <cell r="E148" t="str">
            <v>Ms. USHA NAYAR</v>
          </cell>
        </row>
        <row r="149">
          <cell r="D149" t="str">
            <v>R6 209</v>
          </cell>
          <cell r="E149" t="str">
            <v>Ms. RENUBALA MADAN</v>
          </cell>
        </row>
        <row r="150">
          <cell r="D150" t="str">
            <v>R3 LG 68</v>
          </cell>
          <cell r="E150" t="str">
            <v>Ms. KULVINDER KAUR</v>
          </cell>
        </row>
        <row r="151">
          <cell r="D151" t="str">
            <v>R4 223</v>
          </cell>
          <cell r="E151" t="str">
            <v>Ms. RISHITA MOHITE</v>
          </cell>
        </row>
        <row r="152">
          <cell r="D152" t="str">
            <v>R5 LG 18</v>
          </cell>
          <cell r="E152" t="str">
            <v>Mrs. VARSHA RANI</v>
          </cell>
        </row>
        <row r="153">
          <cell r="D153" t="str">
            <v>R4 127</v>
          </cell>
          <cell r="E153" t="str">
            <v>Mr. NITIN YADAV</v>
          </cell>
        </row>
        <row r="154">
          <cell r="D154" t="str">
            <v>R3 LG 48</v>
          </cell>
          <cell r="E154" t="str">
            <v>Mr. BIKASH KALITA</v>
          </cell>
        </row>
        <row r="155">
          <cell r="D155" t="str">
            <v>R1 122</v>
          </cell>
          <cell r="E155" t="str">
            <v>Ms. INDIRA YADAV</v>
          </cell>
        </row>
        <row r="156">
          <cell r="D156" t="str">
            <v>R5 UG 25</v>
          </cell>
          <cell r="E156" t="str">
            <v>Ms. SAROJ MANCHANDA</v>
          </cell>
        </row>
        <row r="157">
          <cell r="D157" t="str">
            <v>R3 LG 56</v>
          </cell>
          <cell r="E157" t="str">
            <v>Ms. SUMAN YADAV</v>
          </cell>
        </row>
        <row r="158">
          <cell r="D158" t="str">
            <v>R1 202</v>
          </cell>
          <cell r="E158" t="str">
            <v>Ms. GEETA</v>
          </cell>
        </row>
        <row r="159">
          <cell r="D159" t="str">
            <v>R1 257</v>
          </cell>
          <cell r="E159" t="str">
            <v>Ms. ANITA MANCHANDA</v>
          </cell>
        </row>
        <row r="160">
          <cell r="D160" t="str">
            <v>R4 120</v>
          </cell>
          <cell r="E160" t="str">
            <v>M/S. CONGRUENCE CONSULTING LLP</v>
          </cell>
        </row>
        <row r="161">
          <cell r="D161" t="str">
            <v>R3 LG 50</v>
          </cell>
          <cell r="E161" t="str">
            <v>Ms. AISHWARYA SINGH</v>
          </cell>
        </row>
        <row r="162">
          <cell r="D162" t="str">
            <v>R3 LG 34</v>
          </cell>
          <cell r="E162" t="str">
            <v>Mr. UDAY VIR BENIWAL</v>
          </cell>
        </row>
        <row r="163">
          <cell r="D163" t="str">
            <v>R3 LG 53</v>
          </cell>
          <cell r="E163" t="str">
            <v>Ms. NISHI RATHORE</v>
          </cell>
        </row>
        <row r="164">
          <cell r="D164" t="str">
            <v>R3 LG 86</v>
          </cell>
          <cell r="E164" t="str">
            <v>Mr. Bharat Meena</v>
          </cell>
        </row>
        <row r="165">
          <cell r="D165" t="str">
            <v>R2 102</v>
          </cell>
          <cell r="E165" t="str">
            <v>Mr. Sandeep Narula</v>
          </cell>
        </row>
        <row r="166">
          <cell r="D166" t="str">
            <v>R5 UG 12A</v>
          </cell>
          <cell r="E166" t="str">
            <v>Ms. ROSHNI</v>
          </cell>
        </row>
        <row r="167">
          <cell r="D167" t="str">
            <v>R2 LG 05</v>
          </cell>
          <cell r="E167" t="str">
            <v>Mrs. VANDANA</v>
          </cell>
        </row>
        <row r="168">
          <cell r="D168" t="str">
            <v>R5 K 208</v>
          </cell>
          <cell r="E168" t="str">
            <v>Mr. VIKRAM SHARMA</v>
          </cell>
        </row>
        <row r="169">
          <cell r="D169" t="str">
            <v>R1 254</v>
          </cell>
          <cell r="E169" t="str">
            <v>Mr. ROHAN GOEL</v>
          </cell>
        </row>
        <row r="170">
          <cell r="D170" t="str">
            <v>R4 UG 23</v>
          </cell>
          <cell r="E170" t="str">
            <v>Mr. TABARAK HUSSAIN KHAN</v>
          </cell>
        </row>
        <row r="171">
          <cell r="D171" t="str">
            <v>R5 220</v>
          </cell>
          <cell r="E171" t="str">
            <v>Mr. PULKIT TAYAL</v>
          </cell>
        </row>
        <row r="172">
          <cell r="D172" t="str">
            <v>R5 LG 43</v>
          </cell>
          <cell r="E172" t="str">
            <v>Ms. RAMADEVI BOPPANA</v>
          </cell>
        </row>
        <row r="173">
          <cell r="D173" t="str">
            <v>R5 117</v>
          </cell>
          <cell r="E173" t="str">
            <v>Ms. JASVEEN KHARBANDA</v>
          </cell>
        </row>
        <row r="174">
          <cell r="D174" t="str">
            <v>R5 165</v>
          </cell>
          <cell r="E174" t="str">
            <v>Mr. RAGHAV KAHOL</v>
          </cell>
        </row>
        <row r="175">
          <cell r="D175" t="str">
            <v>R5 K 201</v>
          </cell>
          <cell r="E175" t="str">
            <v>Ms. POOJA GUPTA</v>
          </cell>
        </row>
        <row r="176">
          <cell r="D176" t="str">
            <v>R4 124</v>
          </cell>
          <cell r="E176" t="str">
            <v>Ms. GAYATRI KUNDU</v>
          </cell>
        </row>
        <row r="177">
          <cell r="D177" t="str">
            <v>R1 LG 07</v>
          </cell>
          <cell r="E177" t="str">
            <v>Mr. Tulsi Ram Gupta</v>
          </cell>
        </row>
        <row r="178">
          <cell r="D178" t="str">
            <v>R6 114</v>
          </cell>
          <cell r="E178" t="str">
            <v>Ms. RAJ BALA JAIN</v>
          </cell>
        </row>
        <row r="179">
          <cell r="D179" t="str">
            <v>R1 UG 14</v>
          </cell>
          <cell r="E179" t="str">
            <v>Mr. DEEPINDER SINGH JAGGI</v>
          </cell>
        </row>
        <row r="180">
          <cell r="D180" t="str">
            <v>R5 UG 32</v>
          </cell>
          <cell r="E180" t="str">
            <v>Mr. GAURAV ARORA</v>
          </cell>
        </row>
        <row r="181">
          <cell r="D181" t="str">
            <v>R3 LG 87</v>
          </cell>
          <cell r="E181" t="str">
            <v>Mr. HARISH KUMAR KOCHAR</v>
          </cell>
        </row>
        <row r="182">
          <cell r="D182" t="str">
            <v>R4 134</v>
          </cell>
          <cell r="E182" t="str">
            <v>Mr. NITESH KUNDU</v>
          </cell>
        </row>
        <row r="183">
          <cell r="D183" t="str">
            <v>R6 UG 23</v>
          </cell>
          <cell r="E183" t="str">
            <v>Mr. AMIT TOKAS</v>
          </cell>
        </row>
        <row r="184">
          <cell r="D184" t="str">
            <v>R1 223</v>
          </cell>
          <cell r="E184" t="str">
            <v>Ms. ANITA OJHA</v>
          </cell>
        </row>
        <row r="185">
          <cell r="D185" t="str">
            <v>R6 112</v>
          </cell>
          <cell r="E185" t="str">
            <v>Ms. KUSAM</v>
          </cell>
        </row>
        <row r="186">
          <cell r="D186" t="str">
            <v>R6 207</v>
          </cell>
          <cell r="E186" t="str">
            <v>Mr. CHETAN AGRAWAL</v>
          </cell>
        </row>
        <row r="187">
          <cell r="D187" t="str">
            <v>R6 LG 12A</v>
          </cell>
          <cell r="E187" t="str">
            <v>Ms. Sunita Kajal</v>
          </cell>
        </row>
        <row r="188">
          <cell r="D188" t="str">
            <v>R6 LG 14</v>
          </cell>
          <cell r="E188" t="str">
            <v>M/S. SKETS STUDIO PVT LTD</v>
          </cell>
        </row>
        <row r="189">
          <cell r="D189" t="str">
            <v>R4 LG 05</v>
          </cell>
          <cell r="E189" t="str">
            <v>Ms. Poonam Mehta</v>
          </cell>
        </row>
        <row r="190">
          <cell r="D190" t="str">
            <v>R5 132</v>
          </cell>
          <cell r="E190" t="str">
            <v>Mr. NIRAJ KUMAR CHHABRA</v>
          </cell>
        </row>
        <row r="191">
          <cell r="D191" t="str">
            <v>R5 154</v>
          </cell>
          <cell r="E191" t="str">
            <v>Mr. Nitesh Sharma</v>
          </cell>
        </row>
        <row r="192">
          <cell r="D192" t="str">
            <v>R1 UG 05</v>
          </cell>
          <cell r="E192" t="str">
            <v>Mr. SUMIT KANSAL</v>
          </cell>
        </row>
        <row r="193">
          <cell r="D193" t="str">
            <v>R4 119</v>
          </cell>
          <cell r="E193" t="str">
            <v>Mr. DARSHAN LAL GAURI</v>
          </cell>
        </row>
        <row r="194">
          <cell r="D194" t="str">
            <v>R4 143</v>
          </cell>
          <cell r="E194" t="str">
            <v>Mr. PULKIT GUPTA</v>
          </cell>
        </row>
        <row r="195">
          <cell r="D195" t="str">
            <v>R4 UG 12A</v>
          </cell>
          <cell r="E195" t="str">
            <v>Ms. SARITA SINGH</v>
          </cell>
        </row>
        <row r="196">
          <cell r="D196" t="str">
            <v>R1 LG 14</v>
          </cell>
          <cell r="E196" t="str">
            <v>Ms. SHEELA SHARMA</v>
          </cell>
        </row>
        <row r="197">
          <cell r="D197" t="str">
            <v>R2 UG 10</v>
          </cell>
          <cell r="E197" t="str">
            <v>Mr. ANIL SHARMA</v>
          </cell>
        </row>
        <row r="198">
          <cell r="D198" t="str">
            <v>R5 UG 14</v>
          </cell>
          <cell r="E198" t="str">
            <v>Ms. RITU SETHI</v>
          </cell>
        </row>
        <row r="199">
          <cell r="D199" t="str">
            <v>R6 LG 05</v>
          </cell>
          <cell r="E199" t="str">
            <v>Mr. TARUN JOLLY</v>
          </cell>
        </row>
        <row r="200">
          <cell r="D200" t="str">
            <v>R1 230</v>
          </cell>
          <cell r="E200" t="str">
            <v>Ms. SEEMA ANISH MALHOTRA</v>
          </cell>
        </row>
        <row r="201">
          <cell r="D201" t="str">
            <v>R1 UG 31</v>
          </cell>
          <cell r="E201" t="str">
            <v>Mr. RAJ KUMAR PANWAR</v>
          </cell>
        </row>
        <row r="202">
          <cell r="D202" t="str">
            <v>R1 139</v>
          </cell>
          <cell r="E202" t="str">
            <v>Ms. NISHA SHARMA</v>
          </cell>
        </row>
        <row r="203">
          <cell r="D203" t="str">
            <v>R1 159</v>
          </cell>
          <cell r="E203" t="str">
            <v>Mr. Jitendra Panchal</v>
          </cell>
        </row>
        <row r="204">
          <cell r="D204" t="str">
            <v>R4 121</v>
          </cell>
          <cell r="E204" t="str">
            <v>Ms. RASHMI PANWAR</v>
          </cell>
        </row>
        <row r="205">
          <cell r="D205" t="str">
            <v>R4 UG 02</v>
          </cell>
          <cell r="E205" t="str">
            <v>Ms. Alka Sharma</v>
          </cell>
        </row>
        <row r="206">
          <cell r="D206" t="str">
            <v>R1 124</v>
          </cell>
          <cell r="E206" t="str">
            <v>Mr. SANDEEP BARSAINYA</v>
          </cell>
        </row>
        <row r="207">
          <cell r="D207" t="str">
            <v>R2 205</v>
          </cell>
          <cell r="E207" t="str">
            <v>Ms. GEETA VIJ</v>
          </cell>
        </row>
        <row r="208">
          <cell r="D208" t="str">
            <v>R3 UG 33</v>
          </cell>
          <cell r="E208" t="str">
            <v>Ms. GEETA GUPTA</v>
          </cell>
        </row>
        <row r="209">
          <cell r="D209" t="str">
            <v>R5 UG 03</v>
          </cell>
          <cell r="E209" t="str">
            <v>Mr. Vikas Kumar Sharma</v>
          </cell>
        </row>
        <row r="210">
          <cell r="D210" t="str">
            <v>R1 LG 06</v>
          </cell>
          <cell r="E210" t="str">
            <v>Mr. Tilak Raj Narang</v>
          </cell>
        </row>
        <row r="211">
          <cell r="D211" t="str">
            <v>R6 118</v>
          </cell>
          <cell r="E211" t="str">
            <v>Mr. MANOJ KUMAR GUPTA</v>
          </cell>
        </row>
        <row r="212">
          <cell r="D212" t="str">
            <v>R1 UG 17</v>
          </cell>
          <cell r="E212" t="str">
            <v>Ms. ANJANA JARYAL</v>
          </cell>
        </row>
        <row r="213">
          <cell r="D213" t="str">
            <v>R1 129</v>
          </cell>
          <cell r="E213" t="str">
            <v>Ms. NITA NIJHARA</v>
          </cell>
        </row>
        <row r="214">
          <cell r="D214" t="str">
            <v>R4 LG 06</v>
          </cell>
          <cell r="E214" t="str">
            <v>Ms. SARITA SINGH</v>
          </cell>
        </row>
        <row r="215">
          <cell r="D215" t="str">
            <v>R5 K 212</v>
          </cell>
          <cell r="E215" t="str">
            <v>Ms. PRITTY RAO</v>
          </cell>
        </row>
        <row r="216">
          <cell r="D216" t="str">
            <v>R4 239</v>
          </cell>
          <cell r="E216" t="str">
            <v>M/S. UBUNTU &amp; ORENDA PRIVATE LIMITED</v>
          </cell>
        </row>
        <row r="217">
          <cell r="D217" t="str">
            <v>R1 LG 18</v>
          </cell>
          <cell r="E217" t="str">
            <v>Mr. SIKANDERDEEP SINGH</v>
          </cell>
        </row>
        <row r="218">
          <cell r="D218" t="str">
            <v>R6 119</v>
          </cell>
          <cell r="E218" t="str">
            <v>Ms. SEEMA GUPTA</v>
          </cell>
        </row>
        <row r="219">
          <cell r="D219" t="str">
            <v>R3 LG 12</v>
          </cell>
          <cell r="E219" t="str">
            <v>Ms. NINA NEHRA</v>
          </cell>
        </row>
        <row r="220">
          <cell r="D220" t="str">
            <v>R5 LG 33</v>
          </cell>
          <cell r="E220" t="str">
            <v>Ms. Sunita Yadav</v>
          </cell>
        </row>
        <row r="221">
          <cell r="D221" t="str">
            <v>R2 LG 03</v>
          </cell>
          <cell r="E221" t="str">
            <v>Ms. RATANI DEVI</v>
          </cell>
        </row>
        <row r="222">
          <cell r="D222" t="str">
            <v>R4 136</v>
          </cell>
          <cell r="E222" t="str">
            <v>Mr. SACHIN SHARMA</v>
          </cell>
        </row>
        <row r="223">
          <cell r="D223" t="str">
            <v>R2 103</v>
          </cell>
          <cell r="E223" t="str">
            <v>Mrs. Naveen Narula</v>
          </cell>
        </row>
        <row r="224">
          <cell r="D224" t="str">
            <v>R5 102</v>
          </cell>
          <cell r="E224" t="str">
            <v>Ms. SHALINI GUPTA</v>
          </cell>
        </row>
        <row r="225">
          <cell r="D225" t="str">
            <v>R5 K 214</v>
          </cell>
          <cell r="E225" t="str">
            <v>Mr. BIJENDER KUMAR CHAUHAN</v>
          </cell>
        </row>
        <row r="226">
          <cell r="D226" t="str">
            <v>R5 UG 18</v>
          </cell>
          <cell r="E226" t="str">
            <v>Mr. UDAY SINGH</v>
          </cell>
        </row>
        <row r="227">
          <cell r="D227" t="str">
            <v>R1 UG 24</v>
          </cell>
          <cell r="E227" t="str">
            <v>Mr. MANISH SHOKEEN</v>
          </cell>
        </row>
        <row r="228">
          <cell r="D228" t="str">
            <v>R3 LG 66</v>
          </cell>
          <cell r="E228" t="str">
            <v>Ms. HARSIMRAN TIWANA</v>
          </cell>
        </row>
        <row r="229">
          <cell r="D229" t="str">
            <v>R5 206</v>
          </cell>
          <cell r="E229" t="str">
            <v>Ms. ANJALI SHARMA</v>
          </cell>
        </row>
        <row r="230">
          <cell r="D230" t="str">
            <v>R3 LG 75</v>
          </cell>
          <cell r="E230" t="str">
            <v>Mr. Didar Singh</v>
          </cell>
        </row>
        <row r="231">
          <cell r="D231" t="str">
            <v>R5 LG 36</v>
          </cell>
          <cell r="E231" t="str">
            <v>Mr. MANISH MAHAJAN</v>
          </cell>
        </row>
        <row r="232">
          <cell r="D232" t="str">
            <v>R5 212A</v>
          </cell>
          <cell r="E232" t="str">
            <v>Mr. HARENDRA KUMAR</v>
          </cell>
        </row>
        <row r="233">
          <cell r="D233" t="str">
            <v>R5 143</v>
          </cell>
          <cell r="E233" t="str">
            <v>Mr. VISHAL KAMRA</v>
          </cell>
        </row>
        <row r="234">
          <cell r="D234" t="str">
            <v>R1 246</v>
          </cell>
          <cell r="E234" t="str">
            <v>Mr. Rajiv Kumar</v>
          </cell>
        </row>
        <row r="235">
          <cell r="D235" t="str">
            <v>R5 UG 05</v>
          </cell>
          <cell r="E235" t="str">
            <v>Mr. ASHOK KUMAR WADHAWAN</v>
          </cell>
        </row>
        <row r="236">
          <cell r="D236" t="str">
            <v>R2 202</v>
          </cell>
          <cell r="E236" t="str">
            <v>Mr. HARISH CHANDER BHARTOLA</v>
          </cell>
        </row>
        <row r="237">
          <cell r="D237" t="str">
            <v>R1 120</v>
          </cell>
          <cell r="E237" t="str">
            <v>Mr. SUNIL KAUSHIK</v>
          </cell>
        </row>
        <row r="238">
          <cell r="D238" t="str">
            <v>R3 UG 32</v>
          </cell>
          <cell r="E238" t="str">
            <v>M/S. WORKIFY OFFICES</v>
          </cell>
        </row>
        <row r="239">
          <cell r="D239" t="str">
            <v>R4 UG 08</v>
          </cell>
          <cell r="E239" t="str">
            <v>Mr. BRAHMA NAND HARIT</v>
          </cell>
        </row>
        <row r="240">
          <cell r="D240" t="str">
            <v>R4 UG 07</v>
          </cell>
          <cell r="E240" t="str">
            <v>Ms. JYOTI</v>
          </cell>
        </row>
        <row r="241">
          <cell r="D241" t="str">
            <v>R4 140</v>
          </cell>
          <cell r="E241" t="str">
            <v>Ms. NEELIMA RAJ</v>
          </cell>
        </row>
        <row r="242">
          <cell r="D242" t="str">
            <v>R1 LG 16</v>
          </cell>
          <cell r="E242" t="str">
            <v>Ms. RITA MALIK</v>
          </cell>
        </row>
        <row r="243">
          <cell r="D243" t="str">
            <v>R5 166</v>
          </cell>
          <cell r="E243" t="str">
            <v>Ms. SURBHI VERMA</v>
          </cell>
        </row>
        <row r="244">
          <cell r="D244" t="str">
            <v>R6 LG 17</v>
          </cell>
          <cell r="E244" t="str">
            <v>Mr. NEERAJ KUMAR SINGH TOMAR</v>
          </cell>
        </row>
        <row r="245">
          <cell r="D245" t="str">
            <v>R1 K 305</v>
          </cell>
          <cell r="E245" t="str">
            <v>Mr. HARISH KUMAR DUSEJA</v>
          </cell>
        </row>
        <row r="246">
          <cell r="D246" t="str">
            <v>R1 130</v>
          </cell>
          <cell r="E246" t="str">
            <v>Mr. ANKIT PATEL</v>
          </cell>
        </row>
        <row r="247">
          <cell r="D247" t="str">
            <v>R5 UG 41</v>
          </cell>
          <cell r="E247" t="str">
            <v>Ms. BONDADA LAKSHMI SAILAJA</v>
          </cell>
        </row>
        <row r="248">
          <cell r="D248" t="str">
            <v>R4 210</v>
          </cell>
          <cell r="E248" t="str">
            <v>Mr. ABHINAV GUPTA</v>
          </cell>
        </row>
        <row r="249">
          <cell r="D249" t="str">
            <v>R4 LG 12</v>
          </cell>
          <cell r="E249" t="str">
            <v>Ms. RITU</v>
          </cell>
        </row>
        <row r="250">
          <cell r="D250" t="str">
            <v>R4 206</v>
          </cell>
          <cell r="E250" t="str">
            <v>Ms. SEEMA CHAUDHARY</v>
          </cell>
        </row>
        <row r="251">
          <cell r="D251" t="str">
            <v>R3 UG 04</v>
          </cell>
          <cell r="E251" t="str">
            <v>Ms. ANITA BANSAL</v>
          </cell>
        </row>
        <row r="252">
          <cell r="D252" t="str">
            <v>R3 LG 35</v>
          </cell>
          <cell r="E252" t="str">
            <v>Ms. URVI MALHOTRA</v>
          </cell>
        </row>
        <row r="253">
          <cell r="D253" t="str">
            <v>R6 LG 02</v>
          </cell>
          <cell r="E253" t="str">
            <v>Ms. POONAM</v>
          </cell>
        </row>
        <row r="254">
          <cell r="D254" t="str">
            <v>R1 140</v>
          </cell>
          <cell r="E254" t="str">
            <v>Mr. AMIT TOMAR</v>
          </cell>
        </row>
        <row r="255">
          <cell r="D255" t="str">
            <v>R3 LG 63</v>
          </cell>
          <cell r="E255" t="str">
            <v>Ms. RAJASHREE ROY</v>
          </cell>
        </row>
        <row r="256">
          <cell r="D256" t="str">
            <v>R5 LG 02</v>
          </cell>
          <cell r="E256" t="str">
            <v>Mr. VISHAL GUPTA</v>
          </cell>
        </row>
        <row r="257">
          <cell r="D257" t="str">
            <v>R4 LG 01</v>
          </cell>
          <cell r="E257" t="str">
            <v>Ms. AARTI AGGARWAL</v>
          </cell>
          <cell r="F257" t="str">
            <v>D</v>
          </cell>
        </row>
        <row r="258">
          <cell r="D258" t="str">
            <v>R4 222</v>
          </cell>
          <cell r="E258" t="str">
            <v>Mr. PANKAJ MALIK</v>
          </cell>
        </row>
        <row r="259">
          <cell r="D259" t="str">
            <v>R4 202</v>
          </cell>
          <cell r="E259" t="str">
            <v>Mr. MADAN MOHAN CHAWLA</v>
          </cell>
        </row>
        <row r="260">
          <cell r="D260" t="str">
            <v>R1 K 301</v>
          </cell>
          <cell r="E260" t="str">
            <v>Mr. ARUN KUMAR TYAGI</v>
          </cell>
        </row>
        <row r="261">
          <cell r="D261" t="str">
            <v>R3 UG 23</v>
          </cell>
          <cell r="E261" t="str">
            <v>Mr. AJAY SHARMA</v>
          </cell>
        </row>
        <row r="262">
          <cell r="D262" t="str">
            <v>R4 109</v>
          </cell>
          <cell r="E262" t="str">
            <v>Ms. TANYA SARIN</v>
          </cell>
        </row>
        <row r="263">
          <cell r="D263" t="str">
            <v>R6 LG 01</v>
          </cell>
          <cell r="E263" t="str">
            <v>Ms. NIDHI RAI</v>
          </cell>
        </row>
        <row r="264">
          <cell r="D264" t="str">
            <v>R4 K 305</v>
          </cell>
          <cell r="E264" t="str">
            <v>Ms. KAVITA RANI</v>
          </cell>
        </row>
        <row r="265">
          <cell r="D265" t="str">
            <v>R6 102</v>
          </cell>
          <cell r="E265" t="str">
            <v>Mr. ANIL KANT</v>
          </cell>
        </row>
        <row r="266">
          <cell r="D266" t="str">
            <v>R3 UG 38</v>
          </cell>
          <cell r="E266" t="str">
            <v>Mr. MANOJ CHAWLA</v>
          </cell>
        </row>
        <row r="267">
          <cell r="D267" t="str">
            <v>R4 139</v>
          </cell>
          <cell r="E267" t="str">
            <v>Mr. YOGENDRA BAJPAI</v>
          </cell>
        </row>
        <row r="268">
          <cell r="D268" t="str">
            <v>R6 LG 27</v>
          </cell>
          <cell r="E268" t="str">
            <v>Mr. RAKESH KUMAR</v>
          </cell>
        </row>
        <row r="269">
          <cell r="D269" t="str">
            <v>R1 116</v>
          </cell>
          <cell r="E269" t="str">
            <v>Mr. NARENDER KUMAR GUPTA</v>
          </cell>
        </row>
        <row r="270">
          <cell r="D270" t="str">
            <v>R6 UG 02</v>
          </cell>
          <cell r="E270" t="str">
            <v>Mr. MANISH SHOKEEN</v>
          </cell>
        </row>
        <row r="271">
          <cell r="D271" t="str">
            <v>R2 110</v>
          </cell>
          <cell r="E271" t="str">
            <v>Mr. RAHUL YADAV</v>
          </cell>
        </row>
        <row r="272">
          <cell r="D272" t="str">
            <v>R2 LG 04</v>
          </cell>
          <cell r="E272" t="str">
            <v>Mr. Pranav Sood</v>
          </cell>
        </row>
        <row r="273">
          <cell r="D273" t="str">
            <v>R1 LG 11</v>
          </cell>
          <cell r="E273" t="str">
            <v>Mr. PUSHPENDER SINGH RAJPUROHIT</v>
          </cell>
        </row>
        <row r="274">
          <cell r="D274" t="str">
            <v>R1 LG 22</v>
          </cell>
          <cell r="E274" t="str">
            <v>Mr. MANOJ SRIVASTAVA</v>
          </cell>
        </row>
        <row r="275">
          <cell r="D275" t="str">
            <v>R5 UG 02</v>
          </cell>
          <cell r="E275" t="str">
            <v>Ms. SMITA LAKRA</v>
          </cell>
        </row>
        <row r="276">
          <cell r="D276" t="str">
            <v>R2 LG 02</v>
          </cell>
          <cell r="E276" t="str">
            <v>Mr. SANJAY KUMAR SINHA</v>
          </cell>
        </row>
        <row r="277">
          <cell r="D277" t="str">
            <v>R3 LG 96</v>
          </cell>
          <cell r="E277" t="str">
            <v>Ms. SEEMA KANSAL</v>
          </cell>
        </row>
        <row r="278">
          <cell r="D278" t="str">
            <v>R5 145</v>
          </cell>
          <cell r="E278" t="str">
            <v>Mr. MUKESH KUMAR</v>
          </cell>
        </row>
        <row r="279">
          <cell r="D279" t="str">
            <v>R6 UG 12A</v>
          </cell>
          <cell r="E279" t="str">
            <v>Mr. AMIT SHOKEEN</v>
          </cell>
        </row>
        <row r="280">
          <cell r="D280" t="str">
            <v>R4 LG 29</v>
          </cell>
          <cell r="E280" t="str">
            <v>Mr. HUKAM SINGH VERMA</v>
          </cell>
        </row>
        <row r="281">
          <cell r="D281" t="str">
            <v>R5 207</v>
          </cell>
          <cell r="E281" t="str">
            <v>Mr. AMIT BHATIA</v>
          </cell>
        </row>
        <row r="282">
          <cell r="D282" t="str">
            <v>R5 150</v>
          </cell>
          <cell r="E282" t="str">
            <v>Ms. NIDHI GUPTA</v>
          </cell>
        </row>
        <row r="283">
          <cell r="D283" t="str">
            <v>R5 UG 27</v>
          </cell>
          <cell r="E283" t="str">
            <v>Mr. HARINDER</v>
          </cell>
        </row>
        <row r="284">
          <cell r="D284" t="str">
            <v>R1 127</v>
          </cell>
          <cell r="E284" t="str">
            <v>Mr. BHUPENDER KATARIA</v>
          </cell>
        </row>
        <row r="285">
          <cell r="D285" t="str">
            <v>R5 121</v>
          </cell>
          <cell r="E285" t="str">
            <v>Mr. GHANSHAM DASS MADAN</v>
          </cell>
        </row>
        <row r="286">
          <cell r="D286" t="str">
            <v>R3 UG 05</v>
          </cell>
          <cell r="E286" t="str">
            <v>Mr. AJAY SHARMA</v>
          </cell>
        </row>
        <row r="287">
          <cell r="D287" t="str">
            <v>R1 253</v>
          </cell>
          <cell r="E287" t="str">
            <v>Ms. KALPANA RAY</v>
          </cell>
        </row>
        <row r="288">
          <cell r="D288" t="str">
            <v>R1 243</v>
          </cell>
          <cell r="E288" t="str">
            <v>Mr. SURESH PRASAD PANDEY</v>
          </cell>
        </row>
        <row r="289">
          <cell r="D289" t="str">
            <v>R1 219</v>
          </cell>
          <cell r="E289" t="str">
            <v>Mr. SANJAY SINGH</v>
          </cell>
        </row>
        <row r="290">
          <cell r="D290" t="str">
            <v>R1 UG 16</v>
          </cell>
          <cell r="E290" t="str">
            <v>Dr. PIYUSH RANJAN</v>
          </cell>
        </row>
        <row r="291">
          <cell r="D291" t="str">
            <v>R3 LG 41</v>
          </cell>
          <cell r="E291" t="str">
            <v>Mr. NAVEEN KUMAR MANGLE</v>
          </cell>
        </row>
        <row r="292">
          <cell r="D292" t="str">
            <v>R3 LG 58</v>
          </cell>
          <cell r="E292" t="str">
            <v>Ms. SHARMISTA KOYAL</v>
          </cell>
        </row>
        <row r="293">
          <cell r="D293" t="str">
            <v>R4 129</v>
          </cell>
          <cell r="E293" t="str">
            <v>Mr. ROHIT AGRAWAL</v>
          </cell>
        </row>
        <row r="294">
          <cell r="D294" t="str">
            <v>R5 UG 30</v>
          </cell>
          <cell r="E294" t="str">
            <v>Ms. SONU KALHER</v>
          </cell>
        </row>
        <row r="295">
          <cell r="D295" t="str">
            <v>R6 UG 20</v>
          </cell>
          <cell r="E295" t="str">
            <v>Mr. TAKDIR SINGH</v>
          </cell>
        </row>
        <row r="296">
          <cell r="D296" t="str">
            <v>R6 115</v>
          </cell>
          <cell r="E296" t="str">
            <v>Mr. SUNNY LATHER</v>
          </cell>
        </row>
        <row r="297">
          <cell r="D297" t="str">
            <v>R4 103</v>
          </cell>
          <cell r="E297" t="str">
            <v>Mr. AMIT DOOMRA</v>
          </cell>
        </row>
        <row r="298">
          <cell r="D298" t="str">
            <v>R4 220</v>
          </cell>
          <cell r="E298" t="str">
            <v>Mr. DIWAKAR KUMAR</v>
          </cell>
        </row>
        <row r="299">
          <cell r="D299" t="str">
            <v>R2 UG 06</v>
          </cell>
          <cell r="E299" t="str">
            <v>Ms. Mamta</v>
          </cell>
        </row>
        <row r="300">
          <cell r="D300" t="str">
            <v>R4 225</v>
          </cell>
          <cell r="E300" t="str">
            <v>Ms. RASHMI RATHEE</v>
          </cell>
        </row>
        <row r="301">
          <cell r="D301" t="str">
            <v>R5 UG 12</v>
          </cell>
          <cell r="E301" t="str">
            <v>Ms. RAJESH DEVI</v>
          </cell>
        </row>
        <row r="302">
          <cell r="D302" t="str">
            <v>R5 K 210</v>
          </cell>
          <cell r="E302" t="str">
            <v>Ms. POONAM KUMARI</v>
          </cell>
        </row>
        <row r="303">
          <cell r="D303" t="str">
            <v>R5 151</v>
          </cell>
          <cell r="E303" t="str">
            <v>Ms. SHAKUNTALA</v>
          </cell>
        </row>
        <row r="304">
          <cell r="D304" t="str">
            <v>R3 UG 22</v>
          </cell>
          <cell r="E304" t="str">
            <v>Ms. ASHA TOKAS</v>
          </cell>
        </row>
        <row r="305">
          <cell r="D305" t="str">
            <v>R5 208</v>
          </cell>
          <cell r="E305" t="str">
            <v>Mr. VINOD KUMAR</v>
          </cell>
        </row>
        <row r="306">
          <cell r="D306" t="str">
            <v>R4 K 303</v>
          </cell>
          <cell r="E306" t="str">
            <v>Ms. RUKMANI CHOUDHARY</v>
          </cell>
        </row>
        <row r="307">
          <cell r="D307" t="str">
            <v>R5 UG 17</v>
          </cell>
          <cell r="E307" t="str">
            <v>Mr. KHAJAN CHAND</v>
          </cell>
        </row>
        <row r="308">
          <cell r="D308" t="str">
            <v>R4 229</v>
          </cell>
          <cell r="E308" t="str">
            <v>Ms. MEENA DEVI</v>
          </cell>
        </row>
        <row r="309">
          <cell r="D309" t="str">
            <v>R5 221</v>
          </cell>
          <cell r="E309" t="str">
            <v>Mr. PULKIT TAYAL</v>
          </cell>
        </row>
        <row r="310">
          <cell r="D310" t="str">
            <v>R5 LG 34</v>
          </cell>
          <cell r="E310" t="str">
            <v>Ms. RENU YADAV</v>
          </cell>
        </row>
        <row r="311">
          <cell r="D311" t="str">
            <v>R5 G 20</v>
          </cell>
          <cell r="E311" t="str">
            <v>Mr. LALIT PARSAD GUPTA</v>
          </cell>
        </row>
        <row r="312">
          <cell r="D312" t="str">
            <v>R5 136</v>
          </cell>
          <cell r="E312" t="str">
            <v>Ms. DIVYA SHARMA</v>
          </cell>
        </row>
        <row r="313">
          <cell r="D313" t="str">
            <v>R4 211</v>
          </cell>
          <cell r="E313" t="str">
            <v>Ms. SUMAN LATA YADAV</v>
          </cell>
        </row>
        <row r="314">
          <cell r="D314" t="str">
            <v>R5 128</v>
          </cell>
          <cell r="E314" t="str">
            <v>Mr. KUNAL SAINI</v>
          </cell>
        </row>
        <row r="315">
          <cell r="D315" t="str">
            <v>R1 204</v>
          </cell>
          <cell r="E315" t="str">
            <v>Ms. ANURADHA TANKHA</v>
          </cell>
        </row>
        <row r="316">
          <cell r="D316" t="str">
            <v>R5 G 11</v>
          </cell>
          <cell r="E316" t="str">
            <v>Mr. PRADEEP KUMAR</v>
          </cell>
        </row>
        <row r="317">
          <cell r="D317" t="str">
            <v>R3 LG 62</v>
          </cell>
          <cell r="E317" t="str">
            <v>Ms. Neelam Sharma</v>
          </cell>
        </row>
        <row r="318">
          <cell r="D318" t="str">
            <v>R6 UG 06</v>
          </cell>
          <cell r="E318" t="str">
            <v>Ms. Madhu Jha</v>
          </cell>
        </row>
        <row r="319">
          <cell r="D319" t="str">
            <v>R5 114</v>
          </cell>
          <cell r="E319" t="str">
            <v>Mr. DEEPINDER SINGH</v>
          </cell>
        </row>
        <row r="320">
          <cell r="D320" t="str">
            <v>R1 LG 27</v>
          </cell>
          <cell r="E320" t="str">
            <v>Mr. AMANDEEP SINGH</v>
          </cell>
        </row>
        <row r="321">
          <cell r="D321" t="str">
            <v>R5 UG 26</v>
          </cell>
          <cell r="E321" t="str">
            <v>Mr. NEERAJ KHURANA</v>
          </cell>
        </row>
        <row r="322">
          <cell r="D322" t="str">
            <v>R5 157</v>
          </cell>
          <cell r="E322" t="str">
            <v>Ms. SHIPRA JAIN</v>
          </cell>
        </row>
        <row r="323">
          <cell r="D323" t="str">
            <v>R1 146</v>
          </cell>
          <cell r="E323" t="str">
            <v>Ms. NEHA RANI</v>
          </cell>
        </row>
        <row r="324">
          <cell r="D324" t="str">
            <v>R5 LG 15</v>
          </cell>
          <cell r="E324" t="str">
            <v>Mr. ANISH MALHOTRA</v>
          </cell>
        </row>
        <row r="325">
          <cell r="D325" t="str">
            <v>R4 G 07</v>
          </cell>
          <cell r="E325" t="str">
            <v>Mr. SAHIL POPLI</v>
          </cell>
        </row>
        <row r="326">
          <cell r="D326" t="str">
            <v>R6 UG 04</v>
          </cell>
          <cell r="E326" t="str">
            <v>Ms. RIMPY KAKKAR</v>
          </cell>
        </row>
        <row r="327">
          <cell r="D327" t="str">
            <v>R4 LG 30</v>
          </cell>
          <cell r="E327" t="str">
            <v>Ms. HEMLATA</v>
          </cell>
        </row>
        <row r="328">
          <cell r="D328" t="str">
            <v>R3 LG 45</v>
          </cell>
          <cell r="E328" t="str">
            <v>Ms. Namita Kumari</v>
          </cell>
        </row>
        <row r="329">
          <cell r="D329" t="str">
            <v>R4 UG 05</v>
          </cell>
          <cell r="E329" t="str">
            <v>Ms. SUNDIPIKA WAHAL</v>
          </cell>
        </row>
        <row r="330">
          <cell r="D330" t="str">
            <v>R3 UG 35</v>
          </cell>
          <cell r="E330" t="str">
            <v>Ms. HINA</v>
          </cell>
          <cell r="F330" t="str">
            <v>D</v>
          </cell>
        </row>
        <row r="331">
          <cell r="D331" t="str">
            <v>R5 162</v>
          </cell>
          <cell r="E331" t="str">
            <v>Ms. SUSHEELA</v>
          </cell>
          <cell r="F331" t="str">
            <v>D</v>
          </cell>
        </row>
        <row r="332">
          <cell r="D332" t="str">
            <v>R3 LG 60</v>
          </cell>
          <cell r="E332" t="str">
            <v>Mr. NIKUNJ DUTT</v>
          </cell>
          <cell r="F332" t="str">
            <v>D</v>
          </cell>
        </row>
        <row r="333">
          <cell r="D333" t="str">
            <v>R6 LG 30</v>
          </cell>
          <cell r="E333" t="str">
            <v>Ms. SUNILA KUMARI JAKHAR</v>
          </cell>
          <cell r="F333" t="str">
            <v>D</v>
          </cell>
        </row>
        <row r="334">
          <cell r="D334" t="str">
            <v>R3 LG 69</v>
          </cell>
          <cell r="E334" t="str">
            <v>Mr. ARUN</v>
          </cell>
          <cell r="F334" t="str">
            <v>D</v>
          </cell>
        </row>
        <row r="335">
          <cell r="D335" t="str">
            <v>R5 134</v>
          </cell>
          <cell r="E335" t="str">
            <v>Mr. MOHIT SHARMA</v>
          </cell>
          <cell r="F335" t="str">
            <v>D</v>
          </cell>
        </row>
        <row r="336">
          <cell r="D336" t="str">
            <v>R1 137</v>
          </cell>
          <cell r="E336" t="str">
            <v>Mr. SUKHWINDER SINGH</v>
          </cell>
          <cell r="F336" t="str">
            <v>D</v>
          </cell>
        </row>
        <row r="337">
          <cell r="D337" t="str">
            <v>R5 UG 29</v>
          </cell>
          <cell r="E337" t="str">
            <v>Ms. SUMITRA DEVI</v>
          </cell>
          <cell r="F337" t="str">
            <v>D</v>
          </cell>
          <cell r="G337" t="str">
            <v>D</v>
          </cell>
        </row>
        <row r="338">
          <cell r="D338" t="str">
            <v>R5 K 212A</v>
          </cell>
          <cell r="E338" t="str">
            <v>Ms. SAROJ</v>
          </cell>
          <cell r="F338" t="str">
            <v>D</v>
          </cell>
        </row>
        <row r="339">
          <cell r="D339" t="str">
            <v>R6 UG 12</v>
          </cell>
          <cell r="E339" t="str">
            <v>Ms. SUNITA SHARMA</v>
          </cell>
          <cell r="F339" t="str">
            <v>D</v>
          </cell>
        </row>
        <row r="340">
          <cell r="D340" t="str">
            <v>R5 UG 37</v>
          </cell>
          <cell r="E340" t="str">
            <v>Ms. APARNA</v>
          </cell>
          <cell r="F340" t="str">
            <v>D</v>
          </cell>
        </row>
        <row r="341">
          <cell r="D341" t="str">
            <v>R5 K 204</v>
          </cell>
          <cell r="E341" t="str">
            <v>Ms. SANTOSH</v>
          </cell>
          <cell r="F341" t="str">
            <v>D</v>
          </cell>
        </row>
        <row r="342">
          <cell r="D342" t="str">
            <v>R5 LG 28</v>
          </cell>
          <cell r="E342" t="str">
            <v>Ms. SHALINI SHUKLA</v>
          </cell>
          <cell r="F342" t="str">
            <v>D</v>
          </cell>
        </row>
        <row r="343">
          <cell r="D343" t="str">
            <v>R2 201</v>
          </cell>
          <cell r="E343" t="str">
            <v>Ms. KAMLESH PHALSWAL</v>
          </cell>
          <cell r="F343" t="str">
            <v>D</v>
          </cell>
        </row>
        <row r="344">
          <cell r="D344" t="str">
            <v>R1 123</v>
          </cell>
          <cell r="E344" t="str">
            <v>Mr. RADHEY SHYAM</v>
          </cell>
          <cell r="F344" t="str">
            <v>D</v>
          </cell>
        </row>
        <row r="345">
          <cell r="D345" t="str">
            <v>R1 133</v>
          </cell>
          <cell r="E345" t="str">
            <v>Ms. MEENU</v>
          </cell>
          <cell r="F345" t="str">
            <v>D</v>
          </cell>
        </row>
        <row r="346">
          <cell r="D346" t="str">
            <v>R5 202</v>
          </cell>
          <cell r="E346" t="str">
            <v>Ms. VANDANA KHUTEL</v>
          </cell>
          <cell r="F346" t="str">
            <v>D</v>
          </cell>
        </row>
        <row r="347">
          <cell r="D347" t="str">
            <v>R5 222</v>
          </cell>
          <cell r="E347" t="str">
            <v>Ms. KANCHAN JAIN</v>
          </cell>
          <cell r="F347" t="str">
            <v>D</v>
          </cell>
        </row>
        <row r="348">
          <cell r="D348" t="str">
            <v>R2 UG 03</v>
          </cell>
          <cell r="E348" t="str">
            <v>Mr. VINAY STEPHEN SINGH</v>
          </cell>
          <cell r="F348" t="str">
            <v>D</v>
          </cell>
        </row>
        <row r="349">
          <cell r="D349" t="str">
            <v>R4 218</v>
          </cell>
          <cell r="E349" t="str">
            <v>Mr. MAHENDER SUKHIJA</v>
          </cell>
          <cell r="F349" t="str">
            <v>D</v>
          </cell>
        </row>
        <row r="350">
          <cell r="D350" t="str">
            <v>R6 UG 26</v>
          </cell>
          <cell r="E350" t="str">
            <v>Mr. RITESH AWTANEY</v>
          </cell>
          <cell r="F350" t="str">
            <v>D</v>
          </cell>
        </row>
        <row r="351">
          <cell r="D351" t="str">
            <v>R6 219</v>
          </cell>
          <cell r="E351" t="str">
            <v>Mr. DEEPAK GUPTA</v>
          </cell>
          <cell r="F351" t="str">
            <v>D</v>
          </cell>
        </row>
        <row r="352">
          <cell r="D352" t="str">
            <v>R1 105</v>
          </cell>
          <cell r="E352" t="str">
            <v>Mr. AVULA ANIL KUMAR</v>
          </cell>
          <cell r="F352" t="str">
            <v>D</v>
          </cell>
        </row>
        <row r="353">
          <cell r="D353" t="str">
            <v>R2 UG 02</v>
          </cell>
          <cell r="E353" t="str">
            <v>Mr. SUDERSHAN ARORA</v>
          </cell>
          <cell r="F353" t="str">
            <v>D</v>
          </cell>
        </row>
        <row r="354">
          <cell r="D354" t="str">
            <v>R2 UG 05</v>
          </cell>
          <cell r="E354" t="str">
            <v>Ms. GURPREET KAUR</v>
          </cell>
          <cell r="F354" t="str">
            <v>D</v>
          </cell>
        </row>
        <row r="355">
          <cell r="D355" t="str">
            <v>R6 132</v>
          </cell>
          <cell r="E355" t="str">
            <v>Ms. JYOTI</v>
          </cell>
        </row>
        <row r="356">
          <cell r="D356" t="str">
            <v>R5 172</v>
          </cell>
          <cell r="E356" t="str">
            <v>Mr. TANISHQ UPADHAYAY</v>
          </cell>
        </row>
        <row r="357">
          <cell r="D357" t="str">
            <v>R4 116</v>
          </cell>
          <cell r="E357" t="str">
            <v>Ms. PINKI</v>
          </cell>
        </row>
        <row r="358">
          <cell r="D358" t="str">
            <v>R5 110</v>
          </cell>
          <cell r="E358" t="str">
            <v>Mr. PRASHANT VASHISTH</v>
          </cell>
        </row>
        <row r="359">
          <cell r="D359" t="str">
            <v>R5 LG 03</v>
          </cell>
          <cell r="E359" t="str">
            <v>Ms. BIMLA KUMARI</v>
          </cell>
        </row>
        <row r="360">
          <cell r="D360" t="str">
            <v>R5 K 302</v>
          </cell>
          <cell r="E360" t="str">
            <v>Mr. BRIJESH KUMAR JAIN</v>
          </cell>
        </row>
        <row r="361">
          <cell r="D361" t="str">
            <v>R5 159</v>
          </cell>
          <cell r="E361" t="str">
            <v>Ms. SAVITA YADAV</v>
          </cell>
        </row>
        <row r="362">
          <cell r="D362" t="str">
            <v>R4 138</v>
          </cell>
          <cell r="E362" t="str">
            <v>Mr. RAKESH KUMAR</v>
          </cell>
        </row>
        <row r="363">
          <cell r="D363" t="str">
            <v>R5 LG 27</v>
          </cell>
          <cell r="E363" t="str">
            <v>Mr. PAWAN SONI</v>
          </cell>
        </row>
        <row r="364">
          <cell r="D364" t="str">
            <v>R3 LG 90</v>
          </cell>
          <cell r="E364" t="str">
            <v>Ms. MONIKA GUPTA</v>
          </cell>
        </row>
        <row r="365">
          <cell r="D365" t="str">
            <v>R6 205</v>
          </cell>
          <cell r="E365" t="str">
            <v>Mr. PANKAJ MALIK</v>
          </cell>
        </row>
        <row r="366">
          <cell r="D366" t="str">
            <v>R4 LG 26</v>
          </cell>
          <cell r="E366" t="str">
            <v>Ms. ANITA</v>
          </cell>
        </row>
        <row r="367">
          <cell r="D367" t="str">
            <v>R6 UG 28</v>
          </cell>
          <cell r="E367" t="str">
            <v>Mr. SUNIL SINGH NEGI</v>
          </cell>
        </row>
        <row r="368">
          <cell r="D368" t="str">
            <v>R3 LG 40</v>
          </cell>
          <cell r="E368" t="str">
            <v>Ms. Namita Kumari</v>
          </cell>
        </row>
        <row r="369">
          <cell r="D369" t="str">
            <v>R5 K 221</v>
          </cell>
          <cell r="E369" t="str">
            <v>Ms. SIMRAN</v>
          </cell>
        </row>
        <row r="370">
          <cell r="D370" t="str">
            <v>R1 252</v>
          </cell>
          <cell r="E370" t="str">
            <v>Mr. VED PRAKASH YADAV</v>
          </cell>
        </row>
        <row r="371">
          <cell r="D371" t="str">
            <v>R3 LG 31</v>
          </cell>
          <cell r="E371" t="str">
            <v>Ms. MAMTA SHARAN</v>
          </cell>
        </row>
        <row r="372">
          <cell r="D372" t="str">
            <v>R1 207</v>
          </cell>
          <cell r="E372" t="str">
            <v>Ms. ALKA RANI</v>
          </cell>
        </row>
        <row r="373">
          <cell r="D373" t="str">
            <v>R6 123</v>
          </cell>
          <cell r="E373" t="str">
            <v>Mr. KEDAR NATH PANDEY</v>
          </cell>
        </row>
        <row r="374">
          <cell r="D374" t="str">
            <v>R4 UG 14</v>
          </cell>
          <cell r="E374" t="str">
            <v>Ms. SUSHMA RANI</v>
          </cell>
        </row>
        <row r="375">
          <cell r="D375" t="str">
            <v>R4 UG 15</v>
          </cell>
          <cell r="E375" t="str">
            <v>Mr. MAHESH SHANKLA</v>
          </cell>
        </row>
        <row r="376">
          <cell r="D376" t="str">
            <v>R6 UG 24</v>
          </cell>
          <cell r="E376" t="str">
            <v>Mr. VIJAY KUMAR SHARMA</v>
          </cell>
        </row>
        <row r="377">
          <cell r="D377" t="str">
            <v>R4 204</v>
          </cell>
          <cell r="E377" t="str">
            <v>Ms. Asha Meena</v>
          </cell>
        </row>
        <row r="378">
          <cell r="D378" t="str">
            <v>R1 224</v>
          </cell>
          <cell r="E378" t="str">
            <v>Ms. SONIYA MALIK</v>
          </cell>
        </row>
        <row r="379">
          <cell r="D379" t="str">
            <v>R5 K 224</v>
          </cell>
          <cell r="E379" t="str">
            <v>Ms. NEENA</v>
          </cell>
        </row>
        <row r="380">
          <cell r="D380" t="str">
            <v>R6 224</v>
          </cell>
          <cell r="E380" t="str">
            <v>Ms. EKTA KATARIA</v>
          </cell>
        </row>
        <row r="381">
          <cell r="D381" t="str">
            <v>R4 122</v>
          </cell>
          <cell r="E381" t="str">
            <v>Ms. MONIKA</v>
          </cell>
        </row>
        <row r="382">
          <cell r="D382" t="str">
            <v>R4 237</v>
          </cell>
          <cell r="E382" t="str">
            <v>Mr. RAJAN ANAND</v>
          </cell>
        </row>
        <row r="383">
          <cell r="D383" t="str">
            <v>R6 UG 01</v>
          </cell>
          <cell r="E383" t="str">
            <v>Mr. SAURAV GUPTA</v>
          </cell>
        </row>
        <row r="384">
          <cell r="D384" t="str">
            <v>R3 LG 79</v>
          </cell>
          <cell r="E384" t="str">
            <v>Mr. SANJAY MATHUR</v>
          </cell>
        </row>
        <row r="385">
          <cell r="D385" t="str">
            <v>R3 UG 31</v>
          </cell>
          <cell r="E385" t="str">
            <v>Ms. NITIKA JETLEY</v>
          </cell>
        </row>
        <row r="386">
          <cell r="D386" t="str">
            <v>R5 UG 40</v>
          </cell>
          <cell r="E386" t="str">
            <v>Ms. RAJNI AGARWAL</v>
          </cell>
        </row>
        <row r="387">
          <cell r="D387" t="str">
            <v>R5 158</v>
          </cell>
          <cell r="E387" t="str">
            <v>Mr. VED PARKASH</v>
          </cell>
        </row>
        <row r="388">
          <cell r="D388" t="str">
            <v>R5 LG 11</v>
          </cell>
          <cell r="E388" t="str">
            <v>Mr. ALOK KUMAR AGGARWAL</v>
          </cell>
        </row>
        <row r="389">
          <cell r="D389" t="str">
            <v>R5 LG 30</v>
          </cell>
          <cell r="E389" t="str">
            <v>Mr. DHARMENDER YADAV</v>
          </cell>
        </row>
        <row r="390">
          <cell r="D390" t="str">
            <v>R2 208</v>
          </cell>
          <cell r="E390" t="str">
            <v>Ms. JASMINE SHARMA</v>
          </cell>
        </row>
        <row r="391">
          <cell r="D391" t="str">
            <v>R6 116</v>
          </cell>
          <cell r="E391" t="str">
            <v>Ms. KAVITA NIKHIL GUPTA</v>
          </cell>
        </row>
        <row r="392">
          <cell r="D392" t="str">
            <v>R3 LG 51</v>
          </cell>
          <cell r="E392" t="str">
            <v>Mr ANIRUDH KAPOOR</v>
          </cell>
        </row>
        <row r="393">
          <cell r="D393" t="str">
            <v>R5 226</v>
          </cell>
          <cell r="E393" t="str">
            <v>Mr. Uday Singh Shekhawat</v>
          </cell>
        </row>
        <row r="394">
          <cell r="D394" t="str">
            <v>R1 UG 02</v>
          </cell>
          <cell r="E394" t="str">
            <v>Mr. ASHISH PATIAL</v>
          </cell>
        </row>
        <row r="395">
          <cell r="D395" t="str">
            <v>R6 218</v>
          </cell>
          <cell r="E395" t="str">
            <v>Ms. CHAVI AGGARWAL</v>
          </cell>
        </row>
        <row r="396">
          <cell r="D396" t="str">
            <v>R5 LG 09</v>
          </cell>
          <cell r="E396" t="str">
            <v>Ms. POOJA MITTAL</v>
          </cell>
        </row>
        <row r="397">
          <cell r="D397" t="str">
            <v>R6 UG 03</v>
          </cell>
          <cell r="E397" t="str">
            <v>Ms. GUNJAN JAIN</v>
          </cell>
        </row>
        <row r="398">
          <cell r="D398" t="str">
            <v>R5 168</v>
          </cell>
          <cell r="E398" t="str">
            <v>Mr. HARISH PRAKASH</v>
          </cell>
        </row>
        <row r="399">
          <cell r="D399" t="str">
            <v>R1 110</v>
          </cell>
          <cell r="E399" t="str">
            <v>Mr. DEVENDER KUMAR</v>
          </cell>
        </row>
        <row r="400">
          <cell r="D400" t="str">
            <v>R3 LG 37</v>
          </cell>
          <cell r="E400" t="str">
            <v>Ms. PREETI NAIR M</v>
          </cell>
        </row>
        <row r="401">
          <cell r="D401" t="str">
            <v>R4 128</v>
          </cell>
          <cell r="E401" t="str">
            <v>Ms. SHANTI DEVI SEHRA</v>
          </cell>
        </row>
        <row r="402">
          <cell r="D402" t="str">
            <v>R5 225</v>
          </cell>
          <cell r="E402" t="str">
            <v>Ms. KANIKA KAPIL</v>
          </cell>
        </row>
        <row r="403">
          <cell r="D403" t="str">
            <v>R4 215</v>
          </cell>
          <cell r="E403" t="str">
            <v>Mr. YATIN SEHGAL</v>
          </cell>
        </row>
        <row r="404">
          <cell r="D404" t="str">
            <v>R4 132</v>
          </cell>
          <cell r="E404" t="str">
            <v>Ms. VEENA SHARMA</v>
          </cell>
        </row>
        <row r="405">
          <cell r="D405" t="str">
            <v>R5 210</v>
          </cell>
          <cell r="E405" t="str">
            <v>Mr. SANKRANT SANU</v>
          </cell>
        </row>
        <row r="406">
          <cell r="D406" t="str">
            <v>R5 LG 12</v>
          </cell>
          <cell r="E406" t="str">
            <v>Ms. RENU AGGARWAL</v>
          </cell>
        </row>
        <row r="407">
          <cell r="D407" t="str">
            <v>R3 LG 39</v>
          </cell>
          <cell r="E407" t="str">
            <v>Ms. ANSHIKA SOLANKI</v>
          </cell>
        </row>
        <row r="408">
          <cell r="D408" t="str">
            <v>R6 216</v>
          </cell>
          <cell r="E408" t="str">
            <v>Mr. PAVNENDRA BHADAURIA</v>
          </cell>
        </row>
        <row r="409">
          <cell r="D409" t="str">
            <v>R2 105</v>
          </cell>
          <cell r="E409" t="str">
            <v>Mr. Sohan Singh Kadian</v>
          </cell>
        </row>
        <row r="410">
          <cell r="D410" t="str">
            <v>R6 226</v>
          </cell>
          <cell r="E410" t="str">
            <v>Ms. RAJESH KUMARI RATHEE</v>
          </cell>
        </row>
        <row r="411">
          <cell r="D411" t="str">
            <v>R5 171</v>
          </cell>
          <cell r="E411" t="str">
            <v>Mr. RAJESH KUMAR SANSANWAL</v>
          </cell>
        </row>
        <row r="412">
          <cell r="D412" t="str">
            <v>R3 UG 14</v>
          </cell>
          <cell r="E412" t="str">
            <v>Ms. PRITI JAIN</v>
          </cell>
        </row>
        <row r="413">
          <cell r="D413" t="str">
            <v>R5 212</v>
          </cell>
          <cell r="E413" t="str">
            <v>Ms. MEENA CHANDRA</v>
          </cell>
        </row>
        <row r="414">
          <cell r="D414" t="str">
            <v>R1 234</v>
          </cell>
          <cell r="E414" t="str">
            <v>Mr. MAHINDER KUMAR HANS</v>
          </cell>
        </row>
        <row r="415">
          <cell r="D415" t="str">
            <v>R4 G 02</v>
          </cell>
          <cell r="E415" t="str">
            <v>Ms. SWATI MAHAJAN</v>
          </cell>
        </row>
        <row r="416">
          <cell r="D416" t="str">
            <v>R4 130</v>
          </cell>
          <cell r="E416" t="str">
            <v>Mr. MURARI LAL GUPTA</v>
          </cell>
        </row>
        <row r="417">
          <cell r="D417" t="str">
            <v>R5 LG 46</v>
          </cell>
          <cell r="E417" t="str">
            <v>Ms. AANCHAL RASTOGI</v>
          </cell>
        </row>
        <row r="418">
          <cell r="D418" t="str">
            <v>R5 215</v>
          </cell>
          <cell r="E418" t="str">
            <v>Mr. SUNDEEP GUPTA</v>
          </cell>
        </row>
        <row r="419">
          <cell r="D419" t="str">
            <v>R3 LG 14</v>
          </cell>
          <cell r="E419" t="str">
            <v>Mr. SANJEEV BAHL</v>
          </cell>
        </row>
        <row r="420">
          <cell r="D420" t="str">
            <v>R3 LG 30</v>
          </cell>
          <cell r="E420" t="str">
            <v>Mr. SATINDER PAL SINGH KOHLI</v>
          </cell>
        </row>
        <row r="421">
          <cell r="D421" t="str">
            <v>R3 LG 36</v>
          </cell>
          <cell r="E421" t="str">
            <v>Ms. RAJNEESH KAUR KOHLI</v>
          </cell>
        </row>
        <row r="422">
          <cell r="D422" t="str">
            <v>R4 243</v>
          </cell>
          <cell r="E422" t="str">
            <v>Ms. NEELAM</v>
          </cell>
        </row>
        <row r="423">
          <cell r="D423" t="str">
            <v>R4 212</v>
          </cell>
          <cell r="E423" t="str">
            <v>Ms. KAVITA RANA</v>
          </cell>
        </row>
        <row r="424">
          <cell r="D424" t="str">
            <v>R4 221</v>
          </cell>
          <cell r="E424" t="str">
            <v>Mr. SURAJ BHAN</v>
          </cell>
        </row>
        <row r="425">
          <cell r="D425" t="str">
            <v>R4 UG 24</v>
          </cell>
          <cell r="E425" t="str">
            <v>Mr. SUNIL KUMAR</v>
          </cell>
        </row>
        <row r="426">
          <cell r="D426" t="str">
            <v>R1 LG 25</v>
          </cell>
          <cell r="E426" t="str">
            <v>Ms. JYOTI</v>
          </cell>
        </row>
        <row r="427">
          <cell r="D427" t="str">
            <v>R1 103</v>
          </cell>
          <cell r="E427" t="str">
            <v>Mr. RAKESH KUMAR VERMA</v>
          </cell>
        </row>
        <row r="428">
          <cell r="D428" t="str">
            <v>R5 LG 21</v>
          </cell>
          <cell r="E428" t="str">
            <v>Ms. Neha Nagpal</v>
          </cell>
        </row>
        <row r="429">
          <cell r="D429" t="str">
            <v>R1 155</v>
          </cell>
          <cell r="E429" t="str">
            <v>Ms. ANITA</v>
          </cell>
        </row>
        <row r="430">
          <cell r="D430" t="str">
            <v>R5 K 216</v>
          </cell>
          <cell r="E430" t="str">
            <v>Ms. RITIKA</v>
          </cell>
        </row>
        <row r="431">
          <cell r="D431" t="str">
            <v>R6 214</v>
          </cell>
          <cell r="E431" t="str">
            <v>Ms. SONIA SANGA</v>
          </cell>
        </row>
        <row r="432">
          <cell r="D432" t="str">
            <v>R1 211</v>
          </cell>
          <cell r="E432" t="str">
            <v>Ms. ANUPRIYA</v>
          </cell>
        </row>
        <row r="433">
          <cell r="D433" t="str">
            <v>R1 240</v>
          </cell>
          <cell r="E433" t="str">
            <v>Ms. RAJANI MEENA</v>
          </cell>
        </row>
        <row r="434">
          <cell r="D434" t="str">
            <v>R5 169</v>
          </cell>
          <cell r="E434" t="str">
            <v>Mr. ROHIT SHARMA</v>
          </cell>
        </row>
        <row r="435">
          <cell r="D435" t="str">
            <v>R1 LG 02</v>
          </cell>
          <cell r="E435" t="str">
            <v>Ms. Upasna Sohlot</v>
          </cell>
        </row>
        <row r="436">
          <cell r="D436" t="str">
            <v>R4 UG 06</v>
          </cell>
          <cell r="E436" t="str">
            <v>Mr. AMIT KUMAR SINGH</v>
          </cell>
        </row>
        <row r="437">
          <cell r="D437" t="str">
            <v>R5 K 218</v>
          </cell>
          <cell r="E437" t="str">
            <v>Ms. ARUNA YADAV</v>
          </cell>
        </row>
        <row r="438">
          <cell r="D438" t="str">
            <v>R5 LG 38</v>
          </cell>
          <cell r="E438" t="str">
            <v>Mr. SANDEEP JAIN</v>
          </cell>
        </row>
        <row r="439">
          <cell r="D439" t="str">
            <v>R1 214</v>
          </cell>
          <cell r="E439" t="str">
            <v>Ms. PUSHP LATA</v>
          </cell>
        </row>
        <row r="440">
          <cell r="D440" t="str">
            <v>R1 225</v>
          </cell>
          <cell r="E440" t="str">
            <v>Mr. MADAN LAL</v>
          </cell>
        </row>
        <row r="441">
          <cell r="D441" t="str">
            <v>R1 227</v>
          </cell>
          <cell r="E441" t="str">
            <v>Ms. CHHAYA</v>
          </cell>
        </row>
        <row r="442">
          <cell r="D442" t="str">
            <v>R4 LG 07</v>
          </cell>
          <cell r="E442" t="str">
            <v>Mr. AMIT KUMAR SINGH</v>
          </cell>
        </row>
        <row r="443">
          <cell r="D443" t="str">
            <v>R4 208</v>
          </cell>
          <cell r="E443" t="str">
            <v>Mr. VIRENDRA KUMAR AGRAWAL</v>
          </cell>
        </row>
        <row r="444">
          <cell r="D444" t="str">
            <v>R1 216</v>
          </cell>
          <cell r="E444" t="str">
            <v>Ms. RITA DEVI</v>
          </cell>
        </row>
        <row r="445">
          <cell r="D445" t="str">
            <v>R5 219</v>
          </cell>
          <cell r="E445" t="str">
            <v>M/S. GAGAN KHETARPAL HUF</v>
          </cell>
        </row>
        <row r="446">
          <cell r="D446" t="str">
            <v>R1 237</v>
          </cell>
          <cell r="E446" t="str">
            <v>Ms. VEENA KUMARI</v>
          </cell>
        </row>
        <row r="447">
          <cell r="D447" t="str">
            <v>R6 104</v>
          </cell>
          <cell r="E447" t="str">
            <v>Mr. RAJ PAL</v>
          </cell>
        </row>
        <row r="448">
          <cell r="D448" t="str">
            <v>R4 241</v>
          </cell>
          <cell r="E448" t="str">
            <v>Mr. PRATAP SINGH</v>
          </cell>
        </row>
        <row r="449">
          <cell r="D449" t="str">
            <v>R4 234</v>
          </cell>
          <cell r="E449" t="str">
            <v>Ms. MINAKSHI KAPOOR</v>
          </cell>
        </row>
        <row r="450">
          <cell r="D450" t="str">
            <v>R1 215</v>
          </cell>
          <cell r="E450" t="str">
            <v>Mr. AKASH JAIN</v>
          </cell>
        </row>
        <row r="451">
          <cell r="D451" t="str">
            <v>R5 173</v>
          </cell>
          <cell r="E451" t="str">
            <v>Mr. Ravinder Hooda</v>
          </cell>
        </row>
        <row r="452">
          <cell r="D452" t="str">
            <v>R5 211</v>
          </cell>
          <cell r="E452" t="str">
            <v>Mr. AMIT KUMAR SINGH</v>
          </cell>
        </row>
        <row r="453">
          <cell r="D453" t="str">
            <v>R4 244</v>
          </cell>
          <cell r="E453" t="str">
            <v>Mr. BADRI NATH RAI</v>
          </cell>
        </row>
        <row r="454">
          <cell r="D454" t="str">
            <v>R6 204</v>
          </cell>
          <cell r="E454" t="str">
            <v>Ms. REKHA SINGH</v>
          </cell>
        </row>
        <row r="455">
          <cell r="D455" t="str">
            <v>R5 UG 34</v>
          </cell>
          <cell r="E455" t="str">
            <v>Ms. RAJ RANI</v>
          </cell>
        </row>
        <row r="456">
          <cell r="D456" t="str">
            <v>R6 106</v>
          </cell>
          <cell r="E456" t="str">
            <v>Ms. SUDESH</v>
          </cell>
        </row>
        <row r="457">
          <cell r="D457" t="str">
            <v>R1 UG 08</v>
          </cell>
          <cell r="E457" t="str">
            <v>Ms. SONIYA KUMARI</v>
          </cell>
        </row>
        <row r="458">
          <cell r="D458" t="str">
            <v>R4 G 20</v>
          </cell>
          <cell r="E458" t="str">
            <v>Mr. YOGESH ARORA</v>
          </cell>
        </row>
        <row r="459">
          <cell r="D459" t="str">
            <v>R3 UG 29</v>
          </cell>
          <cell r="E459" t="str">
            <v>Mr. PRABHDEEP SINGH</v>
          </cell>
        </row>
        <row r="460">
          <cell r="D460" t="str">
            <v>R6 223</v>
          </cell>
          <cell r="E460" t="str">
            <v>Mr. ARVIND KUMAR</v>
          </cell>
        </row>
        <row r="461">
          <cell r="D461" t="str">
            <v>R3 LG 77</v>
          </cell>
          <cell r="E461" t="str">
            <v>Ms. Sunita Yadav</v>
          </cell>
        </row>
        <row r="462">
          <cell r="D462" t="str">
            <v>R5 K 223</v>
          </cell>
          <cell r="E462" t="str">
            <v>Mr. SURINDER KUMAR</v>
          </cell>
        </row>
        <row r="463">
          <cell r="D463" t="str">
            <v>R4 UG 09</v>
          </cell>
          <cell r="E463" t="str">
            <v>Mr. PRADEEP MAHINDRU</v>
          </cell>
        </row>
        <row r="464">
          <cell r="D464" t="str">
            <v>R4 240</v>
          </cell>
          <cell r="E464" t="str">
            <v>Mr. CHHOTEY LAL</v>
          </cell>
        </row>
        <row r="465">
          <cell r="D465" t="str">
            <v>R4 232</v>
          </cell>
          <cell r="E465" t="str">
            <v>Mr. KRISHAN YADAV</v>
          </cell>
        </row>
        <row r="466">
          <cell r="D466" t="str">
            <v>R4 LG 08</v>
          </cell>
          <cell r="E466" t="str">
            <v>Mr. VIPUL TYAGI</v>
          </cell>
        </row>
        <row r="467">
          <cell r="D467" t="str">
            <v>R5 142</v>
          </cell>
          <cell r="E467" t="str">
            <v>Ms. ANURADHA</v>
          </cell>
        </row>
        <row r="468">
          <cell r="D468" t="str">
            <v>R1 212A</v>
          </cell>
          <cell r="E468" t="str">
            <v>Mr. ADESH KUMAR</v>
          </cell>
        </row>
        <row r="469">
          <cell r="D469" t="str">
            <v>R5 137</v>
          </cell>
          <cell r="E469" t="str">
            <v>Ms. ANITA PANDAY</v>
          </cell>
        </row>
        <row r="470">
          <cell r="D470" t="str">
            <v>R5 LG 14</v>
          </cell>
          <cell r="E470" t="str">
            <v>Ms. MARY MURMU</v>
          </cell>
        </row>
        <row r="471">
          <cell r="D471" t="str">
            <v>R4 117</v>
          </cell>
          <cell r="E471" t="str">
            <v>Mr. BEJOY RAVEENDRAN</v>
          </cell>
        </row>
        <row r="472">
          <cell r="D472" t="str">
            <v>R4 141</v>
          </cell>
          <cell r="E472" t="str">
            <v>Mr. SANJIT SINGH</v>
          </cell>
        </row>
        <row r="473">
          <cell r="D473" t="str">
            <v>R1 208</v>
          </cell>
          <cell r="E473" t="str">
            <v>Ms. SUNITA SHARMA</v>
          </cell>
        </row>
        <row r="474">
          <cell r="D474" t="str">
            <v>R6 UG 27</v>
          </cell>
          <cell r="E474" t="str">
            <v>Mr. AMIT KUMAR SINGH</v>
          </cell>
        </row>
        <row r="475">
          <cell r="D475" t="str">
            <v>R5 UG 20</v>
          </cell>
          <cell r="E475" t="str">
            <v>Mr. VIMAL KUMAR VERMA</v>
          </cell>
        </row>
        <row r="476">
          <cell r="D476" t="str">
            <v>R5 174</v>
          </cell>
          <cell r="E476" t="str">
            <v>Mr. RISHABH KAUL</v>
          </cell>
        </row>
        <row r="477">
          <cell r="D477" t="str">
            <v>R6 112A</v>
          </cell>
          <cell r="E477" t="str">
            <v>Ms. MADHU BALA</v>
          </cell>
        </row>
        <row r="478">
          <cell r="D478" t="str">
            <v>R4 UG 16</v>
          </cell>
          <cell r="E478" t="str">
            <v>Mr. VIRAT KHULLAR</v>
          </cell>
        </row>
        <row r="479">
          <cell r="D479" t="str">
            <v>R6 212</v>
          </cell>
          <cell r="E479" t="str">
            <v>Ms. SAVITA</v>
          </cell>
        </row>
        <row r="480">
          <cell r="D480" t="str">
            <v>R5 UG 16</v>
          </cell>
          <cell r="E480" t="str">
            <v>Ms. JAYMALA NANDWANI</v>
          </cell>
        </row>
        <row r="481">
          <cell r="D481" t="str">
            <v>R5 UG 47</v>
          </cell>
          <cell r="E481" t="str">
            <v>Mr. ASHWINI AGARWAL</v>
          </cell>
        </row>
        <row r="482">
          <cell r="D482" t="str">
            <v>R1 229</v>
          </cell>
          <cell r="E482" t="str">
            <v>Mr. NITIN KUMAR</v>
          </cell>
        </row>
        <row r="483">
          <cell r="D483" t="str">
            <v>R3 LG 81</v>
          </cell>
          <cell r="E483" t="str">
            <v>Ms. Preeti Sharma</v>
          </cell>
        </row>
        <row r="484">
          <cell r="D484" t="str">
            <v>R5 176</v>
          </cell>
          <cell r="E484" t="str">
            <v>Mr. VIVEK BHANDARI</v>
          </cell>
        </row>
        <row r="485">
          <cell r="D485" t="str">
            <v>R5 UG 46</v>
          </cell>
          <cell r="E485" t="str">
            <v>Ms. NIDHI GUPTA</v>
          </cell>
        </row>
        <row r="486">
          <cell r="D486" t="str">
            <v>R3 LG 27</v>
          </cell>
          <cell r="E486" t="str">
            <v>Ms. VARSHA</v>
          </cell>
        </row>
        <row r="487">
          <cell r="D487" t="str">
            <v>R2 LG 12</v>
          </cell>
          <cell r="E487" t="str">
            <v>Ms. BABITA DHAMA</v>
          </cell>
        </row>
        <row r="488">
          <cell r="D488" t="str">
            <v>R5 UG 43</v>
          </cell>
          <cell r="E488" t="str">
            <v>Ms. SHAILY THAKUR JHA</v>
          </cell>
        </row>
        <row r="489">
          <cell r="D489" t="str">
            <v>R4 203</v>
          </cell>
          <cell r="E489" t="str">
            <v>Mr. ANKUR KUMAR SINGH</v>
          </cell>
        </row>
        <row r="490">
          <cell r="D490" t="str">
            <v>R4 146</v>
          </cell>
          <cell r="E490" t="str">
            <v>Mr. GAURAV SUKHIJA</v>
          </cell>
        </row>
        <row r="491">
          <cell r="D491" t="str">
            <v>R5 K 203</v>
          </cell>
          <cell r="E491" t="str">
            <v>Ms. GEETA RANI</v>
          </cell>
        </row>
        <row r="492">
          <cell r="D492" t="str">
            <v>R6 108</v>
          </cell>
          <cell r="E492" t="str">
            <v>Ms. KAMLESH</v>
          </cell>
        </row>
        <row r="493">
          <cell r="D493" t="str">
            <v>R6 109</v>
          </cell>
          <cell r="E493" t="str">
            <v>Ms. NEELAM RANI</v>
          </cell>
        </row>
        <row r="494">
          <cell r="D494" t="str">
            <v>R4 209</v>
          </cell>
          <cell r="E494" t="str">
            <v>Ms. LAXMI SHARMA</v>
          </cell>
        </row>
        <row r="495">
          <cell r="D495" t="str">
            <v>R6 117</v>
          </cell>
          <cell r="E495" t="str">
            <v>Ms. KUSUM LATA</v>
          </cell>
        </row>
        <row r="496">
          <cell r="D496" t="str">
            <v>R5 LG 44</v>
          </cell>
          <cell r="E496" t="str">
            <v>Mr. NITIN THOLIYA</v>
          </cell>
        </row>
        <row r="497">
          <cell r="D497" t="str">
            <v>R6 120</v>
          </cell>
          <cell r="E497" t="str">
            <v>Ms. SNEHA SINGH</v>
          </cell>
        </row>
        <row r="498">
          <cell r="D498" t="str">
            <v>R5 G 01</v>
          </cell>
          <cell r="E498" t="str">
            <v>M/S. SHAILI ENGINEERING</v>
          </cell>
        </row>
        <row r="499">
          <cell r="D499" t="str">
            <v>R6 LG 23</v>
          </cell>
          <cell r="E499" t="str">
            <v>Mr. GOVIND RAVISHANKAR SHARMA</v>
          </cell>
        </row>
        <row r="500">
          <cell r="D500" t="str">
            <v>R3 LG 74</v>
          </cell>
          <cell r="E500" t="str">
            <v>Mr. Khushal Chandra Sharma</v>
          </cell>
        </row>
        <row r="501">
          <cell r="D501" t="str">
            <v>R6 UG 10</v>
          </cell>
          <cell r="E501" t="str">
            <v>Mr. PARMOD SALUJA</v>
          </cell>
        </row>
        <row r="502">
          <cell r="D502" t="str">
            <v>R1 UG 01</v>
          </cell>
          <cell r="E502" t="str">
            <v>Ms. RITA CHAWLA</v>
          </cell>
        </row>
        <row r="503">
          <cell r="D503" t="str">
            <v>R5 UG 22</v>
          </cell>
          <cell r="E503" t="str">
            <v>Ms. PARUL SINGH</v>
          </cell>
        </row>
        <row r="504">
          <cell r="D504" t="str">
            <v>R3 LG 38</v>
          </cell>
          <cell r="E504" t="str">
            <v>Ms. BABITA BIJALWAN</v>
          </cell>
        </row>
        <row r="505">
          <cell r="D505" t="str">
            <v>R5 108</v>
          </cell>
          <cell r="E505" t="str">
            <v>Mr. KAMAL SAHNI</v>
          </cell>
        </row>
        <row r="506">
          <cell r="D506" t="str">
            <v>R1 UG 25</v>
          </cell>
          <cell r="E506" t="str">
            <v>Ms. SMRITI BHATHEJA</v>
          </cell>
        </row>
        <row r="507">
          <cell r="D507" t="str">
            <v>R1 UG 12A</v>
          </cell>
          <cell r="E507" t="str">
            <v>Mr. DASHMESH KATARIA</v>
          </cell>
        </row>
        <row r="508">
          <cell r="D508" t="str">
            <v>R4 107</v>
          </cell>
          <cell r="E508" t="str">
            <v>Ms. NATASHA GUPTA</v>
          </cell>
        </row>
        <row r="509">
          <cell r="D509" t="str">
            <v>R1 217</v>
          </cell>
          <cell r="E509" t="str">
            <v>Mr. SUMIT DHINGRA</v>
          </cell>
        </row>
        <row r="510">
          <cell r="D510" t="str">
            <v>R2 UG 11</v>
          </cell>
          <cell r="E510" t="str">
            <v>Mr. RAJENDER KAUSHIK</v>
          </cell>
        </row>
        <row r="511">
          <cell r="D511" t="str">
            <v>R1 221</v>
          </cell>
          <cell r="E511" t="str">
            <v>Ms. ANJALI PRAKASH</v>
          </cell>
        </row>
        <row r="512">
          <cell r="D512" t="str">
            <v>R6 203</v>
          </cell>
          <cell r="E512" t="str">
            <v>Mr. RITESH AGARWAL</v>
          </cell>
        </row>
        <row r="513">
          <cell r="D513" t="str">
            <v>R4 LG 25</v>
          </cell>
          <cell r="E513" t="str">
            <v>Ms. CHANDER KHANNA</v>
          </cell>
        </row>
        <row r="514">
          <cell r="D514" t="str">
            <v>R1 249</v>
          </cell>
          <cell r="E514" t="str">
            <v>Mr. HARIOM</v>
          </cell>
        </row>
        <row r="515">
          <cell r="D515" t="str">
            <v>R4 G 08</v>
          </cell>
          <cell r="E515" t="str">
            <v>Ms. GUNJAN JAIN</v>
          </cell>
        </row>
        <row r="516">
          <cell r="D516" t="str">
            <v>R5 163</v>
          </cell>
          <cell r="E516" t="str">
            <v>Ms. SEENA DEVI</v>
          </cell>
        </row>
        <row r="517">
          <cell r="D517" t="str">
            <v>R3 LG 25</v>
          </cell>
          <cell r="E517" t="str">
            <v>Ms. ANITA DEVI</v>
          </cell>
        </row>
        <row r="518">
          <cell r="D518" t="str">
            <v>R4 126</v>
          </cell>
          <cell r="E518" t="str">
            <v>Mr. SHASHI RANJAN KUMAR</v>
          </cell>
        </row>
        <row r="519">
          <cell r="D519" t="str">
            <v>R1 154</v>
          </cell>
          <cell r="E519" t="str">
            <v>Mr. KESHAV YADAV</v>
          </cell>
        </row>
        <row r="520">
          <cell r="D520" t="str">
            <v>R3 LG 08</v>
          </cell>
          <cell r="E520" t="str">
            <v>Ms. SULOCHANA DEVI</v>
          </cell>
        </row>
        <row r="521">
          <cell r="D521" t="str">
            <v>R5 123</v>
          </cell>
          <cell r="E521" t="str">
            <v>Mr. SUNIL KUMAR</v>
          </cell>
        </row>
        <row r="522">
          <cell r="D522" t="str">
            <v>R5 119</v>
          </cell>
          <cell r="E522" t="str">
            <v>Mr. SUNIL KUMAR</v>
          </cell>
        </row>
        <row r="523">
          <cell r="D523" t="str">
            <v>R5 204</v>
          </cell>
          <cell r="E523" t="str">
            <v>Mr. RAMESH KUMAR MEHAR</v>
          </cell>
        </row>
        <row r="524">
          <cell r="D524" t="str">
            <v>R5 LG 42</v>
          </cell>
          <cell r="E524" t="str">
            <v>Ms. CHARU DAGAR</v>
          </cell>
        </row>
        <row r="525">
          <cell r="D525" t="str">
            <v>R5 205</v>
          </cell>
          <cell r="E525" t="str">
            <v>Mr. VED PAL</v>
          </cell>
        </row>
        <row r="526">
          <cell r="D526" t="str">
            <v>R5 161</v>
          </cell>
          <cell r="E526" t="str">
            <v>Ms. GEETA</v>
          </cell>
        </row>
        <row r="527">
          <cell r="D527" t="str">
            <v>R6 130</v>
          </cell>
          <cell r="E527" t="str">
            <v>Ms. JUHI KHANNA</v>
          </cell>
        </row>
        <row r="528">
          <cell r="D528" t="str">
            <v>R6 UG 07</v>
          </cell>
          <cell r="E528" t="str">
            <v>Mr. ANKIT KUMAR</v>
          </cell>
        </row>
        <row r="529">
          <cell r="D529" t="str">
            <v>R5 UG 44</v>
          </cell>
          <cell r="E529" t="str">
            <v>Ms. ABHA GHOSH</v>
          </cell>
        </row>
        <row r="530">
          <cell r="D530" t="str">
            <v>R4 UG 12</v>
          </cell>
          <cell r="E530" t="str">
            <v>Ms. DIVYA SETIA</v>
          </cell>
        </row>
        <row r="531">
          <cell r="D531" t="str">
            <v>R4 125</v>
          </cell>
          <cell r="E531" t="str">
            <v>M/S. RAJENDRA SINGH HUF</v>
          </cell>
        </row>
        <row r="532">
          <cell r="D532" t="str">
            <v>R2 203</v>
          </cell>
          <cell r="E532" t="str">
            <v>Mr. HANSA DATT</v>
          </cell>
        </row>
        <row r="533">
          <cell r="D533" t="str">
            <v>R1 149</v>
          </cell>
          <cell r="E533" t="str">
            <v>Mr. GAURAV GUPTA</v>
          </cell>
        </row>
        <row r="534">
          <cell r="D534" t="str">
            <v>R1 150</v>
          </cell>
          <cell r="E534" t="str">
            <v>Ms. PUSHPLATA KAUSHIK</v>
          </cell>
        </row>
        <row r="535">
          <cell r="D535" t="str">
            <v>R1 151</v>
          </cell>
          <cell r="E535" t="str">
            <v>Ms. TANU</v>
          </cell>
        </row>
        <row r="536">
          <cell r="D536" t="str">
            <v>R3 UG 03</v>
          </cell>
          <cell r="E536" t="str">
            <v>Mr. VIPIN GUPTA</v>
          </cell>
        </row>
        <row r="537">
          <cell r="D537" t="str">
            <v>R3 LG 42</v>
          </cell>
          <cell r="E537" t="str">
            <v>Ms. KOMAL ARORA</v>
          </cell>
        </row>
        <row r="538">
          <cell r="D538" t="str">
            <v>R3 LG 47</v>
          </cell>
          <cell r="E538" t="str">
            <v>Ms. KOMAL ARORA</v>
          </cell>
        </row>
        <row r="539">
          <cell r="D539" t="str">
            <v>R5 UG 38</v>
          </cell>
          <cell r="E539" t="str">
            <v>Ms. Sushila Devi</v>
          </cell>
        </row>
        <row r="540">
          <cell r="D540" t="str">
            <v>R5 LG 23</v>
          </cell>
          <cell r="E540" t="str">
            <v>Ms. Rajani Agrawal</v>
          </cell>
        </row>
        <row r="541">
          <cell r="D541" t="str">
            <v>R5 K 206</v>
          </cell>
          <cell r="E541" t="str">
            <v>Ms. SHASHI RANI</v>
          </cell>
        </row>
        <row r="542">
          <cell r="D542" t="str">
            <v>R5 UG 19</v>
          </cell>
          <cell r="E542" t="str">
            <v>Ms. MONICA MALIK</v>
          </cell>
        </row>
        <row r="543">
          <cell r="D543" t="str">
            <v>R5 104</v>
          </cell>
          <cell r="E543" t="str">
            <v>Ms. LEKHA SONI</v>
          </cell>
        </row>
        <row r="544">
          <cell r="D544" t="str">
            <v>R5 105</v>
          </cell>
          <cell r="E544" t="str">
            <v>Ms. LEKHA SONI</v>
          </cell>
        </row>
        <row r="545">
          <cell r="D545" t="str">
            <v>R5 106</v>
          </cell>
          <cell r="E545" t="str">
            <v>Ms. LEKHA SONI</v>
          </cell>
        </row>
        <row r="546">
          <cell r="D546" t="str">
            <v>R1 226</v>
          </cell>
          <cell r="E546" t="str">
            <v>Mr. VISHNU DUTT SHARMA</v>
          </cell>
        </row>
        <row r="547">
          <cell r="D547" t="str">
            <v>R3 LG 17</v>
          </cell>
          <cell r="E547" t="str">
            <v>Mr. ABHIJEET RAJ</v>
          </cell>
        </row>
        <row r="548">
          <cell r="D548" t="str">
            <v>R3 LG 29</v>
          </cell>
          <cell r="E548" t="str">
            <v>Ms. SUKHWINDER KAUR</v>
          </cell>
        </row>
        <row r="549">
          <cell r="D549" t="str">
            <v>R3 LG 19</v>
          </cell>
          <cell r="E549" t="str">
            <v>Ms. RITU KUMARI</v>
          </cell>
        </row>
        <row r="550">
          <cell r="D550" t="str">
            <v>R4 135</v>
          </cell>
          <cell r="E550" t="str">
            <v>Mr. SATISH KUMAR JOHAR</v>
          </cell>
        </row>
        <row r="551">
          <cell r="D551" t="str">
            <v>R3 LG 32</v>
          </cell>
          <cell r="E551" t="str">
            <v>Ms. ANITA DEVI MALHAN</v>
          </cell>
        </row>
        <row r="552">
          <cell r="D552" t="str">
            <v>R2 210</v>
          </cell>
          <cell r="E552" t="str">
            <v>Ms. PINKI SHARMA</v>
          </cell>
        </row>
        <row r="553">
          <cell r="D553" t="str">
            <v>R5 UG 01</v>
          </cell>
          <cell r="E553" t="str">
            <v>Mr. MOHIT RAJUBHAI SHETH</v>
          </cell>
        </row>
        <row r="554">
          <cell r="D554" t="str">
            <v>R5 103</v>
          </cell>
          <cell r="E554" t="str">
            <v>Ms. LEKHA SONI</v>
          </cell>
        </row>
        <row r="555">
          <cell r="D555" t="str">
            <v>R6 202</v>
          </cell>
          <cell r="E555" t="str">
            <v>Mr. VED PRAKASH SINGH</v>
          </cell>
        </row>
        <row r="556">
          <cell r="D556" t="str">
            <v>R4 216</v>
          </cell>
          <cell r="E556" t="str">
            <v>Md. RIZWAN KHAN</v>
          </cell>
        </row>
        <row r="557">
          <cell r="D557" t="str">
            <v>R1 212</v>
          </cell>
          <cell r="E557" t="str">
            <v>Dr. MAHENDRA PRATAP GANDHI</v>
          </cell>
        </row>
        <row r="558">
          <cell r="D558" t="str">
            <v>R6 UG 05</v>
          </cell>
          <cell r="E558" t="str">
            <v>Mr. Mahesh Kumar</v>
          </cell>
        </row>
        <row r="559">
          <cell r="D559" t="str">
            <v>R1 126</v>
          </cell>
          <cell r="E559" t="str">
            <v>Mr. ISHANT CHOUDHRY</v>
          </cell>
        </row>
        <row r="560">
          <cell r="D560" t="str">
            <v>R3 LG 55</v>
          </cell>
          <cell r="E560" t="str">
            <v>Ms. SHAILY THAKUR JHA</v>
          </cell>
        </row>
        <row r="561">
          <cell r="D561" t="str">
            <v>R5 160</v>
          </cell>
          <cell r="E561" t="str">
            <v>Ms. SEENA DEVI</v>
          </cell>
        </row>
        <row r="562">
          <cell r="D562" t="str">
            <v>R3 LG 46</v>
          </cell>
          <cell r="E562" t="str">
            <v>Ms. Sunita Tikku</v>
          </cell>
        </row>
        <row r="563">
          <cell r="D563" t="str">
            <v>R1 152</v>
          </cell>
          <cell r="E563" t="str">
            <v>Mr. SIDDHARTH KUMAR</v>
          </cell>
        </row>
        <row r="564">
          <cell r="D564" t="str">
            <v>R3 LG 18</v>
          </cell>
          <cell r="E564" t="str">
            <v>Ms. RENUBALA</v>
          </cell>
        </row>
        <row r="565">
          <cell r="D565" t="str">
            <v>R5 UG 50</v>
          </cell>
          <cell r="E565" t="str">
            <v>Ms. SUKHMANA</v>
          </cell>
        </row>
        <row r="566">
          <cell r="D566" t="str">
            <v>R2 LG 06</v>
          </cell>
          <cell r="E566" t="str">
            <v>Mr. SUKHBIR SINGH BUDHWAR</v>
          </cell>
        </row>
        <row r="567">
          <cell r="D567" t="str">
            <v>R3 LG 15</v>
          </cell>
          <cell r="E567" t="str">
            <v>Ms. SUDESH</v>
          </cell>
        </row>
        <row r="568">
          <cell r="D568" t="str">
            <v>R4 150</v>
          </cell>
          <cell r="E568" t="str">
            <v>Mr. ANAND KUMAR</v>
          </cell>
        </row>
        <row r="569">
          <cell r="D569" t="str">
            <v>R6 211</v>
          </cell>
          <cell r="E569" t="str">
            <v>Mr. Azad Singh</v>
          </cell>
        </row>
        <row r="570">
          <cell r="D570" t="str">
            <v>R6 210</v>
          </cell>
          <cell r="E570" t="str">
            <v>Ms. AMRESH DEVI</v>
          </cell>
        </row>
        <row r="571">
          <cell r="D571" t="str">
            <v>R1 UG 23</v>
          </cell>
          <cell r="E571" t="str">
            <v>Mr. VAIBHAV GOEL</v>
          </cell>
        </row>
        <row r="572">
          <cell r="D572" t="str">
            <v>R6 LG 25</v>
          </cell>
          <cell r="E572" t="str">
            <v>Mr. AJAY NEGI</v>
          </cell>
        </row>
        <row r="573">
          <cell r="D573" t="str">
            <v>R4 227</v>
          </cell>
          <cell r="E573" t="str">
            <v>Ms. PINKY SHOKEEN</v>
          </cell>
        </row>
        <row r="574">
          <cell r="D574" t="str">
            <v>R1 121</v>
          </cell>
          <cell r="E574" t="str">
            <v>Ms. SANTOSH DEVI</v>
          </cell>
        </row>
        <row r="575">
          <cell r="D575" t="str">
            <v>R5 LG 26</v>
          </cell>
          <cell r="E575" t="str">
            <v>Mr. JOGINDER JANGHU</v>
          </cell>
        </row>
        <row r="576">
          <cell r="D576" t="str">
            <v>R1 UG 29</v>
          </cell>
          <cell r="E576" t="str">
            <v>Mr. Shiv Shankar</v>
          </cell>
        </row>
        <row r="577">
          <cell r="D577" t="str">
            <v>R6 212A</v>
          </cell>
          <cell r="E577" t="str">
            <v>Ms. ANITA GILL</v>
          </cell>
        </row>
        <row r="578">
          <cell r="D578" t="str">
            <v>R2 UG 15</v>
          </cell>
          <cell r="E578" t="str">
            <v>Mr. Iknoor Singh Sandhu</v>
          </cell>
        </row>
        <row r="579">
          <cell r="D579" t="str">
            <v>R1 UG 06</v>
          </cell>
          <cell r="E579" t="str">
            <v>Ms. YAMINI MANN SHOKEEN</v>
          </cell>
        </row>
        <row r="580">
          <cell r="D580" t="str">
            <v>R1 UG 04</v>
          </cell>
          <cell r="E580" t="str">
            <v>Mr. MANINDER SINGH</v>
          </cell>
        </row>
        <row r="581">
          <cell r="D581" t="str">
            <v>R5 K 219</v>
          </cell>
          <cell r="E581" t="str">
            <v>Ms. ANURADHA SAXENA</v>
          </cell>
        </row>
        <row r="582">
          <cell r="D582" t="str">
            <v>R1 UG 07</v>
          </cell>
          <cell r="E582" t="str">
            <v>Ms. POONAM RANI</v>
          </cell>
        </row>
        <row r="583">
          <cell r="D583" t="str">
            <v>R1 245</v>
          </cell>
          <cell r="E583" t="str">
            <v>Mr. SUNIL PRAKASH</v>
          </cell>
        </row>
        <row r="584">
          <cell r="D584" t="str">
            <v>R5 224</v>
          </cell>
          <cell r="E584" t="str">
            <v>Mr. ARVIND KUMAR</v>
          </cell>
        </row>
        <row r="585">
          <cell r="D585" t="str">
            <v>R1 117</v>
          </cell>
          <cell r="E585" t="str">
            <v>Ms. ROSHNI DEVI</v>
          </cell>
        </row>
        <row r="586">
          <cell r="D586" t="str">
            <v>R6 UG 14</v>
          </cell>
          <cell r="E586" t="str">
            <v>Ms. MONIKA TOMAR</v>
          </cell>
        </row>
        <row r="587">
          <cell r="D587" t="str">
            <v>R4 115</v>
          </cell>
          <cell r="E587" t="str">
            <v>Mr. SANJAY MITTAL</v>
          </cell>
        </row>
        <row r="588">
          <cell r="D588" t="str">
            <v>R5 UG 05a</v>
          </cell>
          <cell r="E588" t="str">
            <v>M/S. G R CREATIONS PVT LTD</v>
          </cell>
        </row>
        <row r="589">
          <cell r="D589" t="str">
            <v>R1 111</v>
          </cell>
          <cell r="E589" t="str">
            <v>Ms. SHAGUN ROY</v>
          </cell>
        </row>
        <row r="590">
          <cell r="D590" t="str">
            <v>R4 UG 18</v>
          </cell>
          <cell r="E590" t="str">
            <v>Ms. NIDHI AGGARWAL</v>
          </cell>
        </row>
        <row r="591">
          <cell r="D591" t="str">
            <v>R1 148</v>
          </cell>
          <cell r="E591" t="str">
            <v>Mr. KARUNESH KUMAR</v>
          </cell>
        </row>
        <row r="592">
          <cell r="D592" t="str">
            <v>R3 LG 11</v>
          </cell>
          <cell r="E592" t="str">
            <v>Mr. PUSHKAR SINGH</v>
          </cell>
        </row>
        <row r="593">
          <cell r="D593" t="str">
            <v>R3 UG 36</v>
          </cell>
          <cell r="E593" t="str">
            <v>Ms. SUDESH MANN</v>
          </cell>
        </row>
        <row r="594">
          <cell r="D594" t="str">
            <v>R5 217</v>
          </cell>
          <cell r="E594" t="str">
            <v>Dr. RAJENDRA KUMAR SINGH</v>
          </cell>
        </row>
        <row r="595">
          <cell r="D595" t="str">
            <v>R4 LG 15</v>
          </cell>
          <cell r="E595" t="str">
            <v>Mr. VIPUL JAIN</v>
          </cell>
        </row>
        <row r="596">
          <cell r="D596" t="str">
            <v>R5 LG 29</v>
          </cell>
          <cell r="E596" t="str">
            <v>Mr. SUVENDU BANERJEE</v>
          </cell>
        </row>
        <row r="597">
          <cell r="D597" t="str">
            <v>R5 LG 49</v>
          </cell>
          <cell r="E597" t="str">
            <v>Ms. Dolly Chandel</v>
          </cell>
        </row>
        <row r="598">
          <cell r="D598" t="str">
            <v>R6 UG 25</v>
          </cell>
          <cell r="E598" t="str">
            <v>Ms. ANU SHARMA</v>
          </cell>
        </row>
        <row r="599">
          <cell r="D599" t="str">
            <v>R2 LG 10</v>
          </cell>
          <cell r="E599" t="str">
            <v>Mr. Ravi Kumar Meena</v>
          </cell>
        </row>
        <row r="600">
          <cell r="D600" t="str">
            <v>R4 147</v>
          </cell>
          <cell r="E600" t="str">
            <v>Mr. RANBIR KISHORE</v>
          </cell>
        </row>
        <row r="601">
          <cell r="D601" t="str">
            <v>R4 133</v>
          </cell>
          <cell r="E601" t="str">
            <v>Ms. NEETU SINGH</v>
          </cell>
        </row>
        <row r="602">
          <cell r="D602" t="str">
            <v>R3 UG 26</v>
          </cell>
          <cell r="E602" t="str">
            <v>Mr. VIKAS GABA</v>
          </cell>
        </row>
        <row r="603">
          <cell r="D603" t="str">
            <v>R6 110</v>
          </cell>
          <cell r="E603" t="str">
            <v>Ms. NEELIMA RAJ</v>
          </cell>
        </row>
        <row r="604">
          <cell r="D604" t="str">
            <v>R5 UG 33</v>
          </cell>
          <cell r="E604" t="str">
            <v>Ms. TAKAM MONI</v>
          </cell>
        </row>
        <row r="605">
          <cell r="D605" t="str">
            <v>R1 250</v>
          </cell>
          <cell r="E605" t="str">
            <v>Ms. DARSHNA</v>
          </cell>
        </row>
        <row r="606">
          <cell r="D606" t="str">
            <v>R3 UG 11</v>
          </cell>
          <cell r="E606" t="str">
            <v>Ms. MADHU AGGARWAL</v>
          </cell>
        </row>
        <row r="607">
          <cell r="D607" t="str">
            <v>R5 LG 32</v>
          </cell>
          <cell r="E607" t="str">
            <v>Mr. ALOK YADAV</v>
          </cell>
        </row>
        <row r="608">
          <cell r="D608" t="str">
            <v>R6 UG 17</v>
          </cell>
          <cell r="E608" t="str">
            <v>Mr. RAJIV KHANIJO</v>
          </cell>
        </row>
        <row r="609">
          <cell r="D609" t="str">
            <v>R5 UG 49</v>
          </cell>
          <cell r="E609" t="str">
            <v>Mr. KARAN KOCHHAR</v>
          </cell>
        </row>
        <row r="610">
          <cell r="D610" t="str">
            <v>R5 214</v>
          </cell>
          <cell r="E610" t="str">
            <v>Mr. MANI RAM</v>
          </cell>
        </row>
        <row r="611">
          <cell r="D611" t="str">
            <v>R6 125</v>
          </cell>
          <cell r="E611" t="str">
            <v>Ms. KIRAN CHOUDHARY</v>
          </cell>
        </row>
        <row r="612">
          <cell r="D612" t="str">
            <v>R5 LG 41</v>
          </cell>
          <cell r="E612" t="str">
            <v>Ms. VINAYA SANDHU</v>
          </cell>
        </row>
        <row r="613">
          <cell r="D613" t="str">
            <v>R1 LG 12A</v>
          </cell>
          <cell r="E613" t="str">
            <v>Ms. SHARDA DEVI</v>
          </cell>
        </row>
        <row r="614">
          <cell r="D614" t="str">
            <v>R3 UG 16</v>
          </cell>
          <cell r="E614" t="str">
            <v>Ms. NIKVINDER KAUR</v>
          </cell>
        </row>
        <row r="615">
          <cell r="D615" t="str">
            <v>R3 LG 84</v>
          </cell>
          <cell r="E615" t="str">
            <v>Mr. Rajvir Singh Solanki</v>
          </cell>
        </row>
        <row r="616">
          <cell r="D616" t="str">
            <v>R1 131</v>
          </cell>
          <cell r="E616" t="str">
            <v>Mr. ANIL BHARDWAJ</v>
          </cell>
        </row>
        <row r="617">
          <cell r="D617" t="str">
            <v>R4 226</v>
          </cell>
          <cell r="E617" t="str">
            <v>Ms. NAMRATA KAPUR</v>
          </cell>
        </row>
        <row r="618">
          <cell r="D618" t="str">
            <v>R3 LG 10</v>
          </cell>
          <cell r="E618" t="str">
            <v>Mr. Yogesh Chand Kaushik</v>
          </cell>
        </row>
        <row r="619">
          <cell r="D619" t="str">
            <v>R1 106</v>
          </cell>
          <cell r="E619" t="str">
            <v>Mr. NIRDOSH KUMAR</v>
          </cell>
        </row>
        <row r="620">
          <cell r="D620" t="str">
            <v>R5 K 211</v>
          </cell>
          <cell r="E620" t="str">
            <v>Ms. CHARVI SARAF</v>
          </cell>
        </row>
        <row r="621">
          <cell r="D621" t="str">
            <v>R1 102</v>
          </cell>
          <cell r="E621" t="str">
            <v>Mr. JAGDISH LAL</v>
          </cell>
        </row>
        <row r="622">
          <cell r="D622" t="str">
            <v>R4 231</v>
          </cell>
          <cell r="E622" t="str">
            <v>Ms. ARSHI FATIMA</v>
          </cell>
        </row>
        <row r="623">
          <cell r="D623" t="str">
            <v>R4 207</v>
          </cell>
          <cell r="E623" t="str">
            <v>Ms. NEELAM KUMARI</v>
          </cell>
        </row>
        <row r="624">
          <cell r="D624" t="str">
            <v>R3 LG 09</v>
          </cell>
          <cell r="E624" t="str">
            <v>Mr. NITIN TALWAR</v>
          </cell>
        </row>
        <row r="625">
          <cell r="D625" t="str">
            <v>R5 LG 35</v>
          </cell>
          <cell r="E625" t="str">
            <v>Mr. PUNEET</v>
          </cell>
        </row>
        <row r="626">
          <cell r="D626" t="str">
            <v>R4 LG 02</v>
          </cell>
          <cell r="E626" t="str">
            <v>Col. KAPIL DALAL</v>
          </cell>
        </row>
        <row r="627">
          <cell r="D627" t="str">
            <v>R1 107</v>
          </cell>
          <cell r="E627" t="str">
            <v>Mr. LALIT ARORA</v>
          </cell>
        </row>
        <row r="628">
          <cell r="D628" t="str">
            <v>R6 228</v>
          </cell>
          <cell r="E628" t="str">
            <v>Mr. ASHISH SHARMA</v>
          </cell>
        </row>
        <row r="629">
          <cell r="D629" t="str">
            <v>R1 118</v>
          </cell>
          <cell r="E629" t="str">
            <v>Ms. SUSHMA SHARMA</v>
          </cell>
        </row>
        <row r="630">
          <cell r="D630" t="str">
            <v>R4 105</v>
          </cell>
          <cell r="E630" t="str">
            <v>Ms. RACHNA GOEL</v>
          </cell>
        </row>
        <row r="631">
          <cell r="D631" t="str">
            <v>R5 K 225</v>
          </cell>
          <cell r="E631" t="str">
            <v>Mr. PRADEEP KUMAR</v>
          </cell>
        </row>
        <row r="632">
          <cell r="D632" t="str">
            <v>R5 UG 48</v>
          </cell>
          <cell r="E632" t="str">
            <v>Ms. PATASO DEVI</v>
          </cell>
        </row>
        <row r="633">
          <cell r="D633" t="str">
            <v>R5 218</v>
          </cell>
          <cell r="E633" t="str">
            <v>Ms. CHANDRA BISHT</v>
          </cell>
        </row>
        <row r="634">
          <cell r="D634" t="str">
            <v>R6 201</v>
          </cell>
          <cell r="E634" t="str">
            <v>Ms. GEETA KUMARI GUPTA</v>
          </cell>
        </row>
        <row r="635">
          <cell r="D635" t="str">
            <v>R3 LG 85</v>
          </cell>
          <cell r="E635" t="str">
            <v>Ms. Rajni Devi</v>
          </cell>
        </row>
        <row r="636">
          <cell r="D636" t="str">
            <v>R5 101</v>
          </cell>
          <cell r="E636" t="str">
            <v>Ms. SHASHI SHARMA</v>
          </cell>
        </row>
        <row r="637">
          <cell r="D637" t="str">
            <v>R4 205</v>
          </cell>
          <cell r="E637" t="str">
            <v>Mr. KARUN RANJAN</v>
          </cell>
        </row>
        <row r="638">
          <cell r="D638" t="str">
            <v>R5 LG 31</v>
          </cell>
          <cell r="E638" t="str">
            <v>Mr. ABHINAV MEHTA</v>
          </cell>
        </row>
        <row r="639">
          <cell r="D639" t="str">
            <v>R4 214</v>
          </cell>
          <cell r="E639" t="str">
            <v>Mr. ARJUN SINGH</v>
          </cell>
        </row>
        <row r="640">
          <cell r="D640" t="str">
            <v>R1 LG 15</v>
          </cell>
          <cell r="E640" t="str">
            <v>M/S. Jasmin Infrasolutions Private Limited</v>
          </cell>
        </row>
        <row r="641">
          <cell r="D641" t="str">
            <v>R4 108</v>
          </cell>
          <cell r="E641" t="str">
            <v>Mr. SANDEEP SINGH GILL</v>
          </cell>
        </row>
        <row r="642">
          <cell r="D642" t="str">
            <v>R4 LG 16</v>
          </cell>
          <cell r="E642" t="str">
            <v>Ms. RAMRATI</v>
          </cell>
        </row>
        <row r="643">
          <cell r="D643" t="str">
            <v>R3 UG 34</v>
          </cell>
          <cell r="E643" t="str">
            <v>Mr. JAGPAL YADAV</v>
          </cell>
        </row>
        <row r="644">
          <cell r="D644" t="str">
            <v>R3 LG 54</v>
          </cell>
          <cell r="E644" t="str">
            <v>Ms. NIDHI SHARMA</v>
          </cell>
        </row>
        <row r="645">
          <cell r="D645" t="str">
            <v>R6 103</v>
          </cell>
          <cell r="E645" t="str">
            <v>Mr. SANJEEV KHARBANDA</v>
          </cell>
        </row>
        <row r="646">
          <cell r="D646" t="str">
            <v>R3 UG 24</v>
          </cell>
          <cell r="E646" t="str">
            <v>Mr. JAGPAL YADAV</v>
          </cell>
        </row>
        <row r="647">
          <cell r="D647" t="str">
            <v>R6 LG 06</v>
          </cell>
          <cell r="E647" t="str">
            <v>Mr. TARUN JOLLY</v>
          </cell>
        </row>
        <row r="648">
          <cell r="D648" t="str">
            <v>R4 LG 14</v>
          </cell>
          <cell r="E648" t="str">
            <v>Mr. PRATEEK SHARMA</v>
          </cell>
        </row>
        <row r="649">
          <cell r="D649" t="str">
            <v>R6 222</v>
          </cell>
          <cell r="E649" t="str">
            <v>M/S. CDG BROADCAST PRIVATE LIMITED</v>
          </cell>
        </row>
        <row r="650">
          <cell r="D650" t="str">
            <v>R4 217</v>
          </cell>
          <cell r="E650" t="str">
            <v>Mr. DEEPAK UPPAL</v>
          </cell>
        </row>
        <row r="651">
          <cell r="D651" t="str">
            <v>R3 UG 37</v>
          </cell>
          <cell r="E651" t="str">
            <v>Mr. MONTY BHAGAT</v>
          </cell>
        </row>
        <row r="652">
          <cell r="D652" t="str">
            <v>R5 LG 50</v>
          </cell>
          <cell r="E652" t="str">
            <v>Ms. Rajni Devi</v>
          </cell>
        </row>
        <row r="653">
          <cell r="D653" t="str">
            <v>R2 UG 04</v>
          </cell>
          <cell r="E653" t="str">
            <v>Mr. GAUTAM BANSAL</v>
          </cell>
        </row>
        <row r="654">
          <cell r="D654" t="str">
            <v>R6 UG 32</v>
          </cell>
          <cell r="E654" t="str">
            <v>Mr. DARSHAN KUMAR</v>
          </cell>
        </row>
        <row r="655">
          <cell r="D655" t="str">
            <v>R6 LG 19</v>
          </cell>
          <cell r="E655" t="str">
            <v>M/S. MOHIT SHINGHAL HUF</v>
          </cell>
        </row>
        <row r="656">
          <cell r="D656" t="str">
            <v>R5 UG 21</v>
          </cell>
          <cell r="E656" t="str">
            <v>Mr. SURENDER MADAN</v>
          </cell>
        </row>
        <row r="657">
          <cell r="D657" t="str">
            <v>R6 229</v>
          </cell>
          <cell r="E657" t="str">
            <v>Mr. RAMAVTAR MEENA</v>
          </cell>
        </row>
        <row r="658">
          <cell r="D658" t="str">
            <v>R1 128</v>
          </cell>
          <cell r="E658" t="str">
            <v>Mr. DEEPAK</v>
          </cell>
        </row>
        <row r="659">
          <cell r="D659" t="str">
            <v>R3 LG 07</v>
          </cell>
          <cell r="E659" t="str">
            <v>Ms. SWEEN MANCHANDA</v>
          </cell>
        </row>
        <row r="660">
          <cell r="D660" t="str">
            <v>R3 UG 19</v>
          </cell>
          <cell r="E660" t="str">
            <v>Ms. SAROJ CHAUDHARY</v>
          </cell>
        </row>
        <row r="661">
          <cell r="D661" t="str">
            <v>R5 UG 45</v>
          </cell>
          <cell r="E661" t="str">
            <v>Ms. Bharti</v>
          </cell>
        </row>
        <row r="662">
          <cell r="D662" t="str">
            <v>R5 148</v>
          </cell>
          <cell r="E662" t="str">
            <v>Mr. Suraj Choudhary</v>
          </cell>
        </row>
        <row r="663">
          <cell r="D663" t="str">
            <v>R4 LG 04</v>
          </cell>
          <cell r="E663" t="str">
            <v>Ms. MADHURI VAISHYA</v>
          </cell>
        </row>
        <row r="664">
          <cell r="D664" t="str">
            <v>R1 UG 19</v>
          </cell>
          <cell r="E664" t="str">
            <v>Mr. SATPAL</v>
          </cell>
        </row>
        <row r="665">
          <cell r="D665" t="str">
            <v>R5 115</v>
          </cell>
          <cell r="E665" t="str">
            <v>Ms. PRATIBHA</v>
          </cell>
        </row>
        <row r="666">
          <cell r="D666" t="str">
            <v>R5 LG 06</v>
          </cell>
          <cell r="E666" t="str">
            <v>Ms. SANTOSH JAIN</v>
          </cell>
        </row>
        <row r="667">
          <cell r="D667" t="str">
            <v>R1 119</v>
          </cell>
          <cell r="E667" t="str">
            <v>Mr. SYED MOHAMMAD NAJIB ASHRAF</v>
          </cell>
        </row>
        <row r="668">
          <cell r="D668" t="str">
            <v>R3 LG 28</v>
          </cell>
          <cell r="E668" t="str">
            <v>Mr. SURESH KUMAR</v>
          </cell>
        </row>
        <row r="669">
          <cell r="D669" t="str">
            <v>R4 UG 26</v>
          </cell>
          <cell r="E669" t="str">
            <v>Ms. Sushma Devi</v>
          </cell>
        </row>
        <row r="670">
          <cell r="D670" t="str">
            <v>R4 G 11</v>
          </cell>
          <cell r="E670" t="str">
            <v>Ms. NAVYA BAJAJ</v>
          </cell>
        </row>
        <row r="671">
          <cell r="D671" t="str">
            <v>R6 UG 11</v>
          </cell>
          <cell r="E671" t="str">
            <v>Mr. ARYAN SHARMA</v>
          </cell>
        </row>
        <row r="672">
          <cell r="D672" t="str">
            <v>R5 126</v>
          </cell>
          <cell r="E672" t="str">
            <v>Ms. SONIKA SACHDEVA</v>
          </cell>
        </row>
        <row r="673">
          <cell r="D673" t="str">
            <v>R5 LG 17</v>
          </cell>
          <cell r="E673" t="str">
            <v>Mr. RAKESH KUMAR UPADHYAY</v>
          </cell>
        </row>
        <row r="674">
          <cell r="D674" t="str">
            <v>R5 K 220</v>
          </cell>
          <cell r="E674" t="str">
            <v>Mr. GOBIND LAL VERMA</v>
          </cell>
        </row>
        <row r="675">
          <cell r="D675" t="str">
            <v>R5 216</v>
          </cell>
          <cell r="E675" t="str">
            <v>Dr. RAJENDRA KUMAR SINGH</v>
          </cell>
        </row>
        <row r="676">
          <cell r="D676" t="str">
            <v>R1 UG 21</v>
          </cell>
          <cell r="E676" t="str">
            <v>Dr. ANKUR JAIN</v>
          </cell>
        </row>
        <row r="677">
          <cell r="D677" t="str">
            <v>R1 115</v>
          </cell>
          <cell r="E677" t="str">
            <v>Mr. NARPENDER DHANKHAR</v>
          </cell>
        </row>
        <row r="678">
          <cell r="D678" t="str">
            <v>R1 236</v>
          </cell>
          <cell r="E678" t="str">
            <v>Ms. ARUNA</v>
          </cell>
        </row>
        <row r="679">
          <cell r="D679" t="str">
            <v>R3 UG 15</v>
          </cell>
          <cell r="E679" t="str">
            <v>Ms. PRITI JAIN</v>
          </cell>
        </row>
        <row r="680">
          <cell r="D680" t="str">
            <v>R6 UG 31</v>
          </cell>
          <cell r="E680" t="str">
            <v>Mr. ANIL KUMAR SAH</v>
          </cell>
        </row>
        <row r="681">
          <cell r="D681" t="str">
            <v>R5 K 202</v>
          </cell>
          <cell r="E681" t="str">
            <v>Mr. PARVEEN TEWATIA</v>
          </cell>
        </row>
        <row r="682">
          <cell r="D682" t="str">
            <v>R1 251</v>
          </cell>
          <cell r="E682" t="str">
            <v>Mr. DILBAGH</v>
          </cell>
        </row>
        <row r="683">
          <cell r="D683" t="str">
            <v>R6 LG 09</v>
          </cell>
          <cell r="E683" t="str">
            <v>Mr. AYUSH AGGARWAL</v>
          </cell>
        </row>
        <row r="684">
          <cell r="D684" t="str">
            <v>R6 221</v>
          </cell>
          <cell r="E684" t="str">
            <v>M/S. CDG BROADCAST PRIVATE LIMITED</v>
          </cell>
        </row>
        <row r="685">
          <cell r="D685" t="str">
            <v>R6 UG 30</v>
          </cell>
          <cell r="E685" t="str">
            <v>Mr. SAURABH ARORA</v>
          </cell>
        </row>
        <row r="686">
          <cell r="D686" t="str">
            <v>R6 LG 08</v>
          </cell>
          <cell r="E686" t="str">
            <v>Ms. ANITA AGGARWAL</v>
          </cell>
        </row>
        <row r="687">
          <cell r="D687" t="str">
            <v>R5 175</v>
          </cell>
          <cell r="E687" t="str">
            <v>Ms. GEETA MANI</v>
          </cell>
        </row>
        <row r="688">
          <cell r="D688" t="str">
            <v>R6 107</v>
          </cell>
          <cell r="E688" t="str">
            <v>Mr. SANJEEV BHALLA</v>
          </cell>
        </row>
        <row r="689">
          <cell r="D689" t="str">
            <v>R5 146</v>
          </cell>
          <cell r="E689" t="str">
            <v>Mr. ASHISH PANCHAL</v>
          </cell>
        </row>
        <row r="690">
          <cell r="D690" t="str">
            <v>R1 LG 19</v>
          </cell>
          <cell r="E690" t="str">
            <v>Mr. SHYAM SUNDER SHARMA</v>
          </cell>
        </row>
        <row r="691">
          <cell r="D691" t="str">
            <v>R6 215</v>
          </cell>
          <cell r="E691" t="str">
            <v>Mr. RAJENDER BODH</v>
          </cell>
        </row>
        <row r="692">
          <cell r="D692" t="str">
            <v>R3 UG 12</v>
          </cell>
          <cell r="E692" t="str">
            <v>Mr. Vikas Goyal</v>
          </cell>
        </row>
        <row r="693">
          <cell r="D693" t="str">
            <v>R4 106</v>
          </cell>
          <cell r="E693" t="str">
            <v>Ms. SANGKIM LIENTHANG</v>
          </cell>
        </row>
        <row r="694">
          <cell r="D694" t="str">
            <v>R3 LG 59</v>
          </cell>
          <cell r="E694" t="str">
            <v>Mr. RACHIT SEHRAWAT</v>
          </cell>
        </row>
        <row r="695">
          <cell r="D695" t="str">
            <v>R3 UG 02</v>
          </cell>
          <cell r="E695" t="str">
            <v>Mr. M P SHARMA</v>
          </cell>
        </row>
        <row r="696">
          <cell r="D696" t="str">
            <v>R5 112A</v>
          </cell>
          <cell r="E696" t="str">
            <v>Ms. Pushpa</v>
          </cell>
        </row>
        <row r="697">
          <cell r="D697" t="str">
            <v>R5 112</v>
          </cell>
          <cell r="E697" t="str">
            <v>Mr. KUSH BHATIA</v>
          </cell>
        </row>
        <row r="698">
          <cell r="D698" t="str">
            <v>R6 227</v>
          </cell>
          <cell r="E698" t="str">
            <v>Mr. AAYUSH SHARMA</v>
          </cell>
        </row>
        <row r="699">
          <cell r="D699" t="str">
            <v>R1 LG 21</v>
          </cell>
          <cell r="E699" t="str">
            <v>MOHD KASHIF</v>
          </cell>
        </row>
        <row r="700">
          <cell r="D700" t="str">
            <v>R3 UG 25</v>
          </cell>
          <cell r="E700" t="str">
            <v>Mr. Azad Singh</v>
          </cell>
        </row>
        <row r="701">
          <cell r="D701" t="str">
            <v>R3 UG 18</v>
          </cell>
          <cell r="E701" t="str">
            <v>Ms. CHITRA CHAWLA</v>
          </cell>
        </row>
        <row r="702">
          <cell r="D702" t="str">
            <v>R5 K 217</v>
          </cell>
          <cell r="E702" t="str">
            <v>Mr. SUMIT MALIK</v>
          </cell>
        </row>
        <row r="703">
          <cell r="D703" t="str">
            <v>R1 UG 20</v>
          </cell>
          <cell r="E703" t="str">
            <v>Mr. RAJIV KUMAR SOLANKI</v>
          </cell>
        </row>
        <row r="704">
          <cell r="D704" t="str">
            <v>R1 UG 18</v>
          </cell>
          <cell r="E704" t="str">
            <v>Mr. KANCHAN KALRA</v>
          </cell>
        </row>
        <row r="705">
          <cell r="D705" t="str">
            <v>R1 145</v>
          </cell>
          <cell r="E705" t="str">
            <v>Mr. AKHILESH KUMAR DUBEY</v>
          </cell>
        </row>
        <row r="706">
          <cell r="D706" t="str">
            <v>R6 208</v>
          </cell>
          <cell r="E706" t="str">
            <v>Mr. SYED MOHAMMAD NAJIB ASHRAF</v>
          </cell>
        </row>
        <row r="707">
          <cell r="D707" t="str">
            <v>R2 104</v>
          </cell>
          <cell r="E707" t="str">
            <v>Mr. Shashank Jorwal</v>
          </cell>
        </row>
        <row r="708">
          <cell r="D708" t="str">
            <v>R3 UG 01</v>
          </cell>
          <cell r="E708" t="str">
            <v>Ms. PRABHA SHARMA</v>
          </cell>
        </row>
        <row r="709">
          <cell r="D709" t="str">
            <v>R6 101</v>
          </cell>
          <cell r="E709" t="str">
            <v>Ms. SADHNA GUPTA</v>
          </cell>
        </row>
        <row r="710">
          <cell r="D710" t="str">
            <v>R4 K 301</v>
          </cell>
          <cell r="E710" t="str">
            <v>Mr. Vinod Kumar Bapna</v>
          </cell>
        </row>
        <row r="711">
          <cell r="D711" t="str">
            <v>R2 207</v>
          </cell>
          <cell r="E711" t="str">
            <v>Ms. PRITI AGARWAL</v>
          </cell>
        </row>
        <row r="712">
          <cell r="D712" t="str">
            <v>R1 220</v>
          </cell>
          <cell r="E712" t="str">
            <v>Ms. RITU SHARMA</v>
          </cell>
        </row>
        <row r="713">
          <cell r="D713" t="str">
            <v>R3 LG 95</v>
          </cell>
          <cell r="E713" t="str">
            <v>Mr. VIMAL SARDA</v>
          </cell>
        </row>
        <row r="714">
          <cell r="D714" t="str">
            <v>R5 UG 07</v>
          </cell>
          <cell r="E714" t="str">
            <v>Ms. REKHA SINGH</v>
          </cell>
        </row>
        <row r="715">
          <cell r="D715" t="str">
            <v>R5 K 303</v>
          </cell>
          <cell r="E715" t="str">
            <v>M/S. K5 INVESTMENT PVT. LTD.</v>
          </cell>
        </row>
        <row r="716">
          <cell r="D716" t="str">
            <v>R5 K 304</v>
          </cell>
          <cell r="E716" t="str">
            <v>Mr. AMIT KHANDELWAL</v>
          </cell>
        </row>
        <row r="717">
          <cell r="D717" t="str">
            <v>R1 143</v>
          </cell>
          <cell r="E717" t="str">
            <v>Ms. Jyoti Sharma</v>
          </cell>
        </row>
        <row r="718">
          <cell r="D718" t="str">
            <v>R3 LG 93</v>
          </cell>
          <cell r="E718" t="str">
            <v>Mr. MANUSHIVAM MAHESHWARI</v>
          </cell>
        </row>
        <row r="719">
          <cell r="D719" t="str">
            <v>R4 G 05</v>
          </cell>
          <cell r="E719" t="str">
            <v>Ms. Rekha Verma</v>
          </cell>
        </row>
        <row r="720">
          <cell r="D720" t="str">
            <v>R4 UG 19</v>
          </cell>
          <cell r="E720" t="str">
            <v>Mr. TARUN JOLLY</v>
          </cell>
        </row>
        <row r="721">
          <cell r="D721" t="str">
            <v>R1 K 304</v>
          </cell>
          <cell r="E721" t="str">
            <v>Ms. SEEMA SHARMA</v>
          </cell>
        </row>
        <row r="722">
          <cell r="D722" t="str">
            <v>R3 LG 44</v>
          </cell>
          <cell r="E722" t="str">
            <v>Ms. AKANKSHA GUPTA</v>
          </cell>
        </row>
        <row r="723">
          <cell r="D723" t="str">
            <v>R4 114</v>
          </cell>
          <cell r="E723" t="str">
            <v>M/S. EQUITY LOGISTIC SOLUTIONS PRIVATE LIMITED</v>
          </cell>
        </row>
        <row r="724">
          <cell r="D724" t="str">
            <v>R5 K 207</v>
          </cell>
          <cell r="E724" t="str">
            <v>Mr. JARIN GEORGE MATHEW</v>
          </cell>
        </row>
        <row r="725">
          <cell r="D725" t="str">
            <v>R4 LG 27</v>
          </cell>
          <cell r="E725" t="str">
            <v>Mr. GAGAN CHANDHOK</v>
          </cell>
        </row>
        <row r="726">
          <cell r="D726" t="str">
            <v>R1 108</v>
          </cell>
          <cell r="E726" t="str">
            <v>Mr. SANJEEV KUMAR</v>
          </cell>
        </row>
        <row r="727">
          <cell r="D727" t="str">
            <v>R5 G 05</v>
          </cell>
          <cell r="E727" t="str">
            <v>Mr. SANDEEP GOYAL</v>
          </cell>
        </row>
        <row r="728">
          <cell r="D728" t="str">
            <v>R6 UG 09</v>
          </cell>
          <cell r="E728" t="str">
            <v>Mr. AJMER SINGH</v>
          </cell>
        </row>
        <row r="729">
          <cell r="D729" t="str">
            <v>R3 UG 20</v>
          </cell>
          <cell r="E729" t="str">
            <v>Mr. MOHAN SINGH RAWAT</v>
          </cell>
        </row>
        <row r="730">
          <cell r="D730" t="str">
            <v>R1 LG 12</v>
          </cell>
          <cell r="E730" t="str">
            <v>Ms. AARTI SABHARWAL</v>
          </cell>
        </row>
        <row r="731">
          <cell r="D731" t="str">
            <v>R1 235</v>
          </cell>
          <cell r="E731" t="str">
            <v>Mr. DEVENDRA SINGH</v>
          </cell>
        </row>
        <row r="732">
          <cell r="D732" t="str">
            <v>R5 G 15</v>
          </cell>
          <cell r="E732" t="str">
            <v>M/S. Shree Radha Krishna Real Estate Private Limited</v>
          </cell>
        </row>
        <row r="733">
          <cell r="D733" t="str">
            <v>R3 UG 06</v>
          </cell>
          <cell r="E733" t="str">
            <v>Ms. ANITA CHOPRA</v>
          </cell>
        </row>
        <row r="734">
          <cell r="D734" t="str">
            <v>R6 LG 07</v>
          </cell>
          <cell r="E734" t="str">
            <v>Ms. Swati Tanwar</v>
          </cell>
        </row>
        <row r="735">
          <cell r="D735" t="str">
            <v>R3 UG 10</v>
          </cell>
          <cell r="E735" t="str">
            <v>Mr. PRIYAM KUMAR</v>
          </cell>
        </row>
        <row r="736">
          <cell r="D736" t="str">
            <v>R4 UG 04</v>
          </cell>
          <cell r="E736" t="str">
            <v>Mr. SANJAY DEHRAN</v>
          </cell>
        </row>
        <row r="737">
          <cell r="D737" t="str">
            <v>R4 G 06</v>
          </cell>
          <cell r="E737" t="str">
            <v>Mr. KAMAL GARG</v>
          </cell>
        </row>
        <row r="738">
          <cell r="D738" t="str">
            <v>R5 122</v>
          </cell>
          <cell r="E738" t="str">
            <v>Ms. SONIA BANSAL</v>
          </cell>
        </row>
        <row r="739">
          <cell r="D739" t="str">
            <v>R3 UG 21</v>
          </cell>
          <cell r="E739" t="str">
            <v>Mr. MOHAN SINGH RAWAT</v>
          </cell>
        </row>
        <row r="740">
          <cell r="D740" t="str">
            <v>R3 UG 39</v>
          </cell>
          <cell r="E740" t="str">
            <v>Mr. PRAVESH KUMAR KARHANA</v>
          </cell>
        </row>
        <row r="741">
          <cell r="D741" t="str">
            <v>R2 204</v>
          </cell>
          <cell r="E741" t="str">
            <v>Mr. ASHISH SHARMA</v>
          </cell>
        </row>
        <row r="742">
          <cell r="D742" t="str">
            <v>R2 UG 17</v>
          </cell>
          <cell r="E742" t="str">
            <v>Mr. PANNA LAL CHAURASIA</v>
          </cell>
        </row>
        <row r="743">
          <cell r="D743" t="str">
            <v>R4 UG 25</v>
          </cell>
          <cell r="E743" t="str">
            <v>Ms. SHEHZADI GULNAR MIRZA</v>
          </cell>
        </row>
        <row r="744">
          <cell r="D744" t="str">
            <v>R5 G 12A</v>
          </cell>
          <cell r="E744" t="str">
            <v>M/S. SRM CONTRACTORS LIMITED</v>
          </cell>
        </row>
        <row r="745">
          <cell r="D745" t="str">
            <v>R4 112A</v>
          </cell>
          <cell r="E745" t="str">
            <v>Mr. NEELABH AYODHYA SINGH</v>
          </cell>
        </row>
        <row r="746">
          <cell r="D746" t="str">
            <v>R3 LG 02</v>
          </cell>
          <cell r="E746" t="str">
            <v>Mr. Sanjay Gupta</v>
          </cell>
        </row>
        <row r="747">
          <cell r="D747" t="str">
            <v>R5 UG 04</v>
          </cell>
          <cell r="E747" t="str">
            <v>Ms. MADHU BALA</v>
          </cell>
        </row>
        <row r="748">
          <cell r="D748" t="str">
            <v>R4 G 17</v>
          </cell>
          <cell r="E748" t="str">
            <v>Mr. Mohan Singh Suden</v>
          </cell>
        </row>
        <row r="749">
          <cell r="D749" t="str">
            <v>R3 LG 49</v>
          </cell>
          <cell r="E749" t="str">
            <v>Mr. DHARAMPAL SEHRAWAT</v>
          </cell>
        </row>
        <row r="750">
          <cell r="D750" t="str">
            <v>R5 G 21</v>
          </cell>
          <cell r="E750" t="str">
            <v>Mr. SANJEEV KUMAR GARG</v>
          </cell>
        </row>
        <row r="751">
          <cell r="D751" t="str">
            <v>R1 218</v>
          </cell>
          <cell r="E751" t="str">
            <v>Ms. USHA DEVI</v>
          </cell>
        </row>
        <row r="752">
          <cell r="D752" t="str">
            <v>R4 110</v>
          </cell>
          <cell r="E752" t="str">
            <v>Mr. ALOK CHATTOPADHYAY</v>
          </cell>
        </row>
        <row r="753">
          <cell r="D753" t="str">
            <v>R6 225</v>
          </cell>
          <cell r="E753" t="str">
            <v>Mr. SACHIN JAIN</v>
          </cell>
        </row>
        <row r="754">
          <cell r="D754" t="str">
            <v>R6 231</v>
          </cell>
          <cell r="E754" t="str">
            <v>Ms. PRAVEEN KUMARI</v>
          </cell>
        </row>
        <row r="755">
          <cell r="D755" t="str">
            <v>R5 LG 40</v>
          </cell>
          <cell r="E755" t="str">
            <v>Mr. SHAMBHU SHARAN SINGH</v>
          </cell>
        </row>
        <row r="756">
          <cell r="D756" t="str">
            <v>R1 G 08</v>
          </cell>
          <cell r="E756" t="str">
            <v>Mr. SANJEEV KUMAR WADHWA</v>
          </cell>
        </row>
        <row r="757">
          <cell r="D757" t="str">
            <v>R1 G 17</v>
          </cell>
          <cell r="E757" t="str">
            <v>Ms. KAMNA BAGRODIA</v>
          </cell>
        </row>
        <row r="758">
          <cell r="D758" t="str">
            <v>R4 G 04</v>
          </cell>
          <cell r="E758" t="str">
            <v>M/S. ROCKY CYCLES PRIVATE LIMITED</v>
          </cell>
        </row>
        <row r="759">
          <cell r="D759" t="str">
            <v>R1 LG 26</v>
          </cell>
          <cell r="E759" t="str">
            <v>Mr. SANDEEP MALIK</v>
          </cell>
        </row>
        <row r="760">
          <cell r="D760" t="str">
            <v>R1 UG 12</v>
          </cell>
          <cell r="E760" t="str">
            <v>Ms. SUPREET KAUR SAWHNEY</v>
          </cell>
        </row>
        <row r="761">
          <cell r="D761" t="str">
            <v>R3 UG 27</v>
          </cell>
          <cell r="E761" t="str">
            <v>Ms. SMITA SHARMA</v>
          </cell>
        </row>
        <row r="762">
          <cell r="D762" t="str">
            <v>R1 LG 17</v>
          </cell>
          <cell r="E762" t="str">
            <v>Ms. MEENAKSHI TOMAR</v>
          </cell>
        </row>
        <row r="763">
          <cell r="D763" t="str">
            <v>R1 132</v>
          </cell>
          <cell r="E763" t="str">
            <v>Mr. JITENDER MISHRA</v>
          </cell>
        </row>
        <row r="764">
          <cell r="D764" t="str">
            <v>R4 G 12</v>
          </cell>
          <cell r="E764" t="str">
            <v>M/S. RSK BUILTECH LLP</v>
          </cell>
        </row>
        <row r="765">
          <cell r="D765" t="str">
            <v>R6 126</v>
          </cell>
          <cell r="E765" t="str">
            <v>Mr. SATISH KUMAR</v>
          </cell>
        </row>
        <row r="766">
          <cell r="D766" t="str">
            <v>R1 UG 22</v>
          </cell>
          <cell r="E766" t="str">
            <v>M/S. DELPHI INFOTECH PVT.LTD.</v>
          </cell>
        </row>
        <row r="767">
          <cell r="D767" t="str">
            <v>R4 G 22</v>
          </cell>
          <cell r="E767" t="str">
            <v>M/S. Banipur Infra Private Limited</v>
          </cell>
        </row>
        <row r="768">
          <cell r="D768" t="str">
            <v>R3 LG 05</v>
          </cell>
          <cell r="E768" t="str">
            <v>Ms. Nandita Kumari</v>
          </cell>
        </row>
        <row r="769">
          <cell r="D769" t="str">
            <v>R1 K 302</v>
          </cell>
          <cell r="E769" t="str">
            <v>Mr. RANDEEP MALIK</v>
          </cell>
        </row>
        <row r="770">
          <cell r="D770" t="str">
            <v>R4 102</v>
          </cell>
          <cell r="E770" t="str">
            <v>Mr. KUSHMEET SINGH SAWHNEY</v>
          </cell>
        </row>
        <row r="771">
          <cell r="D771" t="str">
            <v>R6 LG 16</v>
          </cell>
          <cell r="E771" t="str">
            <v>Ms. RASHMI HUKKU</v>
          </cell>
        </row>
        <row r="772">
          <cell r="D772" t="str">
            <v>R5 LG 16</v>
          </cell>
          <cell r="E772" t="str">
            <v>Ms. Dhanpati Devi</v>
          </cell>
        </row>
        <row r="773">
          <cell r="D773" t="str">
            <v>R1 K 303</v>
          </cell>
          <cell r="E773" t="str">
            <v>Mr. PANKAJ JYOTI</v>
          </cell>
        </row>
        <row r="774">
          <cell r="D774" t="str">
            <v>R4 G 14</v>
          </cell>
          <cell r="E774" t="str">
            <v>Mr. ASHISH .</v>
          </cell>
        </row>
        <row r="775">
          <cell r="D775" t="str">
            <v>R5 G 06</v>
          </cell>
          <cell r="E775" t="str">
            <v>Mrs. SHUBHANGEE SHARMA</v>
          </cell>
        </row>
        <row r="776">
          <cell r="D776" t="str">
            <v>R3 LG 94</v>
          </cell>
          <cell r="E776" t="str">
            <v>Dr. GURJAP SINGH</v>
          </cell>
        </row>
        <row r="777">
          <cell r="D777" t="str">
            <v>R1 135</v>
          </cell>
          <cell r="E777" t="str">
            <v>Mr. RAJESH KUMAR KARGWAL</v>
          </cell>
        </row>
        <row r="778">
          <cell r="D778" t="str">
            <v>R6 LG 24</v>
          </cell>
          <cell r="E778" t="str">
            <v>Mr. SARFRAZ AHMAD</v>
          </cell>
        </row>
        <row r="779">
          <cell r="D779" t="str">
            <v>R6 UG 08</v>
          </cell>
          <cell r="E779" t="str">
            <v>Mr. AJMER SINGH</v>
          </cell>
        </row>
        <row r="780">
          <cell r="D780" t="str">
            <v>R6 LG 04</v>
          </cell>
          <cell r="E780" t="str">
            <v>Ms. VAISHNOW MALHOTRA</v>
          </cell>
        </row>
        <row r="781">
          <cell r="D781" t="str">
            <v>R2 UG 14</v>
          </cell>
          <cell r="E781" t="str">
            <v>Ms. ARTI MISHRA</v>
          </cell>
        </row>
        <row r="782">
          <cell r="D782" t="str">
            <v>R4 G 16</v>
          </cell>
          <cell r="E782" t="str">
            <v>Mr. RUSHIL KATYAL</v>
          </cell>
        </row>
        <row r="783">
          <cell r="D783" t="str">
            <v>R4 LG 31</v>
          </cell>
          <cell r="E783" t="str">
            <v>Ms. Meenakshi Singhal</v>
          </cell>
        </row>
        <row r="784">
          <cell r="D784" t="str">
            <v>R5 G 17</v>
          </cell>
          <cell r="E784" t="str">
            <v>Mr. VISHANT JAIN</v>
          </cell>
        </row>
        <row r="785">
          <cell r="D785" t="str">
            <v>R4 LG 28</v>
          </cell>
          <cell r="E785" t="str">
            <v>Ms. Meenakshi Singhal</v>
          </cell>
        </row>
        <row r="786">
          <cell r="D786" t="str">
            <v>R1 LG 20</v>
          </cell>
          <cell r="E786" t="str">
            <v>M/S. HARYANA EARTHMOVERS</v>
          </cell>
        </row>
        <row r="787">
          <cell r="D787" t="str">
            <v>R5 130</v>
          </cell>
          <cell r="E787" t="str">
            <v>Ms. CHANDRA DUTTA</v>
          </cell>
        </row>
        <row r="788">
          <cell r="D788" t="str">
            <v>R4 G 01</v>
          </cell>
          <cell r="E788" t="str">
            <v>Mr. SUMIT GAUR</v>
          </cell>
        </row>
        <row r="789">
          <cell r="D789" t="str">
            <v>R4 LG 32</v>
          </cell>
          <cell r="E789" t="str">
            <v>Ms. Meenakshi Singhal</v>
          </cell>
        </row>
        <row r="790">
          <cell r="D790" t="str">
            <v>R1 144</v>
          </cell>
          <cell r="E790" t="str">
            <v>Mr. BILAL AHMAD WANI</v>
          </cell>
        </row>
        <row r="791">
          <cell r="D791" t="str">
            <v>R5 G 24</v>
          </cell>
          <cell r="E791" t="str">
            <v>Mr. GAURAV VAID</v>
          </cell>
        </row>
        <row r="792">
          <cell r="D792" t="str">
            <v>R3 UG 30</v>
          </cell>
          <cell r="E792" t="str">
            <v>Ms. SUNITA AHUJA</v>
          </cell>
        </row>
        <row r="793">
          <cell r="D793" t="str">
            <v>R2 206</v>
          </cell>
          <cell r="E793" t="str">
            <v>Mr. SHRUTI KANT RUSTAGI</v>
          </cell>
        </row>
        <row r="794">
          <cell r="D794" t="str">
            <v>R4 G 19</v>
          </cell>
          <cell r="E794" t="str">
            <v>Mr. BALBIR SINGH</v>
          </cell>
        </row>
        <row r="795">
          <cell r="D795" t="str">
            <v>R4 112</v>
          </cell>
          <cell r="E795" t="str">
            <v>Mr. PAWAN AGGARWAL</v>
          </cell>
        </row>
        <row r="796">
          <cell r="D796" t="str">
            <v>R5 G 14</v>
          </cell>
          <cell r="E796" t="str">
            <v>M/S. H S ASSOCIATES</v>
          </cell>
        </row>
        <row r="797">
          <cell r="D797" t="str">
            <v>R3 LG 04</v>
          </cell>
          <cell r="E797" t="str">
            <v>Mr. DEEPAK NAITHANI</v>
          </cell>
        </row>
        <row r="798">
          <cell r="D798" t="str">
            <v>R5 UG 11</v>
          </cell>
          <cell r="E798" t="str">
            <v>M/S. WOLFE RETAILS (OPC) PRIVATE LIMITED</v>
          </cell>
        </row>
        <row r="799">
          <cell r="D799" t="str">
            <v>R6 UG 15</v>
          </cell>
          <cell r="E799" t="str">
            <v>Ms. Ritu Goel</v>
          </cell>
        </row>
        <row r="800">
          <cell r="D800" t="str">
            <v>R6 LG 33</v>
          </cell>
          <cell r="E800" t="str">
            <v>Ms. Meenakshi Singhal</v>
          </cell>
        </row>
        <row r="801">
          <cell r="D801" t="str">
            <v>R5 124</v>
          </cell>
          <cell r="E801" t="str">
            <v>Ms. OSHIMA REEHAL</v>
          </cell>
        </row>
        <row r="802">
          <cell r="D802" t="str">
            <v>R4 111</v>
          </cell>
          <cell r="E802" t="str">
            <v>Mr. ASHISH NARANG</v>
          </cell>
        </row>
        <row r="803">
          <cell r="D803" t="str">
            <v>R2 LG 11</v>
          </cell>
          <cell r="E803" t="str">
            <v>Ms. AMRITA JHA</v>
          </cell>
        </row>
        <row r="804">
          <cell r="D804" t="str">
            <v>R4 K 302</v>
          </cell>
          <cell r="E804" t="str">
            <v>Ms. NEHA MALHOTRA</v>
          </cell>
        </row>
        <row r="805">
          <cell r="D805" t="str">
            <v>R5 K 301</v>
          </cell>
          <cell r="E805" t="str">
            <v>Ms. NEHA MALHOTRA</v>
          </cell>
        </row>
        <row r="806">
          <cell r="D806" t="str">
            <v>R5 LG 12A</v>
          </cell>
          <cell r="E806" t="str">
            <v>Ms. Meenakshi Singhal</v>
          </cell>
        </row>
        <row r="807">
          <cell r="D807" t="str">
            <v>R3 LG 70</v>
          </cell>
          <cell r="E807" t="str">
            <v>Ms. NEELAM DHIMAN</v>
          </cell>
        </row>
        <row r="808">
          <cell r="D808" t="str">
            <v>R4 UG 27</v>
          </cell>
          <cell r="E808" t="str">
            <v>Mr. SUMIT MALIK</v>
          </cell>
        </row>
        <row r="809">
          <cell r="D809" t="str">
            <v>R6 128</v>
          </cell>
          <cell r="E809" t="str">
            <v>M/S. ORIGAMI BUSINESS MANAGEMENT PRIVATE LIMITED</v>
          </cell>
        </row>
        <row r="810">
          <cell r="D810" t="str">
            <v>R4 LG 12A</v>
          </cell>
          <cell r="E810" t="str">
            <v>M/S. DEEPAK SHARMA (HUF)</v>
          </cell>
        </row>
        <row r="811">
          <cell r="D811" t="str">
            <v>R6 LG 32</v>
          </cell>
          <cell r="E811" t="str">
            <v>M/S. ROKLIM ESTATES LLP</v>
          </cell>
        </row>
        <row r="812">
          <cell r="D812" t="str">
            <v>R1 G 18</v>
          </cell>
          <cell r="E812" t="str">
            <v>Ms. RASHMI KEDIA</v>
          </cell>
        </row>
        <row r="813">
          <cell r="D813" t="str">
            <v>R6 121</v>
          </cell>
          <cell r="E813" t="str">
            <v>M/S. ORIGAMI BUSINESS MANAGEMENT PRIVATE LIMITED</v>
          </cell>
        </row>
        <row r="814">
          <cell r="D814" t="str">
            <v>R6 122</v>
          </cell>
          <cell r="E814" t="str">
            <v>M/S. ORIGAMI BUSINESS MANAGEMENT PRIVATE LIMITED</v>
          </cell>
        </row>
        <row r="815">
          <cell r="D815" t="str">
            <v>R1 G 06</v>
          </cell>
          <cell r="E815" t="str">
            <v>Mr. SUNIL KUMAR ARORA</v>
          </cell>
        </row>
        <row r="816">
          <cell r="D816" t="str">
            <v>R5 G 12</v>
          </cell>
          <cell r="E816" t="str">
            <v>Mr. BHARAT BHAMBHANI</v>
          </cell>
        </row>
        <row r="817">
          <cell r="D817" t="str">
            <v>R4 251</v>
          </cell>
          <cell r="E817" t="str">
            <v>M/S. DRUMMOND ESTATES LLP</v>
          </cell>
        </row>
        <row r="818">
          <cell r="D818" t="str">
            <v>R2 LG 17</v>
          </cell>
          <cell r="E818" t="str">
            <v>Ms. SHIPRA JHA</v>
          </cell>
        </row>
        <row r="819">
          <cell r="D819" t="str">
            <v>R5 156</v>
          </cell>
          <cell r="E819" t="str">
            <v>Mr. APOORVA GAUR</v>
          </cell>
        </row>
        <row r="820">
          <cell r="D820" t="str">
            <v>R6 129</v>
          </cell>
          <cell r="E820" t="str">
            <v>M/S. ORIGAMI BUSINESS MANAGEMENT PRIVATE LIMITED</v>
          </cell>
        </row>
        <row r="821">
          <cell r="D821" t="str">
            <v>R4 UG 01</v>
          </cell>
          <cell r="E821" t="str">
            <v>Mr. MITESH JAIN</v>
          </cell>
        </row>
        <row r="822">
          <cell r="D822" t="str">
            <v>R3 UG 17</v>
          </cell>
          <cell r="E822" t="str">
            <v>M/S. LORD SHRI RANKESHWAR DEVELOPERS PRIVATE LIMITED</v>
          </cell>
        </row>
        <row r="823">
          <cell r="D823" t="str">
            <v>R4 UG 21</v>
          </cell>
          <cell r="E823" t="str">
            <v>M/S. ROKLIM ESTATES LLP</v>
          </cell>
        </row>
        <row r="824">
          <cell r="D824" t="str">
            <v>R4 149</v>
          </cell>
          <cell r="E824" t="str">
            <v>M/S. DRUMMOND ESTATES LLP</v>
          </cell>
        </row>
        <row r="825">
          <cell r="D825" t="str">
            <v>R5 G 07</v>
          </cell>
          <cell r="E825" t="str">
            <v>Mr. NAVNEET VATS</v>
          </cell>
        </row>
        <row r="826">
          <cell r="D826" t="str">
            <v>R6 131</v>
          </cell>
          <cell r="E826" t="str">
            <v>M/S. DRUMMOND ESTATES LLP</v>
          </cell>
        </row>
        <row r="827">
          <cell r="D827" t="str">
            <v>R5 G 03</v>
          </cell>
          <cell r="E827" t="str">
            <v>M/S. TRIUMPH EDUDEVELOPERS PRIVATE LIMITED</v>
          </cell>
        </row>
        <row r="828">
          <cell r="D828" t="str">
            <v>R6 233</v>
          </cell>
          <cell r="E828" t="str">
            <v>M/S. DRUMMOND ESTATES LLP</v>
          </cell>
        </row>
        <row r="829">
          <cell r="D829" t="str">
            <v>R4 UG 20</v>
          </cell>
          <cell r="E829" t="str">
            <v>M/S. ROKLIM ESTATES LLP</v>
          </cell>
        </row>
        <row r="830">
          <cell r="D830" t="str">
            <v>R4 151</v>
          </cell>
          <cell r="E830" t="str">
            <v>M/S. DRUMMOND ESTATES LLP</v>
          </cell>
        </row>
        <row r="831">
          <cell r="D831" t="str">
            <v>R2 UG 08</v>
          </cell>
          <cell r="E831" t="str">
            <v>Ms. Minakshi Kumari</v>
          </cell>
        </row>
        <row r="832">
          <cell r="D832" t="str">
            <v>R6 LG 03</v>
          </cell>
          <cell r="E832" t="str">
            <v>Ms. MRIGNAINI VIJAN</v>
          </cell>
        </row>
        <row r="833">
          <cell r="D833" t="str">
            <v>R5 UG 08</v>
          </cell>
          <cell r="E833" t="str">
            <v>M/S. ROKLIM ESTATES LLP</v>
          </cell>
        </row>
        <row r="834">
          <cell r="D834" t="str">
            <v>R5 UG 09</v>
          </cell>
          <cell r="E834" t="str">
            <v>M/S. ROKLIM ESTATES LLP</v>
          </cell>
        </row>
        <row r="835">
          <cell r="D835" t="str">
            <v>R6 111</v>
          </cell>
          <cell r="E835" t="str">
            <v>M/S. DRUMMOND ESTATES LLP</v>
          </cell>
        </row>
        <row r="836">
          <cell r="D836" t="str">
            <v>R6 133</v>
          </cell>
          <cell r="E836" t="str">
            <v>M/S. DRUMMOND ESTATES LLP</v>
          </cell>
        </row>
        <row r="837">
          <cell r="D837" t="str">
            <v>R6 UG 22</v>
          </cell>
          <cell r="E837" t="str">
            <v>M/S. ROKLIM ESTATES LLP</v>
          </cell>
        </row>
        <row r="838">
          <cell r="D838" t="str">
            <v>R5 LG 08</v>
          </cell>
          <cell r="E838" t="str">
            <v>M/S. ROKLIM ESTATES LLP</v>
          </cell>
        </row>
        <row r="839">
          <cell r="D839" t="str">
            <v>R5 G 02</v>
          </cell>
          <cell r="E839" t="str">
            <v>Mr. AJAY BABBAR</v>
          </cell>
        </row>
        <row r="840">
          <cell r="D840" t="str">
            <v>R4 142</v>
          </cell>
          <cell r="E840" t="str">
            <v>M/S. MUNNARE BUILDERS LLP</v>
          </cell>
        </row>
        <row r="841">
          <cell r="D841" t="str">
            <v>R1 G 09</v>
          </cell>
          <cell r="E841" t="str">
            <v>M/S. RAKSHAK SECURITAS PVT. LTD.</v>
          </cell>
        </row>
        <row r="842">
          <cell r="D842" t="str">
            <v>R1 G 10</v>
          </cell>
          <cell r="E842" t="str">
            <v>M/S. RAKSHAK SECURITAS PVT. LTD.</v>
          </cell>
        </row>
        <row r="843">
          <cell r="D843" t="str">
            <v>R1 G 11</v>
          </cell>
          <cell r="E843" t="str">
            <v>M/S. RAKSHAK SECURITAS PVT. LTD.</v>
          </cell>
        </row>
        <row r="844">
          <cell r="D844" t="str">
            <v>R6 LG 31</v>
          </cell>
          <cell r="E844" t="str">
            <v>M/S. ROKLIM ESTATES LLP</v>
          </cell>
        </row>
        <row r="845">
          <cell r="D845" t="str">
            <v>R5 LG 07</v>
          </cell>
          <cell r="E845" t="str">
            <v>M/S. ROKLIM ESTATES LLP</v>
          </cell>
        </row>
        <row r="846">
          <cell r="D846" t="str">
            <v>R5 LG 04</v>
          </cell>
          <cell r="E846" t="str">
            <v>M/S. ROKLIM ESTATES LLP</v>
          </cell>
        </row>
        <row r="847">
          <cell r="D847" t="str">
            <v>R2 UG 07</v>
          </cell>
          <cell r="E847" t="str">
            <v>Ms. Minakshi Kumari</v>
          </cell>
        </row>
        <row r="848">
          <cell r="D848" t="str">
            <v>R1 G 12</v>
          </cell>
          <cell r="E848" t="str">
            <v>M/S. RAKSHAK SECURITAS PVT. LTD.</v>
          </cell>
        </row>
        <row r="849">
          <cell r="D849" t="str">
            <v>R6 UG 21</v>
          </cell>
          <cell r="E849" t="str">
            <v>M/S. ROKLIM ESTATES LLP</v>
          </cell>
        </row>
        <row r="850">
          <cell r="D850" t="str">
            <v>R6 LG 15</v>
          </cell>
          <cell r="E850" t="str">
            <v>Md. ANAS</v>
          </cell>
        </row>
        <row r="851">
          <cell r="D851" t="str">
            <v>R1 G 14</v>
          </cell>
          <cell r="E851" t="str">
            <v>M/S. RAKSHAK SECURITAS PVT. LTD.</v>
          </cell>
        </row>
        <row r="852">
          <cell r="D852" t="str">
            <v>R4 LG 20</v>
          </cell>
          <cell r="E852" t="str">
            <v>M/S. ROKLIM ESTATES LLP</v>
          </cell>
        </row>
        <row r="853">
          <cell r="D853" t="str">
            <v>R1 G 19</v>
          </cell>
          <cell r="E853" t="str">
            <v>Mr. HARSHIT GOYAL</v>
          </cell>
        </row>
        <row r="854">
          <cell r="D854" t="str">
            <v>R4 G 15</v>
          </cell>
          <cell r="E854" t="str">
            <v>Mr. MANOJ KUMAR TOMAR</v>
          </cell>
        </row>
        <row r="855">
          <cell r="D855" t="str">
            <v>R4 UG 22</v>
          </cell>
          <cell r="E855" t="str">
            <v>M/S. ROKLIM ESTATES LLP</v>
          </cell>
        </row>
        <row r="856">
          <cell r="D856" t="str">
            <v>R1 G 12A</v>
          </cell>
          <cell r="E856" t="str">
            <v>M/S. RAKSHAK SECURITAS PVT. LTD.</v>
          </cell>
        </row>
        <row r="857">
          <cell r="D857" t="str">
            <v>R4 LG 21</v>
          </cell>
          <cell r="E857" t="str">
            <v>M/S. ROKLIM ESTATES LLP</v>
          </cell>
        </row>
        <row r="858">
          <cell r="D858" t="str">
            <v>R6 LG 28</v>
          </cell>
          <cell r="E858" t="str">
            <v>M/S. TRON INFRA TECH PRIVATE LIMITED</v>
          </cell>
        </row>
        <row r="859">
          <cell r="D859" t="str">
            <v>R4 LG 22</v>
          </cell>
          <cell r="E859" t="str">
            <v>M/S. ROKLIM ESTATES LLP</v>
          </cell>
        </row>
        <row r="860">
          <cell r="D860" t="str">
            <v>R4 LG 23</v>
          </cell>
          <cell r="E860" t="str">
            <v>M/S. ROKLIM ESTATES LLP</v>
          </cell>
        </row>
        <row r="861">
          <cell r="D861" t="str">
            <v>R6 LG 18</v>
          </cell>
          <cell r="E861" t="str">
            <v>M/S. A. K. BAKSHI &amp; SON (HUF)</v>
          </cell>
        </row>
        <row r="862">
          <cell r="D862" t="str">
            <v>R4 LG 18</v>
          </cell>
          <cell r="E862" t="str">
            <v>M/S. WOLFE RETAILS (OPC) PRIVATE LIMITED</v>
          </cell>
        </row>
        <row r="863">
          <cell r="D863" t="str">
            <v>R5 G 19</v>
          </cell>
          <cell r="E863" t="str">
            <v>Mr. AUMAN BANSAL</v>
          </cell>
        </row>
        <row r="864">
          <cell r="D864" t="str">
            <v>R4 201</v>
          </cell>
          <cell r="E864" t="str">
            <v>M/S. DRUMMOND ESTATES LLP</v>
          </cell>
        </row>
        <row r="865">
          <cell r="D865" t="str">
            <v>R6 LG 11</v>
          </cell>
          <cell r="E865" t="str">
            <v>Mr. DHIRAJ KUMAR BAJAJ</v>
          </cell>
        </row>
        <row r="866">
          <cell r="D866" t="str">
            <v>R6 LG 29</v>
          </cell>
          <cell r="E866" t="str">
            <v>M/S. TRON INFRA TECH PRIVATE LIMITED</v>
          </cell>
        </row>
        <row r="867">
          <cell r="D867" t="str">
            <v>R5 LG 10</v>
          </cell>
          <cell r="E867" t="str">
            <v>M/S. ROKLIM ESTATES LLP</v>
          </cell>
        </row>
        <row r="868">
          <cell r="D868" t="str">
            <v>R4 LG 10</v>
          </cell>
          <cell r="E868" t="str">
            <v>M/S. ROKLIM ESTATES LLP</v>
          </cell>
        </row>
        <row r="869">
          <cell r="D869" t="str">
            <v>R4 LG 11</v>
          </cell>
          <cell r="E869" t="str">
            <v>M/S. ROKLIM ESTATES LLP</v>
          </cell>
        </row>
        <row r="870">
          <cell r="D870" t="str">
            <v>R6 LG 22</v>
          </cell>
          <cell r="E870" t="str">
            <v>M/S. ROKLIM ESTATES LLP</v>
          </cell>
        </row>
        <row r="871">
          <cell r="D871" t="str">
            <v>R2 UG 09</v>
          </cell>
          <cell r="E871" t="str">
            <v>Ms. Minakshi Kumari</v>
          </cell>
        </row>
        <row r="872">
          <cell r="D872" t="str">
            <v>R5 G 08</v>
          </cell>
          <cell r="E872" t="str">
            <v>Mr. VISHAL GUPTA</v>
          </cell>
        </row>
        <row r="873">
          <cell r="D873" t="str">
            <v>R4 G 18</v>
          </cell>
          <cell r="E873" t="str">
            <v>Mr. SULTAN SINGH</v>
          </cell>
        </row>
        <row r="874">
          <cell r="D874" t="str">
            <v>R5 G 18</v>
          </cell>
          <cell r="E874" t="str">
            <v>Mr. Rakesh Tyagi</v>
          </cell>
        </row>
        <row r="875">
          <cell r="D875" t="str">
            <v>R5 G 04</v>
          </cell>
          <cell r="E875" t="str">
            <v>Mr. SULTAN SINGH</v>
          </cell>
        </row>
        <row r="876">
          <cell r="D876" t="str">
            <v>R5 G 09</v>
          </cell>
          <cell r="E876" t="str">
            <v>M/S. PARSHEV JAIN HUF</v>
          </cell>
        </row>
        <row r="877">
          <cell r="D877" t="str">
            <v>R6 LG 21</v>
          </cell>
          <cell r="E877" t="str">
            <v>M/S. ROKLIM ESTATES LLP</v>
          </cell>
        </row>
        <row r="878">
          <cell r="D878" t="str">
            <v>R1 G 15</v>
          </cell>
          <cell r="E878" t="str">
            <v>M/S. RAKSHAK SECURITAS PVT. LTD.</v>
          </cell>
        </row>
        <row r="879">
          <cell r="D879" t="str">
            <v>R4 G 21</v>
          </cell>
          <cell r="E879" t="str">
            <v>M/S. NSV INDIA OVERSEAS LLP</v>
          </cell>
        </row>
        <row r="880">
          <cell r="D880" t="str">
            <v>R5 G 22</v>
          </cell>
          <cell r="E880" t="str">
            <v>Mr. PARESH SINGLA</v>
          </cell>
        </row>
        <row r="881">
          <cell r="D881" t="str">
            <v>R4 LG 24</v>
          </cell>
          <cell r="E881" t="str">
            <v>M/S. ROKLIM ESTATES LLP</v>
          </cell>
        </row>
        <row r="882">
          <cell r="D882" t="str">
            <v>R1 G 05</v>
          </cell>
          <cell r="E882" t="str">
            <v>Ms. BHAVNA GOYAL</v>
          </cell>
        </row>
        <row r="883">
          <cell r="D883" t="str">
            <v>R5 G 23</v>
          </cell>
          <cell r="E883" t="str">
            <v>Ms. PUNAM SINGLA</v>
          </cell>
        </row>
        <row r="884">
          <cell r="D884" t="str">
            <v>R6 UG 29</v>
          </cell>
          <cell r="E884" t="str">
            <v>M/S. WOLFE RETAILS (OPC) PRIVATE LIMITED</v>
          </cell>
        </row>
        <row r="885">
          <cell r="D885" t="str">
            <v>R4 101</v>
          </cell>
          <cell r="E885" t="str">
            <v>M/S. MUNNARE BUILDERS LLP</v>
          </cell>
        </row>
        <row r="886">
          <cell r="D886" t="str">
            <v>R4 K 304</v>
          </cell>
          <cell r="E886" t="str">
            <v>Ms. SANTOSH KUMARI</v>
          </cell>
        </row>
        <row r="887">
          <cell r="D887" t="str">
            <v>R1 201</v>
          </cell>
          <cell r="E887" t="str">
            <v>M/S. MUNNARE BUILDERS LLP</v>
          </cell>
        </row>
        <row r="888">
          <cell r="D888" t="str">
            <v>R5 G 10</v>
          </cell>
          <cell r="E888" t="str">
            <v>Mr. PARESH SINGLA</v>
          </cell>
        </row>
        <row r="889">
          <cell r="D889" t="str">
            <v>R1 101</v>
          </cell>
          <cell r="E889" t="str">
            <v>M/S. MUNNARE BUILDERS LLP</v>
          </cell>
        </row>
        <row r="890">
          <cell r="D890" t="str">
            <v>R3 LG 52</v>
          </cell>
          <cell r="E890" t="str">
            <v>Ms. JYOTI KATHURIA</v>
          </cell>
        </row>
        <row r="891">
          <cell r="D891" t="str">
            <v>R1 255</v>
          </cell>
          <cell r="E891" t="str">
            <v>Ms. Rekha Bishnoi</v>
          </cell>
        </row>
        <row r="892">
          <cell r="D892" t="str">
            <v>R4 G 03</v>
          </cell>
          <cell r="E892" t="str">
            <v>Mr. AKASH GUPTA</v>
          </cell>
        </row>
        <row r="893">
          <cell r="D893" t="str">
            <v>R1 G 16</v>
          </cell>
          <cell r="E893" t="str">
            <v>Ms. AMAIRA BANSAL</v>
          </cell>
        </row>
        <row r="894">
          <cell r="D894" t="str">
            <v>R1 G 20</v>
          </cell>
          <cell r="E894" t="str">
            <v>Ms. PAYAL KANODIA</v>
          </cell>
        </row>
        <row r="895">
          <cell r="D895" t="str">
            <v>R1 114</v>
          </cell>
          <cell r="E895" t="str">
            <v>Mr. JITENDER MANAV</v>
          </cell>
        </row>
        <row r="896">
          <cell r="D896" t="str">
            <v>R3 LG 65</v>
          </cell>
          <cell r="E896" t="str">
            <v>Mr. VINAYAK PANT</v>
          </cell>
        </row>
        <row r="897">
          <cell r="D897" t="str">
            <v>R1 LG 01</v>
          </cell>
          <cell r="E897" t="str">
            <v>Mr. NIMRAT PAL SABHARWAL</v>
          </cell>
        </row>
        <row r="898">
          <cell r="D898" t="str">
            <v>R5 K 215</v>
          </cell>
          <cell r="E898" t="str">
            <v>Ms. HARPREET LUTHRA</v>
          </cell>
        </row>
        <row r="899">
          <cell r="D899" t="str">
            <v>R5 135</v>
          </cell>
          <cell r="E899" t="str">
            <v>Mr. LAKSHAY MEHTA</v>
          </cell>
        </row>
        <row r="900">
          <cell r="D900" t="str">
            <v>R6 LG 12</v>
          </cell>
          <cell r="E900" t="str">
            <v>Ms. SHASHI KIRAN</v>
          </cell>
        </row>
        <row r="901">
          <cell r="D901" t="str">
            <v>R1 LG 24</v>
          </cell>
          <cell r="E901" t="str">
            <v>M/S. MUNNARE BUILDERS LLP</v>
          </cell>
        </row>
        <row r="902">
          <cell r="D902" t="str">
            <v>R1 UG 26</v>
          </cell>
          <cell r="E902" t="str">
            <v>Mr. Varinder Singh</v>
          </cell>
        </row>
        <row r="903">
          <cell r="D903" t="str">
            <v>R3 UG 07</v>
          </cell>
          <cell r="E903" t="str">
            <v>M/S. Fab Furnishers Private Limited</v>
          </cell>
        </row>
        <row r="904">
          <cell r="D904" t="str">
            <v>R1 112</v>
          </cell>
          <cell r="E904" t="str">
            <v>Mr. PRAVEEN KUMAR</v>
          </cell>
        </row>
        <row r="905">
          <cell r="D905" t="str">
            <v>R4 G 09</v>
          </cell>
          <cell r="E905" t="str">
            <v>M/S. Strategic Advisors and Consultants</v>
          </cell>
        </row>
        <row r="906">
          <cell r="D906" t="str">
            <v>R4 G 10</v>
          </cell>
          <cell r="E906" t="str">
            <v>M/S. H and N Advisors and Consultants</v>
          </cell>
        </row>
        <row r="907">
          <cell r="D907" t="str">
            <v>R1 258</v>
          </cell>
          <cell r="E907" t="str">
            <v>Ms. SUNITA ANAND</v>
          </cell>
        </row>
        <row r="908">
          <cell r="D908" t="str">
            <v>R3 LG 22</v>
          </cell>
          <cell r="E908" t="str">
            <v>Ms. DIVAY JYOTI</v>
          </cell>
        </row>
        <row r="909">
          <cell r="D909" t="str">
            <v>R4 148</v>
          </cell>
          <cell r="E909" t="str">
            <v>Ms. KANCHAN DOGRA</v>
          </cell>
        </row>
        <row r="910">
          <cell r="D910" t="str">
            <v>R3 UG 09</v>
          </cell>
          <cell r="E910" t="str">
            <v>Ms. Sujata Naidu Veera</v>
          </cell>
        </row>
        <row r="911">
          <cell r="D911" t="str">
            <v>R2 LG 14</v>
          </cell>
          <cell r="E911" t="str">
            <v>Mr. Rajan Arora</v>
          </cell>
        </row>
        <row r="912">
          <cell r="D912" t="str">
            <v>R3 LG 99</v>
          </cell>
          <cell r="E912" t="str">
            <v>Mr. Devinder Kumar</v>
          </cell>
        </row>
        <row r="913">
          <cell r="D913" t="str">
            <v>R1 UG 10</v>
          </cell>
          <cell r="E913" t="str">
            <v>Ms. Beenu Dua</v>
          </cell>
        </row>
        <row r="914">
          <cell r="D914" t="str">
            <v>R2 107</v>
          </cell>
          <cell r="E914" t="str">
            <v>Mr. Nafe Singh</v>
          </cell>
        </row>
        <row r="915">
          <cell r="D915" t="str">
            <v>R2 101</v>
          </cell>
          <cell r="E915" t="str">
            <v>Mr. Kapil Kumar</v>
          </cell>
        </row>
        <row r="916">
          <cell r="D916" t="str">
            <v>R5 UG 15</v>
          </cell>
          <cell r="E916" t="str">
            <v>Mr. RAKESH TRIPATHI</v>
          </cell>
        </row>
        <row r="917">
          <cell r="D917" t="str">
            <v>R3 LG 21</v>
          </cell>
          <cell r="E917" t="str">
            <v>Dr. VINITA THAKUR</v>
          </cell>
        </row>
        <row r="918">
          <cell r="D918" t="str">
            <v>R3 LG 91</v>
          </cell>
          <cell r="E918" t="str">
            <v>Dr. Prabhakar Kumar</v>
          </cell>
        </row>
        <row r="919">
          <cell r="D919" t="str">
            <v>R3 LG 61</v>
          </cell>
          <cell r="E919" t="str">
            <v>Mr. Abhimanyu Mehta</v>
          </cell>
        </row>
        <row r="920">
          <cell r="D920" t="str">
            <v>R2 109</v>
          </cell>
          <cell r="E920" t="str">
            <v>Mr. Manish Umesh Sharma</v>
          </cell>
        </row>
        <row r="921">
          <cell r="D921" t="str">
            <v>R6 LG 26</v>
          </cell>
          <cell r="E921" t="str">
            <v>M/S. Buildright Developers LLP</v>
          </cell>
        </row>
        <row r="922">
          <cell r="D922" t="str">
            <v>R6 UG 33</v>
          </cell>
          <cell r="E922" t="str">
            <v>Mr. PRAVEEN KUMAR</v>
          </cell>
        </row>
        <row r="923">
          <cell r="D923" t="str">
            <v>R4 UG 03</v>
          </cell>
          <cell r="E923" t="str">
            <v>M/S. Buildright Developers LLP</v>
          </cell>
        </row>
        <row r="924">
          <cell r="D924" t="str">
            <v>R2 LG 15</v>
          </cell>
          <cell r="E924" t="str">
            <v>M/S. Shree Radha Krishna Real Estate Private Limited</v>
          </cell>
        </row>
        <row r="925">
          <cell r="D925" t="str">
            <v>R2 LG 08</v>
          </cell>
          <cell r="E925" t="str">
            <v>Mr. Narender Pal Singh</v>
          </cell>
        </row>
        <row r="926">
          <cell r="D926" t="str">
            <v>R2 LG 09</v>
          </cell>
          <cell r="E926" t="str">
            <v>Mr. Narender Pal Singh</v>
          </cell>
        </row>
        <row r="927">
          <cell r="D927" t="str">
            <v>R4 250</v>
          </cell>
          <cell r="E927" t="str">
            <v>Mr. Sanjeev Krishan Bhatnagar</v>
          </cell>
        </row>
        <row r="928">
          <cell r="D928" t="str">
            <v>R2 UG 12A</v>
          </cell>
          <cell r="E928" t="str">
            <v>Mr. VIJAY ROHILA</v>
          </cell>
        </row>
        <row r="929">
          <cell r="D929" t="str">
            <v>R3 LG 20</v>
          </cell>
          <cell r="E929" t="str">
            <v>Ms. PUNEET KAUR SIDHU</v>
          </cell>
        </row>
        <row r="930">
          <cell r="D930" t="str">
            <v>R3 LG 12A</v>
          </cell>
          <cell r="E930" t="str">
            <v>Mr. DHRUV BABUBHAI CHAUDHARI</v>
          </cell>
        </row>
        <row r="931">
          <cell r="D931" t="str">
            <v>R3 LG 01</v>
          </cell>
          <cell r="E931" t="str">
            <v>M/S. Shree Radha Krishna Real Estate Private Limited</v>
          </cell>
        </row>
        <row r="932">
          <cell r="D932" t="str">
            <v>R6 105</v>
          </cell>
          <cell r="E932" t="str">
            <v>Ms. Neetasha Sharma</v>
          </cell>
        </row>
        <row r="933">
          <cell r="D933" t="str">
            <v>R3 LG 97</v>
          </cell>
          <cell r="E933" t="str">
            <v>Ms. MAMTA RANA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able1" displayName="Table1" ref="A1:B26" totalsRowShown="0" headerRowDxfId="35" headerRowBorderDxfId="34" tableBorderDxfId="33">
  <autoFilter ref="A1:B26"/>
  <tableColumns count="2">
    <tableColumn id="1" name="Capital Walk- On Notice of Offer of Possession" dataDxfId="32"/>
    <tableColumn id="2" name="Column1" dataDxfId="3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showGridLines="0" tabSelected="1" topLeftCell="A7" workbookViewId="0">
      <selection activeCell="B26" sqref="B26"/>
    </sheetView>
  </sheetViews>
  <sheetFormatPr defaultRowHeight="15" x14ac:dyDescent="0.25"/>
  <cols>
    <col min="1" max="1" width="61.85546875" customWidth="1"/>
    <col min="2" max="2" width="33.140625" bestFit="1" customWidth="1"/>
  </cols>
  <sheetData>
    <row r="1" spans="1:2" ht="15.75" thickBot="1" x14ac:dyDescent="0.3">
      <c r="A1" s="103" t="s">
        <v>3852</v>
      </c>
      <c r="B1" s="103" t="s">
        <v>3873</v>
      </c>
    </row>
    <row r="2" spans="1:2" ht="15.75" thickBot="1" x14ac:dyDescent="0.3">
      <c r="A2" s="104" t="s">
        <v>0</v>
      </c>
      <c r="B2" s="105" t="str">
        <f>_xlfn.IFNA(VLOOKUP($B$3,[1]Final!$B:$AF,3,0),0)</f>
        <v>M3M Capital Walk in M3M Capital Phase-1</v>
      </c>
    </row>
    <row r="3" spans="1:2" ht="15.75" thickBot="1" x14ac:dyDescent="0.3">
      <c r="A3" s="104" t="s">
        <v>3</v>
      </c>
      <c r="B3" s="105" t="s">
        <v>3874</v>
      </c>
    </row>
    <row r="4" spans="1:2" ht="15.75" thickBot="1" x14ac:dyDescent="0.3">
      <c r="A4" s="104" t="s">
        <v>3857</v>
      </c>
      <c r="B4" s="105" t="str">
        <f>VLOOKUP($B$3,'OOP Cases'!$A:$BZ,77,0)</f>
        <v>Priya Anand</v>
      </c>
    </row>
    <row r="5" spans="1:2" ht="15.75" thickBot="1" x14ac:dyDescent="0.3">
      <c r="A5" s="104" t="s">
        <v>3858</v>
      </c>
      <c r="B5" s="105" t="str">
        <f>VLOOKUP($B$3,'OOP Cases'!$A:$BZ,78,0)</f>
        <v>Sabhyata Kapoor</v>
      </c>
    </row>
    <row r="6" spans="1:2" ht="15.75" thickBot="1" x14ac:dyDescent="0.3">
      <c r="A6" s="104" t="s">
        <v>4</v>
      </c>
      <c r="B6" s="105" t="str">
        <f>_xlfn.IFNA(VLOOKUP($B$3,'OOP Cases'!$A:$BW,5,0),0)</f>
        <v>Mr. SHUBHAM SINGH</v>
      </c>
    </row>
    <row r="7" spans="1:2" ht="15.75" thickBot="1" x14ac:dyDescent="0.3">
      <c r="A7" s="104" t="s">
        <v>3836</v>
      </c>
      <c r="B7" s="105" t="s">
        <v>3844</v>
      </c>
    </row>
    <row r="8" spans="1:2" ht="15.75" thickBot="1" x14ac:dyDescent="0.3">
      <c r="A8" s="104" t="s">
        <v>3837</v>
      </c>
      <c r="B8" s="112">
        <f>_xlfn.IFNA(VLOOKUP($B$3,'OOP Cases'!$A:$BW,59,0),0)</f>
        <v>46176</v>
      </c>
    </row>
    <row r="9" spans="1:2" ht="15.75" thickBot="1" x14ac:dyDescent="0.3">
      <c r="A9" s="104" t="s">
        <v>59</v>
      </c>
      <c r="B9" s="112">
        <f>_xlfn.IFNA(VLOOKUP($B$3,'OOP Cases'!$A:$BW,60,0),0)</f>
        <v>46206</v>
      </c>
    </row>
    <row r="10" spans="1:2" ht="15.75" thickBot="1" x14ac:dyDescent="0.3">
      <c r="A10" s="104" t="s">
        <v>3845</v>
      </c>
      <c r="B10" s="105">
        <f>_xlfn.IFNA(VLOOKUP($B$3,'OOP Cases'!$A:$BW,19,0),0)</f>
        <v>4870725</v>
      </c>
    </row>
    <row r="11" spans="1:2" ht="15.75" thickBot="1" x14ac:dyDescent="0.3">
      <c r="A11" s="104" t="s">
        <v>3846</v>
      </c>
      <c r="B11" s="105">
        <f>_xlfn.IFNA(VLOOKUP($B$3,'OOP Cases'!$A:$BW,26,0),0)</f>
        <v>4870725</v>
      </c>
    </row>
    <row r="12" spans="1:2" ht="15.75" thickBot="1" x14ac:dyDescent="0.3">
      <c r="A12" s="104" t="s">
        <v>3847</v>
      </c>
      <c r="B12" s="105">
        <f>_xlfn.IFNA(VLOOKUP($B$3,'OOP Cases'!$A:$BW,10,0),0)</f>
        <v>649.42999999999995</v>
      </c>
    </row>
    <row r="13" spans="1:2" ht="15.75" thickBot="1" x14ac:dyDescent="0.3">
      <c r="A13" s="104" t="s">
        <v>3848</v>
      </c>
      <c r="B13" s="105">
        <f>_xlfn.IFNA(VLOOKUP($B$3,'OOP Cases'!$A:$BW,11,0),0)</f>
        <v>649.42999999999995</v>
      </c>
    </row>
    <row r="14" spans="1:2" ht="15.75" thickBot="1" x14ac:dyDescent="0.3">
      <c r="A14" s="104" t="s">
        <v>3849</v>
      </c>
      <c r="B14" s="105">
        <f>_xlfn.IFNA(VLOOKUP($B$3,'OOP Cases'!$A:$BW,12,0),0)</f>
        <v>0</v>
      </c>
    </row>
    <row r="15" spans="1:2" ht="15.75" thickBot="1" x14ac:dyDescent="0.3">
      <c r="A15" s="104" t="s">
        <v>26</v>
      </c>
      <c r="B15" s="105">
        <f>_xlfn.IFNA(VLOOKUP($B$3,'OOP Cases'!$A:$BW,27,0)+VLOOKUP($B$3,'OOP Cases'!$A:$BW,28,0),0)</f>
        <v>0</v>
      </c>
    </row>
    <row r="16" spans="1:2" ht="15.75" thickBot="1" x14ac:dyDescent="0.3">
      <c r="A16" s="104" t="s">
        <v>34</v>
      </c>
      <c r="B16" s="105">
        <f>_xlfn.IFNA(VLOOKUP($B$3,'OOP Cases'!$A:$BW,35,0),0)</f>
        <v>77985</v>
      </c>
    </row>
    <row r="17" spans="1:2" ht="15.75" thickBot="1" x14ac:dyDescent="0.3">
      <c r="A17" s="104" t="s">
        <v>38</v>
      </c>
      <c r="B17" s="105">
        <f>_xlfn.IFNA(VLOOKUP($B$3,'OOP Cases'!$A:$BW,39,0),0)</f>
        <v>4948710</v>
      </c>
    </row>
    <row r="18" spans="1:2" ht="15.75" thickBot="1" x14ac:dyDescent="0.3">
      <c r="A18" s="104" t="s">
        <v>39</v>
      </c>
      <c r="B18" s="105">
        <f>_xlfn.IFNA(VLOOKUP($B$3,'OOP Cases'!$A:$BW,40,0),0)</f>
        <v>257574</v>
      </c>
    </row>
    <row r="19" spans="1:2" ht="15.75" thickBot="1" x14ac:dyDescent="0.3">
      <c r="A19" s="104" t="s">
        <v>37</v>
      </c>
      <c r="B19" s="105">
        <f>_xlfn.IFNA(VLOOKUP($B$3,'OOP Cases'!$A:$BW,38,0),0)</f>
        <v>77985</v>
      </c>
    </row>
    <row r="20" spans="1:2" ht="15.75" thickBot="1" x14ac:dyDescent="0.3">
      <c r="A20" s="104" t="s">
        <v>3850</v>
      </c>
      <c r="B20" s="105">
        <f>_xlfn.IFNA(VLOOKUP($B$3,'OOP Cases'!$A:$BW,42,0),0)</f>
        <v>5284269</v>
      </c>
    </row>
    <row r="21" spans="1:2" ht="15.75" thickBot="1" x14ac:dyDescent="0.3">
      <c r="A21" s="104" t="s">
        <v>3851</v>
      </c>
      <c r="B21" s="105">
        <f>_xlfn.IFNA(VLOOKUP($B$3,'OOP Cases'!$A:$BW,43,0),0)</f>
        <v>4653102</v>
      </c>
    </row>
    <row r="22" spans="1:2" ht="15.75" thickBot="1" x14ac:dyDescent="0.3">
      <c r="A22" s="104" t="s">
        <v>3856</v>
      </c>
      <c r="B22" s="105">
        <f>B20-B21-B23</f>
        <v>631167</v>
      </c>
    </row>
    <row r="23" spans="1:2" ht="15.75" thickBot="1" x14ac:dyDescent="0.3">
      <c r="A23" s="104" t="s">
        <v>3839</v>
      </c>
      <c r="B23" s="105">
        <f>_xlfn.IFNA(VLOOKUP($B$3,'OOP Cases'!$A:$BW,44,0),0)</f>
        <v>0</v>
      </c>
    </row>
    <row r="24" spans="1:2" ht="15.75" thickBot="1" x14ac:dyDescent="0.3">
      <c r="A24" s="104" t="s">
        <v>3838</v>
      </c>
      <c r="B24" s="105">
        <f>_xlfn.IFNA(VLOOKUP($B$3,'OOP Cases'!$A:$BX,76,0),0)</f>
        <v>0</v>
      </c>
    </row>
    <row r="25" spans="1:2" ht="15.75" thickBot="1" x14ac:dyDescent="0.3">
      <c r="A25" s="104" t="s">
        <v>3854</v>
      </c>
      <c r="B25" s="105">
        <f>_xlfn.IFNA(VLOOKUP($B$3,'OOP Cases'!$A:$BW,45,0),0)</f>
        <v>631167</v>
      </c>
    </row>
    <row r="26" spans="1:2" x14ac:dyDescent="0.25">
      <c r="A26" s="104" t="s">
        <v>3840</v>
      </c>
      <c r="B26" s="105">
        <f>B25-B24</f>
        <v>631167</v>
      </c>
    </row>
    <row r="27" spans="1:2" x14ac:dyDescent="0.25">
      <c r="A27" s="98" t="s">
        <v>3841</v>
      </c>
      <c r="B27" s="98"/>
    </row>
    <row r="28" spans="1:2" x14ac:dyDescent="0.25">
      <c r="A28" s="98" t="s">
        <v>3842</v>
      </c>
      <c r="B28" s="98"/>
    </row>
    <row r="29" spans="1:2" x14ac:dyDescent="0.25">
      <c r="A29" s="98" t="s">
        <v>3843</v>
      </c>
      <c r="B29" s="98"/>
    </row>
    <row r="30" spans="1:2" x14ac:dyDescent="0.25">
      <c r="A30" s="102" t="s">
        <v>3855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'OOP Cases'!$A:$A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956"/>
  <sheetViews>
    <sheetView topLeftCell="AY1" zoomScale="110" zoomScaleNormal="110" workbookViewId="0">
      <pane ySplit="1" topLeftCell="A2" activePane="bottomLeft" state="frozen"/>
      <selection activeCell="W1" sqref="W1"/>
      <selection pane="bottomLeft" activeCell="BB2" sqref="BB2"/>
    </sheetView>
  </sheetViews>
  <sheetFormatPr defaultRowHeight="15" x14ac:dyDescent="0.25"/>
  <cols>
    <col min="1" max="1" width="17.7109375" customWidth="1"/>
    <col min="2" max="2" width="35.5703125" bestFit="1" customWidth="1"/>
    <col min="3" max="4" width="17.7109375" customWidth="1"/>
    <col min="5" max="5" width="42.28515625" customWidth="1"/>
    <col min="6" max="58" width="17.7109375" customWidth="1"/>
    <col min="59" max="60" width="17.7109375" style="111" customWidth="1"/>
    <col min="61" max="61" width="17.7109375" customWidth="1"/>
    <col min="62" max="64" width="17.7109375" hidden="1" customWidth="1"/>
    <col min="65" max="70" width="17.7109375" customWidth="1"/>
    <col min="71" max="73" width="9.140625" customWidth="1"/>
    <col min="74" max="74" width="24.85546875" customWidth="1"/>
    <col min="75" max="75" width="11.42578125" customWidth="1"/>
    <col min="76" max="76" width="11.85546875" customWidth="1"/>
    <col min="77" max="77" width="16.7109375" bestFit="1" customWidth="1"/>
    <col min="78" max="78" width="15.85546875" bestFit="1" customWidth="1"/>
  </cols>
  <sheetData>
    <row r="1" spans="1:78" s="97" customFormat="1" ht="60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4" t="s">
        <v>38</v>
      </c>
      <c r="AN1" s="1" t="s">
        <v>39</v>
      </c>
      <c r="AO1" s="4" t="s">
        <v>40</v>
      </c>
      <c r="AP1" s="1" t="s">
        <v>41</v>
      </c>
      <c r="AQ1" s="5" t="s">
        <v>42</v>
      </c>
      <c r="AR1" s="5" t="s">
        <v>43</v>
      </c>
      <c r="AS1" s="4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106" t="s">
        <v>58</v>
      </c>
      <c r="BH1" s="106" t="s">
        <v>59</v>
      </c>
      <c r="BI1" s="1" t="s">
        <v>60</v>
      </c>
      <c r="BM1" s="95" t="s">
        <v>3807</v>
      </c>
      <c r="BN1" s="95" t="s">
        <v>3808</v>
      </c>
      <c r="BO1" s="95" t="s">
        <v>3809</v>
      </c>
      <c r="BP1" s="95" t="s">
        <v>3810</v>
      </c>
      <c r="BQ1" s="95" t="s">
        <v>3811</v>
      </c>
      <c r="BR1" s="96" t="s">
        <v>3812</v>
      </c>
      <c r="BS1" s="96" t="s">
        <v>3813</v>
      </c>
      <c r="BT1" s="96" t="s">
        <v>3814</v>
      </c>
      <c r="BU1" s="96" t="s">
        <v>3815</v>
      </c>
      <c r="BV1" s="96" t="s">
        <v>3816</v>
      </c>
      <c r="BW1" s="96" t="s">
        <v>3817</v>
      </c>
      <c r="BX1" s="99" t="s">
        <v>3853</v>
      </c>
      <c r="BY1" s="99" t="s">
        <v>3857</v>
      </c>
      <c r="BZ1" s="99" t="s">
        <v>3858</v>
      </c>
    </row>
    <row r="2" spans="1:78" x14ac:dyDescent="0.25">
      <c r="A2" s="7" t="s">
        <v>3874</v>
      </c>
      <c r="B2" s="7" t="s">
        <v>61</v>
      </c>
      <c r="C2" s="7" t="s">
        <v>62</v>
      </c>
      <c r="D2" s="8" t="s">
        <v>63</v>
      </c>
      <c r="E2" s="7" t="s">
        <v>64</v>
      </c>
      <c r="F2" s="9">
        <v>45026</v>
      </c>
      <c r="G2" s="9" t="s">
        <v>65</v>
      </c>
      <c r="H2" s="9" t="s">
        <v>66</v>
      </c>
      <c r="I2" s="8" t="s">
        <v>67</v>
      </c>
      <c r="J2" s="10">
        <v>649.42999999999995</v>
      </c>
      <c r="K2" s="10">
        <v>649.42999999999995</v>
      </c>
      <c r="L2" s="10">
        <f t="shared" ref="L2:L57" si="0">K2-J2</f>
        <v>0</v>
      </c>
      <c r="M2" s="10">
        <v>259.95</v>
      </c>
      <c r="N2" s="10">
        <v>259.95</v>
      </c>
      <c r="O2" s="10">
        <f t="shared" ref="O2:O57" si="1">N2-M2</f>
        <v>0</v>
      </c>
      <c r="P2" s="11">
        <v>7500.0000000000009</v>
      </c>
      <c r="Q2" s="11">
        <v>18737.160992498557</v>
      </c>
      <c r="R2" s="11">
        <v>22000</v>
      </c>
      <c r="S2" s="11">
        <v>4870725</v>
      </c>
      <c r="T2" s="11">
        <v>243536</v>
      </c>
      <c r="U2" s="12">
        <f t="shared" ref="U2:U57" si="2">T2/S2</f>
        <v>4.9999948672938832E-2</v>
      </c>
      <c r="V2" s="13">
        <f>L2*P2</f>
        <v>0</v>
      </c>
      <c r="W2" s="10">
        <f t="shared" ref="W2:W57" si="3">V2*U2</f>
        <v>0</v>
      </c>
      <c r="X2" s="10"/>
      <c r="Y2" s="10"/>
      <c r="Z2" s="11">
        <f t="shared" ref="Z2:Z57" si="4">S2+V2+X2</f>
        <v>4870725</v>
      </c>
      <c r="AA2" s="14"/>
      <c r="AB2" s="14"/>
      <c r="AC2" s="11">
        <f t="shared" ref="AC2:AC57" si="5">Z2-AA2</f>
        <v>4870725</v>
      </c>
      <c r="AD2" s="10">
        <f t="shared" ref="AD2:AD57" si="6">AE2/M2</f>
        <v>300</v>
      </c>
      <c r="AE2" s="15">
        <v>77985</v>
      </c>
      <c r="AF2" s="16">
        <v>14038</v>
      </c>
      <c r="AG2" s="15">
        <f t="shared" ref="AG2:AG57" si="7">(AD2*O2)</f>
        <v>0</v>
      </c>
      <c r="AH2" s="15">
        <f t="shared" ref="AH2:AH57" si="8">AG2*18%</f>
        <v>0</v>
      </c>
      <c r="AI2" s="15">
        <f t="shared" ref="AI2:AI57" si="9">AD2*N2</f>
        <v>77985</v>
      </c>
      <c r="AJ2" s="15">
        <f t="shared" ref="AJ2:AJ57" si="10">ROUNDUP(AI2*18%,0)</f>
        <v>14038</v>
      </c>
      <c r="AK2" s="10">
        <v>77985</v>
      </c>
      <c r="AL2" s="15">
        <f t="shared" ref="AL2:AL57" si="11">N2*300</f>
        <v>77985</v>
      </c>
      <c r="AM2" s="15">
        <f t="shared" ref="AM2:AM57" si="12">ROUND(AI2+AC2,0)</f>
        <v>4948710</v>
      </c>
      <c r="AN2" s="15">
        <f t="shared" ref="AN2:AN57" si="13">ROUNDUP(AJ2+W2+T2+Y2-AB2,0)</f>
        <v>257574</v>
      </c>
      <c r="AO2" s="15">
        <f t="shared" ref="AO2:AO64" si="14">AN2+AL2+AR2</f>
        <v>335559</v>
      </c>
      <c r="AP2" s="17">
        <f t="shared" ref="AP2:AP57" si="15">AM2+AO2</f>
        <v>5284269</v>
      </c>
      <c r="AQ2" s="15">
        <v>4653102</v>
      </c>
      <c r="AR2" s="15">
        <v>0</v>
      </c>
      <c r="AS2" s="18">
        <f t="shared" ref="AS2:AS64" si="16">ROUND(AP2-AQ2,0)</f>
        <v>631167</v>
      </c>
      <c r="AT2" s="19">
        <v>0</v>
      </c>
      <c r="AU2" s="8">
        <v>8800</v>
      </c>
      <c r="AV2" s="13">
        <f t="shared" ref="AV2:AV64" si="17">AU2*N2</f>
        <v>2287560</v>
      </c>
      <c r="AW2" s="18">
        <f t="shared" ref="AW2:AW64" si="18">MAX(AM2,AT2,AV2)</f>
        <v>4948710</v>
      </c>
      <c r="AX2" s="15">
        <f t="shared" ref="AX2:AX57" si="19">CEILING((AW2),1000)</f>
        <v>4949000</v>
      </c>
      <c r="AY2" s="20">
        <v>7.0000000000000007E-2</v>
      </c>
      <c r="AZ2" s="13">
        <f t="shared" ref="AZ2:AZ57" si="20">AY2*AX2</f>
        <v>346430.00000000006</v>
      </c>
      <c r="BA2" s="15">
        <f t="shared" ref="BA2:BA57" si="21">CEILING(AZ2,100)</f>
        <v>346500</v>
      </c>
      <c r="BB2" s="21">
        <f t="shared" ref="BB2:BB64" si="22">BA2+AS2</f>
        <v>977667</v>
      </c>
      <c r="BC2" s="10">
        <f t="shared" ref="BC2:BC64" si="23">L2/J2%</f>
        <v>0</v>
      </c>
      <c r="BD2" s="10">
        <f t="shared" ref="BD2:BD64" si="24">O2/M2%</f>
        <v>0</v>
      </c>
      <c r="BE2" s="10">
        <v>60.33</v>
      </c>
      <c r="BF2" s="10">
        <v>24.15</v>
      </c>
      <c r="BG2" s="107">
        <v>46176</v>
      </c>
      <c r="BH2" s="107">
        <f t="shared" ref="BH2:BH29" si="25">BG2+30</f>
        <v>46206</v>
      </c>
      <c r="BI2" s="23">
        <v>7</v>
      </c>
      <c r="BM2" s="6" t="s">
        <v>3818</v>
      </c>
      <c r="BN2" s="6" t="s">
        <v>3819</v>
      </c>
      <c r="BO2" s="6" t="s">
        <v>3820</v>
      </c>
      <c r="BP2" s="6" t="s">
        <v>3821</v>
      </c>
      <c r="BQ2" s="6" t="s">
        <v>3822</v>
      </c>
      <c r="BR2" t="s">
        <v>3823</v>
      </c>
      <c r="BS2" t="s">
        <v>3824</v>
      </c>
      <c r="BT2" t="s">
        <v>3825</v>
      </c>
      <c r="BU2" t="s">
        <v>3826</v>
      </c>
      <c r="BV2" t="s">
        <v>3827</v>
      </c>
      <c r="BW2" t="s">
        <v>3835</v>
      </c>
      <c r="BX2">
        <v>0</v>
      </c>
      <c r="BY2" t="s">
        <v>3859</v>
      </c>
      <c r="BZ2" t="s">
        <v>3860</v>
      </c>
    </row>
    <row r="3" spans="1:78" x14ac:dyDescent="0.25">
      <c r="A3" s="7" t="s">
        <v>70</v>
      </c>
      <c r="B3" s="7" t="s">
        <v>61</v>
      </c>
      <c r="C3" s="7" t="s">
        <v>68</v>
      </c>
      <c r="D3" s="8" t="s">
        <v>69</v>
      </c>
      <c r="E3" s="7" t="s">
        <v>71</v>
      </c>
      <c r="F3" s="9">
        <v>45120</v>
      </c>
      <c r="G3" s="9" t="s">
        <v>65</v>
      </c>
      <c r="H3" s="9" t="s">
        <v>72</v>
      </c>
      <c r="I3" s="8" t="s">
        <v>67</v>
      </c>
      <c r="J3" s="10">
        <v>662.58</v>
      </c>
      <c r="K3" s="10">
        <v>662.58</v>
      </c>
      <c r="L3" s="10">
        <f t="shared" si="0"/>
        <v>0</v>
      </c>
      <c r="M3" s="10">
        <v>270.18</v>
      </c>
      <c r="N3" s="10">
        <v>270.18</v>
      </c>
      <c r="O3" s="10">
        <f t="shared" si="1"/>
        <v>0</v>
      </c>
      <c r="P3" s="11">
        <v>7283.0028072081859</v>
      </c>
      <c r="Q3" s="11">
        <v>17860.581834332668</v>
      </c>
      <c r="R3" s="11">
        <v>20000</v>
      </c>
      <c r="S3" s="11">
        <v>4825572</v>
      </c>
      <c r="T3" s="11">
        <v>241280</v>
      </c>
      <c r="U3" s="12">
        <f t="shared" si="2"/>
        <v>5.0000290121046786E-2</v>
      </c>
      <c r="V3" s="13">
        <f>L3*P3</f>
        <v>0</v>
      </c>
      <c r="W3" s="10">
        <f t="shared" si="3"/>
        <v>0</v>
      </c>
      <c r="X3" s="10"/>
      <c r="Y3" s="10"/>
      <c r="Z3" s="11">
        <f t="shared" si="4"/>
        <v>4825572</v>
      </c>
      <c r="AA3" s="14"/>
      <c r="AB3" s="14"/>
      <c r="AC3" s="11">
        <f t="shared" si="5"/>
        <v>4825572</v>
      </c>
      <c r="AD3" s="10">
        <f t="shared" si="6"/>
        <v>300</v>
      </c>
      <c r="AE3" s="15">
        <v>81054</v>
      </c>
      <c r="AF3" s="16">
        <v>14590</v>
      </c>
      <c r="AG3" s="15">
        <f t="shared" si="7"/>
        <v>0</v>
      </c>
      <c r="AH3" s="15">
        <f t="shared" si="8"/>
        <v>0</v>
      </c>
      <c r="AI3" s="15">
        <f t="shared" si="9"/>
        <v>81054</v>
      </c>
      <c r="AJ3" s="15">
        <f t="shared" si="10"/>
        <v>14590</v>
      </c>
      <c r="AK3" s="10">
        <v>81054</v>
      </c>
      <c r="AL3" s="15">
        <f t="shared" si="11"/>
        <v>81054</v>
      </c>
      <c r="AM3" s="15">
        <f t="shared" si="12"/>
        <v>4906626</v>
      </c>
      <c r="AN3" s="15">
        <f t="shared" si="13"/>
        <v>255870</v>
      </c>
      <c r="AO3" s="15">
        <f t="shared" si="14"/>
        <v>336924</v>
      </c>
      <c r="AP3" s="17">
        <f t="shared" si="15"/>
        <v>5243550</v>
      </c>
      <c r="AQ3" s="15">
        <v>3983645</v>
      </c>
      <c r="AR3" s="15">
        <v>0</v>
      </c>
      <c r="AS3" s="18">
        <f t="shared" si="16"/>
        <v>1259905</v>
      </c>
      <c r="AT3" s="19">
        <v>0</v>
      </c>
      <c r="AU3" s="8">
        <v>8800</v>
      </c>
      <c r="AV3" s="13">
        <f t="shared" si="17"/>
        <v>2377584</v>
      </c>
      <c r="AW3" s="18">
        <f t="shared" si="18"/>
        <v>4906626</v>
      </c>
      <c r="AX3" s="15">
        <f t="shared" si="19"/>
        <v>4907000</v>
      </c>
      <c r="AY3" s="20">
        <v>0.05</v>
      </c>
      <c r="AZ3" s="13">
        <f t="shared" si="20"/>
        <v>245350</v>
      </c>
      <c r="BA3" s="15">
        <f t="shared" si="21"/>
        <v>245400</v>
      </c>
      <c r="BB3" s="21">
        <f t="shared" si="22"/>
        <v>1505305</v>
      </c>
      <c r="BC3" s="10">
        <f t="shared" si="23"/>
        <v>0</v>
      </c>
      <c r="BD3" s="10">
        <f t="shared" si="24"/>
        <v>0</v>
      </c>
      <c r="BE3" s="10">
        <v>61.56</v>
      </c>
      <c r="BF3" s="10">
        <v>25.1</v>
      </c>
      <c r="BG3" s="107">
        <v>46176</v>
      </c>
      <c r="BH3" s="107">
        <f t="shared" si="25"/>
        <v>46206</v>
      </c>
      <c r="BI3" s="23">
        <v>5</v>
      </c>
      <c r="BJ3" s="6"/>
      <c r="BK3" s="6"/>
      <c r="BL3" s="6"/>
      <c r="BM3" s="6" t="s">
        <v>3818</v>
      </c>
      <c r="BN3" s="6" t="s">
        <v>3819</v>
      </c>
      <c r="BO3" s="6" t="s">
        <v>3820</v>
      </c>
      <c r="BP3" s="6" t="s">
        <v>3821</v>
      </c>
      <c r="BQ3" s="6" t="s">
        <v>3822</v>
      </c>
      <c r="BR3" t="s">
        <v>3823</v>
      </c>
      <c r="BS3" t="s">
        <v>3824</v>
      </c>
      <c r="BT3" t="s">
        <v>3825</v>
      </c>
      <c r="BU3" t="s">
        <v>3826</v>
      </c>
      <c r="BV3" t="s">
        <v>3827</v>
      </c>
      <c r="BW3" t="s">
        <v>3835</v>
      </c>
      <c r="BX3">
        <v>0</v>
      </c>
      <c r="BY3" t="s">
        <v>3861</v>
      </c>
      <c r="BZ3" t="s">
        <v>3860</v>
      </c>
    </row>
    <row r="4" spans="1:78" x14ac:dyDescent="0.25">
      <c r="A4" s="7" t="s">
        <v>75</v>
      </c>
      <c r="B4" s="7" t="s">
        <v>61</v>
      </c>
      <c r="C4" s="7" t="s">
        <v>73</v>
      </c>
      <c r="D4" s="8" t="s">
        <v>74</v>
      </c>
      <c r="E4" s="7" t="s">
        <v>76</v>
      </c>
      <c r="F4" s="9">
        <v>45398</v>
      </c>
      <c r="G4" s="9" t="s">
        <v>77</v>
      </c>
      <c r="H4" s="9" t="s">
        <v>72</v>
      </c>
      <c r="I4" s="8" t="s">
        <v>78</v>
      </c>
      <c r="J4" s="10">
        <v>900</v>
      </c>
      <c r="K4" s="10">
        <v>900</v>
      </c>
      <c r="L4" s="10">
        <f t="shared" si="0"/>
        <v>0</v>
      </c>
      <c r="M4" s="10">
        <v>396</v>
      </c>
      <c r="N4" s="10">
        <v>396</v>
      </c>
      <c r="O4" s="10">
        <f t="shared" si="1"/>
        <v>0</v>
      </c>
      <c r="P4" s="11">
        <v>11576.338888888889</v>
      </c>
      <c r="Q4" s="11">
        <v>26309.861111111109</v>
      </c>
      <c r="R4" s="11">
        <v>20000</v>
      </c>
      <c r="S4" s="11">
        <v>10418705</v>
      </c>
      <c r="T4" s="11">
        <v>520936</v>
      </c>
      <c r="U4" s="12">
        <f t="shared" si="2"/>
        <v>5.0000071985913795E-2</v>
      </c>
      <c r="V4" s="13">
        <f>L4*P4</f>
        <v>0</v>
      </c>
      <c r="W4" s="10">
        <f t="shared" si="3"/>
        <v>0</v>
      </c>
      <c r="X4" s="10"/>
      <c r="Y4" s="10"/>
      <c r="Z4" s="11">
        <f t="shared" si="4"/>
        <v>10418705</v>
      </c>
      <c r="AA4" s="14"/>
      <c r="AB4" s="14"/>
      <c r="AC4" s="11">
        <f t="shared" si="5"/>
        <v>10418705</v>
      </c>
      <c r="AD4" s="10">
        <f t="shared" si="6"/>
        <v>300</v>
      </c>
      <c r="AE4" s="15">
        <v>118800</v>
      </c>
      <c r="AF4" s="16">
        <v>21384</v>
      </c>
      <c r="AG4" s="15">
        <f t="shared" si="7"/>
        <v>0</v>
      </c>
      <c r="AH4" s="15">
        <f t="shared" si="8"/>
        <v>0</v>
      </c>
      <c r="AI4" s="15">
        <f t="shared" si="9"/>
        <v>118800</v>
      </c>
      <c r="AJ4" s="15">
        <f t="shared" si="10"/>
        <v>21384</v>
      </c>
      <c r="AK4" s="10">
        <v>118800</v>
      </c>
      <c r="AL4" s="15">
        <f t="shared" si="11"/>
        <v>118800</v>
      </c>
      <c r="AM4" s="15">
        <f t="shared" si="12"/>
        <v>10537505</v>
      </c>
      <c r="AN4" s="15">
        <f t="shared" si="13"/>
        <v>542320</v>
      </c>
      <c r="AO4" s="15">
        <f t="shared" si="14"/>
        <v>661120</v>
      </c>
      <c r="AP4" s="17">
        <f t="shared" si="15"/>
        <v>11198625</v>
      </c>
      <c r="AQ4" s="15">
        <v>9845677.1300000008</v>
      </c>
      <c r="AR4" s="15">
        <v>0</v>
      </c>
      <c r="AS4" s="18">
        <f t="shared" si="16"/>
        <v>1352948</v>
      </c>
      <c r="AT4" s="19">
        <v>0</v>
      </c>
      <c r="AU4" s="8">
        <v>8800</v>
      </c>
      <c r="AV4" s="13">
        <f t="shared" si="17"/>
        <v>3484800</v>
      </c>
      <c r="AW4" s="18">
        <f t="shared" si="18"/>
        <v>10537505</v>
      </c>
      <c r="AX4" s="15">
        <f t="shared" si="19"/>
        <v>10538000</v>
      </c>
      <c r="AY4" s="20">
        <v>0.05</v>
      </c>
      <c r="AZ4" s="13">
        <f t="shared" si="20"/>
        <v>526900</v>
      </c>
      <c r="BA4" s="15">
        <f t="shared" si="21"/>
        <v>526900</v>
      </c>
      <c r="BB4" s="21">
        <f t="shared" si="22"/>
        <v>1879848</v>
      </c>
      <c r="BC4" s="10">
        <f t="shared" si="23"/>
        <v>0</v>
      </c>
      <c r="BD4" s="10">
        <f t="shared" si="24"/>
        <v>0</v>
      </c>
      <c r="BE4" s="10">
        <v>83.61</v>
      </c>
      <c r="BF4" s="10">
        <v>36.79</v>
      </c>
      <c r="BG4" s="107">
        <v>46176</v>
      </c>
      <c r="BH4" s="107">
        <f t="shared" si="25"/>
        <v>46206</v>
      </c>
      <c r="BI4" s="23">
        <v>5</v>
      </c>
      <c r="BJ4" s="6"/>
      <c r="BK4" s="6"/>
      <c r="BL4" s="6"/>
      <c r="BM4" s="6" t="s">
        <v>3818</v>
      </c>
      <c r="BN4" s="6" t="s">
        <v>3819</v>
      </c>
      <c r="BO4" s="6" t="s">
        <v>3820</v>
      </c>
      <c r="BP4" s="6" t="s">
        <v>3821</v>
      </c>
      <c r="BQ4" s="6" t="s">
        <v>3822</v>
      </c>
      <c r="BR4" t="s">
        <v>3823</v>
      </c>
      <c r="BS4" t="s">
        <v>3824</v>
      </c>
      <c r="BT4" t="s">
        <v>3825</v>
      </c>
      <c r="BU4" t="s">
        <v>3826</v>
      </c>
      <c r="BV4" t="s">
        <v>3827</v>
      </c>
      <c r="BW4" t="s">
        <v>3835</v>
      </c>
      <c r="BX4">
        <v>0</v>
      </c>
      <c r="BY4" t="s">
        <v>3862</v>
      </c>
      <c r="BZ4" t="s">
        <v>3863</v>
      </c>
    </row>
    <row r="5" spans="1:78" x14ac:dyDescent="0.25">
      <c r="A5" s="7" t="s">
        <v>81</v>
      </c>
      <c r="B5" s="7" t="s">
        <v>61</v>
      </c>
      <c r="C5" s="7" t="s">
        <v>79</v>
      </c>
      <c r="D5" s="8" t="s">
        <v>80</v>
      </c>
      <c r="E5" s="7" t="s">
        <v>82</v>
      </c>
      <c r="F5" s="9">
        <v>44897</v>
      </c>
      <c r="G5" s="9" t="s">
        <v>77</v>
      </c>
      <c r="H5" s="9" t="s">
        <v>72</v>
      </c>
      <c r="I5" s="8" t="s">
        <v>78</v>
      </c>
      <c r="J5" s="10">
        <v>372.86</v>
      </c>
      <c r="K5" s="10">
        <v>372.86</v>
      </c>
      <c r="L5" s="10">
        <f t="shared" si="0"/>
        <v>0</v>
      </c>
      <c r="M5" s="10">
        <v>158.22999999999999</v>
      </c>
      <c r="N5" s="10">
        <v>158.22999999999999</v>
      </c>
      <c r="O5" s="10">
        <f t="shared" si="1"/>
        <v>0</v>
      </c>
      <c r="P5" s="11">
        <v>16165.000268197178</v>
      </c>
      <c r="Q5" s="11">
        <v>38091.904190103014</v>
      </c>
      <c r="R5" s="11">
        <v>20000</v>
      </c>
      <c r="S5" s="11">
        <v>6027282</v>
      </c>
      <c r="T5" s="11">
        <v>301364</v>
      </c>
      <c r="U5" s="12">
        <f t="shared" si="2"/>
        <v>4.9999983408773638E-2</v>
      </c>
      <c r="V5" s="13">
        <f>L5*P5</f>
        <v>0</v>
      </c>
      <c r="W5" s="10">
        <f t="shared" si="3"/>
        <v>0</v>
      </c>
      <c r="X5" s="10"/>
      <c r="Y5" s="10"/>
      <c r="Z5" s="11">
        <f t="shared" si="4"/>
        <v>6027282</v>
      </c>
      <c r="AA5" s="14"/>
      <c r="AB5" s="14"/>
      <c r="AC5" s="11">
        <f t="shared" si="5"/>
        <v>6027282</v>
      </c>
      <c r="AD5" s="10">
        <f t="shared" si="6"/>
        <v>300</v>
      </c>
      <c r="AE5" s="15">
        <v>47469</v>
      </c>
      <c r="AF5" s="16">
        <v>8544</v>
      </c>
      <c r="AG5" s="15">
        <f t="shared" si="7"/>
        <v>0</v>
      </c>
      <c r="AH5" s="15">
        <f t="shared" si="8"/>
        <v>0</v>
      </c>
      <c r="AI5" s="15">
        <f t="shared" si="9"/>
        <v>47469</v>
      </c>
      <c r="AJ5" s="15">
        <f t="shared" si="10"/>
        <v>8545</v>
      </c>
      <c r="AK5" s="10">
        <v>47469</v>
      </c>
      <c r="AL5" s="15">
        <f t="shared" si="11"/>
        <v>47469</v>
      </c>
      <c r="AM5" s="15">
        <f t="shared" si="12"/>
        <v>6074751</v>
      </c>
      <c r="AN5" s="15">
        <f t="shared" si="13"/>
        <v>309909</v>
      </c>
      <c r="AO5" s="15">
        <f t="shared" si="14"/>
        <v>357378</v>
      </c>
      <c r="AP5" s="17">
        <f t="shared" si="15"/>
        <v>6432129</v>
      </c>
      <c r="AQ5" s="15">
        <v>5695781</v>
      </c>
      <c r="AR5" s="15">
        <v>0</v>
      </c>
      <c r="AS5" s="18">
        <f t="shared" si="16"/>
        <v>736348</v>
      </c>
      <c r="AT5" s="19">
        <v>0</v>
      </c>
      <c r="AU5" s="8">
        <v>8800</v>
      </c>
      <c r="AV5" s="13">
        <f t="shared" si="17"/>
        <v>1392424</v>
      </c>
      <c r="AW5" s="18">
        <f t="shared" si="18"/>
        <v>6074751</v>
      </c>
      <c r="AX5" s="15">
        <f t="shared" si="19"/>
        <v>6075000</v>
      </c>
      <c r="AY5" s="20">
        <v>0.05</v>
      </c>
      <c r="AZ5" s="13">
        <f t="shared" si="20"/>
        <v>303750</v>
      </c>
      <c r="BA5" s="15">
        <f t="shared" si="21"/>
        <v>303800</v>
      </c>
      <c r="BB5" s="21">
        <f t="shared" si="22"/>
        <v>1040148</v>
      </c>
      <c r="BC5" s="10">
        <f t="shared" si="23"/>
        <v>0</v>
      </c>
      <c r="BD5" s="10">
        <f t="shared" si="24"/>
        <v>0</v>
      </c>
      <c r="BE5" s="10">
        <v>34.64</v>
      </c>
      <c r="BF5" s="10">
        <v>14.7</v>
      </c>
      <c r="BG5" s="107">
        <v>46176</v>
      </c>
      <c r="BH5" s="107">
        <f t="shared" si="25"/>
        <v>46206</v>
      </c>
      <c r="BI5" s="23">
        <v>5</v>
      </c>
      <c r="BJ5" s="6"/>
      <c r="BK5" s="6"/>
      <c r="BL5" s="6"/>
      <c r="BM5" s="6" t="s">
        <v>3818</v>
      </c>
      <c r="BN5" s="6" t="s">
        <v>3819</v>
      </c>
      <c r="BO5" s="6" t="s">
        <v>3820</v>
      </c>
      <c r="BP5" s="6" t="s">
        <v>3821</v>
      </c>
      <c r="BQ5" s="6" t="s">
        <v>3822</v>
      </c>
      <c r="BR5" t="s">
        <v>3823</v>
      </c>
      <c r="BS5" t="s">
        <v>3824</v>
      </c>
      <c r="BT5" t="s">
        <v>3825</v>
      </c>
      <c r="BU5" t="s">
        <v>3826</v>
      </c>
      <c r="BV5" t="s">
        <v>3827</v>
      </c>
      <c r="BW5" t="s">
        <v>3835</v>
      </c>
      <c r="BX5">
        <v>0</v>
      </c>
      <c r="BY5" t="s">
        <v>3859</v>
      </c>
      <c r="BZ5" t="s">
        <v>3863</v>
      </c>
    </row>
    <row r="6" spans="1:78" x14ac:dyDescent="0.25">
      <c r="A6" s="7" t="s">
        <v>85</v>
      </c>
      <c r="B6" s="7" t="s">
        <v>61</v>
      </c>
      <c r="C6" s="7" t="s">
        <v>83</v>
      </c>
      <c r="D6" s="8" t="s">
        <v>84</v>
      </c>
      <c r="E6" s="7" t="s">
        <v>86</v>
      </c>
      <c r="F6" s="9">
        <v>44893</v>
      </c>
      <c r="G6" s="9" t="s">
        <v>77</v>
      </c>
      <c r="H6" s="9" t="s">
        <v>87</v>
      </c>
      <c r="I6" s="8" t="s">
        <v>78</v>
      </c>
      <c r="J6" s="10">
        <v>450.37</v>
      </c>
      <c r="K6" s="10">
        <v>450.37</v>
      </c>
      <c r="L6" s="10">
        <f t="shared" si="0"/>
        <v>0</v>
      </c>
      <c r="M6" s="10">
        <v>193.75</v>
      </c>
      <c r="N6" s="10">
        <v>193.75</v>
      </c>
      <c r="O6" s="10">
        <f t="shared" si="1"/>
        <v>0</v>
      </c>
      <c r="P6" s="11">
        <v>21618.999933388102</v>
      </c>
      <c r="Q6" s="11">
        <v>50253.156129032257</v>
      </c>
      <c r="R6" s="11">
        <v>40000</v>
      </c>
      <c r="S6" s="11">
        <v>9736549</v>
      </c>
      <c r="T6" s="11">
        <v>486826</v>
      </c>
      <c r="U6" s="12">
        <f t="shared" si="2"/>
        <v>4.9999851076598087E-2</v>
      </c>
      <c r="V6" s="13">
        <f>L6*P6</f>
        <v>0</v>
      </c>
      <c r="W6" s="10">
        <f t="shared" si="3"/>
        <v>0</v>
      </c>
      <c r="X6" s="10"/>
      <c r="Y6" s="10"/>
      <c r="Z6" s="11">
        <f t="shared" si="4"/>
        <v>9736549</v>
      </c>
      <c r="AA6" s="14">
        <v>1063188</v>
      </c>
      <c r="AB6" s="14">
        <v>53160</v>
      </c>
      <c r="AC6" s="11">
        <f t="shared" si="5"/>
        <v>8673361</v>
      </c>
      <c r="AD6" s="10">
        <f t="shared" si="6"/>
        <v>300</v>
      </c>
      <c r="AE6" s="15">
        <v>58125</v>
      </c>
      <c r="AF6" s="16">
        <v>10462</v>
      </c>
      <c r="AG6" s="15">
        <f t="shared" si="7"/>
        <v>0</v>
      </c>
      <c r="AH6" s="15">
        <f t="shared" si="8"/>
        <v>0</v>
      </c>
      <c r="AI6" s="15">
        <f t="shared" si="9"/>
        <v>58125</v>
      </c>
      <c r="AJ6" s="15">
        <f t="shared" si="10"/>
        <v>10463</v>
      </c>
      <c r="AK6" s="10">
        <v>58125</v>
      </c>
      <c r="AL6" s="15">
        <f t="shared" si="11"/>
        <v>58125</v>
      </c>
      <c r="AM6" s="15">
        <f t="shared" si="12"/>
        <v>8731486</v>
      </c>
      <c r="AN6" s="15">
        <f t="shared" si="13"/>
        <v>444129</v>
      </c>
      <c r="AO6" s="15">
        <f t="shared" si="14"/>
        <v>502254</v>
      </c>
      <c r="AP6" s="17">
        <f>AM6+AO6</f>
        <v>9233740</v>
      </c>
      <c r="AQ6" s="15">
        <v>8084691</v>
      </c>
      <c r="AR6" s="15">
        <v>0</v>
      </c>
      <c r="AS6" s="18">
        <f t="shared" si="16"/>
        <v>1149049</v>
      </c>
      <c r="AT6" s="19">
        <v>0</v>
      </c>
      <c r="AU6" s="8">
        <v>8800</v>
      </c>
      <c r="AV6" s="13">
        <f t="shared" si="17"/>
        <v>1705000</v>
      </c>
      <c r="AW6" s="18">
        <f t="shared" si="18"/>
        <v>8731486</v>
      </c>
      <c r="AX6" s="15">
        <f t="shared" si="19"/>
        <v>8732000</v>
      </c>
      <c r="AY6" s="20">
        <v>0.06</v>
      </c>
      <c r="AZ6" s="13">
        <f t="shared" si="20"/>
        <v>523920</v>
      </c>
      <c r="BA6" s="15">
        <f t="shared" si="21"/>
        <v>524000</v>
      </c>
      <c r="BB6" s="21">
        <f t="shared" si="22"/>
        <v>1673049</v>
      </c>
      <c r="BC6" s="10">
        <f t="shared" si="23"/>
        <v>0</v>
      </c>
      <c r="BD6" s="10">
        <f t="shared" si="24"/>
        <v>0</v>
      </c>
      <c r="BE6" s="10">
        <v>41.84</v>
      </c>
      <c r="BF6" s="10">
        <v>18</v>
      </c>
      <c r="BG6" s="107">
        <v>46176</v>
      </c>
      <c r="BH6" s="107">
        <f t="shared" si="25"/>
        <v>46206</v>
      </c>
      <c r="BI6" s="23">
        <v>6</v>
      </c>
      <c r="BJ6" s="6"/>
      <c r="BK6" s="24"/>
      <c r="BL6" s="24"/>
      <c r="BM6" s="6" t="s">
        <v>3818</v>
      </c>
      <c r="BN6" s="6" t="s">
        <v>3819</v>
      </c>
      <c r="BO6" s="6" t="s">
        <v>3820</v>
      </c>
      <c r="BP6" s="6" t="s">
        <v>3821</v>
      </c>
      <c r="BQ6" s="6" t="s">
        <v>3822</v>
      </c>
      <c r="BR6" t="s">
        <v>3823</v>
      </c>
      <c r="BS6" t="s">
        <v>3824</v>
      </c>
      <c r="BT6" t="s">
        <v>3825</v>
      </c>
      <c r="BU6" t="s">
        <v>3826</v>
      </c>
      <c r="BV6" t="s">
        <v>3827</v>
      </c>
      <c r="BW6" t="s">
        <v>3835</v>
      </c>
      <c r="BX6">
        <v>0</v>
      </c>
      <c r="BY6" t="s">
        <v>3862</v>
      </c>
      <c r="BZ6" t="s">
        <v>3863</v>
      </c>
    </row>
    <row r="7" spans="1:78" x14ac:dyDescent="0.25">
      <c r="A7" s="7" t="s">
        <v>90</v>
      </c>
      <c r="B7" s="7" t="s">
        <v>61</v>
      </c>
      <c r="C7" s="7" t="s">
        <v>88</v>
      </c>
      <c r="D7" s="8" t="s">
        <v>89</v>
      </c>
      <c r="E7" s="7" t="s">
        <v>91</v>
      </c>
      <c r="F7" s="9">
        <v>44978</v>
      </c>
      <c r="G7" s="9" t="s">
        <v>77</v>
      </c>
      <c r="H7" s="9" t="s">
        <v>92</v>
      </c>
      <c r="I7" s="8" t="s">
        <v>78</v>
      </c>
      <c r="J7" s="10">
        <v>685.67</v>
      </c>
      <c r="K7" s="10">
        <v>725.28</v>
      </c>
      <c r="L7" s="10">
        <f t="shared" si="0"/>
        <v>39.610000000000014</v>
      </c>
      <c r="M7" s="10">
        <v>288.8</v>
      </c>
      <c r="N7" s="10">
        <v>320</v>
      </c>
      <c r="O7" s="10">
        <f t="shared" si="1"/>
        <v>31.199999999999989</v>
      </c>
      <c r="P7" s="11">
        <v>21094.00002916855</v>
      </c>
      <c r="Q7" s="11">
        <v>50081.450831024929</v>
      </c>
      <c r="R7" s="11">
        <v>28000</v>
      </c>
      <c r="S7" s="11">
        <v>14463523</v>
      </c>
      <c r="T7" s="11">
        <v>723178</v>
      </c>
      <c r="U7" s="12">
        <f t="shared" si="2"/>
        <v>5.0000127907979267E-2</v>
      </c>
      <c r="V7" s="13">
        <f>L7*R7</f>
        <v>1109080.0000000005</v>
      </c>
      <c r="W7" s="10">
        <f>V7*U7</f>
        <v>55454.141860181669</v>
      </c>
      <c r="X7" s="15"/>
      <c r="Y7" s="15"/>
      <c r="Z7" s="11">
        <f t="shared" si="4"/>
        <v>15572603</v>
      </c>
      <c r="AA7" s="14">
        <v>899069</v>
      </c>
      <c r="AB7" s="14">
        <v>44954</v>
      </c>
      <c r="AC7" s="11">
        <f t="shared" si="5"/>
        <v>14673534</v>
      </c>
      <c r="AD7" s="10">
        <f t="shared" si="6"/>
        <v>300</v>
      </c>
      <c r="AE7" s="15">
        <v>86640</v>
      </c>
      <c r="AF7" s="16">
        <v>15596</v>
      </c>
      <c r="AG7" s="15">
        <f t="shared" si="7"/>
        <v>9359.9999999999964</v>
      </c>
      <c r="AH7" s="15">
        <f t="shared" si="8"/>
        <v>1684.7999999999993</v>
      </c>
      <c r="AI7" s="15">
        <f t="shared" si="9"/>
        <v>96000</v>
      </c>
      <c r="AJ7" s="15">
        <f t="shared" si="10"/>
        <v>17280</v>
      </c>
      <c r="AK7" s="10">
        <v>86640</v>
      </c>
      <c r="AL7" s="15">
        <f t="shared" si="11"/>
        <v>96000</v>
      </c>
      <c r="AM7" s="15">
        <f t="shared" si="12"/>
        <v>14769534</v>
      </c>
      <c r="AN7" s="15">
        <f t="shared" si="13"/>
        <v>750959</v>
      </c>
      <c r="AO7" s="15">
        <f t="shared" si="14"/>
        <v>846959</v>
      </c>
      <c r="AP7" s="17">
        <f t="shared" si="15"/>
        <v>15616493</v>
      </c>
      <c r="AQ7" s="15">
        <v>12724456.85</v>
      </c>
      <c r="AR7" s="15">
        <v>0</v>
      </c>
      <c r="AS7" s="18">
        <f t="shared" si="16"/>
        <v>2892036</v>
      </c>
      <c r="AT7" s="19">
        <v>0</v>
      </c>
      <c r="AU7" s="8">
        <v>8800</v>
      </c>
      <c r="AV7" s="13">
        <f t="shared" si="17"/>
        <v>2816000</v>
      </c>
      <c r="AW7" s="18">
        <f t="shared" si="18"/>
        <v>14769534</v>
      </c>
      <c r="AX7" s="15">
        <f t="shared" si="19"/>
        <v>14770000</v>
      </c>
      <c r="AY7" s="20">
        <v>0.05</v>
      </c>
      <c r="AZ7" s="13">
        <f t="shared" si="20"/>
        <v>738500</v>
      </c>
      <c r="BA7" s="15">
        <f t="shared" si="21"/>
        <v>738500</v>
      </c>
      <c r="BB7" s="21">
        <f t="shared" si="22"/>
        <v>3630536</v>
      </c>
      <c r="BC7" s="10">
        <f t="shared" si="23"/>
        <v>5.7768314203625675</v>
      </c>
      <c r="BD7" s="10">
        <f t="shared" si="24"/>
        <v>10.803324099722989</v>
      </c>
      <c r="BE7" s="10">
        <v>67.38</v>
      </c>
      <c r="BF7" s="10">
        <v>29.73</v>
      </c>
      <c r="BG7" s="107">
        <v>46176</v>
      </c>
      <c r="BH7" s="107">
        <f t="shared" si="25"/>
        <v>46206</v>
      </c>
      <c r="BI7" s="23">
        <v>5</v>
      </c>
      <c r="BJ7" s="6"/>
      <c r="BK7" s="6"/>
      <c r="BL7" s="6"/>
      <c r="BM7" s="6" t="s">
        <v>3818</v>
      </c>
      <c r="BN7" s="6" t="s">
        <v>3819</v>
      </c>
      <c r="BO7" s="6" t="s">
        <v>3820</v>
      </c>
      <c r="BP7" s="6" t="s">
        <v>3821</v>
      </c>
      <c r="BQ7" s="6" t="s">
        <v>3822</v>
      </c>
      <c r="BR7" t="s">
        <v>3823</v>
      </c>
      <c r="BS7" t="s">
        <v>3824</v>
      </c>
      <c r="BT7" t="s">
        <v>3825</v>
      </c>
      <c r="BU7" t="s">
        <v>3826</v>
      </c>
      <c r="BV7" t="s">
        <v>3827</v>
      </c>
      <c r="BW7" t="s">
        <v>3835</v>
      </c>
      <c r="BX7">
        <v>0</v>
      </c>
      <c r="BY7" t="s">
        <v>3864</v>
      </c>
      <c r="BZ7" t="s">
        <v>3863</v>
      </c>
    </row>
    <row r="8" spans="1:78" x14ac:dyDescent="0.25">
      <c r="A8" s="7" t="s">
        <v>95</v>
      </c>
      <c r="B8" s="7" t="s">
        <v>61</v>
      </c>
      <c r="C8" s="7" t="s">
        <v>93</v>
      </c>
      <c r="D8" s="8" t="s">
        <v>94</v>
      </c>
      <c r="E8" s="7" t="s">
        <v>96</v>
      </c>
      <c r="F8" s="9">
        <v>44995</v>
      </c>
      <c r="G8" s="9" t="s">
        <v>77</v>
      </c>
      <c r="H8" s="9" t="s">
        <v>72</v>
      </c>
      <c r="I8" s="8" t="s">
        <v>78</v>
      </c>
      <c r="J8" s="10">
        <v>1202.3399999999999</v>
      </c>
      <c r="K8" s="10">
        <v>1202.3399999999999</v>
      </c>
      <c r="L8" s="10">
        <f t="shared" si="0"/>
        <v>0</v>
      </c>
      <c r="M8" s="10">
        <v>535.51</v>
      </c>
      <c r="N8" s="10">
        <v>535.51</v>
      </c>
      <c r="O8" s="10">
        <f t="shared" si="1"/>
        <v>0</v>
      </c>
      <c r="P8" s="11">
        <v>6500</v>
      </c>
      <c r="Q8" s="11">
        <v>14593.957162331237</v>
      </c>
      <c r="R8" s="11">
        <v>20000</v>
      </c>
      <c r="S8" s="11">
        <v>7815210</v>
      </c>
      <c r="T8" s="11">
        <v>390760</v>
      </c>
      <c r="U8" s="12">
        <f t="shared" si="2"/>
        <v>4.9999936022192625E-2</v>
      </c>
      <c r="V8" s="13">
        <f>L8*P8</f>
        <v>0</v>
      </c>
      <c r="W8" s="10">
        <f t="shared" si="3"/>
        <v>0</v>
      </c>
      <c r="X8" s="10"/>
      <c r="Y8" s="10"/>
      <c r="Z8" s="11">
        <f t="shared" si="4"/>
        <v>7815210</v>
      </c>
      <c r="AA8" s="14"/>
      <c r="AB8" s="14"/>
      <c r="AC8" s="11">
        <f t="shared" si="5"/>
        <v>7815210</v>
      </c>
      <c r="AD8" s="10">
        <f t="shared" si="6"/>
        <v>300</v>
      </c>
      <c r="AE8" s="15">
        <v>160653</v>
      </c>
      <c r="AF8" s="16">
        <v>28918</v>
      </c>
      <c r="AG8" s="15">
        <f t="shared" si="7"/>
        <v>0</v>
      </c>
      <c r="AH8" s="15">
        <f t="shared" si="8"/>
        <v>0</v>
      </c>
      <c r="AI8" s="15">
        <f t="shared" si="9"/>
        <v>160653</v>
      </c>
      <c r="AJ8" s="15">
        <f t="shared" si="10"/>
        <v>28918</v>
      </c>
      <c r="AK8" s="10">
        <v>160653</v>
      </c>
      <c r="AL8" s="15">
        <f t="shared" si="11"/>
        <v>160653</v>
      </c>
      <c r="AM8" s="15">
        <f t="shared" si="12"/>
        <v>7975863</v>
      </c>
      <c r="AN8" s="15">
        <f t="shared" si="13"/>
        <v>419678</v>
      </c>
      <c r="AO8" s="15">
        <f t="shared" si="14"/>
        <v>580333.48</v>
      </c>
      <c r="AP8" s="17">
        <f t="shared" si="15"/>
        <v>8556196.4800000004</v>
      </c>
      <c r="AQ8" s="15">
        <v>6975075</v>
      </c>
      <c r="AR8" s="15">
        <v>2.48</v>
      </c>
      <c r="AS8" s="18">
        <f t="shared" si="16"/>
        <v>1581121</v>
      </c>
      <c r="AT8" s="19">
        <v>0</v>
      </c>
      <c r="AU8" s="8">
        <v>8800</v>
      </c>
      <c r="AV8" s="13">
        <f t="shared" si="17"/>
        <v>4712488</v>
      </c>
      <c r="AW8" s="18">
        <f t="shared" si="18"/>
        <v>7975863</v>
      </c>
      <c r="AX8" s="15">
        <f t="shared" si="19"/>
        <v>7976000</v>
      </c>
      <c r="AY8" s="20">
        <v>0.06</v>
      </c>
      <c r="AZ8" s="13">
        <f t="shared" si="20"/>
        <v>478560</v>
      </c>
      <c r="BA8" s="15">
        <f t="shared" si="21"/>
        <v>478600</v>
      </c>
      <c r="BB8" s="21">
        <f t="shared" si="22"/>
        <v>2059721</v>
      </c>
      <c r="BC8" s="10">
        <f t="shared" si="23"/>
        <v>0</v>
      </c>
      <c r="BD8" s="10">
        <f t="shared" si="24"/>
        <v>0</v>
      </c>
      <c r="BE8" s="10">
        <v>111.7</v>
      </c>
      <c r="BF8" s="10">
        <v>49.75</v>
      </c>
      <c r="BG8" s="107">
        <v>46176</v>
      </c>
      <c r="BH8" s="107">
        <f t="shared" si="25"/>
        <v>46206</v>
      </c>
      <c r="BI8" s="23">
        <v>6</v>
      </c>
      <c r="BJ8" s="6"/>
      <c r="BK8" s="6"/>
      <c r="BL8" s="6"/>
      <c r="BM8" s="6" t="s">
        <v>3818</v>
      </c>
      <c r="BN8" s="6" t="s">
        <v>3819</v>
      </c>
      <c r="BO8" s="6" t="s">
        <v>3820</v>
      </c>
      <c r="BP8" s="6" t="s">
        <v>3821</v>
      </c>
      <c r="BQ8" s="6" t="s">
        <v>3822</v>
      </c>
      <c r="BR8" t="s">
        <v>3823</v>
      </c>
      <c r="BS8" t="s">
        <v>3824</v>
      </c>
      <c r="BT8" t="s">
        <v>3825</v>
      </c>
      <c r="BU8" t="s">
        <v>3826</v>
      </c>
      <c r="BV8" t="s">
        <v>3827</v>
      </c>
      <c r="BW8" t="s">
        <v>3835</v>
      </c>
      <c r="BX8">
        <v>0</v>
      </c>
      <c r="BY8" t="s">
        <v>3865</v>
      </c>
      <c r="BZ8" t="s">
        <v>3863</v>
      </c>
    </row>
    <row r="9" spans="1:78" x14ac:dyDescent="0.25">
      <c r="A9" s="7" t="s">
        <v>99</v>
      </c>
      <c r="B9" s="7" t="s">
        <v>61</v>
      </c>
      <c r="C9" s="7" t="s">
        <v>97</v>
      </c>
      <c r="D9" s="8" t="s">
        <v>98</v>
      </c>
      <c r="E9" s="7" t="s">
        <v>100</v>
      </c>
      <c r="F9" s="9">
        <v>44868</v>
      </c>
      <c r="G9" s="9" t="s">
        <v>77</v>
      </c>
      <c r="H9" s="9" t="s">
        <v>66</v>
      </c>
      <c r="I9" s="8" t="s">
        <v>78</v>
      </c>
      <c r="J9" s="10">
        <v>372.86</v>
      </c>
      <c r="K9" s="10">
        <v>372.86</v>
      </c>
      <c r="L9" s="10">
        <f t="shared" si="0"/>
        <v>0</v>
      </c>
      <c r="M9" s="10">
        <v>158.22999999999999</v>
      </c>
      <c r="N9" s="10">
        <v>158.22999999999999</v>
      </c>
      <c r="O9" s="10">
        <f t="shared" si="1"/>
        <v>0</v>
      </c>
      <c r="P9" s="11">
        <v>15782.998980850722</v>
      </c>
      <c r="Q9" s="11">
        <v>37191.739872337741</v>
      </c>
      <c r="R9" s="11">
        <v>22000</v>
      </c>
      <c r="S9" s="11">
        <v>5884849</v>
      </c>
      <c r="T9" s="11">
        <v>294242</v>
      </c>
      <c r="U9" s="12">
        <f t="shared" si="2"/>
        <v>4.9999923532447477E-2</v>
      </c>
      <c r="V9" s="13">
        <f>L9*P9</f>
        <v>0</v>
      </c>
      <c r="W9" s="10">
        <f t="shared" si="3"/>
        <v>0</v>
      </c>
      <c r="X9" s="10"/>
      <c r="Y9" s="10"/>
      <c r="Z9" s="11">
        <f t="shared" si="4"/>
        <v>5884849</v>
      </c>
      <c r="AA9" s="14">
        <v>728980</v>
      </c>
      <c r="AB9" s="14">
        <v>36450</v>
      </c>
      <c r="AC9" s="11">
        <f t="shared" si="5"/>
        <v>5155869</v>
      </c>
      <c r="AD9" s="10">
        <f t="shared" si="6"/>
        <v>300</v>
      </c>
      <c r="AE9" s="15">
        <v>47469</v>
      </c>
      <c r="AF9" s="16">
        <v>8544</v>
      </c>
      <c r="AG9" s="15">
        <f t="shared" si="7"/>
        <v>0</v>
      </c>
      <c r="AH9" s="15">
        <f t="shared" si="8"/>
        <v>0</v>
      </c>
      <c r="AI9" s="15">
        <f t="shared" si="9"/>
        <v>47469</v>
      </c>
      <c r="AJ9" s="15">
        <f t="shared" si="10"/>
        <v>8545</v>
      </c>
      <c r="AK9" s="10">
        <v>47469</v>
      </c>
      <c r="AL9" s="15">
        <f t="shared" si="11"/>
        <v>47469</v>
      </c>
      <c r="AM9" s="15">
        <f t="shared" si="12"/>
        <v>5203338</v>
      </c>
      <c r="AN9" s="15">
        <f t="shared" si="13"/>
        <v>266337</v>
      </c>
      <c r="AO9" s="15">
        <f t="shared" si="14"/>
        <v>313806</v>
      </c>
      <c r="AP9" s="17">
        <f t="shared" si="15"/>
        <v>5517144</v>
      </c>
      <c r="AQ9" s="15">
        <v>4795753</v>
      </c>
      <c r="AR9" s="15">
        <v>0</v>
      </c>
      <c r="AS9" s="18">
        <f t="shared" si="16"/>
        <v>721391</v>
      </c>
      <c r="AT9" s="19">
        <v>0</v>
      </c>
      <c r="AU9" s="8">
        <v>8800</v>
      </c>
      <c r="AV9" s="13">
        <f t="shared" si="17"/>
        <v>1392424</v>
      </c>
      <c r="AW9" s="18">
        <f t="shared" si="18"/>
        <v>5203338</v>
      </c>
      <c r="AX9" s="15">
        <f t="shared" si="19"/>
        <v>5204000</v>
      </c>
      <c r="AY9" s="20">
        <v>0.06</v>
      </c>
      <c r="AZ9" s="13">
        <f t="shared" si="20"/>
        <v>312240</v>
      </c>
      <c r="BA9" s="15">
        <f t="shared" si="21"/>
        <v>312300</v>
      </c>
      <c r="BB9" s="21">
        <f t="shared" si="22"/>
        <v>1033691</v>
      </c>
      <c r="BC9" s="10">
        <f t="shared" si="23"/>
        <v>0</v>
      </c>
      <c r="BD9" s="10">
        <f t="shared" si="24"/>
        <v>0</v>
      </c>
      <c r="BE9" s="10">
        <v>34.64</v>
      </c>
      <c r="BF9" s="10">
        <v>14.7</v>
      </c>
      <c r="BG9" s="107">
        <v>46176</v>
      </c>
      <c r="BH9" s="107">
        <f t="shared" si="25"/>
        <v>46206</v>
      </c>
      <c r="BI9" s="23">
        <v>6</v>
      </c>
      <c r="BJ9" s="6"/>
      <c r="BK9" s="6"/>
      <c r="BL9" s="6"/>
      <c r="BM9" s="6" t="s">
        <v>3818</v>
      </c>
      <c r="BN9" s="6" t="s">
        <v>3819</v>
      </c>
      <c r="BO9" s="6" t="s">
        <v>3820</v>
      </c>
      <c r="BP9" s="6" t="s">
        <v>3821</v>
      </c>
      <c r="BQ9" s="6" t="s">
        <v>3822</v>
      </c>
      <c r="BR9" t="s">
        <v>3823</v>
      </c>
      <c r="BS9" t="s">
        <v>3824</v>
      </c>
      <c r="BT9" t="s">
        <v>3825</v>
      </c>
      <c r="BU9" t="s">
        <v>3826</v>
      </c>
      <c r="BV9" t="s">
        <v>3827</v>
      </c>
      <c r="BW9" t="s">
        <v>3835</v>
      </c>
      <c r="BX9">
        <v>0</v>
      </c>
      <c r="BY9" t="s">
        <v>3859</v>
      </c>
      <c r="BZ9" t="s">
        <v>3863</v>
      </c>
    </row>
    <row r="10" spans="1:78" x14ac:dyDescent="0.25">
      <c r="A10" s="7" t="s">
        <v>103</v>
      </c>
      <c r="B10" s="7" t="s">
        <v>61</v>
      </c>
      <c r="C10" s="7" t="s">
        <v>101</v>
      </c>
      <c r="D10" s="8" t="s">
        <v>102</v>
      </c>
      <c r="E10" s="7" t="s">
        <v>104</v>
      </c>
      <c r="F10" s="9">
        <v>45001</v>
      </c>
      <c r="G10" s="9" t="s">
        <v>77</v>
      </c>
      <c r="H10" s="9" t="s">
        <v>66</v>
      </c>
      <c r="I10" s="8" t="s">
        <v>78</v>
      </c>
      <c r="J10" s="10">
        <v>761.88</v>
      </c>
      <c r="K10" s="10">
        <v>780</v>
      </c>
      <c r="L10" s="10">
        <f t="shared" si="0"/>
        <v>18.120000000000005</v>
      </c>
      <c r="M10" s="10">
        <v>330.45</v>
      </c>
      <c r="N10" s="10">
        <v>348</v>
      </c>
      <c r="O10" s="10">
        <f t="shared" si="1"/>
        <v>17.550000000000011</v>
      </c>
      <c r="P10" s="11">
        <v>12377.222134719379</v>
      </c>
      <c r="Q10" s="11">
        <v>28536.716598577699</v>
      </c>
      <c r="R10" s="11">
        <v>22000</v>
      </c>
      <c r="S10" s="11">
        <v>9429958</v>
      </c>
      <c r="T10" s="11">
        <v>471500</v>
      </c>
      <c r="U10" s="12">
        <f t="shared" si="2"/>
        <v>5.0000222694523137E-2</v>
      </c>
      <c r="V10" s="13">
        <f>L10*R10</f>
        <v>398640.00000000012</v>
      </c>
      <c r="W10" s="10">
        <f t="shared" si="3"/>
        <v>19932.08877494471</v>
      </c>
      <c r="X10" s="15"/>
      <c r="Y10" s="15"/>
      <c r="Z10" s="11">
        <f t="shared" si="4"/>
        <v>9828598</v>
      </c>
      <c r="AA10" s="14"/>
      <c r="AB10" s="14"/>
      <c r="AC10" s="11">
        <f t="shared" si="5"/>
        <v>9828598</v>
      </c>
      <c r="AD10" s="10">
        <f t="shared" si="6"/>
        <v>300</v>
      </c>
      <c r="AE10" s="15">
        <v>99135</v>
      </c>
      <c r="AF10" s="16">
        <v>17844</v>
      </c>
      <c r="AG10" s="15">
        <f t="shared" si="7"/>
        <v>5265.0000000000036</v>
      </c>
      <c r="AH10" s="15">
        <f t="shared" si="8"/>
        <v>947.70000000000061</v>
      </c>
      <c r="AI10" s="15">
        <f t="shared" si="9"/>
        <v>104400</v>
      </c>
      <c r="AJ10" s="15">
        <f t="shared" si="10"/>
        <v>18792</v>
      </c>
      <c r="AK10" s="10">
        <v>99135</v>
      </c>
      <c r="AL10" s="15">
        <f t="shared" si="11"/>
        <v>104400</v>
      </c>
      <c r="AM10" s="15">
        <f t="shared" si="12"/>
        <v>9932998</v>
      </c>
      <c r="AN10" s="15">
        <f t="shared" si="13"/>
        <v>510225</v>
      </c>
      <c r="AO10" s="15">
        <f t="shared" si="14"/>
        <v>614627.1</v>
      </c>
      <c r="AP10" s="17">
        <f t="shared" si="15"/>
        <v>10547625.1</v>
      </c>
      <c r="AQ10" s="15">
        <v>8882188.4000000004</v>
      </c>
      <c r="AR10" s="15">
        <v>2.1</v>
      </c>
      <c r="AS10" s="18">
        <f t="shared" si="16"/>
        <v>1665437</v>
      </c>
      <c r="AT10" s="19">
        <v>0</v>
      </c>
      <c r="AU10" s="8">
        <v>8800</v>
      </c>
      <c r="AV10" s="13">
        <f t="shared" si="17"/>
        <v>3062400</v>
      </c>
      <c r="AW10" s="18">
        <f t="shared" si="18"/>
        <v>9932998</v>
      </c>
      <c r="AX10" s="15">
        <f t="shared" si="19"/>
        <v>9933000</v>
      </c>
      <c r="AY10" s="20">
        <v>0.05</v>
      </c>
      <c r="AZ10" s="13">
        <f t="shared" si="20"/>
        <v>496650</v>
      </c>
      <c r="BA10" s="15">
        <f t="shared" si="21"/>
        <v>496700</v>
      </c>
      <c r="BB10" s="21">
        <f t="shared" si="22"/>
        <v>2162137</v>
      </c>
      <c r="BC10" s="10">
        <f t="shared" si="23"/>
        <v>2.3783272956371087</v>
      </c>
      <c r="BD10" s="10">
        <f t="shared" si="24"/>
        <v>5.3109396277803027</v>
      </c>
      <c r="BE10" s="10">
        <v>72.459999999999994</v>
      </c>
      <c r="BF10" s="10">
        <v>32.33</v>
      </c>
      <c r="BG10" s="107">
        <v>46176</v>
      </c>
      <c r="BH10" s="107">
        <f t="shared" si="25"/>
        <v>46206</v>
      </c>
      <c r="BI10" s="23">
        <v>5</v>
      </c>
      <c r="BJ10" s="6"/>
      <c r="BK10" s="6"/>
      <c r="BL10" s="6"/>
      <c r="BM10" s="6" t="s">
        <v>3818</v>
      </c>
      <c r="BN10" s="6" t="s">
        <v>3819</v>
      </c>
      <c r="BO10" s="6" t="s">
        <v>3820</v>
      </c>
      <c r="BP10" s="6" t="s">
        <v>3821</v>
      </c>
      <c r="BQ10" s="6" t="s">
        <v>3822</v>
      </c>
      <c r="BR10" t="s">
        <v>3823</v>
      </c>
      <c r="BS10" t="s">
        <v>3824</v>
      </c>
      <c r="BT10" t="s">
        <v>3825</v>
      </c>
      <c r="BU10" t="s">
        <v>3826</v>
      </c>
      <c r="BV10" t="s">
        <v>3827</v>
      </c>
      <c r="BW10" t="s">
        <v>3835</v>
      </c>
      <c r="BX10">
        <v>0</v>
      </c>
      <c r="BY10" t="s">
        <v>3864</v>
      </c>
      <c r="BZ10" t="s">
        <v>3863</v>
      </c>
    </row>
    <row r="11" spans="1:78" x14ac:dyDescent="0.25">
      <c r="A11" s="7" t="s">
        <v>107</v>
      </c>
      <c r="B11" s="7" t="s">
        <v>61</v>
      </c>
      <c r="C11" s="7" t="s">
        <v>105</v>
      </c>
      <c r="D11" s="8" t="s">
        <v>106</v>
      </c>
      <c r="E11" s="7" t="s">
        <v>108</v>
      </c>
      <c r="F11" s="9">
        <v>45383</v>
      </c>
      <c r="G11" s="9" t="s">
        <v>65</v>
      </c>
      <c r="H11" s="9" t="s">
        <v>66</v>
      </c>
      <c r="I11" s="8" t="s">
        <v>67</v>
      </c>
      <c r="J11" s="10">
        <v>662.58</v>
      </c>
      <c r="K11" s="10">
        <v>662.58</v>
      </c>
      <c r="L11" s="10">
        <f t="shared" si="0"/>
        <v>0</v>
      </c>
      <c r="M11" s="10">
        <v>270.18</v>
      </c>
      <c r="N11" s="10">
        <v>270.18</v>
      </c>
      <c r="O11" s="10">
        <f t="shared" si="1"/>
        <v>0</v>
      </c>
      <c r="P11" s="11">
        <v>14400.001509251711</v>
      </c>
      <c r="Q11" s="11">
        <v>35314.060996372791</v>
      </c>
      <c r="R11" s="11">
        <v>22000</v>
      </c>
      <c r="S11" s="11">
        <v>9541153</v>
      </c>
      <c r="T11" s="11">
        <v>477058</v>
      </c>
      <c r="U11" s="12">
        <f t="shared" si="2"/>
        <v>5.000003668319751E-2</v>
      </c>
      <c r="V11" s="13">
        <f>L11*P11</f>
        <v>0</v>
      </c>
      <c r="W11" s="10">
        <f t="shared" si="3"/>
        <v>0</v>
      </c>
      <c r="X11" s="10"/>
      <c r="Y11" s="10"/>
      <c r="Z11" s="11">
        <f t="shared" si="4"/>
        <v>9541153</v>
      </c>
      <c r="AA11" s="14"/>
      <c r="AB11" s="14"/>
      <c r="AC11" s="11">
        <f t="shared" si="5"/>
        <v>9541153</v>
      </c>
      <c r="AD11" s="10">
        <f t="shared" si="6"/>
        <v>300</v>
      </c>
      <c r="AE11" s="15">
        <v>81054</v>
      </c>
      <c r="AF11" s="16">
        <v>14590</v>
      </c>
      <c r="AG11" s="15">
        <f t="shared" si="7"/>
        <v>0</v>
      </c>
      <c r="AH11" s="15">
        <f t="shared" si="8"/>
        <v>0</v>
      </c>
      <c r="AI11" s="15">
        <f t="shared" si="9"/>
        <v>81054</v>
      </c>
      <c r="AJ11" s="15">
        <f t="shared" si="10"/>
        <v>14590</v>
      </c>
      <c r="AK11" s="10">
        <v>81054</v>
      </c>
      <c r="AL11" s="15">
        <f t="shared" si="11"/>
        <v>81054</v>
      </c>
      <c r="AM11" s="15">
        <f t="shared" si="12"/>
        <v>9622207</v>
      </c>
      <c r="AN11" s="15">
        <f t="shared" si="13"/>
        <v>491648</v>
      </c>
      <c r="AO11" s="15">
        <f t="shared" si="14"/>
        <v>572981.66</v>
      </c>
      <c r="AP11" s="17">
        <f t="shared" si="15"/>
        <v>10195188.66</v>
      </c>
      <c r="AQ11" s="15">
        <v>8956359.5999999996</v>
      </c>
      <c r="AR11" s="15">
        <v>279.66000000000003</v>
      </c>
      <c r="AS11" s="18">
        <f t="shared" si="16"/>
        <v>1238829</v>
      </c>
      <c r="AT11" s="19">
        <v>0</v>
      </c>
      <c r="AU11" s="8">
        <v>8800</v>
      </c>
      <c r="AV11" s="13">
        <f t="shared" si="17"/>
        <v>2377584</v>
      </c>
      <c r="AW11" s="18">
        <f t="shared" si="18"/>
        <v>9622207</v>
      </c>
      <c r="AX11" s="15">
        <f t="shared" si="19"/>
        <v>9623000</v>
      </c>
      <c r="AY11" s="20">
        <v>7.0000000000000007E-2</v>
      </c>
      <c r="AZ11" s="13">
        <f t="shared" si="20"/>
        <v>673610.00000000012</v>
      </c>
      <c r="BA11" s="15">
        <f t="shared" si="21"/>
        <v>673700</v>
      </c>
      <c r="BB11" s="21">
        <f t="shared" si="22"/>
        <v>1912529</v>
      </c>
      <c r="BC11" s="10">
        <f t="shared" si="23"/>
        <v>0</v>
      </c>
      <c r="BD11" s="10">
        <f t="shared" si="24"/>
        <v>0</v>
      </c>
      <c r="BE11" s="10">
        <v>61.56</v>
      </c>
      <c r="BF11" s="10">
        <v>25.1</v>
      </c>
      <c r="BG11" s="107">
        <v>46176</v>
      </c>
      <c r="BH11" s="107">
        <f t="shared" si="25"/>
        <v>46206</v>
      </c>
      <c r="BI11" s="23">
        <v>7</v>
      </c>
      <c r="BJ11" s="6"/>
      <c r="BK11" s="6"/>
      <c r="BL11" s="6"/>
      <c r="BM11" s="6" t="s">
        <v>3818</v>
      </c>
      <c r="BN11" s="6" t="s">
        <v>3819</v>
      </c>
      <c r="BO11" s="6" t="s">
        <v>3820</v>
      </c>
      <c r="BP11" s="6" t="s">
        <v>3821</v>
      </c>
      <c r="BQ11" s="6" t="s">
        <v>3822</v>
      </c>
      <c r="BR11" t="s">
        <v>3823</v>
      </c>
      <c r="BS11" t="s">
        <v>3824</v>
      </c>
      <c r="BT11" t="s">
        <v>3825</v>
      </c>
      <c r="BU11" t="s">
        <v>3826</v>
      </c>
      <c r="BV11" t="s">
        <v>3827</v>
      </c>
      <c r="BW11" t="s">
        <v>3835</v>
      </c>
      <c r="BX11">
        <v>0</v>
      </c>
      <c r="BY11" t="s">
        <v>3861</v>
      </c>
      <c r="BZ11" t="s">
        <v>3860</v>
      </c>
    </row>
    <row r="12" spans="1:78" x14ac:dyDescent="0.25">
      <c r="A12" s="7" t="s">
        <v>111</v>
      </c>
      <c r="B12" s="7" t="s">
        <v>61</v>
      </c>
      <c r="C12" s="7" t="s">
        <v>109</v>
      </c>
      <c r="D12" s="8" t="s">
        <v>110</v>
      </c>
      <c r="E12" s="7" t="s">
        <v>112</v>
      </c>
      <c r="F12" s="9">
        <v>44958</v>
      </c>
      <c r="G12" s="9" t="s">
        <v>77</v>
      </c>
      <c r="H12" s="9" t="s">
        <v>72</v>
      </c>
      <c r="I12" s="8" t="s">
        <v>78</v>
      </c>
      <c r="J12" s="10">
        <v>684.59</v>
      </c>
      <c r="K12" s="10">
        <v>725</v>
      </c>
      <c r="L12" s="10">
        <f t="shared" si="0"/>
        <v>40.409999999999968</v>
      </c>
      <c r="M12" s="10">
        <v>288.48</v>
      </c>
      <c r="N12" s="10">
        <v>319</v>
      </c>
      <c r="O12" s="10">
        <f t="shared" si="1"/>
        <v>30.519999999999982</v>
      </c>
      <c r="P12" s="11">
        <v>12349.99926963584</v>
      </c>
      <c r="Q12" s="11">
        <v>29307.702440377147</v>
      </c>
      <c r="R12" s="11">
        <v>20000</v>
      </c>
      <c r="S12" s="11">
        <v>8454686</v>
      </c>
      <c r="T12" s="11">
        <v>422736</v>
      </c>
      <c r="U12" s="12">
        <f t="shared" si="2"/>
        <v>5.0000201071926265E-2</v>
      </c>
      <c r="V12" s="13">
        <f>L12*R12</f>
        <v>808199.99999999942</v>
      </c>
      <c r="W12" s="10">
        <f t="shared" si="3"/>
        <v>40410.16250633078</v>
      </c>
      <c r="X12" s="15"/>
      <c r="Y12" s="15"/>
      <c r="Z12" s="11">
        <f>S12+V12+X12</f>
        <v>9262886</v>
      </c>
      <c r="AA12" s="14"/>
      <c r="AB12" s="14"/>
      <c r="AC12" s="11">
        <f t="shared" si="5"/>
        <v>9262886</v>
      </c>
      <c r="AD12" s="10">
        <f t="shared" si="6"/>
        <v>300</v>
      </c>
      <c r="AE12" s="15">
        <v>86544</v>
      </c>
      <c r="AF12" s="16">
        <v>15578</v>
      </c>
      <c r="AG12" s="15">
        <f t="shared" si="7"/>
        <v>9155.9999999999945</v>
      </c>
      <c r="AH12" s="15">
        <f t="shared" si="8"/>
        <v>1648.079999999999</v>
      </c>
      <c r="AI12" s="15">
        <f>AD12*N12</f>
        <v>95700</v>
      </c>
      <c r="AJ12" s="15">
        <f t="shared" si="10"/>
        <v>17226</v>
      </c>
      <c r="AK12" s="10">
        <v>86544</v>
      </c>
      <c r="AL12" s="15">
        <f t="shared" si="11"/>
        <v>95700</v>
      </c>
      <c r="AM12" s="15">
        <f>ROUND(AI12+AC12,0)</f>
        <v>9358586</v>
      </c>
      <c r="AN12" s="15">
        <f t="shared" si="13"/>
        <v>480373</v>
      </c>
      <c r="AO12" s="15">
        <f t="shared" si="14"/>
        <v>576444.86</v>
      </c>
      <c r="AP12" s="17">
        <f t="shared" si="15"/>
        <v>9935030.8599999994</v>
      </c>
      <c r="AQ12" s="15">
        <v>7909741</v>
      </c>
      <c r="AR12" s="15">
        <v>371.86</v>
      </c>
      <c r="AS12" s="18">
        <f t="shared" si="16"/>
        <v>2025290</v>
      </c>
      <c r="AT12" s="19">
        <v>9584260</v>
      </c>
      <c r="AU12" s="8">
        <v>8800</v>
      </c>
      <c r="AV12" s="13">
        <f t="shared" si="17"/>
        <v>2807200</v>
      </c>
      <c r="AW12" s="18">
        <f t="shared" si="18"/>
        <v>9584260</v>
      </c>
      <c r="AX12" s="15">
        <f t="shared" si="19"/>
        <v>9585000</v>
      </c>
      <c r="AY12" s="20">
        <v>0.05</v>
      </c>
      <c r="AZ12" s="13">
        <f t="shared" si="20"/>
        <v>479250</v>
      </c>
      <c r="BA12" s="15">
        <f t="shared" si="21"/>
        <v>479300</v>
      </c>
      <c r="BB12" s="21">
        <f t="shared" si="22"/>
        <v>2504590</v>
      </c>
      <c r="BC12" s="10">
        <f t="shared" si="23"/>
        <v>5.9028031376444243</v>
      </c>
      <c r="BD12" s="10">
        <f t="shared" si="24"/>
        <v>10.579589572933992</v>
      </c>
      <c r="BE12" s="10">
        <v>67.349999999999994</v>
      </c>
      <c r="BF12" s="10">
        <v>29.64</v>
      </c>
      <c r="BG12" s="107">
        <v>46176</v>
      </c>
      <c r="BH12" s="107">
        <f t="shared" si="25"/>
        <v>46206</v>
      </c>
      <c r="BI12" s="23">
        <v>5</v>
      </c>
      <c r="BJ12" s="6"/>
      <c r="BK12" s="6"/>
      <c r="BL12" s="6"/>
      <c r="BM12" s="6" t="s">
        <v>3818</v>
      </c>
      <c r="BN12" s="6" t="s">
        <v>3819</v>
      </c>
      <c r="BO12" s="6" t="s">
        <v>3820</v>
      </c>
      <c r="BP12" s="6" t="s">
        <v>3821</v>
      </c>
      <c r="BQ12" s="6" t="s">
        <v>3822</v>
      </c>
      <c r="BR12" t="s">
        <v>3823</v>
      </c>
      <c r="BS12" t="s">
        <v>3824</v>
      </c>
      <c r="BT12" t="s">
        <v>3825</v>
      </c>
      <c r="BU12" t="s">
        <v>3826</v>
      </c>
      <c r="BV12" t="s">
        <v>3827</v>
      </c>
      <c r="BW12" t="s">
        <v>3835</v>
      </c>
      <c r="BX12">
        <v>0</v>
      </c>
      <c r="BY12" t="s">
        <v>3864</v>
      </c>
      <c r="BZ12" t="s">
        <v>3863</v>
      </c>
    </row>
    <row r="13" spans="1:78" x14ac:dyDescent="0.25">
      <c r="A13" s="7" t="s">
        <v>115</v>
      </c>
      <c r="B13" s="7" t="s">
        <v>61</v>
      </c>
      <c r="C13" s="7" t="s">
        <v>113</v>
      </c>
      <c r="D13" s="8" t="s">
        <v>114</v>
      </c>
      <c r="E13" s="7" t="s">
        <v>116</v>
      </c>
      <c r="F13" s="9">
        <v>45055</v>
      </c>
      <c r="G13" s="9" t="s">
        <v>77</v>
      </c>
      <c r="H13" s="9" t="s">
        <v>92</v>
      </c>
      <c r="I13" s="8" t="s">
        <v>78</v>
      </c>
      <c r="J13" s="10">
        <v>1204.49</v>
      </c>
      <c r="K13" s="10">
        <v>1204.49</v>
      </c>
      <c r="L13" s="10">
        <f t="shared" si="0"/>
        <v>0</v>
      </c>
      <c r="M13" s="10">
        <v>537.54999999999995</v>
      </c>
      <c r="N13" s="10">
        <v>552</v>
      </c>
      <c r="O13" s="10">
        <f t="shared" si="1"/>
        <v>14.450000000000045</v>
      </c>
      <c r="P13" s="11">
        <v>9000</v>
      </c>
      <c r="Q13" s="11">
        <v>20166.32871360804</v>
      </c>
      <c r="R13" s="11">
        <v>28000</v>
      </c>
      <c r="S13" s="11">
        <v>10840410</v>
      </c>
      <c r="T13" s="11">
        <v>542022</v>
      </c>
      <c r="U13" s="12">
        <f t="shared" si="2"/>
        <v>5.0000138371150166E-2</v>
      </c>
      <c r="V13" s="13">
        <f>L13*P13</f>
        <v>0</v>
      </c>
      <c r="W13" s="10">
        <f t="shared" si="3"/>
        <v>0</v>
      </c>
      <c r="X13" s="10"/>
      <c r="Y13" s="10"/>
      <c r="Z13" s="11">
        <f t="shared" si="4"/>
        <v>10840410</v>
      </c>
      <c r="AA13" s="14">
        <v>96841</v>
      </c>
      <c r="AB13" s="14">
        <v>4842</v>
      </c>
      <c r="AC13" s="11">
        <f t="shared" si="5"/>
        <v>10743569</v>
      </c>
      <c r="AD13" s="10">
        <f t="shared" si="6"/>
        <v>300</v>
      </c>
      <c r="AE13" s="15">
        <v>161265</v>
      </c>
      <c r="AF13" s="16">
        <v>29028</v>
      </c>
      <c r="AG13" s="15">
        <f t="shared" si="7"/>
        <v>4335.0000000000136</v>
      </c>
      <c r="AH13" s="15">
        <f t="shared" si="8"/>
        <v>780.30000000000246</v>
      </c>
      <c r="AI13" s="15">
        <f t="shared" si="9"/>
        <v>165600</v>
      </c>
      <c r="AJ13" s="15">
        <f t="shared" si="10"/>
        <v>29808</v>
      </c>
      <c r="AK13" s="10">
        <v>161265</v>
      </c>
      <c r="AL13" s="15">
        <f t="shared" si="11"/>
        <v>165600</v>
      </c>
      <c r="AM13" s="15">
        <f t="shared" si="12"/>
        <v>10909169</v>
      </c>
      <c r="AN13" s="15">
        <f t="shared" si="13"/>
        <v>566988</v>
      </c>
      <c r="AO13" s="15">
        <f t="shared" si="14"/>
        <v>733043</v>
      </c>
      <c r="AP13" s="17">
        <f t="shared" si="15"/>
        <v>11642212</v>
      </c>
      <c r="AQ13" s="15">
        <v>10044942</v>
      </c>
      <c r="AR13" s="15">
        <v>455</v>
      </c>
      <c r="AS13" s="18">
        <f t="shared" si="16"/>
        <v>1597270</v>
      </c>
      <c r="AT13" s="19">
        <v>0</v>
      </c>
      <c r="AU13" s="8">
        <v>8800</v>
      </c>
      <c r="AV13" s="13">
        <f t="shared" si="17"/>
        <v>4857600</v>
      </c>
      <c r="AW13" s="18">
        <f t="shared" si="18"/>
        <v>10909169</v>
      </c>
      <c r="AX13" s="15">
        <f t="shared" si="19"/>
        <v>10910000</v>
      </c>
      <c r="AY13" s="20">
        <v>0.05</v>
      </c>
      <c r="AZ13" s="13">
        <f t="shared" si="20"/>
        <v>545500</v>
      </c>
      <c r="BA13" s="15">
        <f t="shared" si="21"/>
        <v>545500</v>
      </c>
      <c r="BB13" s="21">
        <f t="shared" si="22"/>
        <v>2142770</v>
      </c>
      <c r="BC13" s="10">
        <f t="shared" si="23"/>
        <v>0</v>
      </c>
      <c r="BD13" s="10">
        <f t="shared" si="24"/>
        <v>2.6881220351595285</v>
      </c>
      <c r="BE13" s="10">
        <v>111.9</v>
      </c>
      <c r="BF13" s="10">
        <v>51.28</v>
      </c>
      <c r="BG13" s="107">
        <v>46176</v>
      </c>
      <c r="BH13" s="107">
        <f t="shared" si="25"/>
        <v>46206</v>
      </c>
      <c r="BI13" s="23">
        <v>5</v>
      </c>
      <c r="BJ13" s="6"/>
      <c r="BK13" s="6"/>
      <c r="BL13" s="6"/>
      <c r="BM13" s="6" t="s">
        <v>3818</v>
      </c>
      <c r="BN13" s="6" t="s">
        <v>3819</v>
      </c>
      <c r="BO13" s="6" t="s">
        <v>3820</v>
      </c>
      <c r="BP13" s="6" t="s">
        <v>3821</v>
      </c>
      <c r="BQ13" s="6" t="s">
        <v>3822</v>
      </c>
      <c r="BR13" t="s">
        <v>3823</v>
      </c>
      <c r="BS13" t="s">
        <v>3824</v>
      </c>
      <c r="BT13" t="s">
        <v>3825</v>
      </c>
      <c r="BU13" t="s">
        <v>3826</v>
      </c>
      <c r="BV13" t="s">
        <v>3827</v>
      </c>
      <c r="BW13" t="s">
        <v>3835</v>
      </c>
      <c r="BX13">
        <v>0</v>
      </c>
      <c r="BY13" t="s">
        <v>3864</v>
      </c>
      <c r="BZ13" t="s">
        <v>3863</v>
      </c>
    </row>
    <row r="14" spans="1:78" x14ac:dyDescent="0.25">
      <c r="A14" s="7" t="s">
        <v>119</v>
      </c>
      <c r="B14" s="7" t="s">
        <v>61</v>
      </c>
      <c r="C14" s="7" t="s">
        <v>117</v>
      </c>
      <c r="D14" s="8" t="s">
        <v>118</v>
      </c>
      <c r="E14" s="7" t="s">
        <v>120</v>
      </c>
      <c r="F14" s="9">
        <v>45008</v>
      </c>
      <c r="G14" s="9" t="s">
        <v>77</v>
      </c>
      <c r="H14" s="9" t="s">
        <v>72</v>
      </c>
      <c r="I14" s="8" t="s">
        <v>78</v>
      </c>
      <c r="J14" s="10">
        <v>1194.8</v>
      </c>
      <c r="K14" s="10">
        <v>1194.8</v>
      </c>
      <c r="L14" s="10">
        <f t="shared" si="0"/>
        <v>0</v>
      </c>
      <c r="M14" s="10">
        <v>529.59</v>
      </c>
      <c r="N14" s="10">
        <v>529.59</v>
      </c>
      <c r="O14" s="10">
        <f t="shared" si="1"/>
        <v>0</v>
      </c>
      <c r="P14" s="11">
        <v>10062.999665215935</v>
      </c>
      <c r="Q14" s="11">
        <v>22702.981551766461</v>
      </c>
      <c r="R14" s="11">
        <v>20000</v>
      </c>
      <c r="S14" s="11">
        <v>12023272</v>
      </c>
      <c r="T14" s="11">
        <v>601164</v>
      </c>
      <c r="U14" s="12">
        <f t="shared" si="2"/>
        <v>5.0000033268814012E-2</v>
      </c>
      <c r="V14" s="13">
        <f>L14*P14</f>
        <v>0</v>
      </c>
      <c r="W14" s="10">
        <f t="shared" si="3"/>
        <v>0</v>
      </c>
      <c r="X14" s="10"/>
      <c r="Y14" s="10"/>
      <c r="Z14" s="11">
        <f t="shared" si="4"/>
        <v>12023272</v>
      </c>
      <c r="AA14" s="14"/>
      <c r="AB14" s="14"/>
      <c r="AC14" s="11">
        <f t="shared" si="5"/>
        <v>12023272</v>
      </c>
      <c r="AD14" s="10">
        <f t="shared" si="6"/>
        <v>300</v>
      </c>
      <c r="AE14" s="15">
        <v>158877</v>
      </c>
      <c r="AF14" s="16">
        <v>28598</v>
      </c>
      <c r="AG14" s="15">
        <f t="shared" si="7"/>
        <v>0</v>
      </c>
      <c r="AH14" s="15">
        <f t="shared" si="8"/>
        <v>0</v>
      </c>
      <c r="AI14" s="15">
        <f t="shared" si="9"/>
        <v>158877</v>
      </c>
      <c r="AJ14" s="15">
        <f t="shared" si="10"/>
        <v>28598</v>
      </c>
      <c r="AK14" s="10">
        <v>158877</v>
      </c>
      <c r="AL14" s="15">
        <f t="shared" si="11"/>
        <v>158877</v>
      </c>
      <c r="AM14" s="15">
        <f t="shared" si="12"/>
        <v>12182149</v>
      </c>
      <c r="AN14" s="15">
        <f t="shared" si="13"/>
        <v>629762</v>
      </c>
      <c r="AO14" s="15">
        <f t="shared" si="14"/>
        <v>789148.16000000003</v>
      </c>
      <c r="AP14" s="17">
        <f t="shared" si="15"/>
        <v>12971297.16</v>
      </c>
      <c r="AQ14" s="15">
        <v>11285495.970000001</v>
      </c>
      <c r="AR14" s="15">
        <v>509.16</v>
      </c>
      <c r="AS14" s="18">
        <f t="shared" si="16"/>
        <v>1685801</v>
      </c>
      <c r="AT14" s="19">
        <v>0</v>
      </c>
      <c r="AU14" s="8">
        <v>8800</v>
      </c>
      <c r="AV14" s="13">
        <f t="shared" si="17"/>
        <v>4660392</v>
      </c>
      <c r="AW14" s="18">
        <f t="shared" si="18"/>
        <v>12182149</v>
      </c>
      <c r="AX14" s="15">
        <f t="shared" si="19"/>
        <v>12183000</v>
      </c>
      <c r="AY14" s="20">
        <v>0.06</v>
      </c>
      <c r="AZ14" s="13">
        <f t="shared" si="20"/>
        <v>730980</v>
      </c>
      <c r="BA14" s="15">
        <f t="shared" si="21"/>
        <v>731000</v>
      </c>
      <c r="BB14" s="21">
        <f t="shared" si="22"/>
        <v>2416801</v>
      </c>
      <c r="BC14" s="10">
        <f t="shared" si="23"/>
        <v>0</v>
      </c>
      <c r="BD14" s="10">
        <f t="shared" si="24"/>
        <v>0</v>
      </c>
      <c r="BE14" s="10">
        <v>111</v>
      </c>
      <c r="BF14" s="10">
        <v>49.2</v>
      </c>
      <c r="BG14" s="107">
        <v>46176</v>
      </c>
      <c r="BH14" s="107">
        <f t="shared" si="25"/>
        <v>46206</v>
      </c>
      <c r="BI14" s="23">
        <v>6</v>
      </c>
      <c r="BJ14" s="6"/>
      <c r="BK14" s="6"/>
      <c r="BL14" s="6"/>
      <c r="BM14" s="6" t="s">
        <v>3818</v>
      </c>
      <c r="BN14" s="6" t="s">
        <v>3819</v>
      </c>
      <c r="BO14" s="6" t="s">
        <v>3820</v>
      </c>
      <c r="BP14" s="6" t="s">
        <v>3821</v>
      </c>
      <c r="BQ14" s="6" t="s">
        <v>3822</v>
      </c>
      <c r="BR14" t="s">
        <v>3823</v>
      </c>
      <c r="BS14" t="s">
        <v>3824</v>
      </c>
      <c r="BT14" t="s">
        <v>3825</v>
      </c>
      <c r="BU14" t="s">
        <v>3826</v>
      </c>
      <c r="BV14" t="s">
        <v>3827</v>
      </c>
      <c r="BW14" t="s">
        <v>3835</v>
      </c>
      <c r="BX14">
        <v>0</v>
      </c>
      <c r="BY14" t="s">
        <v>3862</v>
      </c>
      <c r="BZ14" t="s">
        <v>3863</v>
      </c>
    </row>
    <row r="15" spans="1:78" x14ac:dyDescent="0.25">
      <c r="A15" s="7" t="s">
        <v>123</v>
      </c>
      <c r="B15" s="7" t="s">
        <v>61</v>
      </c>
      <c r="C15" s="7" t="s">
        <v>121</v>
      </c>
      <c r="D15" s="8" t="s">
        <v>122</v>
      </c>
      <c r="E15" s="7" t="s">
        <v>124</v>
      </c>
      <c r="F15" s="9">
        <v>45239</v>
      </c>
      <c r="G15" s="9" t="s">
        <v>77</v>
      </c>
      <c r="H15" s="9" t="s">
        <v>87</v>
      </c>
      <c r="I15" s="8" t="s">
        <v>78</v>
      </c>
      <c r="J15" s="10">
        <v>618.92999999999995</v>
      </c>
      <c r="K15" s="10">
        <v>618.92999999999995</v>
      </c>
      <c r="L15" s="10">
        <f t="shared" si="0"/>
        <v>0</v>
      </c>
      <c r="M15" s="10">
        <v>273.94</v>
      </c>
      <c r="N15" s="10">
        <v>273.94</v>
      </c>
      <c r="O15" s="10">
        <f t="shared" si="1"/>
        <v>0</v>
      </c>
      <c r="P15" s="11">
        <v>31676.999014428129</v>
      </c>
      <c r="Q15" s="11">
        <v>71569.851062276415</v>
      </c>
      <c r="R15" s="11">
        <v>40000</v>
      </c>
      <c r="S15" s="11">
        <v>19605845</v>
      </c>
      <c r="T15" s="11">
        <v>980292</v>
      </c>
      <c r="U15" s="12">
        <f t="shared" si="2"/>
        <v>4.9999987248700577E-2</v>
      </c>
      <c r="V15" s="13">
        <f>L15*P15</f>
        <v>0</v>
      </c>
      <c r="W15" s="10">
        <f t="shared" si="3"/>
        <v>0</v>
      </c>
      <c r="X15" s="10"/>
      <c r="Y15" s="10"/>
      <c r="Z15" s="11">
        <f t="shared" si="4"/>
        <v>19605845</v>
      </c>
      <c r="AA15" s="14"/>
      <c r="AB15" s="14"/>
      <c r="AC15" s="11">
        <f t="shared" si="5"/>
        <v>19605845</v>
      </c>
      <c r="AD15" s="10">
        <f t="shared" si="6"/>
        <v>300</v>
      </c>
      <c r="AE15" s="15">
        <v>82182</v>
      </c>
      <c r="AF15" s="16">
        <v>14792</v>
      </c>
      <c r="AG15" s="15">
        <f t="shared" si="7"/>
        <v>0</v>
      </c>
      <c r="AH15" s="15">
        <f t="shared" si="8"/>
        <v>0</v>
      </c>
      <c r="AI15" s="15">
        <f t="shared" si="9"/>
        <v>82182</v>
      </c>
      <c r="AJ15" s="15">
        <f t="shared" si="10"/>
        <v>14793</v>
      </c>
      <c r="AK15" s="10">
        <v>82182</v>
      </c>
      <c r="AL15" s="15">
        <f t="shared" si="11"/>
        <v>82182</v>
      </c>
      <c r="AM15" s="15">
        <f t="shared" si="12"/>
        <v>19688027</v>
      </c>
      <c r="AN15" s="15">
        <f t="shared" si="13"/>
        <v>995085</v>
      </c>
      <c r="AO15" s="15">
        <f t="shared" si="14"/>
        <v>1077887</v>
      </c>
      <c r="AP15" s="17">
        <f t="shared" si="15"/>
        <v>20765914</v>
      </c>
      <c r="AQ15" s="15">
        <v>20452956</v>
      </c>
      <c r="AR15" s="15">
        <v>620</v>
      </c>
      <c r="AS15" s="18">
        <f t="shared" si="16"/>
        <v>312958</v>
      </c>
      <c r="AT15" s="19">
        <v>0</v>
      </c>
      <c r="AU15" s="8">
        <v>8800</v>
      </c>
      <c r="AV15" s="13">
        <f t="shared" si="17"/>
        <v>2410672</v>
      </c>
      <c r="AW15" s="18">
        <f t="shared" si="18"/>
        <v>19688027</v>
      </c>
      <c r="AX15" s="15">
        <f t="shared" si="19"/>
        <v>19689000</v>
      </c>
      <c r="AY15" s="20">
        <v>7.0000000000000007E-2</v>
      </c>
      <c r="AZ15" s="13">
        <f t="shared" si="20"/>
        <v>1378230.0000000002</v>
      </c>
      <c r="BA15" s="15">
        <f t="shared" si="21"/>
        <v>1378300</v>
      </c>
      <c r="BB15" s="21">
        <f t="shared" si="22"/>
        <v>1691258</v>
      </c>
      <c r="BC15" s="10">
        <f t="shared" si="23"/>
        <v>0</v>
      </c>
      <c r="BD15" s="10">
        <f t="shared" si="24"/>
        <v>0</v>
      </c>
      <c r="BE15" s="10">
        <v>57.5</v>
      </c>
      <c r="BF15" s="10">
        <v>25.45</v>
      </c>
      <c r="BG15" s="107">
        <v>46176</v>
      </c>
      <c r="BH15" s="107">
        <f t="shared" si="25"/>
        <v>46206</v>
      </c>
      <c r="BI15" s="23">
        <v>7</v>
      </c>
      <c r="BJ15" s="6"/>
      <c r="BK15" s="6"/>
      <c r="BL15" s="6"/>
      <c r="BM15" s="6" t="s">
        <v>3818</v>
      </c>
      <c r="BN15" s="6" t="s">
        <v>3819</v>
      </c>
      <c r="BO15" s="6" t="s">
        <v>3820</v>
      </c>
      <c r="BP15" s="6" t="s">
        <v>3821</v>
      </c>
      <c r="BQ15" s="6" t="s">
        <v>3822</v>
      </c>
      <c r="BR15" t="s">
        <v>3823</v>
      </c>
      <c r="BS15" t="s">
        <v>3824</v>
      </c>
      <c r="BT15" t="s">
        <v>3825</v>
      </c>
      <c r="BU15" t="s">
        <v>3826</v>
      </c>
      <c r="BV15" t="s">
        <v>3827</v>
      </c>
      <c r="BW15" t="s">
        <v>3835</v>
      </c>
      <c r="BX15">
        <v>0</v>
      </c>
      <c r="BY15" t="s">
        <v>3866</v>
      </c>
      <c r="BZ15" t="s">
        <v>3863</v>
      </c>
    </row>
    <row r="16" spans="1:78" x14ac:dyDescent="0.25">
      <c r="A16" s="7" t="s">
        <v>127</v>
      </c>
      <c r="B16" s="7" t="s">
        <v>61</v>
      </c>
      <c r="C16" s="7" t="s">
        <v>125</v>
      </c>
      <c r="D16" s="8" t="s">
        <v>126</v>
      </c>
      <c r="E16" s="7" t="s">
        <v>128</v>
      </c>
      <c r="F16" s="9">
        <v>45089</v>
      </c>
      <c r="G16" s="9" t="s">
        <v>65</v>
      </c>
      <c r="H16" s="9" t="s">
        <v>72</v>
      </c>
      <c r="I16" s="8" t="s">
        <v>67</v>
      </c>
      <c r="J16" s="10">
        <v>662.58</v>
      </c>
      <c r="K16" s="10">
        <v>662.58</v>
      </c>
      <c r="L16" s="10">
        <f t="shared" si="0"/>
        <v>0</v>
      </c>
      <c r="M16" s="10">
        <v>270.18</v>
      </c>
      <c r="N16" s="10">
        <v>270.18</v>
      </c>
      <c r="O16" s="10">
        <f t="shared" si="1"/>
        <v>0</v>
      </c>
      <c r="P16" s="11">
        <v>6925.7282139515228</v>
      </c>
      <c r="Q16" s="11">
        <v>16984.4140943075</v>
      </c>
      <c r="R16" s="11">
        <v>20000</v>
      </c>
      <c r="S16" s="11">
        <v>4588849</v>
      </c>
      <c r="T16" s="11">
        <v>229444</v>
      </c>
      <c r="U16" s="12">
        <f t="shared" si="2"/>
        <v>5.0000337775333206E-2</v>
      </c>
      <c r="V16" s="13">
        <f>L16*P16</f>
        <v>0</v>
      </c>
      <c r="W16" s="10">
        <f t="shared" si="3"/>
        <v>0</v>
      </c>
      <c r="X16" s="10"/>
      <c r="Y16" s="10"/>
      <c r="Z16" s="11">
        <f t="shared" si="4"/>
        <v>4588849</v>
      </c>
      <c r="AA16" s="14"/>
      <c r="AB16" s="14"/>
      <c r="AC16" s="11">
        <f t="shared" si="5"/>
        <v>4588849</v>
      </c>
      <c r="AD16" s="10">
        <f t="shared" si="6"/>
        <v>300</v>
      </c>
      <c r="AE16" s="15">
        <v>81054</v>
      </c>
      <c r="AF16" s="16">
        <v>14590</v>
      </c>
      <c r="AG16" s="15">
        <f t="shared" si="7"/>
        <v>0</v>
      </c>
      <c r="AH16" s="15">
        <f t="shared" si="8"/>
        <v>0</v>
      </c>
      <c r="AI16" s="15">
        <f t="shared" si="9"/>
        <v>81054</v>
      </c>
      <c r="AJ16" s="15">
        <f t="shared" si="10"/>
        <v>14590</v>
      </c>
      <c r="AK16" s="10">
        <v>81054</v>
      </c>
      <c r="AL16" s="15">
        <f t="shared" si="11"/>
        <v>81054</v>
      </c>
      <c r="AM16" s="15">
        <f t="shared" si="12"/>
        <v>4669903</v>
      </c>
      <c r="AN16" s="15">
        <f t="shared" si="13"/>
        <v>244034</v>
      </c>
      <c r="AO16" s="15">
        <f t="shared" si="14"/>
        <v>325768</v>
      </c>
      <c r="AP16" s="17">
        <f t="shared" si="15"/>
        <v>4995671</v>
      </c>
      <c r="AQ16" s="15">
        <v>3819866</v>
      </c>
      <c r="AR16" s="15">
        <v>680</v>
      </c>
      <c r="AS16" s="18">
        <f t="shared" si="16"/>
        <v>1175805</v>
      </c>
      <c r="AT16" s="19">
        <v>0</v>
      </c>
      <c r="AU16" s="8">
        <v>8800</v>
      </c>
      <c r="AV16" s="13">
        <f t="shared" si="17"/>
        <v>2377584</v>
      </c>
      <c r="AW16" s="18">
        <f t="shared" si="18"/>
        <v>4669903</v>
      </c>
      <c r="AX16" s="15">
        <f t="shared" si="19"/>
        <v>4670000</v>
      </c>
      <c r="AY16" s="20">
        <v>0.05</v>
      </c>
      <c r="AZ16" s="13">
        <f t="shared" si="20"/>
        <v>233500</v>
      </c>
      <c r="BA16" s="15">
        <f t="shared" si="21"/>
        <v>233500</v>
      </c>
      <c r="BB16" s="21">
        <f t="shared" si="22"/>
        <v>1409305</v>
      </c>
      <c r="BC16" s="10">
        <f t="shared" si="23"/>
        <v>0</v>
      </c>
      <c r="BD16" s="10">
        <f t="shared" si="24"/>
        <v>0</v>
      </c>
      <c r="BE16" s="10">
        <v>61.56</v>
      </c>
      <c r="BF16" s="10">
        <v>25.1</v>
      </c>
      <c r="BG16" s="107">
        <v>46176</v>
      </c>
      <c r="BH16" s="107">
        <f t="shared" si="25"/>
        <v>46206</v>
      </c>
      <c r="BI16" s="23">
        <v>5</v>
      </c>
      <c r="BJ16" s="6"/>
      <c r="BK16" s="6"/>
      <c r="BL16" s="6"/>
      <c r="BM16" s="6" t="s">
        <v>3818</v>
      </c>
      <c r="BN16" s="6" t="s">
        <v>3819</v>
      </c>
      <c r="BO16" s="6" t="s">
        <v>3820</v>
      </c>
      <c r="BP16" s="6" t="s">
        <v>3821</v>
      </c>
      <c r="BQ16" s="6" t="s">
        <v>3822</v>
      </c>
      <c r="BR16" t="s">
        <v>3823</v>
      </c>
      <c r="BS16" t="s">
        <v>3824</v>
      </c>
      <c r="BT16" t="s">
        <v>3825</v>
      </c>
      <c r="BU16" t="s">
        <v>3826</v>
      </c>
      <c r="BV16" t="s">
        <v>3827</v>
      </c>
      <c r="BW16" t="s">
        <v>3835</v>
      </c>
      <c r="BX16">
        <v>0</v>
      </c>
      <c r="BY16" t="s">
        <v>3861</v>
      </c>
      <c r="BZ16" t="s">
        <v>3860</v>
      </c>
    </row>
    <row r="17" spans="1:78" x14ac:dyDescent="0.25">
      <c r="A17" s="7" t="s">
        <v>131</v>
      </c>
      <c r="B17" s="7" t="s">
        <v>61</v>
      </c>
      <c r="C17" s="7" t="s">
        <v>129</v>
      </c>
      <c r="D17" s="8" t="s">
        <v>130</v>
      </c>
      <c r="E17" s="7" t="s">
        <v>132</v>
      </c>
      <c r="F17" s="9">
        <v>44967</v>
      </c>
      <c r="G17" s="9" t="s">
        <v>77</v>
      </c>
      <c r="H17" s="9" t="s">
        <v>72</v>
      </c>
      <c r="I17" s="8" t="s">
        <v>78</v>
      </c>
      <c r="J17" s="10">
        <v>761.88</v>
      </c>
      <c r="K17" s="10">
        <v>780</v>
      </c>
      <c r="L17" s="10">
        <f t="shared" si="0"/>
        <v>18.120000000000005</v>
      </c>
      <c r="M17" s="10">
        <v>330.45</v>
      </c>
      <c r="N17" s="10">
        <v>348</v>
      </c>
      <c r="O17" s="10">
        <f t="shared" si="1"/>
        <v>17.550000000000011</v>
      </c>
      <c r="P17" s="11">
        <v>10600</v>
      </c>
      <c r="Q17" s="11">
        <v>24439.182932364958</v>
      </c>
      <c r="R17" s="11">
        <v>20000</v>
      </c>
      <c r="S17" s="11">
        <v>8075928</v>
      </c>
      <c r="T17" s="11">
        <v>403798</v>
      </c>
      <c r="U17" s="12">
        <f t="shared" si="2"/>
        <v>5.0000198119646434E-2</v>
      </c>
      <c r="V17" s="13">
        <f>L17*R17</f>
        <v>362400.00000000012</v>
      </c>
      <c r="W17" s="10">
        <f t="shared" si="3"/>
        <v>18120.071798559875</v>
      </c>
      <c r="X17" s="15"/>
      <c r="Y17" s="15"/>
      <c r="Z17" s="11">
        <f t="shared" si="4"/>
        <v>8438328</v>
      </c>
      <c r="AA17" s="14"/>
      <c r="AB17" s="14"/>
      <c r="AC17" s="11">
        <f t="shared" si="5"/>
        <v>8438328</v>
      </c>
      <c r="AD17" s="10">
        <f t="shared" si="6"/>
        <v>300</v>
      </c>
      <c r="AE17" s="15">
        <v>99135</v>
      </c>
      <c r="AF17" s="16">
        <v>17844</v>
      </c>
      <c r="AG17" s="15">
        <f t="shared" si="7"/>
        <v>5265.0000000000036</v>
      </c>
      <c r="AH17" s="15">
        <f t="shared" si="8"/>
        <v>947.70000000000061</v>
      </c>
      <c r="AI17" s="15">
        <f t="shared" si="9"/>
        <v>104400</v>
      </c>
      <c r="AJ17" s="15">
        <f t="shared" si="10"/>
        <v>18792</v>
      </c>
      <c r="AK17" s="10">
        <v>99135</v>
      </c>
      <c r="AL17" s="15">
        <f t="shared" si="11"/>
        <v>104400</v>
      </c>
      <c r="AM17" s="15">
        <f t="shared" si="12"/>
        <v>8542728</v>
      </c>
      <c r="AN17" s="15">
        <f t="shared" si="13"/>
        <v>440711</v>
      </c>
      <c r="AO17" s="15">
        <f t="shared" si="14"/>
        <v>548282.26</v>
      </c>
      <c r="AP17" s="17">
        <f t="shared" si="15"/>
        <v>9091010.2599999998</v>
      </c>
      <c r="AQ17" s="15">
        <v>7591331.71</v>
      </c>
      <c r="AR17" s="15">
        <v>3171.26</v>
      </c>
      <c r="AS17" s="18">
        <f t="shared" si="16"/>
        <v>1499679</v>
      </c>
      <c r="AT17" s="19">
        <v>0</v>
      </c>
      <c r="AU17" s="8">
        <v>8800</v>
      </c>
      <c r="AV17" s="13">
        <f t="shared" si="17"/>
        <v>3062400</v>
      </c>
      <c r="AW17" s="18">
        <f t="shared" si="18"/>
        <v>8542728</v>
      </c>
      <c r="AX17" s="15">
        <f t="shared" si="19"/>
        <v>8543000</v>
      </c>
      <c r="AY17" s="20">
        <v>7.0000000000000007E-2</v>
      </c>
      <c r="AZ17" s="13">
        <f t="shared" si="20"/>
        <v>598010</v>
      </c>
      <c r="BA17" s="15">
        <f t="shared" si="21"/>
        <v>598100</v>
      </c>
      <c r="BB17" s="21">
        <f t="shared" si="22"/>
        <v>2097779</v>
      </c>
      <c r="BC17" s="10">
        <f t="shared" si="23"/>
        <v>2.3783272956371087</v>
      </c>
      <c r="BD17" s="10">
        <f t="shared" si="24"/>
        <v>5.3109396277803027</v>
      </c>
      <c r="BE17" s="10">
        <v>72.459999999999994</v>
      </c>
      <c r="BF17" s="10">
        <v>32.33</v>
      </c>
      <c r="BG17" s="107">
        <v>46176</v>
      </c>
      <c r="BH17" s="107">
        <f t="shared" si="25"/>
        <v>46206</v>
      </c>
      <c r="BI17" s="23">
        <v>7</v>
      </c>
      <c r="BJ17" s="6"/>
      <c r="BK17" s="6"/>
      <c r="BL17" s="6"/>
      <c r="BM17" s="6" t="s">
        <v>3818</v>
      </c>
      <c r="BN17" s="6" t="s">
        <v>3819</v>
      </c>
      <c r="BO17" s="6" t="s">
        <v>3820</v>
      </c>
      <c r="BP17" s="6" t="s">
        <v>3821</v>
      </c>
      <c r="BQ17" s="6" t="s">
        <v>3822</v>
      </c>
      <c r="BR17" t="s">
        <v>3823</v>
      </c>
      <c r="BS17" t="s">
        <v>3824</v>
      </c>
      <c r="BT17" t="s">
        <v>3825</v>
      </c>
      <c r="BU17" t="s">
        <v>3826</v>
      </c>
      <c r="BV17" t="s">
        <v>3827</v>
      </c>
      <c r="BW17" t="s">
        <v>3835</v>
      </c>
      <c r="BX17">
        <v>0</v>
      </c>
      <c r="BY17" t="s">
        <v>3864</v>
      </c>
      <c r="BZ17" t="s">
        <v>3863</v>
      </c>
    </row>
    <row r="18" spans="1:78" x14ac:dyDescent="0.25">
      <c r="A18" s="7" t="s">
        <v>135</v>
      </c>
      <c r="B18" s="7" t="s">
        <v>61</v>
      </c>
      <c r="C18" s="7" t="s">
        <v>133</v>
      </c>
      <c r="D18" s="8" t="s">
        <v>134</v>
      </c>
      <c r="E18" s="7" t="s">
        <v>136</v>
      </c>
      <c r="F18" s="9">
        <v>45005</v>
      </c>
      <c r="G18" s="9" t="s">
        <v>77</v>
      </c>
      <c r="H18" s="9" t="s">
        <v>66</v>
      </c>
      <c r="I18" s="8" t="s">
        <v>78</v>
      </c>
      <c r="J18" s="10">
        <v>684.59</v>
      </c>
      <c r="K18" s="10">
        <v>725</v>
      </c>
      <c r="L18" s="10">
        <f t="shared" si="0"/>
        <v>40.409999999999968</v>
      </c>
      <c r="M18" s="10">
        <v>288.48</v>
      </c>
      <c r="N18" s="10">
        <v>319</v>
      </c>
      <c r="O18" s="10">
        <f t="shared" si="1"/>
        <v>30.519999999999982</v>
      </c>
      <c r="P18" s="11">
        <v>12598.910296673921</v>
      </c>
      <c r="Q18" s="11">
        <v>29898.39156960621</v>
      </c>
      <c r="R18" s="11">
        <v>22000</v>
      </c>
      <c r="S18" s="11">
        <v>8625088</v>
      </c>
      <c r="T18" s="11">
        <v>431256</v>
      </c>
      <c r="U18" s="12">
        <f t="shared" si="2"/>
        <v>5.0000185505353685E-2</v>
      </c>
      <c r="V18" s="13">
        <f>L18*R18</f>
        <v>889019.9999999993</v>
      </c>
      <c r="W18" s="10">
        <f t="shared" si="3"/>
        <v>44451.164917969501</v>
      </c>
      <c r="X18" s="15"/>
      <c r="Y18" s="15"/>
      <c r="Z18" s="11">
        <f t="shared" si="4"/>
        <v>9514108</v>
      </c>
      <c r="AA18" s="14"/>
      <c r="AB18" s="14"/>
      <c r="AC18" s="11">
        <f t="shared" si="5"/>
        <v>9514108</v>
      </c>
      <c r="AD18" s="10">
        <f t="shared" si="6"/>
        <v>300</v>
      </c>
      <c r="AE18" s="15">
        <v>86544</v>
      </c>
      <c r="AF18" s="16">
        <v>15578</v>
      </c>
      <c r="AG18" s="15">
        <f t="shared" si="7"/>
        <v>9155.9999999999945</v>
      </c>
      <c r="AH18" s="15">
        <f t="shared" si="8"/>
        <v>1648.079999999999</v>
      </c>
      <c r="AI18" s="15">
        <f t="shared" si="9"/>
        <v>95700</v>
      </c>
      <c r="AJ18" s="15">
        <f t="shared" si="10"/>
        <v>17226</v>
      </c>
      <c r="AK18" s="10">
        <v>86544</v>
      </c>
      <c r="AL18" s="15">
        <f t="shared" si="11"/>
        <v>95700</v>
      </c>
      <c r="AM18" s="15">
        <f t="shared" si="12"/>
        <v>9609808</v>
      </c>
      <c r="AN18" s="15">
        <f t="shared" si="13"/>
        <v>492934</v>
      </c>
      <c r="AO18" s="15">
        <f t="shared" si="14"/>
        <v>593917</v>
      </c>
      <c r="AP18" s="17">
        <f t="shared" si="15"/>
        <v>10203725</v>
      </c>
      <c r="AQ18" s="15">
        <v>8150709.75</v>
      </c>
      <c r="AR18" s="15">
        <v>5283</v>
      </c>
      <c r="AS18" s="18">
        <f t="shared" si="16"/>
        <v>2053015</v>
      </c>
      <c r="AT18" s="19">
        <v>0</v>
      </c>
      <c r="AU18" s="8">
        <v>8800</v>
      </c>
      <c r="AV18" s="13">
        <f t="shared" si="17"/>
        <v>2807200</v>
      </c>
      <c r="AW18" s="18">
        <f t="shared" si="18"/>
        <v>9609808</v>
      </c>
      <c r="AX18" s="15">
        <f t="shared" si="19"/>
        <v>9610000</v>
      </c>
      <c r="AY18" s="20">
        <v>7.0000000000000007E-2</v>
      </c>
      <c r="AZ18" s="13">
        <f t="shared" si="20"/>
        <v>672700.00000000012</v>
      </c>
      <c r="BA18" s="15">
        <f t="shared" si="21"/>
        <v>672700</v>
      </c>
      <c r="BB18" s="21">
        <f t="shared" si="22"/>
        <v>2725715</v>
      </c>
      <c r="BC18" s="10">
        <f t="shared" si="23"/>
        <v>5.9028031376444243</v>
      </c>
      <c r="BD18" s="10">
        <f t="shared" si="24"/>
        <v>10.579589572933992</v>
      </c>
      <c r="BE18" s="10">
        <v>67.349999999999994</v>
      </c>
      <c r="BF18" s="10">
        <v>29.64</v>
      </c>
      <c r="BG18" s="107">
        <v>46176</v>
      </c>
      <c r="BH18" s="107">
        <f t="shared" si="25"/>
        <v>46206</v>
      </c>
      <c r="BI18" s="23">
        <v>7</v>
      </c>
      <c r="BJ18" s="6"/>
      <c r="BK18" s="6"/>
      <c r="BL18" s="6"/>
      <c r="BM18" s="6" t="s">
        <v>3818</v>
      </c>
      <c r="BN18" s="6" t="s">
        <v>3819</v>
      </c>
      <c r="BO18" s="6" t="s">
        <v>3820</v>
      </c>
      <c r="BP18" s="6" t="s">
        <v>3821</v>
      </c>
      <c r="BQ18" s="6" t="s">
        <v>3822</v>
      </c>
      <c r="BR18" t="s">
        <v>3823</v>
      </c>
      <c r="BS18" t="s">
        <v>3824</v>
      </c>
      <c r="BT18" t="s">
        <v>3825</v>
      </c>
      <c r="BU18" t="s">
        <v>3826</v>
      </c>
      <c r="BV18" t="s">
        <v>3827</v>
      </c>
      <c r="BW18" t="s">
        <v>3835</v>
      </c>
      <c r="BX18">
        <v>0</v>
      </c>
      <c r="BY18" t="s">
        <v>3861</v>
      </c>
      <c r="BZ18" t="s">
        <v>3863</v>
      </c>
    </row>
    <row r="19" spans="1:78" x14ac:dyDescent="0.25">
      <c r="A19" s="7" t="s">
        <v>139</v>
      </c>
      <c r="B19" s="7" t="s">
        <v>61</v>
      </c>
      <c r="C19" s="7" t="s">
        <v>137</v>
      </c>
      <c r="D19" s="8" t="s">
        <v>138</v>
      </c>
      <c r="E19" s="7" t="s">
        <v>140</v>
      </c>
      <c r="F19" s="9">
        <v>44861</v>
      </c>
      <c r="G19" s="9" t="s">
        <v>77</v>
      </c>
      <c r="H19" s="9" t="s">
        <v>92</v>
      </c>
      <c r="I19" s="8" t="s">
        <v>78</v>
      </c>
      <c r="J19" s="10">
        <v>380.18</v>
      </c>
      <c r="K19" s="10">
        <v>380.18</v>
      </c>
      <c r="L19" s="10">
        <f t="shared" si="0"/>
        <v>0</v>
      </c>
      <c r="M19" s="10">
        <v>160.16999999999999</v>
      </c>
      <c r="N19" s="10">
        <v>160.16999999999999</v>
      </c>
      <c r="O19" s="10">
        <f t="shared" si="1"/>
        <v>0</v>
      </c>
      <c r="P19" s="11">
        <v>14550</v>
      </c>
      <c r="Q19" s="11">
        <v>34535.924330398957</v>
      </c>
      <c r="R19" s="11">
        <v>28000</v>
      </c>
      <c r="S19" s="11">
        <v>5531619</v>
      </c>
      <c r="T19" s="11">
        <v>276580</v>
      </c>
      <c r="U19" s="12">
        <f t="shared" si="2"/>
        <v>4.9999828260044663E-2</v>
      </c>
      <c r="V19" s="13">
        <f>L19*P19</f>
        <v>0</v>
      </c>
      <c r="W19" s="10">
        <f t="shared" si="3"/>
        <v>0</v>
      </c>
      <c r="X19" s="10"/>
      <c r="Y19" s="10"/>
      <c r="Z19" s="11">
        <f t="shared" si="4"/>
        <v>5531619</v>
      </c>
      <c r="AA19" s="14">
        <v>1936066</v>
      </c>
      <c r="AB19" s="14">
        <v>96804</v>
      </c>
      <c r="AC19" s="11">
        <f t="shared" si="5"/>
        <v>3595553</v>
      </c>
      <c r="AD19" s="10">
        <f t="shared" si="6"/>
        <v>300</v>
      </c>
      <c r="AE19" s="15">
        <v>48051</v>
      </c>
      <c r="AF19" s="16">
        <v>8650</v>
      </c>
      <c r="AG19" s="15">
        <f t="shared" si="7"/>
        <v>0</v>
      </c>
      <c r="AH19" s="15">
        <f t="shared" si="8"/>
        <v>0</v>
      </c>
      <c r="AI19" s="15">
        <f t="shared" si="9"/>
        <v>48050.999999999993</v>
      </c>
      <c r="AJ19" s="15">
        <f t="shared" si="10"/>
        <v>8650</v>
      </c>
      <c r="AK19" s="10">
        <v>48051</v>
      </c>
      <c r="AL19" s="15">
        <f t="shared" si="11"/>
        <v>48050.999999999993</v>
      </c>
      <c r="AM19" s="15">
        <f t="shared" si="12"/>
        <v>3643604</v>
      </c>
      <c r="AN19" s="15">
        <f t="shared" si="13"/>
        <v>188426</v>
      </c>
      <c r="AO19" s="15">
        <f t="shared" si="14"/>
        <v>237124</v>
      </c>
      <c r="AP19" s="17">
        <f t="shared" si="15"/>
        <v>3880728</v>
      </c>
      <c r="AQ19" s="15">
        <v>3055784</v>
      </c>
      <c r="AR19" s="15">
        <v>647</v>
      </c>
      <c r="AS19" s="18">
        <f t="shared" si="16"/>
        <v>824944</v>
      </c>
      <c r="AT19" s="19">
        <v>0</v>
      </c>
      <c r="AU19" s="8">
        <v>8800</v>
      </c>
      <c r="AV19" s="13">
        <f t="shared" si="17"/>
        <v>1409496</v>
      </c>
      <c r="AW19" s="18">
        <f t="shared" si="18"/>
        <v>3643604</v>
      </c>
      <c r="AX19" s="15">
        <f t="shared" si="19"/>
        <v>3644000</v>
      </c>
      <c r="AY19" s="20">
        <v>0.05</v>
      </c>
      <c r="AZ19" s="13">
        <f t="shared" si="20"/>
        <v>182200</v>
      </c>
      <c r="BA19" s="15">
        <f t="shared" si="21"/>
        <v>182200</v>
      </c>
      <c r="BB19" s="21">
        <f t="shared" si="22"/>
        <v>1007144</v>
      </c>
      <c r="BC19" s="10">
        <f t="shared" si="23"/>
        <v>0</v>
      </c>
      <c r="BD19" s="10">
        <f t="shared" si="24"/>
        <v>0</v>
      </c>
      <c r="BE19" s="10">
        <v>35.32</v>
      </c>
      <c r="BF19" s="10">
        <v>14.88</v>
      </c>
      <c r="BG19" s="107">
        <v>46176</v>
      </c>
      <c r="BH19" s="107">
        <f t="shared" si="25"/>
        <v>46206</v>
      </c>
      <c r="BI19" s="23">
        <v>5</v>
      </c>
      <c r="BJ19" s="6"/>
      <c r="BK19" s="6"/>
      <c r="BL19" s="6"/>
      <c r="BM19" s="6" t="s">
        <v>3818</v>
      </c>
      <c r="BN19" s="6" t="s">
        <v>3819</v>
      </c>
      <c r="BO19" s="6" t="s">
        <v>3820</v>
      </c>
      <c r="BP19" s="6" t="s">
        <v>3821</v>
      </c>
      <c r="BQ19" s="6" t="s">
        <v>3822</v>
      </c>
      <c r="BR19" t="s">
        <v>3823</v>
      </c>
      <c r="BS19" t="s">
        <v>3824</v>
      </c>
      <c r="BT19" t="s">
        <v>3825</v>
      </c>
      <c r="BU19" t="s">
        <v>3826</v>
      </c>
      <c r="BV19" t="s">
        <v>3827</v>
      </c>
      <c r="BW19" t="s">
        <v>3835</v>
      </c>
      <c r="BX19">
        <v>0</v>
      </c>
      <c r="BY19" t="s">
        <v>3867</v>
      </c>
      <c r="BZ19" t="s">
        <v>3863</v>
      </c>
    </row>
    <row r="20" spans="1:78" x14ac:dyDescent="0.25">
      <c r="A20" s="7" t="s">
        <v>143</v>
      </c>
      <c r="B20" s="7" t="s">
        <v>61</v>
      </c>
      <c r="C20" s="7" t="s">
        <v>141</v>
      </c>
      <c r="D20" s="8" t="s">
        <v>142</v>
      </c>
      <c r="E20" s="7" t="s">
        <v>144</v>
      </c>
      <c r="F20" s="9">
        <v>45040</v>
      </c>
      <c r="G20" s="9" t="s">
        <v>65</v>
      </c>
      <c r="H20" s="9" t="s">
        <v>66</v>
      </c>
      <c r="I20" s="8" t="s">
        <v>67</v>
      </c>
      <c r="J20" s="10">
        <v>391.09</v>
      </c>
      <c r="K20" s="10">
        <v>391.09</v>
      </c>
      <c r="L20" s="10">
        <f t="shared" si="0"/>
        <v>0</v>
      </c>
      <c r="M20" s="10">
        <v>156.08000000000001</v>
      </c>
      <c r="N20" s="10">
        <v>156.08000000000001</v>
      </c>
      <c r="O20" s="10">
        <f t="shared" si="1"/>
        <v>0</v>
      </c>
      <c r="P20" s="11">
        <v>22000</v>
      </c>
      <c r="Q20" s="11">
        <v>55125.448487954891</v>
      </c>
      <c r="R20" s="11">
        <v>22000</v>
      </c>
      <c r="S20" s="11">
        <v>8603980</v>
      </c>
      <c r="T20" s="11">
        <v>430200</v>
      </c>
      <c r="U20" s="12">
        <f t="shared" si="2"/>
        <v>5.000011622528179E-2</v>
      </c>
      <c r="V20" s="13">
        <f>L20*P20</f>
        <v>0</v>
      </c>
      <c r="W20" s="10">
        <f t="shared" si="3"/>
        <v>0</v>
      </c>
      <c r="X20" s="10"/>
      <c r="Y20" s="10"/>
      <c r="Z20" s="11">
        <f t="shared" si="4"/>
        <v>8603980</v>
      </c>
      <c r="AA20" s="14"/>
      <c r="AB20" s="14"/>
      <c r="AC20" s="11">
        <f t="shared" si="5"/>
        <v>8603980</v>
      </c>
      <c r="AD20" s="10">
        <f t="shared" si="6"/>
        <v>300</v>
      </c>
      <c r="AE20" s="15">
        <v>46824</v>
      </c>
      <c r="AF20" s="16">
        <v>8428</v>
      </c>
      <c r="AG20" s="15">
        <f t="shared" si="7"/>
        <v>0</v>
      </c>
      <c r="AH20" s="15">
        <f t="shared" si="8"/>
        <v>0</v>
      </c>
      <c r="AI20" s="15">
        <f t="shared" si="9"/>
        <v>46824.000000000007</v>
      </c>
      <c r="AJ20" s="15">
        <f t="shared" si="10"/>
        <v>8429</v>
      </c>
      <c r="AK20" s="10">
        <v>46824</v>
      </c>
      <c r="AL20" s="15">
        <f t="shared" si="11"/>
        <v>46824.000000000007</v>
      </c>
      <c r="AM20" s="15">
        <f t="shared" si="12"/>
        <v>8650804</v>
      </c>
      <c r="AN20" s="15">
        <f t="shared" si="13"/>
        <v>438629</v>
      </c>
      <c r="AO20" s="15">
        <f t="shared" si="14"/>
        <v>505543</v>
      </c>
      <c r="AP20" s="17">
        <f t="shared" si="15"/>
        <v>9156347</v>
      </c>
      <c r="AQ20" s="15">
        <v>3820187</v>
      </c>
      <c r="AR20" s="15">
        <v>20090</v>
      </c>
      <c r="AS20" s="18">
        <f t="shared" si="16"/>
        <v>5336160</v>
      </c>
      <c r="AT20" s="19">
        <v>0</v>
      </c>
      <c r="AU20" s="8">
        <v>8800</v>
      </c>
      <c r="AV20" s="13">
        <f t="shared" si="17"/>
        <v>1373504</v>
      </c>
      <c r="AW20" s="18">
        <f t="shared" si="18"/>
        <v>8650804</v>
      </c>
      <c r="AX20" s="15">
        <f t="shared" si="19"/>
        <v>8651000</v>
      </c>
      <c r="AY20" s="20">
        <v>7.0000000000000007E-2</v>
      </c>
      <c r="AZ20" s="13">
        <f t="shared" si="20"/>
        <v>605570</v>
      </c>
      <c r="BA20" s="15">
        <f t="shared" si="21"/>
        <v>605600</v>
      </c>
      <c r="BB20" s="21">
        <f t="shared" si="22"/>
        <v>5941760</v>
      </c>
      <c r="BC20" s="10">
        <f t="shared" si="23"/>
        <v>0</v>
      </c>
      <c r="BD20" s="10">
        <f t="shared" si="24"/>
        <v>0</v>
      </c>
      <c r="BE20" s="10">
        <v>36.33</v>
      </c>
      <c r="BF20" s="10">
        <v>14.5</v>
      </c>
      <c r="BG20" s="107">
        <v>46176</v>
      </c>
      <c r="BH20" s="107">
        <f t="shared" si="25"/>
        <v>46206</v>
      </c>
      <c r="BI20" s="23">
        <v>7</v>
      </c>
      <c r="BJ20" s="6"/>
      <c r="BK20" s="6"/>
      <c r="BL20" s="6"/>
      <c r="BM20" s="6" t="s">
        <v>3818</v>
      </c>
      <c r="BN20" s="6" t="s">
        <v>3819</v>
      </c>
      <c r="BO20" s="6" t="s">
        <v>3820</v>
      </c>
      <c r="BP20" s="6" t="s">
        <v>3821</v>
      </c>
      <c r="BQ20" s="6" t="s">
        <v>3822</v>
      </c>
      <c r="BR20" t="s">
        <v>3823</v>
      </c>
      <c r="BS20" t="s">
        <v>3824</v>
      </c>
      <c r="BT20" t="s">
        <v>3825</v>
      </c>
      <c r="BU20" t="s">
        <v>3826</v>
      </c>
      <c r="BV20" t="s">
        <v>3827</v>
      </c>
      <c r="BW20" t="s">
        <v>3835</v>
      </c>
      <c r="BX20">
        <v>0</v>
      </c>
      <c r="BY20" t="s">
        <v>3861</v>
      </c>
      <c r="BZ20" t="s">
        <v>3860</v>
      </c>
    </row>
    <row r="21" spans="1:78" x14ac:dyDescent="0.25">
      <c r="A21" s="7" t="s">
        <v>147</v>
      </c>
      <c r="B21" s="7" t="s">
        <v>61</v>
      </c>
      <c r="C21" s="7" t="s">
        <v>145</v>
      </c>
      <c r="D21" s="8" t="s">
        <v>146</v>
      </c>
      <c r="E21" s="7" t="s">
        <v>148</v>
      </c>
      <c r="F21" s="9">
        <v>45183</v>
      </c>
      <c r="G21" s="9" t="s">
        <v>65</v>
      </c>
      <c r="H21" s="9" t="s">
        <v>92</v>
      </c>
      <c r="I21" s="8" t="s">
        <v>67</v>
      </c>
      <c r="J21" s="10">
        <v>391.09</v>
      </c>
      <c r="K21" s="10">
        <v>391.09</v>
      </c>
      <c r="L21" s="10">
        <f t="shared" si="0"/>
        <v>0</v>
      </c>
      <c r="M21" s="10">
        <v>156.08000000000001</v>
      </c>
      <c r="N21" s="10">
        <v>156.08000000000001</v>
      </c>
      <c r="O21" s="10">
        <f t="shared" si="1"/>
        <v>0</v>
      </c>
      <c r="P21" s="11">
        <v>22434.999616456571</v>
      </c>
      <c r="Q21" s="11">
        <v>56215.427985648384</v>
      </c>
      <c r="R21" s="11">
        <v>28000</v>
      </c>
      <c r="S21" s="11">
        <v>8774104</v>
      </c>
      <c r="T21" s="11">
        <v>438706</v>
      </c>
      <c r="U21" s="12">
        <f t="shared" si="2"/>
        <v>5.0000091177401132E-2</v>
      </c>
      <c r="V21" s="13">
        <f>L21*P21</f>
        <v>0</v>
      </c>
      <c r="W21" s="10">
        <f t="shared" si="3"/>
        <v>0</v>
      </c>
      <c r="X21" s="10"/>
      <c r="Y21" s="10"/>
      <c r="Z21" s="11">
        <f t="shared" si="4"/>
        <v>8774104</v>
      </c>
      <c r="AA21" s="14"/>
      <c r="AB21" s="14"/>
      <c r="AC21" s="11">
        <f t="shared" si="5"/>
        <v>8774104</v>
      </c>
      <c r="AD21" s="10">
        <f t="shared" si="6"/>
        <v>300</v>
      </c>
      <c r="AE21" s="15">
        <v>46824</v>
      </c>
      <c r="AF21" s="16">
        <v>8428</v>
      </c>
      <c r="AG21" s="15">
        <f t="shared" si="7"/>
        <v>0</v>
      </c>
      <c r="AH21" s="15">
        <f t="shared" si="8"/>
        <v>0</v>
      </c>
      <c r="AI21" s="15">
        <f t="shared" si="9"/>
        <v>46824.000000000007</v>
      </c>
      <c r="AJ21" s="15">
        <f t="shared" si="10"/>
        <v>8429</v>
      </c>
      <c r="AK21" s="10">
        <v>46824</v>
      </c>
      <c r="AL21" s="15">
        <f t="shared" si="11"/>
        <v>46824.000000000007</v>
      </c>
      <c r="AM21" s="15">
        <f t="shared" si="12"/>
        <v>8820928</v>
      </c>
      <c r="AN21" s="15">
        <f t="shared" si="13"/>
        <v>447135</v>
      </c>
      <c r="AO21" s="15">
        <f t="shared" si="14"/>
        <v>515242</v>
      </c>
      <c r="AP21" s="17">
        <f t="shared" si="15"/>
        <v>9336170</v>
      </c>
      <c r="AQ21" s="15">
        <v>3724724</v>
      </c>
      <c r="AR21" s="15">
        <v>21283</v>
      </c>
      <c r="AS21" s="18">
        <f t="shared" si="16"/>
        <v>5611446</v>
      </c>
      <c r="AT21" s="19">
        <v>0</v>
      </c>
      <c r="AU21" s="8">
        <v>8800</v>
      </c>
      <c r="AV21" s="13">
        <f t="shared" si="17"/>
        <v>1373504</v>
      </c>
      <c r="AW21" s="18">
        <f t="shared" si="18"/>
        <v>8820928</v>
      </c>
      <c r="AX21" s="15">
        <f t="shared" si="19"/>
        <v>8821000</v>
      </c>
      <c r="AY21" s="20">
        <v>0.06</v>
      </c>
      <c r="AZ21" s="13">
        <f t="shared" si="20"/>
        <v>529260</v>
      </c>
      <c r="BA21" s="15">
        <f t="shared" si="21"/>
        <v>529300</v>
      </c>
      <c r="BB21" s="21">
        <f t="shared" si="22"/>
        <v>6140746</v>
      </c>
      <c r="BC21" s="10">
        <f t="shared" si="23"/>
        <v>0</v>
      </c>
      <c r="BD21" s="10">
        <f t="shared" si="24"/>
        <v>0</v>
      </c>
      <c r="BE21" s="10">
        <v>36.33</v>
      </c>
      <c r="BF21" s="10">
        <v>14.5</v>
      </c>
      <c r="BG21" s="107">
        <v>46176</v>
      </c>
      <c r="BH21" s="107">
        <f t="shared" si="25"/>
        <v>46206</v>
      </c>
      <c r="BI21" s="23">
        <v>6</v>
      </c>
      <c r="BJ21" s="6"/>
      <c r="BK21" s="6"/>
      <c r="BL21" s="6"/>
      <c r="BM21" s="6" t="s">
        <v>3818</v>
      </c>
      <c r="BN21" s="6" t="s">
        <v>3819</v>
      </c>
      <c r="BO21" s="6" t="s">
        <v>3820</v>
      </c>
      <c r="BP21" s="6" t="s">
        <v>3821</v>
      </c>
      <c r="BQ21" s="6" t="s">
        <v>3822</v>
      </c>
      <c r="BR21" t="s">
        <v>3823</v>
      </c>
      <c r="BS21" t="s">
        <v>3824</v>
      </c>
      <c r="BT21" t="s">
        <v>3825</v>
      </c>
      <c r="BU21" t="s">
        <v>3826</v>
      </c>
      <c r="BV21" t="s">
        <v>3827</v>
      </c>
      <c r="BW21" t="s">
        <v>3835</v>
      </c>
      <c r="BX21">
        <v>0</v>
      </c>
      <c r="BY21" t="s">
        <v>3865</v>
      </c>
      <c r="BZ21" t="s">
        <v>3860</v>
      </c>
    </row>
    <row r="22" spans="1:78" x14ac:dyDescent="0.25">
      <c r="A22" s="7" t="s">
        <v>151</v>
      </c>
      <c r="B22" s="7" t="s">
        <v>61</v>
      </c>
      <c r="C22" s="7" t="s">
        <v>149</v>
      </c>
      <c r="D22" s="8" t="s">
        <v>150</v>
      </c>
      <c r="E22" s="7" t="s">
        <v>152</v>
      </c>
      <c r="F22" s="9">
        <v>44868</v>
      </c>
      <c r="G22" s="9" t="s">
        <v>65</v>
      </c>
      <c r="H22" s="9" t="s">
        <v>72</v>
      </c>
      <c r="I22" s="8" t="s">
        <v>67</v>
      </c>
      <c r="J22" s="10">
        <v>477.44</v>
      </c>
      <c r="K22" s="10">
        <v>477.44</v>
      </c>
      <c r="L22" s="10">
        <f t="shared" si="0"/>
        <v>0</v>
      </c>
      <c r="M22" s="10">
        <v>196.98</v>
      </c>
      <c r="N22" s="10">
        <v>196.98</v>
      </c>
      <c r="O22" s="10">
        <f t="shared" si="1"/>
        <v>0</v>
      </c>
      <c r="P22" s="11">
        <v>12962.950318364612</v>
      </c>
      <c r="Q22" s="11">
        <v>31419.590821403192</v>
      </c>
      <c r="R22" s="11">
        <v>20000</v>
      </c>
      <c r="S22" s="11">
        <v>6189031</v>
      </c>
      <c r="T22" s="11">
        <v>309454</v>
      </c>
      <c r="U22" s="12">
        <f t="shared" si="2"/>
        <v>5.0000395861646195E-2</v>
      </c>
      <c r="V22" s="13">
        <f>L22*P22</f>
        <v>0</v>
      </c>
      <c r="W22" s="10">
        <f t="shared" si="3"/>
        <v>0</v>
      </c>
      <c r="X22" s="10"/>
      <c r="Y22" s="10"/>
      <c r="Z22" s="11">
        <f t="shared" si="4"/>
        <v>6189031</v>
      </c>
      <c r="AA22" s="14"/>
      <c r="AB22" s="14"/>
      <c r="AC22" s="11">
        <f t="shared" si="5"/>
        <v>6189031</v>
      </c>
      <c r="AD22" s="10">
        <f t="shared" si="6"/>
        <v>300</v>
      </c>
      <c r="AE22" s="15">
        <v>59094</v>
      </c>
      <c r="AF22" s="16">
        <v>10636</v>
      </c>
      <c r="AG22" s="15">
        <f t="shared" si="7"/>
        <v>0</v>
      </c>
      <c r="AH22" s="15">
        <f t="shared" si="8"/>
        <v>0</v>
      </c>
      <c r="AI22" s="15">
        <f t="shared" si="9"/>
        <v>59094</v>
      </c>
      <c r="AJ22" s="15">
        <f t="shared" si="10"/>
        <v>10637</v>
      </c>
      <c r="AK22" s="10">
        <v>59094</v>
      </c>
      <c r="AL22" s="15">
        <f t="shared" si="11"/>
        <v>59094</v>
      </c>
      <c r="AM22" s="15">
        <f t="shared" si="12"/>
        <v>6248125</v>
      </c>
      <c r="AN22" s="15">
        <f t="shared" si="13"/>
        <v>320091</v>
      </c>
      <c r="AO22" s="15">
        <f t="shared" si="14"/>
        <v>398600</v>
      </c>
      <c r="AP22" s="17">
        <f t="shared" si="15"/>
        <v>6646725</v>
      </c>
      <c r="AQ22" s="15">
        <v>2927888</v>
      </c>
      <c r="AR22" s="15">
        <v>19415</v>
      </c>
      <c r="AS22" s="18">
        <f t="shared" si="16"/>
        <v>3718837</v>
      </c>
      <c r="AT22" s="19">
        <v>0</v>
      </c>
      <c r="AU22" s="8">
        <v>8800</v>
      </c>
      <c r="AV22" s="13">
        <f t="shared" si="17"/>
        <v>1733424</v>
      </c>
      <c r="AW22" s="18">
        <f t="shared" si="18"/>
        <v>6248125</v>
      </c>
      <c r="AX22" s="15">
        <f t="shared" si="19"/>
        <v>6249000</v>
      </c>
      <c r="AY22" s="20">
        <v>7.0000000000000007E-2</v>
      </c>
      <c r="AZ22" s="13">
        <f t="shared" si="20"/>
        <v>437430.00000000006</v>
      </c>
      <c r="BA22" s="15">
        <f t="shared" si="21"/>
        <v>437500</v>
      </c>
      <c r="BB22" s="21">
        <f t="shared" si="22"/>
        <v>4156337</v>
      </c>
      <c r="BC22" s="10">
        <f t="shared" si="23"/>
        <v>0</v>
      </c>
      <c r="BD22" s="10">
        <f t="shared" si="24"/>
        <v>0</v>
      </c>
      <c r="BE22" s="10">
        <v>44.36</v>
      </c>
      <c r="BF22" s="10">
        <v>18.3</v>
      </c>
      <c r="BG22" s="107">
        <v>46176</v>
      </c>
      <c r="BH22" s="107">
        <f t="shared" si="25"/>
        <v>46206</v>
      </c>
      <c r="BI22" s="23">
        <v>7</v>
      </c>
      <c r="BJ22" s="6"/>
      <c r="BK22" s="6"/>
      <c r="BL22" s="6"/>
      <c r="BM22" s="6" t="s">
        <v>3818</v>
      </c>
      <c r="BN22" s="6" t="s">
        <v>3819</v>
      </c>
      <c r="BO22" s="6" t="s">
        <v>3820</v>
      </c>
      <c r="BP22" s="6" t="s">
        <v>3821</v>
      </c>
      <c r="BQ22" s="6" t="s">
        <v>3822</v>
      </c>
      <c r="BR22" t="s">
        <v>3823</v>
      </c>
      <c r="BS22" t="s">
        <v>3824</v>
      </c>
      <c r="BT22" t="s">
        <v>3825</v>
      </c>
      <c r="BU22" t="s">
        <v>3826</v>
      </c>
      <c r="BV22" t="s">
        <v>3827</v>
      </c>
      <c r="BW22" t="s">
        <v>3835</v>
      </c>
      <c r="BX22">
        <v>0</v>
      </c>
      <c r="BY22" t="s">
        <v>3865</v>
      </c>
      <c r="BZ22" t="s">
        <v>3860</v>
      </c>
    </row>
    <row r="23" spans="1:78" x14ac:dyDescent="0.25">
      <c r="A23" s="7" t="s">
        <v>155</v>
      </c>
      <c r="B23" s="7" t="s">
        <v>61</v>
      </c>
      <c r="C23" s="7" t="s">
        <v>153</v>
      </c>
      <c r="D23" s="8" t="s">
        <v>154</v>
      </c>
      <c r="E23" s="7" t="s">
        <v>156</v>
      </c>
      <c r="F23" s="9">
        <v>45058</v>
      </c>
      <c r="G23" s="9" t="s">
        <v>77</v>
      </c>
      <c r="H23" s="9" t="s">
        <v>72</v>
      </c>
      <c r="I23" s="8" t="s">
        <v>78</v>
      </c>
      <c r="J23" s="10">
        <v>1173.28</v>
      </c>
      <c r="K23" s="10">
        <v>1190</v>
      </c>
      <c r="L23" s="10">
        <f t="shared" si="0"/>
        <v>16.720000000000027</v>
      </c>
      <c r="M23" s="10">
        <v>496.22</v>
      </c>
      <c r="N23" s="10">
        <v>538</v>
      </c>
      <c r="O23" s="10">
        <f t="shared" si="1"/>
        <v>41.779999999999973</v>
      </c>
      <c r="P23" s="11">
        <v>8972.2402154643387</v>
      </c>
      <c r="Q23" s="11">
        <v>21214.27995647092</v>
      </c>
      <c r="R23" s="11">
        <v>20000</v>
      </c>
      <c r="S23" s="11">
        <v>10526950</v>
      </c>
      <c r="T23" s="11">
        <v>526348</v>
      </c>
      <c r="U23" s="12">
        <f t="shared" si="2"/>
        <v>5.0000047497138295E-2</v>
      </c>
      <c r="V23" s="13">
        <f>L23*R23</f>
        <v>334400.00000000052</v>
      </c>
      <c r="W23" s="10">
        <f t="shared" si="3"/>
        <v>16720.015883043074</v>
      </c>
      <c r="X23" s="15"/>
      <c r="Y23" s="15"/>
      <c r="Z23" s="11">
        <f t="shared" si="4"/>
        <v>10861350</v>
      </c>
      <c r="AA23" s="14"/>
      <c r="AB23" s="14"/>
      <c r="AC23" s="11">
        <f t="shared" si="5"/>
        <v>10861350</v>
      </c>
      <c r="AD23" s="10">
        <f t="shared" si="6"/>
        <v>300</v>
      </c>
      <c r="AE23" s="15">
        <v>148866</v>
      </c>
      <c r="AF23" s="16">
        <v>26796</v>
      </c>
      <c r="AG23" s="15">
        <f t="shared" si="7"/>
        <v>12533.999999999993</v>
      </c>
      <c r="AH23" s="15">
        <f t="shared" si="8"/>
        <v>2256.1199999999985</v>
      </c>
      <c r="AI23" s="15">
        <f t="shared" si="9"/>
        <v>161400</v>
      </c>
      <c r="AJ23" s="15">
        <f t="shared" si="10"/>
        <v>29052</v>
      </c>
      <c r="AK23" s="10">
        <v>148866</v>
      </c>
      <c r="AL23" s="15">
        <f t="shared" si="11"/>
        <v>161400</v>
      </c>
      <c r="AM23" s="15">
        <f t="shared" si="12"/>
        <v>11022750</v>
      </c>
      <c r="AN23" s="15">
        <f t="shared" si="13"/>
        <v>572121</v>
      </c>
      <c r="AO23" s="15">
        <f t="shared" si="14"/>
        <v>756437</v>
      </c>
      <c r="AP23" s="17">
        <f t="shared" si="15"/>
        <v>11779187</v>
      </c>
      <c r="AQ23" s="15">
        <v>4060786</v>
      </c>
      <c r="AR23" s="15">
        <v>22916</v>
      </c>
      <c r="AS23" s="18">
        <f t="shared" si="16"/>
        <v>7718401</v>
      </c>
      <c r="AT23" s="19">
        <v>0</v>
      </c>
      <c r="AU23" s="8">
        <v>8800</v>
      </c>
      <c r="AV23" s="13">
        <f t="shared" si="17"/>
        <v>4734400</v>
      </c>
      <c r="AW23" s="18">
        <f t="shared" si="18"/>
        <v>11022750</v>
      </c>
      <c r="AX23" s="15">
        <f t="shared" si="19"/>
        <v>11023000</v>
      </c>
      <c r="AY23" s="20">
        <v>0.05</v>
      </c>
      <c r="AZ23" s="13">
        <f t="shared" si="20"/>
        <v>551150</v>
      </c>
      <c r="BA23" s="15">
        <f t="shared" si="21"/>
        <v>551200</v>
      </c>
      <c r="BB23" s="21">
        <f t="shared" si="22"/>
        <v>8269601</v>
      </c>
      <c r="BC23" s="10">
        <f t="shared" si="23"/>
        <v>1.4250647756716239</v>
      </c>
      <c r="BD23" s="10">
        <f t="shared" si="24"/>
        <v>8.4196525734553163</v>
      </c>
      <c r="BE23" s="10">
        <v>110.55</v>
      </c>
      <c r="BF23" s="10">
        <v>49.98</v>
      </c>
      <c r="BG23" s="107">
        <v>46176</v>
      </c>
      <c r="BH23" s="107">
        <f t="shared" si="25"/>
        <v>46206</v>
      </c>
      <c r="BI23" s="23">
        <v>5</v>
      </c>
      <c r="BJ23" s="6"/>
      <c r="BK23" s="6"/>
      <c r="BL23" s="6"/>
      <c r="BM23" s="6" t="s">
        <v>3818</v>
      </c>
      <c r="BN23" s="6" t="s">
        <v>3819</v>
      </c>
      <c r="BO23" s="6" t="s">
        <v>3820</v>
      </c>
      <c r="BP23" s="6" t="s">
        <v>3821</v>
      </c>
      <c r="BQ23" s="6" t="s">
        <v>3822</v>
      </c>
      <c r="BR23" t="s">
        <v>3823</v>
      </c>
      <c r="BS23" t="s">
        <v>3824</v>
      </c>
      <c r="BT23" t="s">
        <v>3825</v>
      </c>
      <c r="BU23" t="s">
        <v>3826</v>
      </c>
      <c r="BV23" t="s">
        <v>3827</v>
      </c>
      <c r="BW23" t="s">
        <v>3835</v>
      </c>
      <c r="BX23">
        <v>0</v>
      </c>
      <c r="BY23" t="s">
        <v>3861</v>
      </c>
      <c r="BZ23" t="s">
        <v>3863</v>
      </c>
    </row>
    <row r="24" spans="1:78" x14ac:dyDescent="0.25">
      <c r="A24" s="7" t="s">
        <v>159</v>
      </c>
      <c r="B24" s="7" t="s">
        <v>61</v>
      </c>
      <c r="C24" s="7" t="s">
        <v>157</v>
      </c>
      <c r="D24" s="8" t="s">
        <v>158</v>
      </c>
      <c r="E24" s="7" t="s">
        <v>160</v>
      </c>
      <c r="F24" s="9">
        <v>45128</v>
      </c>
      <c r="G24" s="9" t="s">
        <v>77</v>
      </c>
      <c r="H24" s="9" t="s">
        <v>66</v>
      </c>
      <c r="I24" s="8" t="s">
        <v>78</v>
      </c>
      <c r="J24" s="10">
        <v>847.77</v>
      </c>
      <c r="K24" s="10">
        <v>900</v>
      </c>
      <c r="L24" s="10">
        <f t="shared" si="0"/>
        <v>52.230000000000018</v>
      </c>
      <c r="M24" s="10">
        <v>349.83</v>
      </c>
      <c r="N24" s="10">
        <v>396</v>
      </c>
      <c r="O24" s="10">
        <f t="shared" si="1"/>
        <v>46.170000000000016</v>
      </c>
      <c r="P24" s="11">
        <v>11790.002005260862</v>
      </c>
      <c r="Q24" s="11">
        <v>28571.620501386387</v>
      </c>
      <c r="R24" s="11">
        <v>22000</v>
      </c>
      <c r="S24" s="11">
        <v>9995210</v>
      </c>
      <c r="T24" s="11">
        <v>499760</v>
      </c>
      <c r="U24" s="12">
        <f t="shared" si="2"/>
        <v>4.9999949976038523E-2</v>
      </c>
      <c r="V24" s="13">
        <f>L24*R24</f>
        <v>1149060.0000000005</v>
      </c>
      <c r="W24" s="10">
        <f t="shared" si="3"/>
        <v>57452.942519466851</v>
      </c>
      <c r="X24" s="15"/>
      <c r="Y24" s="15"/>
      <c r="Z24" s="11">
        <f t="shared" si="4"/>
        <v>11144270</v>
      </c>
      <c r="AA24" s="14"/>
      <c r="AB24" s="14"/>
      <c r="AC24" s="11">
        <f t="shared" si="5"/>
        <v>11144270</v>
      </c>
      <c r="AD24" s="10">
        <f t="shared" si="6"/>
        <v>300</v>
      </c>
      <c r="AE24" s="15">
        <v>104949</v>
      </c>
      <c r="AF24" s="16">
        <v>18890</v>
      </c>
      <c r="AG24" s="15">
        <f t="shared" si="7"/>
        <v>13851.000000000005</v>
      </c>
      <c r="AH24" s="15">
        <f t="shared" si="8"/>
        <v>2493.1800000000007</v>
      </c>
      <c r="AI24" s="15">
        <f t="shared" si="9"/>
        <v>118800</v>
      </c>
      <c r="AJ24" s="15">
        <f t="shared" si="10"/>
        <v>21384</v>
      </c>
      <c r="AK24" s="10">
        <v>104949</v>
      </c>
      <c r="AL24" s="15">
        <f t="shared" si="11"/>
        <v>118800</v>
      </c>
      <c r="AM24" s="15">
        <f t="shared" si="12"/>
        <v>11263070</v>
      </c>
      <c r="AN24" s="15">
        <f t="shared" si="13"/>
        <v>578597</v>
      </c>
      <c r="AO24" s="15">
        <f t="shared" si="14"/>
        <v>728366</v>
      </c>
      <c r="AP24" s="17">
        <f t="shared" si="15"/>
        <v>11991436</v>
      </c>
      <c r="AQ24" s="15">
        <v>2800000</v>
      </c>
      <c r="AR24" s="15">
        <v>30969</v>
      </c>
      <c r="AS24" s="18">
        <f t="shared" si="16"/>
        <v>9191436</v>
      </c>
      <c r="AT24" s="19">
        <v>2475000</v>
      </c>
      <c r="AU24" s="8">
        <v>8800</v>
      </c>
      <c r="AV24" s="13">
        <f t="shared" si="17"/>
        <v>3484800</v>
      </c>
      <c r="AW24" s="18">
        <f t="shared" si="18"/>
        <v>11263070</v>
      </c>
      <c r="AX24" s="15">
        <f t="shared" si="19"/>
        <v>11264000</v>
      </c>
      <c r="AY24" s="20">
        <v>0.05</v>
      </c>
      <c r="AZ24" s="13">
        <f t="shared" si="20"/>
        <v>563200</v>
      </c>
      <c r="BA24" s="15">
        <f t="shared" si="21"/>
        <v>563200</v>
      </c>
      <c r="BB24" s="21">
        <f t="shared" si="22"/>
        <v>9754636</v>
      </c>
      <c r="BC24" s="10">
        <f t="shared" si="23"/>
        <v>6.1608691036483973</v>
      </c>
      <c r="BD24" s="10">
        <f t="shared" si="24"/>
        <v>13.197838950347316</v>
      </c>
      <c r="BE24" s="10">
        <v>83.61</v>
      </c>
      <c r="BF24" s="10">
        <v>36.79</v>
      </c>
      <c r="BG24" s="107">
        <v>46176</v>
      </c>
      <c r="BH24" s="107">
        <f t="shared" si="25"/>
        <v>46206</v>
      </c>
      <c r="BI24" s="23">
        <v>5</v>
      </c>
      <c r="BJ24" s="6"/>
      <c r="BK24" s="6"/>
      <c r="BL24" s="6"/>
      <c r="BM24" s="6" t="s">
        <v>3818</v>
      </c>
      <c r="BN24" s="6" t="s">
        <v>3819</v>
      </c>
      <c r="BO24" s="6" t="s">
        <v>3820</v>
      </c>
      <c r="BP24" s="6" t="s">
        <v>3821</v>
      </c>
      <c r="BQ24" s="6" t="s">
        <v>3822</v>
      </c>
      <c r="BR24" t="s">
        <v>3823</v>
      </c>
      <c r="BS24" t="s">
        <v>3824</v>
      </c>
      <c r="BT24" t="s">
        <v>3825</v>
      </c>
      <c r="BU24" t="s">
        <v>3826</v>
      </c>
      <c r="BV24" t="s">
        <v>3827</v>
      </c>
      <c r="BW24" t="s">
        <v>3835</v>
      </c>
      <c r="BX24">
        <v>0</v>
      </c>
      <c r="BY24" t="s">
        <v>3861</v>
      </c>
      <c r="BZ24" t="s">
        <v>3863</v>
      </c>
    </row>
    <row r="25" spans="1:78" x14ac:dyDescent="0.25">
      <c r="A25" s="7" t="s">
        <v>163</v>
      </c>
      <c r="B25" s="7" t="s">
        <v>61</v>
      </c>
      <c r="C25" s="7" t="s">
        <v>161</v>
      </c>
      <c r="D25" s="8" t="s">
        <v>162</v>
      </c>
      <c r="E25" s="7" t="s">
        <v>164</v>
      </c>
      <c r="F25" s="9">
        <v>44902</v>
      </c>
      <c r="G25" s="9" t="s">
        <v>77</v>
      </c>
      <c r="H25" s="9" t="s">
        <v>92</v>
      </c>
      <c r="I25" s="8" t="s">
        <v>78</v>
      </c>
      <c r="J25" s="10">
        <v>764.24</v>
      </c>
      <c r="K25" s="10">
        <v>764.24</v>
      </c>
      <c r="L25" s="10">
        <f t="shared" si="0"/>
        <v>0</v>
      </c>
      <c r="M25" s="10">
        <v>333.68</v>
      </c>
      <c r="N25" s="10">
        <v>342</v>
      </c>
      <c r="O25" s="10">
        <f t="shared" si="1"/>
        <v>8.3199999999999932</v>
      </c>
      <c r="P25" s="11">
        <v>17635.839526850203</v>
      </c>
      <c r="Q25" s="11">
        <v>40392.034284344278</v>
      </c>
      <c r="R25" s="11">
        <v>28000</v>
      </c>
      <c r="S25" s="11">
        <v>13478014</v>
      </c>
      <c r="T25" s="11">
        <v>673900</v>
      </c>
      <c r="U25" s="12">
        <f t="shared" si="2"/>
        <v>4.9999948063564857E-2</v>
      </c>
      <c r="V25" s="13">
        <f>L25*P25</f>
        <v>0</v>
      </c>
      <c r="W25" s="10">
        <f t="shared" si="3"/>
        <v>0</v>
      </c>
      <c r="X25" s="15"/>
      <c r="Y25" s="15"/>
      <c r="Z25" s="11">
        <f t="shared" si="4"/>
        <v>13478014</v>
      </c>
      <c r="AA25" s="14"/>
      <c r="AB25" s="14"/>
      <c r="AC25" s="11">
        <f t="shared" si="5"/>
        <v>13478014</v>
      </c>
      <c r="AD25" s="10">
        <f t="shared" si="6"/>
        <v>300</v>
      </c>
      <c r="AE25" s="15">
        <v>100104</v>
      </c>
      <c r="AF25" s="16">
        <v>18018</v>
      </c>
      <c r="AG25" s="15">
        <f t="shared" si="7"/>
        <v>2495.9999999999982</v>
      </c>
      <c r="AH25" s="15">
        <f t="shared" si="8"/>
        <v>449.27999999999963</v>
      </c>
      <c r="AI25" s="15">
        <f t="shared" si="9"/>
        <v>102600</v>
      </c>
      <c r="AJ25" s="15">
        <f t="shared" si="10"/>
        <v>18468</v>
      </c>
      <c r="AK25" s="10">
        <v>100104</v>
      </c>
      <c r="AL25" s="15">
        <f t="shared" si="11"/>
        <v>102600</v>
      </c>
      <c r="AM25" s="15">
        <f t="shared" si="12"/>
        <v>13580614</v>
      </c>
      <c r="AN25" s="15">
        <f t="shared" si="13"/>
        <v>692368</v>
      </c>
      <c r="AO25" s="15">
        <f t="shared" si="14"/>
        <v>836211.6</v>
      </c>
      <c r="AP25" s="17">
        <f t="shared" si="15"/>
        <v>14416825.6</v>
      </c>
      <c r="AQ25" s="15">
        <v>2824279.9</v>
      </c>
      <c r="AR25" s="15">
        <v>41243.599999999999</v>
      </c>
      <c r="AS25" s="18">
        <f t="shared" si="16"/>
        <v>11592546</v>
      </c>
      <c r="AT25" s="19">
        <v>0</v>
      </c>
      <c r="AU25" s="8">
        <v>8800</v>
      </c>
      <c r="AV25" s="13">
        <f t="shared" si="17"/>
        <v>3009600</v>
      </c>
      <c r="AW25" s="18">
        <f t="shared" si="18"/>
        <v>13580614</v>
      </c>
      <c r="AX25" s="15">
        <f t="shared" si="19"/>
        <v>13581000</v>
      </c>
      <c r="AY25" s="20">
        <v>7.0000000000000007E-2</v>
      </c>
      <c r="AZ25" s="13">
        <f t="shared" si="20"/>
        <v>950670.00000000012</v>
      </c>
      <c r="BA25" s="15">
        <f t="shared" si="21"/>
        <v>950700</v>
      </c>
      <c r="BB25" s="21">
        <f t="shared" si="22"/>
        <v>12543246</v>
      </c>
      <c r="BC25" s="10">
        <f t="shared" si="23"/>
        <v>0</v>
      </c>
      <c r="BD25" s="10">
        <f t="shared" si="24"/>
        <v>2.4934068568688543</v>
      </c>
      <c r="BE25" s="10">
        <v>71</v>
      </c>
      <c r="BF25" s="10">
        <v>31.77</v>
      </c>
      <c r="BG25" s="107">
        <v>46176</v>
      </c>
      <c r="BH25" s="107">
        <f t="shared" si="25"/>
        <v>46206</v>
      </c>
      <c r="BI25" s="23">
        <v>7</v>
      </c>
      <c r="BJ25" s="6"/>
      <c r="BK25" s="24"/>
      <c r="BL25" s="24"/>
      <c r="BM25" s="6" t="s">
        <v>3818</v>
      </c>
      <c r="BN25" s="6" t="s">
        <v>3819</v>
      </c>
      <c r="BO25" s="6" t="s">
        <v>3820</v>
      </c>
      <c r="BP25" s="6" t="s">
        <v>3821</v>
      </c>
      <c r="BQ25" s="6" t="s">
        <v>3822</v>
      </c>
      <c r="BR25" t="s">
        <v>3823</v>
      </c>
      <c r="BS25" t="s">
        <v>3824</v>
      </c>
      <c r="BT25" t="s">
        <v>3825</v>
      </c>
      <c r="BU25" t="s">
        <v>3826</v>
      </c>
      <c r="BV25" t="s">
        <v>3827</v>
      </c>
      <c r="BW25" t="s">
        <v>3835</v>
      </c>
      <c r="BX25">
        <v>0</v>
      </c>
      <c r="BY25" t="s">
        <v>3864</v>
      </c>
      <c r="BZ25" t="s">
        <v>3863</v>
      </c>
    </row>
    <row r="26" spans="1:78" x14ac:dyDescent="0.25">
      <c r="A26" s="7" t="s">
        <v>167</v>
      </c>
      <c r="B26" s="7" t="s">
        <v>61</v>
      </c>
      <c r="C26" s="7" t="s">
        <v>165</v>
      </c>
      <c r="D26" s="8" t="s">
        <v>166</v>
      </c>
      <c r="E26" s="7" t="s">
        <v>168</v>
      </c>
      <c r="F26" s="9">
        <v>45183</v>
      </c>
      <c r="G26" s="9" t="s">
        <v>65</v>
      </c>
      <c r="H26" s="9" t="s">
        <v>72</v>
      </c>
      <c r="I26" s="8" t="s">
        <v>67</v>
      </c>
      <c r="J26" s="10">
        <v>2078.65</v>
      </c>
      <c r="K26" s="10">
        <v>2055</v>
      </c>
      <c r="L26" s="10">
        <f t="shared" si="0"/>
        <v>-23.650000000000091</v>
      </c>
      <c r="M26" s="10">
        <v>785.77</v>
      </c>
      <c r="N26" s="10">
        <v>833</v>
      </c>
      <c r="O26" s="10">
        <f t="shared" si="1"/>
        <v>47.230000000000018</v>
      </c>
      <c r="P26" s="11">
        <v>8000.0014432444132</v>
      </c>
      <c r="Q26" s="11">
        <v>21162.939537014649</v>
      </c>
      <c r="R26" s="11">
        <v>20000</v>
      </c>
      <c r="S26" s="11">
        <v>16629203</v>
      </c>
      <c r="T26" s="11">
        <v>831460</v>
      </c>
      <c r="U26" s="12">
        <f t="shared" si="2"/>
        <v>4.9999990979724046E-2</v>
      </c>
      <c r="V26" s="13">
        <f>L26*P26</f>
        <v>-189200.03413273109</v>
      </c>
      <c r="W26" s="10">
        <f t="shared" si="3"/>
        <v>-9460.0000000000364</v>
      </c>
      <c r="X26" s="15"/>
      <c r="Y26" s="15"/>
      <c r="Z26" s="11">
        <f t="shared" si="4"/>
        <v>16440002.96586727</v>
      </c>
      <c r="AA26" s="14"/>
      <c r="AB26" s="14"/>
      <c r="AC26" s="11">
        <f t="shared" si="5"/>
        <v>16440002.96586727</v>
      </c>
      <c r="AD26" s="10">
        <f t="shared" si="6"/>
        <v>300</v>
      </c>
      <c r="AE26" s="15">
        <v>235731</v>
      </c>
      <c r="AF26" s="16">
        <v>42432</v>
      </c>
      <c r="AG26" s="15">
        <f t="shared" si="7"/>
        <v>14169.000000000005</v>
      </c>
      <c r="AH26" s="15">
        <f t="shared" si="8"/>
        <v>2550.420000000001</v>
      </c>
      <c r="AI26" s="15">
        <f t="shared" si="9"/>
        <v>249900</v>
      </c>
      <c r="AJ26" s="15">
        <f t="shared" si="10"/>
        <v>44982</v>
      </c>
      <c r="AK26" s="10">
        <v>235731</v>
      </c>
      <c r="AL26" s="15">
        <f t="shared" si="11"/>
        <v>249900</v>
      </c>
      <c r="AM26" s="15">
        <f t="shared" si="12"/>
        <v>16689903</v>
      </c>
      <c r="AN26" s="15">
        <f t="shared" si="13"/>
        <v>866982</v>
      </c>
      <c r="AO26" s="15">
        <f t="shared" si="14"/>
        <v>1154917.26</v>
      </c>
      <c r="AP26" s="17">
        <f t="shared" si="15"/>
        <v>17844820.260000002</v>
      </c>
      <c r="AQ26" s="15">
        <v>9338022.4600000009</v>
      </c>
      <c r="AR26" s="15">
        <v>38035.26</v>
      </c>
      <c r="AS26" s="18">
        <f t="shared" si="16"/>
        <v>8506798</v>
      </c>
      <c r="AT26" s="19">
        <v>0</v>
      </c>
      <c r="AU26" s="8">
        <v>8800</v>
      </c>
      <c r="AV26" s="13">
        <f t="shared" si="17"/>
        <v>7330400</v>
      </c>
      <c r="AW26" s="18">
        <f t="shared" si="18"/>
        <v>16689903</v>
      </c>
      <c r="AX26" s="15">
        <f t="shared" si="19"/>
        <v>16690000</v>
      </c>
      <c r="AY26" s="20">
        <v>0.05</v>
      </c>
      <c r="AZ26" s="13">
        <f t="shared" si="20"/>
        <v>834500</v>
      </c>
      <c r="BA26" s="15">
        <f t="shared" si="21"/>
        <v>834500</v>
      </c>
      <c r="BB26" s="21">
        <f t="shared" si="22"/>
        <v>9341298</v>
      </c>
      <c r="BC26" s="10">
        <f t="shared" si="23"/>
        <v>-1.1377576792629875</v>
      </c>
      <c r="BD26" s="10">
        <f t="shared" si="24"/>
        <v>6.0106646983213947</v>
      </c>
      <c r="BE26" s="10">
        <v>190.91</v>
      </c>
      <c r="BF26" s="10">
        <v>77.39</v>
      </c>
      <c r="BG26" s="107">
        <v>46176</v>
      </c>
      <c r="BH26" s="107">
        <f t="shared" si="25"/>
        <v>46206</v>
      </c>
      <c r="BI26" s="23">
        <v>5</v>
      </c>
      <c r="BJ26" s="6"/>
      <c r="BK26" s="6"/>
      <c r="BL26" s="6"/>
      <c r="BM26" s="6" t="s">
        <v>3818</v>
      </c>
      <c r="BN26" s="6" t="s">
        <v>3819</v>
      </c>
      <c r="BO26" s="6" t="s">
        <v>3820</v>
      </c>
      <c r="BP26" s="6" t="s">
        <v>3821</v>
      </c>
      <c r="BQ26" s="6" t="s">
        <v>3822</v>
      </c>
      <c r="BR26" t="s">
        <v>3823</v>
      </c>
      <c r="BS26" t="s">
        <v>3824</v>
      </c>
      <c r="BT26" t="s">
        <v>3825</v>
      </c>
      <c r="BU26" t="s">
        <v>3826</v>
      </c>
      <c r="BV26" t="s">
        <v>3827</v>
      </c>
      <c r="BW26" t="s">
        <v>3835</v>
      </c>
      <c r="BX26">
        <v>0</v>
      </c>
      <c r="BY26" t="s">
        <v>3864</v>
      </c>
      <c r="BZ26" t="s">
        <v>3860</v>
      </c>
    </row>
    <row r="27" spans="1:78" x14ac:dyDescent="0.25">
      <c r="A27" s="7" t="s">
        <v>171</v>
      </c>
      <c r="B27" s="7" t="s">
        <v>61</v>
      </c>
      <c r="C27" s="7" t="s">
        <v>169</v>
      </c>
      <c r="D27" s="8" t="s">
        <v>170</v>
      </c>
      <c r="E27" s="7" t="s">
        <v>172</v>
      </c>
      <c r="F27" s="9">
        <v>44874</v>
      </c>
      <c r="G27" s="9" t="s">
        <v>65</v>
      </c>
      <c r="H27" s="9" t="s">
        <v>72</v>
      </c>
      <c r="I27" s="8" t="s">
        <v>67</v>
      </c>
      <c r="J27" s="10">
        <v>391.09</v>
      </c>
      <c r="K27" s="10">
        <v>391.09</v>
      </c>
      <c r="L27" s="10">
        <f t="shared" si="0"/>
        <v>0</v>
      </c>
      <c r="M27" s="10">
        <v>156.08000000000001</v>
      </c>
      <c r="N27" s="10">
        <v>156.08000000000001</v>
      </c>
      <c r="O27" s="10">
        <f t="shared" si="1"/>
        <v>0</v>
      </c>
      <c r="P27" s="11">
        <v>13369.999232913142</v>
      </c>
      <c r="Q27" s="11">
        <v>33501.236545361353</v>
      </c>
      <c r="R27" s="11">
        <v>20000</v>
      </c>
      <c r="S27" s="11">
        <v>5228873</v>
      </c>
      <c r="T27" s="11">
        <v>261444</v>
      </c>
      <c r="U27" s="12">
        <f t="shared" si="2"/>
        <v>5.0000066936029999E-2</v>
      </c>
      <c r="V27" s="13">
        <f>L27*P27</f>
        <v>0</v>
      </c>
      <c r="W27" s="10">
        <f t="shared" si="3"/>
        <v>0</v>
      </c>
      <c r="X27" s="10"/>
      <c r="Y27" s="10"/>
      <c r="Z27" s="11">
        <f t="shared" si="4"/>
        <v>5228873</v>
      </c>
      <c r="AA27" s="14"/>
      <c r="AB27" s="14"/>
      <c r="AC27" s="11">
        <f t="shared" si="5"/>
        <v>5228873</v>
      </c>
      <c r="AD27" s="10">
        <f t="shared" si="6"/>
        <v>300</v>
      </c>
      <c r="AE27" s="15">
        <v>46824</v>
      </c>
      <c r="AF27" s="16">
        <v>8428</v>
      </c>
      <c r="AG27" s="15">
        <f t="shared" si="7"/>
        <v>0</v>
      </c>
      <c r="AH27" s="15">
        <f t="shared" si="8"/>
        <v>0</v>
      </c>
      <c r="AI27" s="15">
        <f t="shared" si="9"/>
        <v>46824.000000000007</v>
      </c>
      <c r="AJ27" s="15">
        <f t="shared" si="10"/>
        <v>8429</v>
      </c>
      <c r="AK27" s="10">
        <v>46824</v>
      </c>
      <c r="AL27" s="15">
        <f t="shared" si="11"/>
        <v>46824.000000000007</v>
      </c>
      <c r="AM27" s="15">
        <f t="shared" si="12"/>
        <v>5275697</v>
      </c>
      <c r="AN27" s="15">
        <f t="shared" si="13"/>
        <v>269873</v>
      </c>
      <c r="AO27" s="15">
        <f t="shared" si="14"/>
        <v>348249</v>
      </c>
      <c r="AP27" s="17">
        <f t="shared" si="15"/>
        <v>5623946</v>
      </c>
      <c r="AQ27" s="15">
        <v>4941285</v>
      </c>
      <c r="AR27" s="15">
        <v>31552</v>
      </c>
      <c r="AS27" s="18">
        <f t="shared" si="16"/>
        <v>682661</v>
      </c>
      <c r="AT27" s="19">
        <v>0</v>
      </c>
      <c r="AU27" s="8">
        <v>8800</v>
      </c>
      <c r="AV27" s="13">
        <f t="shared" si="17"/>
        <v>1373504</v>
      </c>
      <c r="AW27" s="18">
        <f t="shared" si="18"/>
        <v>5275697</v>
      </c>
      <c r="AX27" s="15">
        <f t="shared" si="19"/>
        <v>5276000</v>
      </c>
      <c r="AY27" s="20">
        <v>0.06</v>
      </c>
      <c r="AZ27" s="13">
        <f t="shared" si="20"/>
        <v>316560</v>
      </c>
      <c r="BA27" s="15">
        <f t="shared" si="21"/>
        <v>316600</v>
      </c>
      <c r="BB27" s="21">
        <f t="shared" si="22"/>
        <v>999261</v>
      </c>
      <c r="BC27" s="10">
        <f t="shared" si="23"/>
        <v>0</v>
      </c>
      <c r="BD27" s="10">
        <f t="shared" si="24"/>
        <v>0</v>
      </c>
      <c r="BE27" s="10">
        <v>36.33</v>
      </c>
      <c r="BF27" s="10">
        <v>14.5</v>
      </c>
      <c r="BG27" s="107">
        <v>46176</v>
      </c>
      <c r="BH27" s="107">
        <f t="shared" si="25"/>
        <v>46206</v>
      </c>
      <c r="BI27" s="23">
        <v>6</v>
      </c>
      <c r="BJ27" s="6"/>
      <c r="BK27" s="6"/>
      <c r="BL27" s="6"/>
      <c r="BM27" s="6" t="s">
        <v>3818</v>
      </c>
      <c r="BN27" s="6" t="s">
        <v>3819</v>
      </c>
      <c r="BO27" s="6" t="s">
        <v>3820</v>
      </c>
      <c r="BP27" s="6" t="s">
        <v>3821</v>
      </c>
      <c r="BQ27" s="6" t="s">
        <v>3822</v>
      </c>
      <c r="BR27" t="s">
        <v>3823</v>
      </c>
      <c r="BS27" t="s">
        <v>3824</v>
      </c>
      <c r="BT27" t="s">
        <v>3825</v>
      </c>
      <c r="BU27" t="s">
        <v>3826</v>
      </c>
      <c r="BV27" t="s">
        <v>3827</v>
      </c>
      <c r="BW27" t="s">
        <v>3835</v>
      </c>
      <c r="BX27">
        <v>0</v>
      </c>
      <c r="BY27" t="s">
        <v>3859</v>
      </c>
      <c r="BZ27" t="s">
        <v>3860</v>
      </c>
    </row>
    <row r="28" spans="1:78" x14ac:dyDescent="0.25">
      <c r="A28" s="7" t="s">
        <v>175</v>
      </c>
      <c r="B28" s="7" t="s">
        <v>61</v>
      </c>
      <c r="C28" s="7" t="s">
        <v>173</v>
      </c>
      <c r="D28" s="8" t="s">
        <v>174</v>
      </c>
      <c r="E28" s="7" t="s">
        <v>176</v>
      </c>
      <c r="F28" s="9">
        <v>45383</v>
      </c>
      <c r="G28" s="9" t="s">
        <v>77</v>
      </c>
      <c r="H28" s="9" t="s">
        <v>87</v>
      </c>
      <c r="I28" s="8" t="s">
        <v>78</v>
      </c>
      <c r="J28" s="10">
        <v>861</v>
      </c>
      <c r="K28" s="10">
        <v>861</v>
      </c>
      <c r="L28" s="10">
        <f t="shared" si="0"/>
        <v>0</v>
      </c>
      <c r="M28" s="10">
        <v>381</v>
      </c>
      <c r="N28" s="10">
        <v>381</v>
      </c>
      <c r="O28" s="10">
        <f t="shared" si="1"/>
        <v>0</v>
      </c>
      <c r="P28" s="11">
        <v>14730</v>
      </c>
      <c r="Q28" s="11">
        <v>33287.48031496063</v>
      </c>
      <c r="R28" s="11">
        <v>40000</v>
      </c>
      <c r="S28" s="11">
        <v>12682530</v>
      </c>
      <c r="T28" s="11">
        <v>634128</v>
      </c>
      <c r="U28" s="12">
        <f t="shared" si="2"/>
        <v>5.0000118272931347E-2</v>
      </c>
      <c r="V28" s="13">
        <f>L28*P28</f>
        <v>0</v>
      </c>
      <c r="W28" s="10">
        <f t="shared" si="3"/>
        <v>0</v>
      </c>
      <c r="X28" s="10"/>
      <c r="Y28" s="10"/>
      <c r="Z28" s="11">
        <f t="shared" si="4"/>
        <v>12682530</v>
      </c>
      <c r="AA28" s="14"/>
      <c r="AB28" s="14"/>
      <c r="AC28" s="11">
        <f t="shared" si="5"/>
        <v>12682530</v>
      </c>
      <c r="AD28" s="10">
        <f t="shared" si="6"/>
        <v>300</v>
      </c>
      <c r="AE28" s="15">
        <v>114300</v>
      </c>
      <c r="AF28" s="16">
        <v>20574</v>
      </c>
      <c r="AG28" s="15">
        <f t="shared" si="7"/>
        <v>0</v>
      </c>
      <c r="AH28" s="15">
        <f t="shared" si="8"/>
        <v>0</v>
      </c>
      <c r="AI28" s="15">
        <f t="shared" si="9"/>
        <v>114300</v>
      </c>
      <c r="AJ28" s="15">
        <f t="shared" si="10"/>
        <v>20574</v>
      </c>
      <c r="AK28" s="10">
        <v>114300</v>
      </c>
      <c r="AL28" s="15">
        <f t="shared" si="11"/>
        <v>114300</v>
      </c>
      <c r="AM28" s="15">
        <f t="shared" si="12"/>
        <v>12796830</v>
      </c>
      <c r="AN28" s="15">
        <f t="shared" si="13"/>
        <v>654702</v>
      </c>
      <c r="AO28" s="15">
        <f t="shared" si="14"/>
        <v>817928</v>
      </c>
      <c r="AP28" s="17">
        <f t="shared" si="15"/>
        <v>13614758</v>
      </c>
      <c r="AQ28" s="15">
        <v>1485787</v>
      </c>
      <c r="AR28" s="15">
        <v>48926</v>
      </c>
      <c r="AS28" s="18">
        <f t="shared" si="16"/>
        <v>12128971</v>
      </c>
      <c r="AT28" s="19">
        <v>0</v>
      </c>
      <c r="AU28" s="8">
        <v>8800</v>
      </c>
      <c r="AV28" s="13">
        <f t="shared" si="17"/>
        <v>3352800</v>
      </c>
      <c r="AW28" s="18">
        <f t="shared" si="18"/>
        <v>12796830</v>
      </c>
      <c r="AX28" s="15">
        <f t="shared" si="19"/>
        <v>12797000</v>
      </c>
      <c r="AY28" s="20">
        <v>7.0000000000000007E-2</v>
      </c>
      <c r="AZ28" s="13">
        <f t="shared" si="20"/>
        <v>895790.00000000012</v>
      </c>
      <c r="BA28" s="15">
        <f t="shared" si="21"/>
        <v>895800</v>
      </c>
      <c r="BB28" s="21">
        <f t="shared" si="22"/>
        <v>13024771</v>
      </c>
      <c r="BC28" s="10">
        <f t="shared" si="23"/>
        <v>0</v>
      </c>
      <c r="BD28" s="10">
        <f t="shared" si="24"/>
        <v>0</v>
      </c>
      <c r="BE28" s="10">
        <v>79.989999999999995</v>
      </c>
      <c r="BF28" s="10">
        <v>35.4</v>
      </c>
      <c r="BG28" s="107">
        <v>46176</v>
      </c>
      <c r="BH28" s="107">
        <f t="shared" si="25"/>
        <v>46206</v>
      </c>
      <c r="BI28" s="23">
        <v>7</v>
      </c>
      <c r="BJ28" s="6"/>
      <c r="BK28" s="6"/>
      <c r="BL28" s="6"/>
      <c r="BM28" s="6" t="s">
        <v>3818</v>
      </c>
      <c r="BN28" s="6" t="s">
        <v>3819</v>
      </c>
      <c r="BO28" s="6" t="s">
        <v>3820</v>
      </c>
      <c r="BP28" s="6" t="s">
        <v>3821</v>
      </c>
      <c r="BQ28" s="6" t="s">
        <v>3822</v>
      </c>
      <c r="BR28" t="s">
        <v>3823</v>
      </c>
      <c r="BS28" t="s">
        <v>3824</v>
      </c>
      <c r="BT28" t="s">
        <v>3825</v>
      </c>
      <c r="BU28" t="s">
        <v>3826</v>
      </c>
      <c r="BV28" t="s">
        <v>3827</v>
      </c>
      <c r="BW28" t="s">
        <v>3835</v>
      </c>
      <c r="BX28">
        <v>0</v>
      </c>
      <c r="BY28" t="s">
        <v>3868</v>
      </c>
      <c r="BZ28" t="s">
        <v>3863</v>
      </c>
    </row>
    <row r="29" spans="1:78" x14ac:dyDescent="0.25">
      <c r="A29" s="7" t="s">
        <v>179</v>
      </c>
      <c r="B29" s="7" t="s">
        <v>61</v>
      </c>
      <c r="C29" s="7" t="s">
        <v>177</v>
      </c>
      <c r="D29" s="8" t="s">
        <v>178</v>
      </c>
      <c r="E29" s="7" t="s">
        <v>180</v>
      </c>
      <c r="F29" s="9">
        <v>45055</v>
      </c>
      <c r="G29" s="9" t="s">
        <v>77</v>
      </c>
      <c r="H29" s="9" t="s">
        <v>87</v>
      </c>
      <c r="I29" s="8" t="s">
        <v>78</v>
      </c>
      <c r="J29" s="10">
        <v>955.84</v>
      </c>
      <c r="K29" s="10">
        <v>1184</v>
      </c>
      <c r="L29" s="10">
        <f t="shared" si="0"/>
        <v>228.15999999999997</v>
      </c>
      <c r="M29" s="10">
        <v>410.11</v>
      </c>
      <c r="N29" s="10">
        <v>521</v>
      </c>
      <c r="O29" s="10">
        <f t="shared" si="1"/>
        <v>110.88999999999999</v>
      </c>
      <c r="P29" s="11">
        <v>21042.565701372612</v>
      </c>
      <c r="Q29" s="11">
        <v>49043.734607788152</v>
      </c>
      <c r="R29" s="11">
        <v>40000</v>
      </c>
      <c r="S29" s="11">
        <v>20113326</v>
      </c>
      <c r="T29" s="11">
        <v>1005668</v>
      </c>
      <c r="U29" s="12">
        <f t="shared" si="2"/>
        <v>5.0000084521078215E-2</v>
      </c>
      <c r="V29" s="13">
        <f>L29*R29</f>
        <v>9126399.9999999981</v>
      </c>
      <c r="W29" s="10">
        <f t="shared" si="3"/>
        <v>456320.77137316816</v>
      </c>
      <c r="X29" s="15"/>
      <c r="Y29" s="15"/>
      <c r="Z29" s="11">
        <f t="shared" si="4"/>
        <v>29239726</v>
      </c>
      <c r="AA29" s="14"/>
      <c r="AB29" s="14"/>
      <c r="AC29" s="11">
        <f t="shared" si="5"/>
        <v>29239726</v>
      </c>
      <c r="AD29" s="10">
        <f t="shared" si="6"/>
        <v>300</v>
      </c>
      <c r="AE29" s="15">
        <v>123033</v>
      </c>
      <c r="AF29" s="16">
        <v>22146</v>
      </c>
      <c r="AG29" s="15">
        <f t="shared" si="7"/>
        <v>33266.999999999993</v>
      </c>
      <c r="AH29" s="15">
        <f t="shared" si="8"/>
        <v>5988.0599999999986</v>
      </c>
      <c r="AI29" s="15">
        <f t="shared" si="9"/>
        <v>156300</v>
      </c>
      <c r="AJ29" s="15">
        <f t="shared" si="10"/>
        <v>28134</v>
      </c>
      <c r="AK29" s="10">
        <v>123033</v>
      </c>
      <c r="AL29" s="15">
        <f t="shared" si="11"/>
        <v>156300</v>
      </c>
      <c r="AM29" s="15">
        <f t="shared" si="12"/>
        <v>29396026</v>
      </c>
      <c r="AN29" s="15">
        <f t="shared" si="13"/>
        <v>1490123</v>
      </c>
      <c r="AO29" s="15">
        <f t="shared" si="14"/>
        <v>1823724.76</v>
      </c>
      <c r="AP29" s="17">
        <f t="shared" si="15"/>
        <v>31219750.760000002</v>
      </c>
      <c r="AQ29" s="15">
        <v>16740764</v>
      </c>
      <c r="AR29" s="15">
        <v>177301.76000000001</v>
      </c>
      <c r="AS29" s="18">
        <f t="shared" si="16"/>
        <v>14478987</v>
      </c>
      <c r="AT29" s="19">
        <v>0</v>
      </c>
      <c r="AU29" s="8">
        <v>8800</v>
      </c>
      <c r="AV29" s="13">
        <f t="shared" si="17"/>
        <v>4584800</v>
      </c>
      <c r="AW29" s="18">
        <f t="shared" si="18"/>
        <v>29396026</v>
      </c>
      <c r="AX29" s="15">
        <f t="shared" si="19"/>
        <v>29397000</v>
      </c>
      <c r="AY29" s="20">
        <v>0.05</v>
      </c>
      <c r="AZ29" s="13">
        <f t="shared" si="20"/>
        <v>1469850</v>
      </c>
      <c r="BA29" s="15">
        <f t="shared" si="21"/>
        <v>1469900</v>
      </c>
      <c r="BB29" s="21">
        <f t="shared" si="22"/>
        <v>15948887</v>
      </c>
      <c r="BC29" s="10">
        <f t="shared" si="23"/>
        <v>23.870103783059921</v>
      </c>
      <c r="BD29" s="10">
        <f t="shared" si="24"/>
        <v>27.039087074199603</v>
      </c>
      <c r="BE29" s="10">
        <v>110</v>
      </c>
      <c r="BF29" s="10">
        <v>48.4</v>
      </c>
      <c r="BG29" s="107">
        <v>46176</v>
      </c>
      <c r="BH29" s="107">
        <f t="shared" si="25"/>
        <v>46206</v>
      </c>
      <c r="BI29" s="23">
        <v>5</v>
      </c>
      <c r="BJ29" s="6"/>
      <c r="BK29" s="6"/>
      <c r="BL29" s="6"/>
      <c r="BM29" s="6" t="s">
        <v>3818</v>
      </c>
      <c r="BN29" s="6" t="s">
        <v>3819</v>
      </c>
      <c r="BO29" s="6" t="s">
        <v>3820</v>
      </c>
      <c r="BP29" s="6" t="s">
        <v>3821</v>
      </c>
      <c r="BQ29" s="6" t="s">
        <v>3822</v>
      </c>
      <c r="BR29" t="s">
        <v>3823</v>
      </c>
      <c r="BS29" t="s">
        <v>3824</v>
      </c>
      <c r="BT29" t="s">
        <v>3825</v>
      </c>
      <c r="BU29" t="s">
        <v>3826</v>
      </c>
      <c r="BV29" t="s">
        <v>3827</v>
      </c>
      <c r="BW29" t="s">
        <v>3835</v>
      </c>
      <c r="BX29">
        <v>0</v>
      </c>
      <c r="BY29" t="s">
        <v>3864</v>
      </c>
      <c r="BZ29" t="s">
        <v>3863</v>
      </c>
    </row>
    <row r="30" spans="1:78" x14ac:dyDescent="0.25">
      <c r="A30" s="29" t="s">
        <v>184</v>
      </c>
      <c r="B30" s="7" t="s">
        <v>181</v>
      </c>
      <c r="C30" s="7" t="s">
        <v>182</v>
      </c>
      <c r="D30" s="8" t="s">
        <v>183</v>
      </c>
      <c r="E30" s="7" t="s">
        <v>185</v>
      </c>
      <c r="F30" s="9">
        <v>44880</v>
      </c>
      <c r="G30" s="9" t="s">
        <v>65</v>
      </c>
      <c r="H30" s="9" t="s">
        <v>72</v>
      </c>
      <c r="I30" s="8" t="s">
        <v>78</v>
      </c>
      <c r="J30" s="10">
        <v>369.21</v>
      </c>
      <c r="K30" s="10">
        <v>369.21</v>
      </c>
      <c r="L30" s="10">
        <f t="shared" si="0"/>
        <v>0</v>
      </c>
      <c r="M30" s="10">
        <v>160.38</v>
      </c>
      <c r="N30" s="10">
        <v>160.38</v>
      </c>
      <c r="O30" s="10">
        <f t="shared" si="1"/>
        <v>0</v>
      </c>
      <c r="P30" s="11">
        <v>9040.9604290241332</v>
      </c>
      <c r="Q30" s="11">
        <v>20813.150018705575</v>
      </c>
      <c r="R30" s="11">
        <v>20000</v>
      </c>
      <c r="S30" s="11">
        <v>3338013</v>
      </c>
      <c r="T30" s="11">
        <v>400562</v>
      </c>
      <c r="U30" s="12">
        <f t="shared" si="2"/>
        <v>0.120000131814945</v>
      </c>
      <c r="V30" s="13">
        <f t="shared" ref="V30:V69" si="26">L30*P30</f>
        <v>0</v>
      </c>
      <c r="W30" s="10">
        <f t="shared" si="3"/>
        <v>0</v>
      </c>
      <c r="X30" s="10"/>
      <c r="Y30" s="10"/>
      <c r="Z30" s="11">
        <f t="shared" si="4"/>
        <v>3338013</v>
      </c>
      <c r="AA30" s="14">
        <v>156873</v>
      </c>
      <c r="AB30" s="14">
        <v>18824</v>
      </c>
      <c r="AC30" s="11">
        <f t="shared" si="5"/>
        <v>3181140</v>
      </c>
      <c r="AD30" s="10">
        <f t="shared" si="6"/>
        <v>300</v>
      </c>
      <c r="AE30" s="15">
        <v>48114</v>
      </c>
      <c r="AF30" s="16">
        <v>8660</v>
      </c>
      <c r="AG30" s="15">
        <f t="shared" si="7"/>
        <v>0</v>
      </c>
      <c r="AH30" s="15">
        <f t="shared" si="8"/>
        <v>0</v>
      </c>
      <c r="AI30" s="15">
        <f t="shared" si="9"/>
        <v>48114</v>
      </c>
      <c r="AJ30" s="15">
        <f t="shared" si="10"/>
        <v>8661</v>
      </c>
      <c r="AK30" s="10">
        <v>48114</v>
      </c>
      <c r="AL30" s="15">
        <f t="shared" si="11"/>
        <v>48114</v>
      </c>
      <c r="AM30" s="15">
        <f t="shared" si="12"/>
        <v>3229254</v>
      </c>
      <c r="AN30" s="15">
        <f t="shared" si="13"/>
        <v>390399</v>
      </c>
      <c r="AO30" s="15">
        <f t="shared" si="14"/>
        <v>438513</v>
      </c>
      <c r="AP30" s="17">
        <f t="shared" si="15"/>
        <v>3667767</v>
      </c>
      <c r="AQ30" s="15">
        <v>3188980</v>
      </c>
      <c r="AR30" s="15">
        <v>0</v>
      </c>
      <c r="AS30" s="18">
        <f t="shared" si="16"/>
        <v>478787</v>
      </c>
      <c r="AT30" s="19">
        <v>0</v>
      </c>
      <c r="AU30" s="8">
        <v>8800</v>
      </c>
      <c r="AV30" s="13">
        <f t="shared" si="17"/>
        <v>1411344</v>
      </c>
      <c r="AW30" s="18">
        <f t="shared" si="18"/>
        <v>3229254</v>
      </c>
      <c r="AX30" s="15">
        <f t="shared" si="19"/>
        <v>3230000</v>
      </c>
      <c r="AY30" s="20">
        <v>7.0000000000000007E-2</v>
      </c>
      <c r="AZ30" s="13">
        <f t="shared" si="20"/>
        <v>226100.00000000003</v>
      </c>
      <c r="BA30" s="15">
        <f t="shared" si="21"/>
        <v>226100</v>
      </c>
      <c r="BB30" s="21">
        <f t="shared" si="22"/>
        <v>704887</v>
      </c>
      <c r="BC30" s="10">
        <f t="shared" si="23"/>
        <v>0</v>
      </c>
      <c r="BD30" s="10">
        <f t="shared" si="24"/>
        <v>0</v>
      </c>
      <c r="BE30" s="10">
        <v>34.299999999999997</v>
      </c>
      <c r="BF30" s="10">
        <v>14.9</v>
      </c>
      <c r="BG30" s="107">
        <v>46176</v>
      </c>
      <c r="BH30" s="107">
        <f t="shared" ref="BH30:BH91" si="27">BG30+30</f>
        <v>46206</v>
      </c>
      <c r="BI30" s="23">
        <v>7</v>
      </c>
      <c r="BJ30" s="6"/>
      <c r="BK30" s="6"/>
      <c r="BL30" s="6">
        <f>VLOOKUP(A30,[2]Sheet1!$D$2:$H$933,5,0)</f>
        <v>0</v>
      </c>
      <c r="BM30" s="6" t="s">
        <v>3828</v>
      </c>
      <c r="BN30" s="6" t="s">
        <v>3829</v>
      </c>
      <c r="BO30" s="6" t="s">
        <v>3820</v>
      </c>
      <c r="BP30" s="6" t="s">
        <v>3821</v>
      </c>
      <c r="BQ30" s="6" t="s">
        <v>3830</v>
      </c>
      <c r="BR30" t="s">
        <v>3823</v>
      </c>
      <c r="BS30" t="s">
        <v>3824</v>
      </c>
      <c r="BT30" t="s">
        <v>3825</v>
      </c>
      <c r="BU30" t="s">
        <v>3826</v>
      </c>
      <c r="BV30" t="s">
        <v>3827</v>
      </c>
      <c r="BW30" t="s">
        <v>3835</v>
      </c>
      <c r="BX30">
        <v>0</v>
      </c>
      <c r="BY30" t="s">
        <v>3869</v>
      </c>
      <c r="BZ30" t="s">
        <v>3860</v>
      </c>
    </row>
    <row r="31" spans="1:78" x14ac:dyDescent="0.25">
      <c r="A31" s="7" t="s">
        <v>188</v>
      </c>
      <c r="B31" s="7" t="s">
        <v>181</v>
      </c>
      <c r="C31" s="7" t="s">
        <v>186</v>
      </c>
      <c r="D31" s="8" t="s">
        <v>187</v>
      </c>
      <c r="E31" s="7" t="s">
        <v>189</v>
      </c>
      <c r="F31" s="9">
        <v>45110</v>
      </c>
      <c r="G31" s="9" t="s">
        <v>65</v>
      </c>
      <c r="H31" s="9" t="s">
        <v>190</v>
      </c>
      <c r="I31" s="8" t="s">
        <v>78</v>
      </c>
      <c r="J31" s="10">
        <v>1763.14</v>
      </c>
      <c r="K31" s="10">
        <v>1763.14</v>
      </c>
      <c r="L31" s="10">
        <f t="shared" si="0"/>
        <v>0</v>
      </c>
      <c r="M31" s="10">
        <v>825.38</v>
      </c>
      <c r="N31" s="10">
        <v>825.38</v>
      </c>
      <c r="O31" s="10">
        <f t="shared" si="1"/>
        <v>0</v>
      </c>
      <c r="P31" s="11">
        <v>17473.049219006996</v>
      </c>
      <c r="Q31" s="11">
        <v>37325.149628050109</v>
      </c>
      <c r="R31" s="11">
        <v>60000</v>
      </c>
      <c r="S31" s="11">
        <v>30807432</v>
      </c>
      <c r="T31" s="11">
        <v>3696892</v>
      </c>
      <c r="U31" s="12">
        <f t="shared" si="2"/>
        <v>0.120000005193552</v>
      </c>
      <c r="V31" s="13">
        <f t="shared" si="26"/>
        <v>0</v>
      </c>
      <c r="W31" s="10">
        <f t="shared" si="3"/>
        <v>0</v>
      </c>
      <c r="X31" s="10"/>
      <c r="Y31" s="10"/>
      <c r="Z31" s="11">
        <f t="shared" si="4"/>
        <v>30807432</v>
      </c>
      <c r="AA31" s="14">
        <v>8810428</v>
      </c>
      <c r="AB31" s="14">
        <v>1057252</v>
      </c>
      <c r="AC31" s="11">
        <f t="shared" si="5"/>
        <v>21997004</v>
      </c>
      <c r="AD31" s="10">
        <f t="shared" si="6"/>
        <v>300</v>
      </c>
      <c r="AE31" s="15">
        <v>247614</v>
      </c>
      <c r="AF31" s="16">
        <v>44570</v>
      </c>
      <c r="AG31" s="15">
        <f t="shared" si="7"/>
        <v>0</v>
      </c>
      <c r="AH31" s="15">
        <f t="shared" si="8"/>
        <v>0</v>
      </c>
      <c r="AI31" s="15">
        <f t="shared" si="9"/>
        <v>247614</v>
      </c>
      <c r="AJ31" s="15">
        <f t="shared" si="10"/>
        <v>44571</v>
      </c>
      <c r="AK31" s="10">
        <v>247614</v>
      </c>
      <c r="AL31" s="15">
        <f t="shared" si="11"/>
        <v>247614</v>
      </c>
      <c r="AM31" s="15">
        <f t="shared" si="12"/>
        <v>22244618</v>
      </c>
      <c r="AN31" s="15">
        <f t="shared" si="13"/>
        <v>2684211</v>
      </c>
      <c r="AO31" s="15">
        <f t="shared" si="14"/>
        <v>2931825</v>
      </c>
      <c r="AP31" s="17">
        <f t="shared" si="15"/>
        <v>25176443</v>
      </c>
      <c r="AQ31" s="15">
        <v>2700000</v>
      </c>
      <c r="AR31" s="15">
        <v>0</v>
      </c>
      <c r="AS31" s="18">
        <f t="shared" si="16"/>
        <v>22476443</v>
      </c>
      <c r="AT31" s="19">
        <v>0</v>
      </c>
      <c r="AU31" s="8">
        <v>8800</v>
      </c>
      <c r="AV31" s="13">
        <f t="shared" si="17"/>
        <v>7263344</v>
      </c>
      <c r="AW31" s="18">
        <f t="shared" si="18"/>
        <v>22244618</v>
      </c>
      <c r="AX31" s="15">
        <f t="shared" si="19"/>
        <v>22245000</v>
      </c>
      <c r="AY31" s="20">
        <v>7.0000000000000007E-2</v>
      </c>
      <c r="AZ31" s="13">
        <f t="shared" si="20"/>
        <v>1557150.0000000002</v>
      </c>
      <c r="BA31" s="15">
        <f t="shared" si="21"/>
        <v>1557200</v>
      </c>
      <c r="BB31" s="21">
        <f t="shared" si="22"/>
        <v>24033643</v>
      </c>
      <c r="BC31" s="10">
        <f t="shared" si="23"/>
        <v>0</v>
      </c>
      <c r="BD31" s="10">
        <f t="shared" si="24"/>
        <v>0</v>
      </c>
      <c r="BE31" s="10">
        <v>163.80000000000001</v>
      </c>
      <c r="BF31" s="10">
        <v>76.680000000000007</v>
      </c>
      <c r="BG31" s="107">
        <v>46176</v>
      </c>
      <c r="BH31" s="107">
        <f t="shared" si="27"/>
        <v>46206</v>
      </c>
      <c r="BI31" s="23">
        <v>7</v>
      </c>
      <c r="BJ31" s="30"/>
      <c r="BK31" s="6"/>
      <c r="BL31" s="24">
        <f>VLOOKUP(A31,[2]Sheet1!$D$2:$H$933,5,0)</f>
        <v>0</v>
      </c>
      <c r="BM31" s="6" t="s">
        <v>3828</v>
      </c>
      <c r="BN31" s="6" t="s">
        <v>3829</v>
      </c>
      <c r="BO31" s="6" t="s">
        <v>3820</v>
      </c>
      <c r="BP31" s="6" t="s">
        <v>3821</v>
      </c>
      <c r="BQ31" s="6" t="s">
        <v>3830</v>
      </c>
      <c r="BR31" t="s">
        <v>3823</v>
      </c>
      <c r="BS31" t="s">
        <v>3824</v>
      </c>
      <c r="BT31" t="s">
        <v>3825</v>
      </c>
      <c r="BU31" t="s">
        <v>3826</v>
      </c>
      <c r="BV31" t="s">
        <v>3827</v>
      </c>
      <c r="BW31" t="s">
        <v>3835</v>
      </c>
      <c r="BX31">
        <v>0</v>
      </c>
      <c r="BY31" t="s">
        <v>3865</v>
      </c>
      <c r="BZ31" t="s">
        <v>3860</v>
      </c>
    </row>
    <row r="32" spans="1:78" x14ac:dyDescent="0.25">
      <c r="A32" s="7" t="s">
        <v>193</v>
      </c>
      <c r="B32" s="7" t="s">
        <v>181</v>
      </c>
      <c r="C32" s="7" t="s">
        <v>191</v>
      </c>
      <c r="D32" s="8" t="s">
        <v>192</v>
      </c>
      <c r="E32" s="7" t="s">
        <v>189</v>
      </c>
      <c r="F32" s="9">
        <v>45110</v>
      </c>
      <c r="G32" s="9" t="s">
        <v>65</v>
      </c>
      <c r="H32" s="9" t="s">
        <v>190</v>
      </c>
      <c r="I32" s="8" t="s">
        <v>78</v>
      </c>
      <c r="J32" s="10">
        <v>1154.98</v>
      </c>
      <c r="K32" s="10">
        <v>1154.98</v>
      </c>
      <c r="L32" s="10">
        <f t="shared" si="0"/>
        <v>0</v>
      </c>
      <c r="M32" s="10">
        <v>538.41999999999996</v>
      </c>
      <c r="N32" s="10">
        <v>538.41999999999996</v>
      </c>
      <c r="O32" s="10">
        <f t="shared" si="1"/>
        <v>0</v>
      </c>
      <c r="P32" s="11">
        <v>17474.22725934648</v>
      </c>
      <c r="Q32" s="11">
        <v>37484.460086920997</v>
      </c>
      <c r="R32" s="11">
        <v>60000</v>
      </c>
      <c r="S32" s="11">
        <v>20182383</v>
      </c>
      <c r="T32" s="11">
        <v>2421888</v>
      </c>
      <c r="U32" s="12">
        <f t="shared" si="2"/>
        <v>0.12000010107825225</v>
      </c>
      <c r="V32" s="13">
        <f t="shared" si="26"/>
        <v>0</v>
      </c>
      <c r="W32" s="10">
        <f t="shared" si="3"/>
        <v>0</v>
      </c>
      <c r="X32" s="10"/>
      <c r="Y32" s="10"/>
      <c r="Z32" s="11">
        <f t="shared" si="4"/>
        <v>20182383</v>
      </c>
      <c r="AA32" s="14">
        <v>5601347</v>
      </c>
      <c r="AB32" s="14">
        <v>672162</v>
      </c>
      <c r="AC32" s="11">
        <f t="shared" si="5"/>
        <v>14581036</v>
      </c>
      <c r="AD32" s="10">
        <f t="shared" si="6"/>
        <v>300</v>
      </c>
      <c r="AE32" s="15">
        <v>161526</v>
      </c>
      <c r="AF32" s="16">
        <v>29074</v>
      </c>
      <c r="AG32" s="15">
        <f t="shared" si="7"/>
        <v>0</v>
      </c>
      <c r="AH32" s="15">
        <f t="shared" si="8"/>
        <v>0</v>
      </c>
      <c r="AI32" s="15">
        <f t="shared" si="9"/>
        <v>161526</v>
      </c>
      <c r="AJ32" s="15">
        <f t="shared" si="10"/>
        <v>29075</v>
      </c>
      <c r="AK32" s="10">
        <v>161526</v>
      </c>
      <c r="AL32" s="15">
        <f t="shared" si="11"/>
        <v>161526</v>
      </c>
      <c r="AM32" s="15">
        <f t="shared" si="12"/>
        <v>14742562</v>
      </c>
      <c r="AN32" s="15">
        <f t="shared" si="13"/>
        <v>1778801</v>
      </c>
      <c r="AO32" s="15">
        <f t="shared" si="14"/>
        <v>1940327</v>
      </c>
      <c r="AP32" s="17">
        <f t="shared" si="15"/>
        <v>16682889</v>
      </c>
      <c r="AQ32" s="15">
        <v>2500000</v>
      </c>
      <c r="AR32" s="15">
        <v>0</v>
      </c>
      <c r="AS32" s="18">
        <f t="shared" si="16"/>
        <v>14182889</v>
      </c>
      <c r="AT32" s="19">
        <v>0</v>
      </c>
      <c r="AU32" s="8">
        <v>8800</v>
      </c>
      <c r="AV32" s="13">
        <f t="shared" si="17"/>
        <v>4738096</v>
      </c>
      <c r="AW32" s="18">
        <f t="shared" si="18"/>
        <v>14742562</v>
      </c>
      <c r="AX32" s="15">
        <f t="shared" si="19"/>
        <v>14743000</v>
      </c>
      <c r="AY32" s="20">
        <v>7.0000000000000007E-2</v>
      </c>
      <c r="AZ32" s="13">
        <f t="shared" si="20"/>
        <v>1032010.0000000001</v>
      </c>
      <c r="BA32" s="15">
        <f t="shared" si="21"/>
        <v>1032100</v>
      </c>
      <c r="BB32" s="21">
        <f t="shared" si="22"/>
        <v>15214989</v>
      </c>
      <c r="BC32" s="10">
        <f t="shared" si="23"/>
        <v>0</v>
      </c>
      <c r="BD32" s="10">
        <f t="shared" si="24"/>
        <v>0</v>
      </c>
      <c r="BE32" s="10">
        <v>107.3</v>
      </c>
      <c r="BF32" s="10">
        <v>50.02</v>
      </c>
      <c r="BG32" s="107">
        <v>46176</v>
      </c>
      <c r="BH32" s="107">
        <f t="shared" si="27"/>
        <v>46206</v>
      </c>
      <c r="BI32" s="23">
        <v>7</v>
      </c>
      <c r="BJ32" s="6"/>
      <c r="BK32" s="6"/>
      <c r="BL32" s="24">
        <f>VLOOKUP(A32,[2]Sheet1!$D$2:$H$933,5,0)</f>
        <v>0</v>
      </c>
      <c r="BM32" s="6" t="s">
        <v>3828</v>
      </c>
      <c r="BN32" s="6" t="s">
        <v>3829</v>
      </c>
      <c r="BO32" s="6" t="s">
        <v>3820</v>
      </c>
      <c r="BP32" s="6" t="s">
        <v>3821</v>
      </c>
      <c r="BQ32" s="6" t="s">
        <v>3830</v>
      </c>
      <c r="BR32" t="s">
        <v>3823</v>
      </c>
      <c r="BS32" t="s">
        <v>3824</v>
      </c>
      <c r="BT32" t="s">
        <v>3825</v>
      </c>
      <c r="BU32" t="s">
        <v>3826</v>
      </c>
      <c r="BV32" t="s">
        <v>3827</v>
      </c>
      <c r="BW32" t="s">
        <v>3835</v>
      </c>
      <c r="BX32">
        <v>0</v>
      </c>
      <c r="BY32" t="s">
        <v>3865</v>
      </c>
      <c r="BZ32" t="s">
        <v>3860</v>
      </c>
    </row>
    <row r="33" spans="1:78" x14ac:dyDescent="0.25">
      <c r="A33" s="7" t="s">
        <v>196</v>
      </c>
      <c r="B33" s="7" t="s">
        <v>181</v>
      </c>
      <c r="C33" s="7" t="s">
        <v>194</v>
      </c>
      <c r="D33" s="8" t="s">
        <v>195</v>
      </c>
      <c r="E33" s="7" t="s">
        <v>189</v>
      </c>
      <c r="F33" s="9">
        <v>45110</v>
      </c>
      <c r="G33" s="9" t="s">
        <v>65</v>
      </c>
      <c r="H33" s="9" t="s">
        <v>190</v>
      </c>
      <c r="I33" s="8" t="s">
        <v>78</v>
      </c>
      <c r="J33" s="10">
        <v>1154.98</v>
      </c>
      <c r="K33" s="10">
        <v>1154.98</v>
      </c>
      <c r="L33" s="10">
        <f t="shared" si="0"/>
        <v>0</v>
      </c>
      <c r="M33" s="10">
        <v>538.41999999999996</v>
      </c>
      <c r="N33" s="10">
        <v>538.41999999999996</v>
      </c>
      <c r="O33" s="10">
        <f t="shared" si="1"/>
        <v>0</v>
      </c>
      <c r="P33" s="11">
        <v>18949.295225891357</v>
      </c>
      <c r="Q33" s="11">
        <v>40648.670183128415</v>
      </c>
      <c r="R33" s="11">
        <v>60000</v>
      </c>
      <c r="S33" s="11">
        <v>21886057</v>
      </c>
      <c r="T33" s="11">
        <v>2626326</v>
      </c>
      <c r="U33" s="12">
        <f t="shared" si="2"/>
        <v>0.11999996161939996</v>
      </c>
      <c r="V33" s="13">
        <f t="shared" si="26"/>
        <v>0</v>
      </c>
      <c r="W33" s="10">
        <f t="shared" si="3"/>
        <v>0</v>
      </c>
      <c r="X33" s="10"/>
      <c r="Y33" s="10"/>
      <c r="Z33" s="11">
        <f t="shared" si="4"/>
        <v>21886057</v>
      </c>
      <c r="AA33" s="14">
        <v>4552740</v>
      </c>
      <c r="AB33" s="14">
        <v>546328</v>
      </c>
      <c r="AC33" s="11">
        <f t="shared" si="5"/>
        <v>17333317</v>
      </c>
      <c r="AD33" s="10">
        <f t="shared" si="6"/>
        <v>300</v>
      </c>
      <c r="AE33" s="15">
        <v>161526</v>
      </c>
      <c r="AF33" s="16">
        <v>29074</v>
      </c>
      <c r="AG33" s="15">
        <f t="shared" si="7"/>
        <v>0</v>
      </c>
      <c r="AH33" s="15">
        <f t="shared" si="8"/>
        <v>0</v>
      </c>
      <c r="AI33" s="15">
        <f t="shared" si="9"/>
        <v>161526</v>
      </c>
      <c r="AJ33" s="15">
        <f t="shared" si="10"/>
        <v>29075</v>
      </c>
      <c r="AK33" s="10">
        <v>161526</v>
      </c>
      <c r="AL33" s="15">
        <f t="shared" si="11"/>
        <v>161526</v>
      </c>
      <c r="AM33" s="15">
        <f t="shared" si="12"/>
        <v>17494843</v>
      </c>
      <c r="AN33" s="15">
        <f t="shared" si="13"/>
        <v>2109073</v>
      </c>
      <c r="AO33" s="15">
        <f t="shared" si="14"/>
        <v>2270599</v>
      </c>
      <c r="AP33" s="17">
        <f t="shared" si="15"/>
        <v>19765442</v>
      </c>
      <c r="AQ33" s="15">
        <v>1500000</v>
      </c>
      <c r="AR33" s="15">
        <v>0</v>
      </c>
      <c r="AS33" s="18">
        <f t="shared" si="16"/>
        <v>18265442</v>
      </c>
      <c r="AT33" s="19">
        <v>0</v>
      </c>
      <c r="AU33" s="8">
        <v>8800</v>
      </c>
      <c r="AV33" s="13">
        <f t="shared" si="17"/>
        <v>4738096</v>
      </c>
      <c r="AW33" s="18">
        <f t="shared" si="18"/>
        <v>17494843</v>
      </c>
      <c r="AX33" s="15">
        <f t="shared" si="19"/>
        <v>17495000</v>
      </c>
      <c r="AY33" s="20">
        <v>7.0000000000000007E-2</v>
      </c>
      <c r="AZ33" s="13">
        <f t="shared" si="20"/>
        <v>1224650.0000000002</v>
      </c>
      <c r="BA33" s="15">
        <f t="shared" si="21"/>
        <v>1224700</v>
      </c>
      <c r="BB33" s="21">
        <f t="shared" si="22"/>
        <v>19490142</v>
      </c>
      <c r="BC33" s="10">
        <f t="shared" si="23"/>
        <v>0</v>
      </c>
      <c r="BD33" s="10">
        <f t="shared" si="24"/>
        <v>0</v>
      </c>
      <c r="BE33" s="10">
        <v>107.3</v>
      </c>
      <c r="BF33" s="10">
        <v>50.02</v>
      </c>
      <c r="BG33" s="107">
        <v>46176</v>
      </c>
      <c r="BH33" s="107">
        <f t="shared" si="27"/>
        <v>46206</v>
      </c>
      <c r="BI33" s="23">
        <v>7</v>
      </c>
      <c r="BJ33" s="6"/>
      <c r="BK33" s="6"/>
      <c r="BL33" s="24">
        <f>VLOOKUP(A33,[2]Sheet1!$D$2:$H$933,5,0)</f>
        <v>0</v>
      </c>
      <c r="BM33" s="6" t="s">
        <v>3828</v>
      </c>
      <c r="BN33" s="6" t="s">
        <v>3829</v>
      </c>
      <c r="BO33" s="6" t="s">
        <v>3820</v>
      </c>
      <c r="BP33" s="6" t="s">
        <v>3821</v>
      </c>
      <c r="BQ33" s="6" t="s">
        <v>3830</v>
      </c>
      <c r="BR33" t="s">
        <v>3823</v>
      </c>
      <c r="BS33" t="s">
        <v>3824</v>
      </c>
      <c r="BT33" t="s">
        <v>3825</v>
      </c>
      <c r="BU33" t="s">
        <v>3826</v>
      </c>
      <c r="BV33" t="s">
        <v>3827</v>
      </c>
      <c r="BW33" t="s">
        <v>3835</v>
      </c>
      <c r="BX33">
        <v>0</v>
      </c>
      <c r="BY33" t="s">
        <v>3865</v>
      </c>
      <c r="BZ33" t="s">
        <v>3860</v>
      </c>
    </row>
    <row r="34" spans="1:78" x14ac:dyDescent="0.25">
      <c r="A34" s="7" t="s">
        <v>199</v>
      </c>
      <c r="B34" s="7" t="s">
        <v>181</v>
      </c>
      <c r="C34" s="7" t="s">
        <v>197</v>
      </c>
      <c r="D34" s="8" t="s">
        <v>198</v>
      </c>
      <c r="E34" s="7" t="s">
        <v>189</v>
      </c>
      <c r="F34" s="9">
        <v>45110</v>
      </c>
      <c r="G34" s="9" t="s">
        <v>65</v>
      </c>
      <c r="H34" s="9" t="s">
        <v>190</v>
      </c>
      <c r="I34" s="8" t="s">
        <v>78</v>
      </c>
      <c r="J34" s="10">
        <v>1236.78</v>
      </c>
      <c r="K34" s="10">
        <v>1236.78</v>
      </c>
      <c r="L34" s="10">
        <f t="shared" si="0"/>
        <v>0</v>
      </c>
      <c r="M34" s="10">
        <v>532.82000000000005</v>
      </c>
      <c r="N34" s="10">
        <v>532.82000000000005</v>
      </c>
      <c r="O34" s="10">
        <f t="shared" si="1"/>
        <v>0</v>
      </c>
      <c r="P34" s="11">
        <v>18970.512136354082</v>
      </c>
      <c r="Q34" s="11">
        <v>44034.289253406401</v>
      </c>
      <c r="R34" s="11">
        <v>60000</v>
      </c>
      <c r="S34" s="11">
        <v>23462350</v>
      </c>
      <c r="T34" s="11">
        <v>2815482</v>
      </c>
      <c r="U34" s="12">
        <f t="shared" si="2"/>
        <v>0.12</v>
      </c>
      <c r="V34" s="13">
        <f t="shared" si="26"/>
        <v>0</v>
      </c>
      <c r="W34" s="10">
        <f t="shared" si="3"/>
        <v>0</v>
      </c>
      <c r="X34" s="10"/>
      <c r="Y34" s="10"/>
      <c r="Z34" s="11">
        <f t="shared" si="4"/>
        <v>23462350</v>
      </c>
      <c r="AA34" s="14">
        <v>5076621</v>
      </c>
      <c r="AB34" s="14">
        <v>609194</v>
      </c>
      <c r="AC34" s="11">
        <f t="shared" si="5"/>
        <v>18385729</v>
      </c>
      <c r="AD34" s="10">
        <f t="shared" si="6"/>
        <v>300</v>
      </c>
      <c r="AE34" s="15">
        <v>159846</v>
      </c>
      <c r="AF34" s="16">
        <v>28772</v>
      </c>
      <c r="AG34" s="15">
        <f t="shared" si="7"/>
        <v>0</v>
      </c>
      <c r="AH34" s="15">
        <f t="shared" si="8"/>
        <v>0</v>
      </c>
      <c r="AI34" s="15">
        <f t="shared" si="9"/>
        <v>159846.00000000003</v>
      </c>
      <c r="AJ34" s="15">
        <f t="shared" si="10"/>
        <v>28773</v>
      </c>
      <c r="AK34" s="10">
        <v>159846</v>
      </c>
      <c r="AL34" s="15">
        <f t="shared" si="11"/>
        <v>159846.00000000003</v>
      </c>
      <c r="AM34" s="15">
        <f t="shared" si="12"/>
        <v>18545575</v>
      </c>
      <c r="AN34" s="15">
        <f t="shared" si="13"/>
        <v>2235061</v>
      </c>
      <c r="AO34" s="15">
        <f t="shared" si="14"/>
        <v>2394907</v>
      </c>
      <c r="AP34" s="17">
        <f t="shared" si="15"/>
        <v>20940482</v>
      </c>
      <c r="AQ34" s="15">
        <v>2500000</v>
      </c>
      <c r="AR34" s="15">
        <v>0</v>
      </c>
      <c r="AS34" s="18">
        <f t="shared" si="16"/>
        <v>18440482</v>
      </c>
      <c r="AT34" s="19">
        <v>0</v>
      </c>
      <c r="AU34" s="8">
        <v>8800</v>
      </c>
      <c r="AV34" s="13">
        <f t="shared" si="17"/>
        <v>4688816</v>
      </c>
      <c r="AW34" s="18">
        <f t="shared" si="18"/>
        <v>18545575</v>
      </c>
      <c r="AX34" s="15">
        <f t="shared" si="19"/>
        <v>18546000</v>
      </c>
      <c r="AY34" s="20">
        <v>7.0000000000000007E-2</v>
      </c>
      <c r="AZ34" s="13">
        <f t="shared" si="20"/>
        <v>1298220.0000000002</v>
      </c>
      <c r="BA34" s="15">
        <f t="shared" si="21"/>
        <v>1298300</v>
      </c>
      <c r="BB34" s="21">
        <f t="shared" si="22"/>
        <v>19738782</v>
      </c>
      <c r="BC34" s="10">
        <f t="shared" si="23"/>
        <v>0</v>
      </c>
      <c r="BD34" s="10">
        <f t="shared" si="24"/>
        <v>0</v>
      </c>
      <c r="BE34" s="10">
        <v>114.9</v>
      </c>
      <c r="BF34" s="10">
        <v>49.5</v>
      </c>
      <c r="BG34" s="107">
        <v>46176</v>
      </c>
      <c r="BH34" s="107">
        <f t="shared" si="27"/>
        <v>46206</v>
      </c>
      <c r="BI34" s="23">
        <v>7</v>
      </c>
      <c r="BJ34" s="6"/>
      <c r="BK34" s="6"/>
      <c r="BL34" s="24">
        <f>VLOOKUP(A34,[2]Sheet1!$D$2:$H$933,5,0)</f>
        <v>0</v>
      </c>
      <c r="BM34" s="6" t="s">
        <v>3828</v>
      </c>
      <c r="BN34" s="6" t="s">
        <v>3829</v>
      </c>
      <c r="BO34" s="6" t="s">
        <v>3820</v>
      </c>
      <c r="BP34" s="6" t="s">
        <v>3821</v>
      </c>
      <c r="BQ34" s="6" t="s">
        <v>3830</v>
      </c>
      <c r="BR34" t="s">
        <v>3823</v>
      </c>
      <c r="BS34" t="s">
        <v>3824</v>
      </c>
      <c r="BT34" t="s">
        <v>3825</v>
      </c>
      <c r="BU34" t="s">
        <v>3826</v>
      </c>
      <c r="BV34" t="s">
        <v>3827</v>
      </c>
      <c r="BW34" t="s">
        <v>3835</v>
      </c>
      <c r="BX34">
        <v>0</v>
      </c>
      <c r="BY34" t="s">
        <v>3865</v>
      </c>
      <c r="BZ34" t="s">
        <v>3860</v>
      </c>
    </row>
    <row r="35" spans="1:78" x14ac:dyDescent="0.25">
      <c r="A35" s="7" t="s">
        <v>202</v>
      </c>
      <c r="B35" s="7" t="s">
        <v>181</v>
      </c>
      <c r="C35" s="7" t="s">
        <v>200</v>
      </c>
      <c r="D35" s="8" t="s">
        <v>201</v>
      </c>
      <c r="E35" s="7" t="s">
        <v>203</v>
      </c>
      <c r="F35" s="9">
        <v>44896</v>
      </c>
      <c r="G35" s="9" t="s">
        <v>65</v>
      </c>
      <c r="H35" s="9" t="s">
        <v>66</v>
      </c>
      <c r="I35" s="8" t="s">
        <v>78</v>
      </c>
      <c r="J35" s="10">
        <v>489.76</v>
      </c>
      <c r="K35" s="10">
        <v>489.76</v>
      </c>
      <c r="L35" s="10">
        <f t="shared" si="0"/>
        <v>0</v>
      </c>
      <c r="M35" s="10">
        <v>219.59</v>
      </c>
      <c r="N35" s="10">
        <v>219.59</v>
      </c>
      <c r="O35" s="10">
        <f t="shared" si="1"/>
        <v>0</v>
      </c>
      <c r="P35" s="11">
        <v>13180.982522051618</v>
      </c>
      <c r="Q35" s="11">
        <v>29398.050913065257</v>
      </c>
      <c r="R35" s="11">
        <v>22000</v>
      </c>
      <c r="S35" s="11">
        <v>6455518</v>
      </c>
      <c r="T35" s="11">
        <v>774662</v>
      </c>
      <c r="U35" s="12">
        <f t="shared" si="2"/>
        <v>0.11999997521500211</v>
      </c>
      <c r="V35" s="13">
        <f t="shared" si="26"/>
        <v>0</v>
      </c>
      <c r="W35" s="10">
        <f t="shared" si="3"/>
        <v>0</v>
      </c>
      <c r="X35" s="10"/>
      <c r="Y35" s="10"/>
      <c r="Z35" s="11">
        <f t="shared" si="4"/>
        <v>6455518</v>
      </c>
      <c r="AA35" s="14"/>
      <c r="AB35" s="14"/>
      <c r="AC35" s="11">
        <f t="shared" si="5"/>
        <v>6455518</v>
      </c>
      <c r="AD35" s="10">
        <f t="shared" si="6"/>
        <v>300</v>
      </c>
      <c r="AE35" s="15">
        <v>65877</v>
      </c>
      <c r="AF35" s="16">
        <v>11858</v>
      </c>
      <c r="AG35" s="15">
        <f t="shared" si="7"/>
        <v>0</v>
      </c>
      <c r="AH35" s="15">
        <f t="shared" si="8"/>
        <v>0</v>
      </c>
      <c r="AI35" s="15">
        <f t="shared" si="9"/>
        <v>65877</v>
      </c>
      <c r="AJ35" s="15">
        <f t="shared" si="10"/>
        <v>11858</v>
      </c>
      <c r="AK35" s="10">
        <v>65877</v>
      </c>
      <c r="AL35" s="15">
        <f t="shared" si="11"/>
        <v>65877</v>
      </c>
      <c r="AM35" s="15">
        <f t="shared" si="12"/>
        <v>6521395</v>
      </c>
      <c r="AN35" s="15">
        <f t="shared" si="13"/>
        <v>786520</v>
      </c>
      <c r="AO35" s="15">
        <f t="shared" si="14"/>
        <v>852397</v>
      </c>
      <c r="AP35" s="17">
        <f t="shared" si="15"/>
        <v>7373792</v>
      </c>
      <c r="AQ35" s="15">
        <v>6491868</v>
      </c>
      <c r="AR35" s="15">
        <v>0</v>
      </c>
      <c r="AS35" s="18">
        <f t="shared" si="16"/>
        <v>881924</v>
      </c>
      <c r="AT35" s="19">
        <v>0</v>
      </c>
      <c r="AU35" s="8">
        <v>8800</v>
      </c>
      <c r="AV35" s="13">
        <f t="shared" si="17"/>
        <v>1932392</v>
      </c>
      <c r="AW35" s="18">
        <f t="shared" si="18"/>
        <v>6521395</v>
      </c>
      <c r="AX35" s="15">
        <f t="shared" si="19"/>
        <v>6522000</v>
      </c>
      <c r="AY35" s="20">
        <v>0.06</v>
      </c>
      <c r="AZ35" s="13">
        <f t="shared" si="20"/>
        <v>391320</v>
      </c>
      <c r="BA35" s="15">
        <f t="shared" si="21"/>
        <v>391400</v>
      </c>
      <c r="BB35" s="21">
        <f t="shared" si="22"/>
        <v>1273324</v>
      </c>
      <c r="BC35" s="10">
        <f t="shared" si="23"/>
        <v>0</v>
      </c>
      <c r="BD35" s="10">
        <f t="shared" si="24"/>
        <v>0</v>
      </c>
      <c r="BE35" s="10">
        <v>45.5</v>
      </c>
      <c r="BF35" s="10">
        <v>20.399999999999999</v>
      </c>
      <c r="BG35" s="107">
        <v>46176</v>
      </c>
      <c r="BH35" s="107">
        <f t="shared" si="27"/>
        <v>46206</v>
      </c>
      <c r="BI35" s="23">
        <v>6</v>
      </c>
      <c r="BJ35" s="6"/>
      <c r="BK35" s="6"/>
      <c r="BL35" s="24">
        <f>VLOOKUP(A35,[2]Sheet1!$D$2:$H$933,5,0)</f>
        <v>0</v>
      </c>
      <c r="BM35" s="6" t="s">
        <v>3828</v>
      </c>
      <c r="BN35" s="6" t="s">
        <v>3829</v>
      </c>
      <c r="BO35" s="6" t="s">
        <v>3820</v>
      </c>
      <c r="BP35" s="6" t="s">
        <v>3821</v>
      </c>
      <c r="BQ35" s="6" t="s">
        <v>3830</v>
      </c>
      <c r="BR35" t="s">
        <v>3823</v>
      </c>
      <c r="BS35" t="s">
        <v>3824</v>
      </c>
      <c r="BT35" t="s">
        <v>3825</v>
      </c>
      <c r="BU35" t="s">
        <v>3826</v>
      </c>
      <c r="BV35" t="s">
        <v>3827</v>
      </c>
      <c r="BW35" t="s">
        <v>3835</v>
      </c>
      <c r="BX35">
        <v>0</v>
      </c>
      <c r="BY35" t="s">
        <v>3867</v>
      </c>
      <c r="BZ35" t="s">
        <v>3860</v>
      </c>
    </row>
    <row r="36" spans="1:78" x14ac:dyDescent="0.25">
      <c r="A36" s="31" t="s">
        <v>206</v>
      </c>
      <c r="B36" s="31" t="s">
        <v>181</v>
      </c>
      <c r="C36" s="31" t="s">
        <v>204</v>
      </c>
      <c r="D36" s="32" t="s">
        <v>205</v>
      </c>
      <c r="E36" s="31" t="s">
        <v>207</v>
      </c>
      <c r="F36" s="33">
        <v>44987</v>
      </c>
      <c r="G36" s="33" t="s">
        <v>65</v>
      </c>
      <c r="H36" s="33" t="s">
        <v>66</v>
      </c>
      <c r="I36" s="32" t="s">
        <v>78</v>
      </c>
      <c r="J36" s="34">
        <v>553.48</v>
      </c>
      <c r="K36" s="34">
        <v>553.48</v>
      </c>
      <c r="L36" s="34">
        <f t="shared" si="0"/>
        <v>0</v>
      </c>
      <c r="M36" s="34">
        <v>256.83</v>
      </c>
      <c r="N36" s="34">
        <v>256.83</v>
      </c>
      <c r="O36" s="34">
        <f t="shared" si="1"/>
        <v>0</v>
      </c>
      <c r="P36" s="35">
        <v>10227.999205029992</v>
      </c>
      <c r="Q36" s="35">
        <v>22041.790289296423</v>
      </c>
      <c r="R36" s="35">
        <v>22000</v>
      </c>
      <c r="S36" s="35">
        <v>5660993</v>
      </c>
      <c r="T36" s="35">
        <v>679320</v>
      </c>
      <c r="U36" s="36">
        <f t="shared" si="2"/>
        <v>0.12000014838386128</v>
      </c>
      <c r="V36" s="37">
        <f t="shared" si="26"/>
        <v>0</v>
      </c>
      <c r="W36" s="34">
        <f t="shared" si="3"/>
        <v>0</v>
      </c>
      <c r="X36" s="34"/>
      <c r="Y36" s="34"/>
      <c r="Z36" s="35">
        <f t="shared" si="4"/>
        <v>5660993</v>
      </c>
      <c r="AA36" s="38">
        <v>107241</v>
      </c>
      <c r="AB36" s="38">
        <v>12869</v>
      </c>
      <c r="AC36" s="35">
        <f t="shared" si="5"/>
        <v>5553752</v>
      </c>
      <c r="AD36" s="34">
        <f t="shared" si="6"/>
        <v>300</v>
      </c>
      <c r="AE36" s="39">
        <v>77049</v>
      </c>
      <c r="AF36" s="40">
        <v>13868</v>
      </c>
      <c r="AG36" s="39">
        <f t="shared" si="7"/>
        <v>0</v>
      </c>
      <c r="AH36" s="39">
        <f t="shared" si="8"/>
        <v>0</v>
      </c>
      <c r="AI36" s="39">
        <f t="shared" si="9"/>
        <v>77049</v>
      </c>
      <c r="AJ36" s="39">
        <f t="shared" si="10"/>
        <v>13869</v>
      </c>
      <c r="AK36" s="34">
        <v>77049</v>
      </c>
      <c r="AL36" s="39">
        <f t="shared" si="11"/>
        <v>77049</v>
      </c>
      <c r="AM36" s="39">
        <f t="shared" si="12"/>
        <v>5630801</v>
      </c>
      <c r="AN36" s="39">
        <f t="shared" si="13"/>
        <v>680320</v>
      </c>
      <c r="AO36" s="39">
        <f t="shared" si="14"/>
        <v>757369</v>
      </c>
      <c r="AP36" s="41">
        <f t="shared" si="15"/>
        <v>6388170</v>
      </c>
      <c r="AQ36" s="39">
        <v>5915256</v>
      </c>
      <c r="AR36" s="15">
        <v>0</v>
      </c>
      <c r="AS36" s="42">
        <f t="shared" si="16"/>
        <v>472914</v>
      </c>
      <c r="AT36" s="43">
        <v>0</v>
      </c>
      <c r="AU36" s="32">
        <v>8800</v>
      </c>
      <c r="AV36" s="37">
        <f t="shared" si="17"/>
        <v>2260104</v>
      </c>
      <c r="AW36" s="42">
        <f t="shared" si="18"/>
        <v>5630801</v>
      </c>
      <c r="AX36" s="39">
        <f t="shared" si="19"/>
        <v>5631000</v>
      </c>
      <c r="AY36" s="44">
        <v>0.05</v>
      </c>
      <c r="AZ36" s="37">
        <f t="shared" si="20"/>
        <v>281550</v>
      </c>
      <c r="BA36" s="39">
        <f t="shared" si="21"/>
        <v>281600</v>
      </c>
      <c r="BB36" s="45">
        <f t="shared" si="22"/>
        <v>754514</v>
      </c>
      <c r="BC36" s="34">
        <f t="shared" si="23"/>
        <v>0</v>
      </c>
      <c r="BD36" s="34">
        <f t="shared" si="24"/>
        <v>0</v>
      </c>
      <c r="BE36" s="34">
        <v>51.42</v>
      </c>
      <c r="BF36" s="34">
        <v>23.86</v>
      </c>
      <c r="BG36" s="107">
        <v>46176</v>
      </c>
      <c r="BH36" s="108">
        <f t="shared" si="27"/>
        <v>46206</v>
      </c>
      <c r="BI36" s="46">
        <v>5</v>
      </c>
      <c r="BJ36" s="47" t="s">
        <v>208</v>
      </c>
      <c r="BK36" s="47"/>
      <c r="BL36" s="24">
        <f>VLOOKUP(A36,[2]Sheet1!$D$2:$H$933,5,0)</f>
        <v>0</v>
      </c>
      <c r="BM36" s="6" t="s">
        <v>3828</v>
      </c>
      <c r="BN36" s="6" t="s">
        <v>3829</v>
      </c>
      <c r="BO36" s="6" t="s">
        <v>3820</v>
      </c>
      <c r="BP36" s="6" t="s">
        <v>3821</v>
      </c>
      <c r="BQ36" s="6" t="s">
        <v>3830</v>
      </c>
      <c r="BR36" t="s">
        <v>3823</v>
      </c>
      <c r="BS36" t="s">
        <v>3824</v>
      </c>
      <c r="BT36" t="s">
        <v>3825</v>
      </c>
      <c r="BU36" t="s">
        <v>3826</v>
      </c>
      <c r="BV36" t="s">
        <v>3827</v>
      </c>
      <c r="BW36" t="s">
        <v>3835</v>
      </c>
      <c r="BX36" s="101"/>
      <c r="BY36" t="s">
        <v>3867</v>
      </c>
      <c r="BZ36" t="s">
        <v>3860</v>
      </c>
    </row>
    <row r="37" spans="1:78" x14ac:dyDescent="0.25">
      <c r="A37" s="7" t="s">
        <v>211</v>
      </c>
      <c r="B37" s="7" t="s">
        <v>181</v>
      </c>
      <c r="C37" s="7" t="s">
        <v>209</v>
      </c>
      <c r="D37" s="8" t="s">
        <v>210</v>
      </c>
      <c r="E37" s="7" t="s">
        <v>212</v>
      </c>
      <c r="F37" s="9">
        <v>44986</v>
      </c>
      <c r="G37" s="9" t="s">
        <v>65</v>
      </c>
      <c r="H37" s="9" t="s">
        <v>66</v>
      </c>
      <c r="I37" s="8" t="s">
        <v>78</v>
      </c>
      <c r="J37" s="10">
        <v>795.46</v>
      </c>
      <c r="K37" s="10">
        <v>795.46</v>
      </c>
      <c r="L37" s="10">
        <f t="shared" si="0"/>
        <v>0</v>
      </c>
      <c r="M37" s="10">
        <v>372.43</v>
      </c>
      <c r="N37" s="10">
        <v>372.43</v>
      </c>
      <c r="O37" s="10">
        <f t="shared" si="1"/>
        <v>0</v>
      </c>
      <c r="P37" s="11">
        <v>9449.9949714630529</v>
      </c>
      <c r="Q37" s="11">
        <v>20183.90838546841</v>
      </c>
      <c r="R37" s="11">
        <v>22000</v>
      </c>
      <c r="S37" s="11">
        <v>7517093</v>
      </c>
      <c r="T37" s="11">
        <v>902052</v>
      </c>
      <c r="U37" s="12">
        <f t="shared" si="2"/>
        <v>0.12000011174532496</v>
      </c>
      <c r="V37" s="13">
        <f t="shared" si="26"/>
        <v>0</v>
      </c>
      <c r="W37" s="10">
        <f t="shared" si="3"/>
        <v>0</v>
      </c>
      <c r="X37" s="10"/>
      <c r="Y37" s="10"/>
      <c r="Z37" s="11">
        <f t="shared" si="4"/>
        <v>7517093</v>
      </c>
      <c r="AA37" s="14"/>
      <c r="AB37" s="14"/>
      <c r="AC37" s="11">
        <f t="shared" si="5"/>
        <v>7517093</v>
      </c>
      <c r="AD37" s="10">
        <f t="shared" si="6"/>
        <v>300</v>
      </c>
      <c r="AE37" s="15">
        <v>111729</v>
      </c>
      <c r="AF37" s="16">
        <v>20112</v>
      </c>
      <c r="AG37" s="15">
        <f t="shared" si="7"/>
        <v>0</v>
      </c>
      <c r="AH37" s="15">
        <f t="shared" si="8"/>
        <v>0</v>
      </c>
      <c r="AI37" s="15">
        <f t="shared" si="9"/>
        <v>111729</v>
      </c>
      <c r="AJ37" s="15">
        <f t="shared" si="10"/>
        <v>20112</v>
      </c>
      <c r="AK37" s="10">
        <v>111729</v>
      </c>
      <c r="AL37" s="15">
        <f t="shared" si="11"/>
        <v>111729</v>
      </c>
      <c r="AM37" s="15">
        <f t="shared" si="12"/>
        <v>7628822</v>
      </c>
      <c r="AN37" s="15">
        <f t="shared" si="13"/>
        <v>922164</v>
      </c>
      <c r="AO37" s="15">
        <f t="shared" si="14"/>
        <v>1033893</v>
      </c>
      <c r="AP37" s="17">
        <f t="shared" si="15"/>
        <v>8662715</v>
      </c>
      <c r="AQ37" s="15">
        <v>7577234</v>
      </c>
      <c r="AR37" s="15">
        <v>0</v>
      </c>
      <c r="AS37" s="18">
        <f t="shared" si="16"/>
        <v>1085481</v>
      </c>
      <c r="AT37" s="19">
        <v>0</v>
      </c>
      <c r="AU37" s="8">
        <v>8800</v>
      </c>
      <c r="AV37" s="13">
        <f t="shared" si="17"/>
        <v>3277384</v>
      </c>
      <c r="AW37" s="18">
        <f t="shared" si="18"/>
        <v>7628822</v>
      </c>
      <c r="AX37" s="15">
        <f t="shared" si="19"/>
        <v>7629000</v>
      </c>
      <c r="AY37" s="20">
        <v>0.06</v>
      </c>
      <c r="AZ37" s="13">
        <f t="shared" si="20"/>
        <v>457740</v>
      </c>
      <c r="BA37" s="15">
        <f t="shared" si="21"/>
        <v>457800</v>
      </c>
      <c r="BB37" s="21">
        <f t="shared" si="22"/>
        <v>1543281</v>
      </c>
      <c r="BC37" s="10">
        <f t="shared" si="23"/>
        <v>0</v>
      </c>
      <c r="BD37" s="10">
        <f t="shared" si="24"/>
        <v>0</v>
      </c>
      <c r="BE37" s="10">
        <v>73.900000000000006</v>
      </c>
      <c r="BF37" s="10">
        <v>34.6</v>
      </c>
      <c r="BG37" s="107">
        <v>46176</v>
      </c>
      <c r="BH37" s="107">
        <f t="shared" si="27"/>
        <v>46206</v>
      </c>
      <c r="BI37" s="23">
        <v>6</v>
      </c>
      <c r="BJ37" s="6"/>
      <c r="BK37" s="6"/>
      <c r="BL37" s="24">
        <f>VLOOKUP(A37,[2]Sheet1!$D$2:$H$933,5,0)</f>
        <v>0</v>
      </c>
      <c r="BM37" s="6" t="s">
        <v>3828</v>
      </c>
      <c r="BN37" s="6" t="s">
        <v>3829</v>
      </c>
      <c r="BO37" s="6" t="s">
        <v>3820</v>
      </c>
      <c r="BP37" s="6" t="s">
        <v>3821</v>
      </c>
      <c r="BQ37" s="6" t="s">
        <v>3830</v>
      </c>
      <c r="BR37" t="s">
        <v>3823</v>
      </c>
      <c r="BS37" t="s">
        <v>3824</v>
      </c>
      <c r="BT37" t="s">
        <v>3825</v>
      </c>
      <c r="BU37" t="s">
        <v>3826</v>
      </c>
      <c r="BV37" t="s">
        <v>3827</v>
      </c>
      <c r="BW37" t="s">
        <v>3835</v>
      </c>
      <c r="BX37">
        <v>0</v>
      </c>
      <c r="BY37" t="s">
        <v>3870</v>
      </c>
      <c r="BZ37" t="s">
        <v>3860</v>
      </c>
    </row>
    <row r="38" spans="1:78" x14ac:dyDescent="0.25">
      <c r="A38" s="7" t="s">
        <v>219</v>
      </c>
      <c r="B38" s="7" t="s">
        <v>181</v>
      </c>
      <c r="C38" s="7" t="s">
        <v>217</v>
      </c>
      <c r="D38" s="8" t="s">
        <v>218</v>
      </c>
      <c r="E38" s="7" t="s">
        <v>220</v>
      </c>
      <c r="F38" s="9">
        <v>44987</v>
      </c>
      <c r="G38" s="9" t="s">
        <v>65</v>
      </c>
      <c r="H38" s="9" t="s">
        <v>66</v>
      </c>
      <c r="I38" s="8" t="s">
        <v>78</v>
      </c>
      <c r="J38" s="10">
        <v>669.52</v>
      </c>
      <c r="K38" s="10">
        <v>669.52</v>
      </c>
      <c r="L38" s="10">
        <f t="shared" si="0"/>
        <v>0</v>
      </c>
      <c r="M38" s="10">
        <v>312.16000000000003</v>
      </c>
      <c r="N38" s="10">
        <v>312.16000000000003</v>
      </c>
      <c r="O38" s="10">
        <f t="shared" si="1"/>
        <v>0</v>
      </c>
      <c r="P38" s="11">
        <v>10150</v>
      </c>
      <c r="Q38" s="11">
        <v>21769.695028190668</v>
      </c>
      <c r="R38" s="11">
        <v>22000</v>
      </c>
      <c r="S38" s="11">
        <v>6795628</v>
      </c>
      <c r="T38" s="11">
        <v>815476</v>
      </c>
      <c r="U38" s="12">
        <f t="shared" si="2"/>
        <v>0.1200000941781981</v>
      </c>
      <c r="V38" s="13">
        <f t="shared" si="26"/>
        <v>0</v>
      </c>
      <c r="W38" s="10">
        <f t="shared" si="3"/>
        <v>0</v>
      </c>
      <c r="X38" s="10"/>
      <c r="Y38" s="10"/>
      <c r="Z38" s="11">
        <f t="shared" si="4"/>
        <v>6795628</v>
      </c>
      <c r="AA38" s="14"/>
      <c r="AB38" s="14"/>
      <c r="AC38" s="11">
        <f t="shared" si="5"/>
        <v>6795628</v>
      </c>
      <c r="AD38" s="10">
        <f t="shared" si="6"/>
        <v>300</v>
      </c>
      <c r="AE38" s="15">
        <v>93648</v>
      </c>
      <c r="AF38" s="16">
        <v>16856</v>
      </c>
      <c r="AG38" s="15">
        <f t="shared" si="7"/>
        <v>0</v>
      </c>
      <c r="AH38" s="15">
        <f t="shared" si="8"/>
        <v>0</v>
      </c>
      <c r="AI38" s="15">
        <f t="shared" si="9"/>
        <v>93648.000000000015</v>
      </c>
      <c r="AJ38" s="15">
        <f t="shared" si="10"/>
        <v>16857</v>
      </c>
      <c r="AK38" s="10">
        <v>93648</v>
      </c>
      <c r="AL38" s="15">
        <f t="shared" si="11"/>
        <v>93648.000000000015</v>
      </c>
      <c r="AM38" s="15">
        <f t="shared" si="12"/>
        <v>6889276</v>
      </c>
      <c r="AN38" s="15">
        <f t="shared" si="13"/>
        <v>832333</v>
      </c>
      <c r="AO38" s="15">
        <f t="shared" si="14"/>
        <v>925981</v>
      </c>
      <c r="AP38" s="17">
        <f t="shared" si="15"/>
        <v>7815257</v>
      </c>
      <c r="AQ38" s="15">
        <v>6850004</v>
      </c>
      <c r="AR38" s="15">
        <v>0</v>
      </c>
      <c r="AS38" s="18">
        <f t="shared" si="16"/>
        <v>965253</v>
      </c>
      <c r="AT38" s="19">
        <v>0</v>
      </c>
      <c r="AU38" s="8">
        <v>8800</v>
      </c>
      <c r="AV38" s="13">
        <f t="shared" si="17"/>
        <v>2747008</v>
      </c>
      <c r="AW38" s="18">
        <f t="shared" si="18"/>
        <v>6889276</v>
      </c>
      <c r="AX38" s="15">
        <f t="shared" si="19"/>
        <v>6890000</v>
      </c>
      <c r="AY38" s="20">
        <v>0.05</v>
      </c>
      <c r="AZ38" s="13">
        <f t="shared" si="20"/>
        <v>344500</v>
      </c>
      <c r="BA38" s="15">
        <f t="shared" si="21"/>
        <v>344500</v>
      </c>
      <c r="BB38" s="21">
        <f t="shared" si="22"/>
        <v>1309753</v>
      </c>
      <c r="BC38" s="10">
        <f t="shared" si="23"/>
        <v>0</v>
      </c>
      <c r="BD38" s="10">
        <f t="shared" si="24"/>
        <v>0</v>
      </c>
      <c r="BE38" s="10">
        <v>62.2</v>
      </c>
      <c r="BF38" s="10">
        <v>29</v>
      </c>
      <c r="BG38" s="107">
        <v>46176</v>
      </c>
      <c r="BH38" s="107">
        <f t="shared" si="27"/>
        <v>46206</v>
      </c>
      <c r="BI38" s="23">
        <v>5</v>
      </c>
      <c r="BJ38" s="6"/>
      <c r="BK38" s="6"/>
      <c r="BL38" s="24">
        <f>VLOOKUP(A38,[2]Sheet1!$D$2:$H$933,5,0)</f>
        <v>0</v>
      </c>
      <c r="BM38" s="6" t="s">
        <v>3828</v>
      </c>
      <c r="BN38" s="6" t="s">
        <v>3829</v>
      </c>
      <c r="BO38" s="6" t="s">
        <v>3820</v>
      </c>
      <c r="BP38" s="6" t="s">
        <v>3821</v>
      </c>
      <c r="BQ38" s="6" t="s">
        <v>3830</v>
      </c>
      <c r="BR38" t="s">
        <v>3823</v>
      </c>
      <c r="BS38" t="s">
        <v>3824</v>
      </c>
      <c r="BT38" t="s">
        <v>3825</v>
      </c>
      <c r="BU38" t="s">
        <v>3826</v>
      </c>
      <c r="BV38" t="s">
        <v>3827</v>
      </c>
      <c r="BW38" t="s">
        <v>3835</v>
      </c>
      <c r="BX38">
        <v>0</v>
      </c>
      <c r="BY38" t="s">
        <v>3867</v>
      </c>
      <c r="BZ38" t="s">
        <v>3860</v>
      </c>
    </row>
    <row r="39" spans="1:78" x14ac:dyDescent="0.25">
      <c r="A39" s="7" t="s">
        <v>223</v>
      </c>
      <c r="B39" s="7" t="s">
        <v>181</v>
      </c>
      <c r="C39" s="7" t="s">
        <v>221</v>
      </c>
      <c r="D39" s="8" t="s">
        <v>222</v>
      </c>
      <c r="E39" s="7" t="s">
        <v>224</v>
      </c>
      <c r="F39" s="9">
        <v>45000</v>
      </c>
      <c r="G39" s="9" t="s">
        <v>65</v>
      </c>
      <c r="H39" s="9" t="s">
        <v>66</v>
      </c>
      <c r="I39" s="8" t="s">
        <v>78</v>
      </c>
      <c r="J39" s="10">
        <v>1062.4100000000001</v>
      </c>
      <c r="K39" s="10">
        <v>1062.4100000000001</v>
      </c>
      <c r="L39" s="10">
        <f t="shared" si="0"/>
        <v>0</v>
      </c>
      <c r="M39" s="10">
        <v>489.76</v>
      </c>
      <c r="N39" s="10">
        <v>489.76</v>
      </c>
      <c r="O39" s="10">
        <f t="shared" si="1"/>
        <v>0</v>
      </c>
      <c r="P39" s="11">
        <v>15199.999999999998</v>
      </c>
      <c r="Q39" s="11">
        <v>32972.541653054555</v>
      </c>
      <c r="R39" s="11">
        <v>22000</v>
      </c>
      <c r="S39" s="11">
        <v>16148632</v>
      </c>
      <c r="T39" s="11">
        <v>1937836</v>
      </c>
      <c r="U39" s="12">
        <f t="shared" si="2"/>
        <v>0.12000000990796</v>
      </c>
      <c r="V39" s="13">
        <f t="shared" si="26"/>
        <v>0</v>
      </c>
      <c r="W39" s="10">
        <f t="shared" si="3"/>
        <v>0</v>
      </c>
      <c r="X39" s="10"/>
      <c r="Y39" s="10"/>
      <c r="Z39" s="11">
        <f t="shared" si="4"/>
        <v>16148632</v>
      </c>
      <c r="AA39" s="14"/>
      <c r="AB39" s="14"/>
      <c r="AC39" s="11">
        <f t="shared" si="5"/>
        <v>16148632</v>
      </c>
      <c r="AD39" s="10">
        <f t="shared" si="6"/>
        <v>300</v>
      </c>
      <c r="AE39" s="15">
        <v>146928</v>
      </c>
      <c r="AF39" s="16">
        <v>26448</v>
      </c>
      <c r="AG39" s="15">
        <f t="shared" si="7"/>
        <v>0</v>
      </c>
      <c r="AH39" s="15">
        <f t="shared" si="8"/>
        <v>0</v>
      </c>
      <c r="AI39" s="15">
        <f t="shared" si="9"/>
        <v>146928</v>
      </c>
      <c r="AJ39" s="15">
        <f t="shared" si="10"/>
        <v>26448</v>
      </c>
      <c r="AK39" s="10">
        <v>146928</v>
      </c>
      <c r="AL39" s="15">
        <f t="shared" si="11"/>
        <v>146928</v>
      </c>
      <c r="AM39" s="15">
        <f t="shared" si="12"/>
        <v>16295560</v>
      </c>
      <c r="AN39" s="15">
        <f t="shared" si="13"/>
        <v>1964284</v>
      </c>
      <c r="AO39" s="15">
        <f t="shared" si="14"/>
        <v>2111212</v>
      </c>
      <c r="AP39" s="17">
        <f t="shared" si="15"/>
        <v>18406772</v>
      </c>
      <c r="AQ39" s="15">
        <v>16277822</v>
      </c>
      <c r="AR39" s="15">
        <v>0</v>
      </c>
      <c r="AS39" s="18">
        <f t="shared" si="16"/>
        <v>2128950</v>
      </c>
      <c r="AT39" s="19">
        <v>0</v>
      </c>
      <c r="AU39" s="8">
        <v>8800</v>
      </c>
      <c r="AV39" s="13">
        <f t="shared" si="17"/>
        <v>4309888</v>
      </c>
      <c r="AW39" s="18">
        <f t="shared" si="18"/>
        <v>16295560</v>
      </c>
      <c r="AX39" s="15">
        <f t="shared" si="19"/>
        <v>16296000</v>
      </c>
      <c r="AY39" s="20">
        <v>0.06</v>
      </c>
      <c r="AZ39" s="13">
        <f t="shared" si="20"/>
        <v>977760</v>
      </c>
      <c r="BA39" s="15">
        <f t="shared" si="21"/>
        <v>977800</v>
      </c>
      <c r="BB39" s="21">
        <f t="shared" si="22"/>
        <v>3106750</v>
      </c>
      <c r="BC39" s="10">
        <f t="shared" si="23"/>
        <v>0</v>
      </c>
      <c r="BD39" s="10">
        <f t="shared" si="24"/>
        <v>0</v>
      </c>
      <c r="BE39" s="10">
        <v>98.7</v>
      </c>
      <c r="BF39" s="10">
        <v>45.5</v>
      </c>
      <c r="BG39" s="107">
        <v>46176</v>
      </c>
      <c r="BH39" s="107">
        <f t="shared" si="27"/>
        <v>46206</v>
      </c>
      <c r="BI39" s="23">
        <v>6</v>
      </c>
      <c r="BJ39" s="6"/>
      <c r="BK39" s="6"/>
      <c r="BL39" s="24">
        <f>VLOOKUP(A39,[2]Sheet1!$D$2:$H$933,5,0)</f>
        <v>0</v>
      </c>
      <c r="BM39" s="6" t="s">
        <v>3828</v>
      </c>
      <c r="BN39" s="6" t="s">
        <v>3829</v>
      </c>
      <c r="BO39" s="6" t="s">
        <v>3820</v>
      </c>
      <c r="BP39" s="6" t="s">
        <v>3821</v>
      </c>
      <c r="BQ39" s="6" t="s">
        <v>3830</v>
      </c>
      <c r="BR39" t="s">
        <v>3823</v>
      </c>
      <c r="BS39" t="s">
        <v>3824</v>
      </c>
      <c r="BT39" t="s">
        <v>3825</v>
      </c>
      <c r="BU39" t="s">
        <v>3826</v>
      </c>
      <c r="BV39" t="s">
        <v>3827</v>
      </c>
      <c r="BW39" t="s">
        <v>3835</v>
      </c>
      <c r="BX39">
        <v>0</v>
      </c>
      <c r="BY39" t="s">
        <v>3870</v>
      </c>
      <c r="BZ39" t="s">
        <v>3860</v>
      </c>
    </row>
    <row r="40" spans="1:78" x14ac:dyDescent="0.25">
      <c r="A40" s="7" t="s">
        <v>228</v>
      </c>
      <c r="B40" s="7" t="s">
        <v>181</v>
      </c>
      <c r="C40" s="7" t="s">
        <v>226</v>
      </c>
      <c r="D40" s="8" t="s">
        <v>227</v>
      </c>
      <c r="E40" s="7" t="s">
        <v>229</v>
      </c>
      <c r="F40" s="9">
        <v>44996</v>
      </c>
      <c r="G40" s="9" t="s">
        <v>65</v>
      </c>
      <c r="H40" s="9" t="s">
        <v>66</v>
      </c>
      <c r="I40" s="8" t="s">
        <v>78</v>
      </c>
      <c r="J40" s="10">
        <v>521.84</v>
      </c>
      <c r="K40" s="10">
        <v>521.84</v>
      </c>
      <c r="L40" s="10">
        <f t="shared" si="0"/>
        <v>0</v>
      </c>
      <c r="M40" s="10">
        <v>231.43</v>
      </c>
      <c r="N40" s="10">
        <v>231.43</v>
      </c>
      <c r="O40" s="10">
        <f t="shared" si="1"/>
        <v>0</v>
      </c>
      <c r="P40" s="11">
        <v>12000</v>
      </c>
      <c r="Q40" s="11">
        <v>27058.2033444238</v>
      </c>
      <c r="R40" s="11">
        <v>22000</v>
      </c>
      <c r="S40" s="11">
        <v>6262080</v>
      </c>
      <c r="T40" s="11">
        <v>751450</v>
      </c>
      <c r="U40" s="12">
        <f t="shared" si="2"/>
        <v>0.12000006387653943</v>
      </c>
      <c r="V40" s="13">
        <f t="shared" si="26"/>
        <v>0</v>
      </c>
      <c r="W40" s="10">
        <f t="shared" si="3"/>
        <v>0</v>
      </c>
      <c r="X40" s="10"/>
      <c r="Y40" s="10"/>
      <c r="Z40" s="11">
        <f t="shared" si="4"/>
        <v>6262080</v>
      </c>
      <c r="AA40" s="14"/>
      <c r="AB40" s="14"/>
      <c r="AC40" s="11">
        <f t="shared" si="5"/>
        <v>6262080</v>
      </c>
      <c r="AD40" s="10">
        <f t="shared" si="6"/>
        <v>300</v>
      </c>
      <c r="AE40" s="15">
        <v>69429</v>
      </c>
      <c r="AF40" s="16">
        <v>12498</v>
      </c>
      <c r="AG40" s="15">
        <f t="shared" si="7"/>
        <v>0</v>
      </c>
      <c r="AH40" s="15">
        <f t="shared" si="8"/>
        <v>0</v>
      </c>
      <c r="AI40" s="15">
        <f t="shared" si="9"/>
        <v>69429</v>
      </c>
      <c r="AJ40" s="15">
        <f t="shared" si="10"/>
        <v>12498</v>
      </c>
      <c r="AK40" s="10">
        <v>69429</v>
      </c>
      <c r="AL40" s="15">
        <f t="shared" si="11"/>
        <v>69429</v>
      </c>
      <c r="AM40" s="15">
        <f t="shared" si="12"/>
        <v>6331509</v>
      </c>
      <c r="AN40" s="15">
        <f t="shared" si="13"/>
        <v>763948</v>
      </c>
      <c r="AO40" s="15">
        <f t="shared" si="14"/>
        <v>833377</v>
      </c>
      <c r="AP40" s="17">
        <f t="shared" si="15"/>
        <v>7164886</v>
      </c>
      <c r="AQ40" s="15">
        <v>6312178</v>
      </c>
      <c r="AR40" s="15">
        <v>0</v>
      </c>
      <c r="AS40" s="18">
        <f t="shared" si="16"/>
        <v>852708</v>
      </c>
      <c r="AT40" s="19">
        <v>0</v>
      </c>
      <c r="AU40" s="8">
        <v>8800</v>
      </c>
      <c r="AV40" s="13">
        <f t="shared" si="17"/>
        <v>2036584</v>
      </c>
      <c r="AW40" s="18">
        <f t="shared" si="18"/>
        <v>6331509</v>
      </c>
      <c r="AX40" s="15">
        <f t="shared" si="19"/>
        <v>6332000</v>
      </c>
      <c r="AY40" s="20">
        <v>0.05</v>
      </c>
      <c r="AZ40" s="13">
        <f t="shared" si="20"/>
        <v>316600</v>
      </c>
      <c r="BA40" s="15">
        <f t="shared" si="21"/>
        <v>316600</v>
      </c>
      <c r="BB40" s="21">
        <f t="shared" si="22"/>
        <v>1169308</v>
      </c>
      <c r="BC40" s="10">
        <f t="shared" si="23"/>
        <v>0</v>
      </c>
      <c r="BD40" s="10">
        <f t="shared" si="24"/>
        <v>0</v>
      </c>
      <c r="BE40" s="10">
        <v>48.48</v>
      </c>
      <c r="BF40" s="10">
        <v>21.5</v>
      </c>
      <c r="BG40" s="107">
        <v>46176</v>
      </c>
      <c r="BH40" s="107">
        <f t="shared" si="27"/>
        <v>46206</v>
      </c>
      <c r="BI40" s="23">
        <v>5</v>
      </c>
      <c r="BJ40" s="6"/>
      <c r="BK40" s="6"/>
      <c r="BL40" s="24">
        <f>VLOOKUP(A40,[2]Sheet1!$D$2:$H$933,5,0)</f>
        <v>0</v>
      </c>
      <c r="BM40" s="6" t="s">
        <v>3828</v>
      </c>
      <c r="BN40" s="6" t="s">
        <v>3829</v>
      </c>
      <c r="BO40" s="6" t="s">
        <v>3820</v>
      </c>
      <c r="BP40" s="6" t="s">
        <v>3821</v>
      </c>
      <c r="BQ40" s="6" t="s">
        <v>3830</v>
      </c>
      <c r="BR40" t="s">
        <v>3823</v>
      </c>
      <c r="BS40" t="s">
        <v>3824</v>
      </c>
      <c r="BT40" t="s">
        <v>3825</v>
      </c>
      <c r="BU40" t="s">
        <v>3826</v>
      </c>
      <c r="BV40" t="s">
        <v>3827</v>
      </c>
      <c r="BW40" t="s">
        <v>3835</v>
      </c>
      <c r="BX40">
        <v>0</v>
      </c>
      <c r="BY40" t="s">
        <v>3870</v>
      </c>
      <c r="BZ40" t="s">
        <v>3860</v>
      </c>
    </row>
    <row r="41" spans="1:78" x14ac:dyDescent="0.25">
      <c r="A41" s="7" t="s">
        <v>232</v>
      </c>
      <c r="B41" s="7" t="s">
        <v>181</v>
      </c>
      <c r="C41" s="7" t="s">
        <v>230</v>
      </c>
      <c r="D41" s="8" t="s">
        <v>231</v>
      </c>
      <c r="E41" s="7" t="s">
        <v>233</v>
      </c>
      <c r="F41" s="9">
        <v>45019</v>
      </c>
      <c r="G41" s="9" t="s">
        <v>65</v>
      </c>
      <c r="H41" s="9" t="s">
        <v>66</v>
      </c>
      <c r="I41" s="8" t="s">
        <v>78</v>
      </c>
      <c r="J41" s="10">
        <v>1184.04</v>
      </c>
      <c r="K41" s="10">
        <v>1184.04</v>
      </c>
      <c r="L41" s="10">
        <f t="shared" si="0"/>
        <v>0</v>
      </c>
      <c r="M41" s="10">
        <v>548.96</v>
      </c>
      <c r="N41" s="10">
        <v>548.96</v>
      </c>
      <c r="O41" s="10">
        <f t="shared" si="1"/>
        <v>0</v>
      </c>
      <c r="P41" s="11">
        <v>7221.8202087767304</v>
      </c>
      <c r="Q41" s="11">
        <v>15576.588458175458</v>
      </c>
      <c r="R41" s="11">
        <v>22000</v>
      </c>
      <c r="S41" s="11">
        <v>8550924</v>
      </c>
      <c r="T41" s="11">
        <v>1026112</v>
      </c>
      <c r="U41" s="12">
        <f t="shared" si="2"/>
        <v>0.12000013097999701</v>
      </c>
      <c r="V41" s="13">
        <f t="shared" si="26"/>
        <v>0</v>
      </c>
      <c r="W41" s="10">
        <f t="shared" si="3"/>
        <v>0</v>
      </c>
      <c r="X41" s="10"/>
      <c r="Y41" s="10"/>
      <c r="Z41" s="11">
        <f t="shared" si="4"/>
        <v>8550924</v>
      </c>
      <c r="AA41" s="14"/>
      <c r="AB41" s="14"/>
      <c r="AC41" s="11">
        <f t="shared" si="5"/>
        <v>8550924</v>
      </c>
      <c r="AD41" s="10">
        <f t="shared" si="6"/>
        <v>300</v>
      </c>
      <c r="AE41" s="15">
        <v>164688</v>
      </c>
      <c r="AF41" s="16">
        <v>29644</v>
      </c>
      <c r="AG41" s="15">
        <f t="shared" si="7"/>
        <v>0</v>
      </c>
      <c r="AH41" s="15">
        <f t="shared" si="8"/>
        <v>0</v>
      </c>
      <c r="AI41" s="15">
        <f t="shared" si="9"/>
        <v>164688</v>
      </c>
      <c r="AJ41" s="15">
        <f t="shared" si="10"/>
        <v>29644</v>
      </c>
      <c r="AK41" s="10">
        <v>164688</v>
      </c>
      <c r="AL41" s="15">
        <f t="shared" si="11"/>
        <v>164688</v>
      </c>
      <c r="AM41" s="15">
        <f t="shared" si="12"/>
        <v>8715612</v>
      </c>
      <c r="AN41" s="15">
        <f t="shared" si="13"/>
        <v>1055756</v>
      </c>
      <c r="AO41" s="15">
        <f t="shared" si="14"/>
        <v>1220444</v>
      </c>
      <c r="AP41" s="17">
        <f t="shared" si="15"/>
        <v>9936056</v>
      </c>
      <c r="AQ41" s="15">
        <v>1650000</v>
      </c>
      <c r="AR41" s="15">
        <v>0</v>
      </c>
      <c r="AS41" s="18">
        <f t="shared" si="16"/>
        <v>8286056</v>
      </c>
      <c r="AT41" s="19">
        <v>0</v>
      </c>
      <c r="AU41" s="8">
        <v>8800</v>
      </c>
      <c r="AV41" s="13">
        <f t="shared" si="17"/>
        <v>4830848</v>
      </c>
      <c r="AW41" s="18">
        <f t="shared" si="18"/>
        <v>8715612</v>
      </c>
      <c r="AX41" s="15">
        <f t="shared" si="19"/>
        <v>8716000</v>
      </c>
      <c r="AY41" s="20">
        <v>0.05</v>
      </c>
      <c r="AZ41" s="13">
        <f t="shared" si="20"/>
        <v>435800</v>
      </c>
      <c r="BA41" s="15">
        <f t="shared" si="21"/>
        <v>435800</v>
      </c>
      <c r="BB41" s="21">
        <f t="shared" si="22"/>
        <v>8721856</v>
      </c>
      <c r="BC41" s="10">
        <f t="shared" si="23"/>
        <v>0</v>
      </c>
      <c r="BD41" s="10">
        <f t="shared" si="24"/>
        <v>0</v>
      </c>
      <c r="BE41" s="10">
        <v>110</v>
      </c>
      <c r="BF41" s="10">
        <v>51</v>
      </c>
      <c r="BG41" s="107">
        <v>46176</v>
      </c>
      <c r="BH41" s="107">
        <f t="shared" si="27"/>
        <v>46206</v>
      </c>
      <c r="BI41" s="23">
        <v>5</v>
      </c>
      <c r="BJ41" s="6"/>
      <c r="BK41" s="6"/>
      <c r="BL41" s="24">
        <f>VLOOKUP(A41,[2]Sheet1!$D$2:$H$933,5,0)</f>
        <v>0</v>
      </c>
      <c r="BM41" s="6" t="s">
        <v>3828</v>
      </c>
      <c r="BN41" s="6" t="s">
        <v>3829</v>
      </c>
      <c r="BO41" s="6" t="s">
        <v>3820</v>
      </c>
      <c r="BP41" s="6" t="s">
        <v>3821</v>
      </c>
      <c r="BQ41" s="6" t="s">
        <v>3830</v>
      </c>
      <c r="BR41" t="s">
        <v>3823</v>
      </c>
      <c r="BS41" t="s">
        <v>3824</v>
      </c>
      <c r="BT41" t="s">
        <v>3825</v>
      </c>
      <c r="BU41" t="s">
        <v>3826</v>
      </c>
      <c r="BV41" t="s">
        <v>3827</v>
      </c>
      <c r="BW41" t="s">
        <v>3835</v>
      </c>
      <c r="BX41" s="101">
        <v>1126022.04</v>
      </c>
      <c r="BY41" t="s">
        <v>3864</v>
      </c>
      <c r="BZ41" t="s">
        <v>3860</v>
      </c>
    </row>
    <row r="42" spans="1:78" x14ac:dyDescent="0.25">
      <c r="A42" s="7" t="s">
        <v>236</v>
      </c>
      <c r="B42" s="7" t="s">
        <v>181</v>
      </c>
      <c r="C42" s="7" t="s">
        <v>234</v>
      </c>
      <c r="D42" s="8" t="s">
        <v>235</v>
      </c>
      <c r="E42" s="7" t="s">
        <v>237</v>
      </c>
      <c r="F42" s="9">
        <v>45266</v>
      </c>
      <c r="G42" s="9" t="s">
        <v>65</v>
      </c>
      <c r="H42" s="9" t="s">
        <v>66</v>
      </c>
      <c r="I42" s="8" t="s">
        <v>67</v>
      </c>
      <c r="J42" s="10">
        <v>484.38</v>
      </c>
      <c r="K42" s="10">
        <v>484.38</v>
      </c>
      <c r="L42" s="10">
        <f t="shared" si="0"/>
        <v>0</v>
      </c>
      <c r="M42" s="10">
        <v>201.83</v>
      </c>
      <c r="N42" s="10">
        <v>201.83</v>
      </c>
      <c r="O42" s="10">
        <f t="shared" si="1"/>
        <v>0</v>
      </c>
      <c r="P42" s="11">
        <v>11519.99876130311</v>
      </c>
      <c r="Q42" s="11">
        <v>27647.312094336816</v>
      </c>
      <c r="R42" s="11">
        <v>22000</v>
      </c>
      <c r="S42" s="11">
        <v>5580057</v>
      </c>
      <c r="T42" s="11">
        <v>669606</v>
      </c>
      <c r="U42" s="12">
        <f t="shared" si="2"/>
        <v>0.11999984946390332</v>
      </c>
      <c r="V42" s="13">
        <f t="shared" si="26"/>
        <v>0</v>
      </c>
      <c r="W42" s="10">
        <f t="shared" si="3"/>
        <v>0</v>
      </c>
      <c r="X42" s="10"/>
      <c r="Y42" s="10"/>
      <c r="Z42" s="11">
        <f t="shared" si="4"/>
        <v>5580057</v>
      </c>
      <c r="AA42" s="14"/>
      <c r="AB42" s="14"/>
      <c r="AC42" s="11">
        <f t="shared" si="5"/>
        <v>5580057</v>
      </c>
      <c r="AD42" s="10">
        <f t="shared" si="6"/>
        <v>300</v>
      </c>
      <c r="AE42" s="15">
        <v>60549</v>
      </c>
      <c r="AF42" s="16">
        <v>10898</v>
      </c>
      <c r="AG42" s="15">
        <f t="shared" si="7"/>
        <v>0</v>
      </c>
      <c r="AH42" s="15">
        <f t="shared" si="8"/>
        <v>0</v>
      </c>
      <c r="AI42" s="15">
        <f t="shared" si="9"/>
        <v>60549.000000000007</v>
      </c>
      <c r="AJ42" s="15">
        <f t="shared" si="10"/>
        <v>10899</v>
      </c>
      <c r="AK42" s="10">
        <v>60549</v>
      </c>
      <c r="AL42" s="15">
        <f t="shared" si="11"/>
        <v>60549.000000000007</v>
      </c>
      <c r="AM42" s="15">
        <f t="shared" si="12"/>
        <v>5640606</v>
      </c>
      <c r="AN42" s="15">
        <f t="shared" si="13"/>
        <v>680505</v>
      </c>
      <c r="AO42" s="15">
        <f t="shared" si="14"/>
        <v>741054</v>
      </c>
      <c r="AP42" s="17">
        <f t="shared" si="15"/>
        <v>6381660</v>
      </c>
      <c r="AQ42" s="15">
        <v>5624698</v>
      </c>
      <c r="AR42" s="15">
        <v>0</v>
      </c>
      <c r="AS42" s="18">
        <f t="shared" si="16"/>
        <v>756962</v>
      </c>
      <c r="AT42" s="19">
        <v>0</v>
      </c>
      <c r="AU42" s="8">
        <v>8800</v>
      </c>
      <c r="AV42" s="13">
        <f t="shared" si="17"/>
        <v>1776104</v>
      </c>
      <c r="AW42" s="18">
        <f t="shared" si="18"/>
        <v>5640606</v>
      </c>
      <c r="AX42" s="15">
        <f t="shared" si="19"/>
        <v>5641000</v>
      </c>
      <c r="AY42" s="20">
        <v>7.0000000000000007E-2</v>
      </c>
      <c r="AZ42" s="13">
        <f t="shared" si="20"/>
        <v>394870.00000000006</v>
      </c>
      <c r="BA42" s="15">
        <f t="shared" si="21"/>
        <v>394900</v>
      </c>
      <c r="BB42" s="21">
        <f t="shared" si="22"/>
        <v>1151862</v>
      </c>
      <c r="BC42" s="10">
        <f t="shared" si="23"/>
        <v>0</v>
      </c>
      <c r="BD42" s="10">
        <f t="shared" si="24"/>
        <v>0</v>
      </c>
      <c r="BE42" s="10">
        <v>45</v>
      </c>
      <c r="BF42" s="10">
        <v>18.75</v>
      </c>
      <c r="BG42" s="107">
        <v>46176</v>
      </c>
      <c r="BH42" s="107">
        <f t="shared" si="27"/>
        <v>46206</v>
      </c>
      <c r="BI42" s="23">
        <v>7</v>
      </c>
      <c r="BJ42" s="6"/>
      <c r="BK42" s="6"/>
      <c r="BL42" s="24">
        <f>VLOOKUP(A42,[2]Sheet1!$D$2:$H$933,5,0)</f>
        <v>0</v>
      </c>
      <c r="BM42" s="6" t="s">
        <v>3828</v>
      </c>
      <c r="BN42" s="6" t="s">
        <v>3829</v>
      </c>
      <c r="BO42" s="6" t="s">
        <v>3820</v>
      </c>
      <c r="BP42" s="6" t="s">
        <v>3821</v>
      </c>
      <c r="BQ42" s="6" t="s">
        <v>3830</v>
      </c>
      <c r="BR42" t="s">
        <v>3823</v>
      </c>
      <c r="BS42" t="s">
        <v>3824</v>
      </c>
      <c r="BT42" t="s">
        <v>3825</v>
      </c>
      <c r="BU42" t="s">
        <v>3826</v>
      </c>
      <c r="BV42" t="s">
        <v>3827</v>
      </c>
      <c r="BW42" t="s">
        <v>3835</v>
      </c>
      <c r="BX42">
        <v>0</v>
      </c>
      <c r="BY42" t="s">
        <v>3859</v>
      </c>
      <c r="BZ42" t="s">
        <v>3860</v>
      </c>
    </row>
    <row r="43" spans="1:78" x14ac:dyDescent="0.25">
      <c r="A43" s="7" t="s">
        <v>240</v>
      </c>
      <c r="B43" s="7" t="s">
        <v>181</v>
      </c>
      <c r="C43" s="7" t="s">
        <v>238</v>
      </c>
      <c r="D43" s="8" t="s">
        <v>239</v>
      </c>
      <c r="E43" s="7" t="s">
        <v>241</v>
      </c>
      <c r="F43" s="9">
        <v>45030</v>
      </c>
      <c r="G43" s="9" t="s">
        <v>65</v>
      </c>
      <c r="H43" s="9" t="s">
        <v>66</v>
      </c>
      <c r="I43" s="8" t="s">
        <v>67</v>
      </c>
      <c r="J43" s="10">
        <v>571.69000000000005</v>
      </c>
      <c r="K43" s="10">
        <v>571.69000000000005</v>
      </c>
      <c r="L43" s="10">
        <f t="shared" si="0"/>
        <v>0</v>
      </c>
      <c r="M43" s="10">
        <v>234.66</v>
      </c>
      <c r="N43" s="10">
        <v>234.66</v>
      </c>
      <c r="O43" s="10">
        <f t="shared" si="1"/>
        <v>0</v>
      </c>
      <c r="P43" s="11">
        <v>12927.999440256082</v>
      </c>
      <c r="Q43" s="11">
        <v>31495.815222023353</v>
      </c>
      <c r="R43" s="11">
        <v>22000</v>
      </c>
      <c r="S43" s="11">
        <v>7390808</v>
      </c>
      <c r="T43" s="11">
        <v>886898</v>
      </c>
      <c r="U43" s="12">
        <f t="shared" si="2"/>
        <v>0.1200001407153318</v>
      </c>
      <c r="V43" s="13">
        <f t="shared" si="26"/>
        <v>0</v>
      </c>
      <c r="W43" s="10">
        <f t="shared" si="3"/>
        <v>0</v>
      </c>
      <c r="X43" s="10"/>
      <c r="Y43" s="10"/>
      <c r="Z43" s="11">
        <f t="shared" si="4"/>
        <v>7390808</v>
      </c>
      <c r="AA43" s="14"/>
      <c r="AB43" s="14"/>
      <c r="AC43" s="11">
        <f t="shared" si="5"/>
        <v>7390808</v>
      </c>
      <c r="AD43" s="10">
        <f t="shared" si="6"/>
        <v>300</v>
      </c>
      <c r="AE43" s="15">
        <v>70398</v>
      </c>
      <c r="AF43" s="16">
        <v>12672</v>
      </c>
      <c r="AG43" s="15">
        <f t="shared" si="7"/>
        <v>0</v>
      </c>
      <c r="AH43" s="15">
        <f t="shared" si="8"/>
        <v>0</v>
      </c>
      <c r="AI43" s="15">
        <f t="shared" si="9"/>
        <v>70398</v>
      </c>
      <c r="AJ43" s="15">
        <f t="shared" si="10"/>
        <v>12672</v>
      </c>
      <c r="AK43" s="10">
        <v>70398</v>
      </c>
      <c r="AL43" s="15">
        <f t="shared" si="11"/>
        <v>70398</v>
      </c>
      <c r="AM43" s="15">
        <f t="shared" si="12"/>
        <v>7461206</v>
      </c>
      <c r="AN43" s="15">
        <f t="shared" si="13"/>
        <v>899570</v>
      </c>
      <c r="AO43" s="15">
        <f t="shared" si="14"/>
        <v>969968</v>
      </c>
      <c r="AP43" s="17">
        <f t="shared" si="15"/>
        <v>8431174</v>
      </c>
      <c r="AQ43" s="15">
        <v>7449985</v>
      </c>
      <c r="AR43" s="15">
        <v>0</v>
      </c>
      <c r="AS43" s="18">
        <f t="shared" si="16"/>
        <v>981189</v>
      </c>
      <c r="AT43" s="19">
        <v>0</v>
      </c>
      <c r="AU43" s="8">
        <v>8800</v>
      </c>
      <c r="AV43" s="13">
        <f t="shared" si="17"/>
        <v>2065008</v>
      </c>
      <c r="AW43" s="18">
        <f t="shared" si="18"/>
        <v>7461206</v>
      </c>
      <c r="AX43" s="15">
        <f t="shared" si="19"/>
        <v>7462000</v>
      </c>
      <c r="AY43" s="20">
        <v>0.05</v>
      </c>
      <c r="AZ43" s="13">
        <f t="shared" si="20"/>
        <v>373100</v>
      </c>
      <c r="BA43" s="15">
        <f t="shared" si="21"/>
        <v>373100</v>
      </c>
      <c r="BB43" s="21">
        <f t="shared" si="22"/>
        <v>1354289</v>
      </c>
      <c r="BC43" s="10">
        <f t="shared" si="23"/>
        <v>0</v>
      </c>
      <c r="BD43" s="10">
        <f t="shared" si="24"/>
        <v>0</v>
      </c>
      <c r="BE43" s="10">
        <v>53.11</v>
      </c>
      <c r="BF43" s="10">
        <v>21.8</v>
      </c>
      <c r="BG43" s="107">
        <v>46176</v>
      </c>
      <c r="BH43" s="107">
        <f t="shared" si="27"/>
        <v>46206</v>
      </c>
      <c r="BI43" s="23">
        <v>5</v>
      </c>
      <c r="BJ43" s="6"/>
      <c r="BK43" s="6"/>
      <c r="BL43" s="24">
        <f>VLOOKUP(A43,[2]Sheet1!$D$2:$H$933,5,0)</f>
        <v>0</v>
      </c>
      <c r="BM43" s="6" t="s">
        <v>3828</v>
      </c>
      <c r="BN43" s="6" t="s">
        <v>3829</v>
      </c>
      <c r="BO43" s="6" t="s">
        <v>3820</v>
      </c>
      <c r="BP43" s="6" t="s">
        <v>3821</v>
      </c>
      <c r="BQ43" s="6" t="s">
        <v>3830</v>
      </c>
      <c r="BR43" t="s">
        <v>3823</v>
      </c>
      <c r="BS43" t="s">
        <v>3824</v>
      </c>
      <c r="BT43" t="s">
        <v>3825</v>
      </c>
      <c r="BU43" t="s">
        <v>3826</v>
      </c>
      <c r="BV43" t="s">
        <v>3827</v>
      </c>
      <c r="BW43" t="s">
        <v>3835</v>
      </c>
      <c r="BX43">
        <v>0</v>
      </c>
      <c r="BY43" t="s">
        <v>3867</v>
      </c>
      <c r="BZ43" t="s">
        <v>3860</v>
      </c>
    </row>
    <row r="44" spans="1:78" x14ac:dyDescent="0.25">
      <c r="A44" s="7" t="s">
        <v>244</v>
      </c>
      <c r="B44" s="7" t="s">
        <v>181</v>
      </c>
      <c r="C44" s="7" t="s">
        <v>242</v>
      </c>
      <c r="D44" s="8" t="s">
        <v>243</v>
      </c>
      <c r="E44" s="7" t="s">
        <v>245</v>
      </c>
      <c r="F44" s="9">
        <v>44900</v>
      </c>
      <c r="G44" s="9" t="s">
        <v>65</v>
      </c>
      <c r="H44" s="9" t="s">
        <v>72</v>
      </c>
      <c r="I44" s="8" t="s">
        <v>78</v>
      </c>
      <c r="J44" s="10">
        <v>369.21</v>
      </c>
      <c r="K44" s="10">
        <v>369.21</v>
      </c>
      <c r="L44" s="10">
        <f t="shared" si="0"/>
        <v>0</v>
      </c>
      <c r="M44" s="10">
        <v>160.38</v>
      </c>
      <c r="N44" s="10">
        <v>160.38</v>
      </c>
      <c r="O44" s="10">
        <f t="shared" si="1"/>
        <v>0</v>
      </c>
      <c r="P44" s="11">
        <v>12900</v>
      </c>
      <c r="Q44" s="11">
        <v>29697.025813692482</v>
      </c>
      <c r="R44" s="11">
        <v>20000</v>
      </c>
      <c r="S44" s="11">
        <v>4762809</v>
      </c>
      <c r="T44" s="11">
        <v>571538</v>
      </c>
      <c r="U44" s="12">
        <f t="shared" si="2"/>
        <v>0.12000019316332022</v>
      </c>
      <c r="V44" s="13">
        <f t="shared" si="26"/>
        <v>0</v>
      </c>
      <c r="W44" s="10">
        <f t="shared" si="3"/>
        <v>0</v>
      </c>
      <c r="X44" s="10"/>
      <c r="Y44" s="10"/>
      <c r="Z44" s="11">
        <f t="shared" si="4"/>
        <v>4762809</v>
      </c>
      <c r="AA44" s="14">
        <v>408680</v>
      </c>
      <c r="AB44" s="14">
        <v>49042</v>
      </c>
      <c r="AC44" s="11">
        <f t="shared" si="5"/>
        <v>4354129</v>
      </c>
      <c r="AD44" s="10">
        <f t="shared" si="6"/>
        <v>300</v>
      </c>
      <c r="AE44" s="15">
        <v>48114</v>
      </c>
      <c r="AF44" s="16">
        <v>8660</v>
      </c>
      <c r="AG44" s="15">
        <f t="shared" si="7"/>
        <v>0</v>
      </c>
      <c r="AH44" s="15">
        <f t="shared" si="8"/>
        <v>0</v>
      </c>
      <c r="AI44" s="15">
        <f t="shared" si="9"/>
        <v>48114</v>
      </c>
      <c r="AJ44" s="15">
        <f t="shared" si="10"/>
        <v>8661</v>
      </c>
      <c r="AK44" s="10">
        <v>48114</v>
      </c>
      <c r="AL44" s="15">
        <f t="shared" si="11"/>
        <v>48114</v>
      </c>
      <c r="AM44" s="15">
        <f t="shared" si="12"/>
        <v>4402243</v>
      </c>
      <c r="AN44" s="15">
        <f t="shared" si="13"/>
        <v>531157</v>
      </c>
      <c r="AO44" s="15">
        <f t="shared" si="14"/>
        <v>579271</v>
      </c>
      <c r="AP44" s="17">
        <f t="shared" si="15"/>
        <v>4981514</v>
      </c>
      <c r="AQ44" s="15">
        <v>4343191</v>
      </c>
      <c r="AR44" s="15">
        <v>0</v>
      </c>
      <c r="AS44" s="18">
        <f t="shared" si="16"/>
        <v>638323</v>
      </c>
      <c r="AT44" s="19">
        <v>0</v>
      </c>
      <c r="AU44" s="8">
        <v>8800</v>
      </c>
      <c r="AV44" s="13">
        <f t="shared" si="17"/>
        <v>1411344</v>
      </c>
      <c r="AW44" s="18">
        <f t="shared" si="18"/>
        <v>4402243</v>
      </c>
      <c r="AX44" s="15">
        <f t="shared" si="19"/>
        <v>4403000</v>
      </c>
      <c r="AY44" s="20">
        <v>7.0000000000000007E-2</v>
      </c>
      <c r="AZ44" s="13">
        <f t="shared" si="20"/>
        <v>308210.00000000006</v>
      </c>
      <c r="BA44" s="15">
        <f t="shared" si="21"/>
        <v>308300</v>
      </c>
      <c r="BB44" s="21">
        <f t="shared" si="22"/>
        <v>946623</v>
      </c>
      <c r="BC44" s="10">
        <f t="shared" si="23"/>
        <v>0</v>
      </c>
      <c r="BD44" s="10">
        <f t="shared" si="24"/>
        <v>0</v>
      </c>
      <c r="BE44" s="10">
        <v>34.299999999999997</v>
      </c>
      <c r="BF44" s="10">
        <v>14.9</v>
      </c>
      <c r="BG44" s="107">
        <v>46176</v>
      </c>
      <c r="BH44" s="107">
        <f t="shared" si="27"/>
        <v>46206</v>
      </c>
      <c r="BI44" s="23">
        <v>7</v>
      </c>
      <c r="BJ44" s="6"/>
      <c r="BK44" s="6"/>
      <c r="BL44" s="24">
        <f>VLOOKUP(A44,[2]Sheet1!$D$2:$H$933,5,0)</f>
        <v>0</v>
      </c>
      <c r="BM44" s="6" t="s">
        <v>3828</v>
      </c>
      <c r="BN44" s="6" t="s">
        <v>3829</v>
      </c>
      <c r="BO44" s="6" t="s">
        <v>3820</v>
      </c>
      <c r="BP44" s="6" t="s">
        <v>3821</v>
      </c>
      <c r="BQ44" s="6" t="s">
        <v>3830</v>
      </c>
      <c r="BR44" t="s">
        <v>3823</v>
      </c>
      <c r="BS44" t="s">
        <v>3824</v>
      </c>
      <c r="BT44" t="s">
        <v>3825</v>
      </c>
      <c r="BU44" t="s">
        <v>3826</v>
      </c>
      <c r="BV44" t="s">
        <v>3827</v>
      </c>
      <c r="BW44" t="s">
        <v>3835</v>
      </c>
      <c r="BX44">
        <v>0</v>
      </c>
      <c r="BY44" t="s">
        <v>3859</v>
      </c>
      <c r="BZ44" t="s">
        <v>3860</v>
      </c>
    </row>
    <row r="45" spans="1:78" x14ac:dyDescent="0.25">
      <c r="A45" s="7" t="s">
        <v>248</v>
      </c>
      <c r="B45" s="7" t="s">
        <v>181</v>
      </c>
      <c r="C45" s="7" t="s">
        <v>246</v>
      </c>
      <c r="D45" s="8" t="s">
        <v>247</v>
      </c>
      <c r="E45" s="7" t="s">
        <v>249</v>
      </c>
      <c r="F45" s="9">
        <v>45222</v>
      </c>
      <c r="G45" s="9" t="s">
        <v>65</v>
      </c>
      <c r="H45" s="9" t="s">
        <v>72</v>
      </c>
      <c r="I45" s="8" t="s">
        <v>78</v>
      </c>
      <c r="J45" s="10">
        <v>369.21</v>
      </c>
      <c r="K45" s="10">
        <v>369.21</v>
      </c>
      <c r="L45" s="10">
        <f t="shared" si="0"/>
        <v>0</v>
      </c>
      <c r="M45" s="10">
        <v>160.38</v>
      </c>
      <c r="N45" s="10">
        <v>160.38</v>
      </c>
      <c r="O45" s="10">
        <f t="shared" si="1"/>
        <v>0</v>
      </c>
      <c r="P45" s="11">
        <v>10500</v>
      </c>
      <c r="Q45" s="11">
        <v>24171.997755331089</v>
      </c>
      <c r="R45" s="11">
        <v>20000</v>
      </c>
      <c r="S45" s="11">
        <v>3876705</v>
      </c>
      <c r="T45" s="11">
        <v>465206</v>
      </c>
      <c r="U45" s="12">
        <f t="shared" si="2"/>
        <v>0.12000036113142476</v>
      </c>
      <c r="V45" s="13">
        <f t="shared" si="26"/>
        <v>0</v>
      </c>
      <c r="W45" s="10">
        <f t="shared" si="3"/>
        <v>0</v>
      </c>
      <c r="X45" s="10"/>
      <c r="Y45" s="10"/>
      <c r="Z45" s="11">
        <f t="shared" si="4"/>
        <v>3876705</v>
      </c>
      <c r="AA45" s="14"/>
      <c r="AB45" s="14"/>
      <c r="AC45" s="11">
        <f t="shared" si="5"/>
        <v>3876705</v>
      </c>
      <c r="AD45" s="10">
        <f t="shared" si="6"/>
        <v>300</v>
      </c>
      <c r="AE45" s="15">
        <v>48114</v>
      </c>
      <c r="AF45" s="16">
        <v>8660</v>
      </c>
      <c r="AG45" s="15">
        <f t="shared" si="7"/>
        <v>0</v>
      </c>
      <c r="AH45" s="15">
        <f t="shared" si="8"/>
        <v>0</v>
      </c>
      <c r="AI45" s="15">
        <f t="shared" si="9"/>
        <v>48114</v>
      </c>
      <c r="AJ45" s="15">
        <f t="shared" si="10"/>
        <v>8661</v>
      </c>
      <c r="AK45" s="10">
        <v>48114</v>
      </c>
      <c r="AL45" s="15">
        <f t="shared" si="11"/>
        <v>48114</v>
      </c>
      <c r="AM45" s="15">
        <f t="shared" si="12"/>
        <v>3924819</v>
      </c>
      <c r="AN45" s="15">
        <f t="shared" si="13"/>
        <v>473867</v>
      </c>
      <c r="AO45" s="15">
        <f t="shared" si="14"/>
        <v>521981</v>
      </c>
      <c r="AP45" s="17">
        <f t="shared" si="15"/>
        <v>4446800</v>
      </c>
      <c r="AQ45" s="15">
        <v>3094348</v>
      </c>
      <c r="AR45" s="15">
        <v>0</v>
      </c>
      <c r="AS45" s="18">
        <f t="shared" si="16"/>
        <v>1352452</v>
      </c>
      <c r="AT45" s="19">
        <v>0</v>
      </c>
      <c r="AU45" s="8">
        <v>8800</v>
      </c>
      <c r="AV45" s="13">
        <f t="shared" si="17"/>
        <v>1411344</v>
      </c>
      <c r="AW45" s="18">
        <f t="shared" si="18"/>
        <v>3924819</v>
      </c>
      <c r="AX45" s="15">
        <f t="shared" si="19"/>
        <v>3925000</v>
      </c>
      <c r="AY45" s="20">
        <v>0.06</v>
      </c>
      <c r="AZ45" s="13">
        <f t="shared" si="20"/>
        <v>235500</v>
      </c>
      <c r="BA45" s="15">
        <f t="shared" si="21"/>
        <v>235500</v>
      </c>
      <c r="BB45" s="21">
        <f t="shared" si="22"/>
        <v>1587952</v>
      </c>
      <c r="BC45" s="10">
        <f t="shared" si="23"/>
        <v>0</v>
      </c>
      <c r="BD45" s="10">
        <f t="shared" si="24"/>
        <v>0</v>
      </c>
      <c r="BE45" s="10">
        <v>34.299999999999997</v>
      </c>
      <c r="BF45" s="10">
        <v>14.9</v>
      </c>
      <c r="BG45" s="107">
        <v>46176</v>
      </c>
      <c r="BH45" s="107">
        <f t="shared" si="27"/>
        <v>46206</v>
      </c>
      <c r="BI45" s="23">
        <v>6</v>
      </c>
      <c r="BJ45" s="6"/>
      <c r="BK45" s="6"/>
      <c r="BL45" s="24">
        <f>VLOOKUP(A45,[2]Sheet1!$D$2:$H$933,5,0)</f>
        <v>0</v>
      </c>
      <c r="BM45" s="6" t="s">
        <v>3828</v>
      </c>
      <c r="BN45" s="6" t="s">
        <v>3829</v>
      </c>
      <c r="BO45" s="6" t="s">
        <v>3820</v>
      </c>
      <c r="BP45" s="6" t="s">
        <v>3821</v>
      </c>
      <c r="BQ45" s="6" t="s">
        <v>3830</v>
      </c>
      <c r="BR45" t="s">
        <v>3823</v>
      </c>
      <c r="BS45" t="s">
        <v>3824</v>
      </c>
      <c r="BT45" t="s">
        <v>3825</v>
      </c>
      <c r="BU45" t="s">
        <v>3826</v>
      </c>
      <c r="BV45" t="s">
        <v>3827</v>
      </c>
      <c r="BW45" t="s">
        <v>3835</v>
      </c>
      <c r="BX45">
        <v>0</v>
      </c>
      <c r="BY45" t="s">
        <v>3862</v>
      </c>
      <c r="BZ45" t="s">
        <v>3860</v>
      </c>
    </row>
    <row r="46" spans="1:78" x14ac:dyDescent="0.25">
      <c r="A46" s="7" t="s">
        <v>252</v>
      </c>
      <c r="B46" s="7" t="s">
        <v>181</v>
      </c>
      <c r="C46" s="7" t="s">
        <v>250</v>
      </c>
      <c r="D46" s="8" t="s">
        <v>251</v>
      </c>
      <c r="E46" s="7" t="s">
        <v>253</v>
      </c>
      <c r="F46" s="9">
        <v>44996</v>
      </c>
      <c r="G46" s="9" t="s">
        <v>65</v>
      </c>
      <c r="H46" s="9" t="s">
        <v>72</v>
      </c>
      <c r="I46" s="8" t="s">
        <v>78</v>
      </c>
      <c r="J46" s="10">
        <v>369.21</v>
      </c>
      <c r="K46" s="10">
        <v>369.21</v>
      </c>
      <c r="L46" s="10">
        <f t="shared" si="0"/>
        <v>0</v>
      </c>
      <c r="M46" s="10">
        <v>160.38</v>
      </c>
      <c r="N46" s="10">
        <v>160.38</v>
      </c>
      <c r="O46" s="10">
        <f t="shared" si="1"/>
        <v>0</v>
      </c>
      <c r="P46" s="11">
        <v>9415.3787817231387</v>
      </c>
      <c r="Q46" s="11">
        <v>21675.096645467016</v>
      </c>
      <c r="R46" s="11">
        <v>20000</v>
      </c>
      <c r="S46" s="11">
        <v>3476252</v>
      </c>
      <c r="T46" s="11">
        <v>417152</v>
      </c>
      <c r="U46" s="12">
        <f t="shared" si="2"/>
        <v>0.12000050629240919</v>
      </c>
      <c r="V46" s="13">
        <f t="shared" si="26"/>
        <v>0</v>
      </c>
      <c r="W46" s="10">
        <f t="shared" si="3"/>
        <v>0</v>
      </c>
      <c r="X46" s="10"/>
      <c r="Y46" s="10"/>
      <c r="Z46" s="11">
        <f t="shared" si="4"/>
        <v>3476252</v>
      </c>
      <c r="AA46" s="14"/>
      <c r="AB46" s="14"/>
      <c r="AC46" s="11">
        <f t="shared" si="5"/>
        <v>3476252</v>
      </c>
      <c r="AD46" s="10">
        <f t="shared" si="6"/>
        <v>300</v>
      </c>
      <c r="AE46" s="15">
        <v>48114</v>
      </c>
      <c r="AF46" s="16">
        <v>8660</v>
      </c>
      <c r="AG46" s="15">
        <f t="shared" si="7"/>
        <v>0</v>
      </c>
      <c r="AH46" s="15">
        <f t="shared" si="8"/>
        <v>0</v>
      </c>
      <c r="AI46" s="15">
        <f t="shared" si="9"/>
        <v>48114</v>
      </c>
      <c r="AJ46" s="15">
        <f t="shared" si="10"/>
        <v>8661</v>
      </c>
      <c r="AK46" s="10">
        <v>48114</v>
      </c>
      <c r="AL46" s="15">
        <f t="shared" si="11"/>
        <v>48114</v>
      </c>
      <c r="AM46" s="15">
        <f t="shared" si="12"/>
        <v>3524366</v>
      </c>
      <c r="AN46" s="15">
        <f t="shared" si="13"/>
        <v>425813</v>
      </c>
      <c r="AO46" s="15">
        <f t="shared" si="14"/>
        <v>473927</v>
      </c>
      <c r="AP46" s="17">
        <f t="shared" si="15"/>
        <v>3998293</v>
      </c>
      <c r="AQ46" s="15">
        <v>3504063</v>
      </c>
      <c r="AR46" s="15">
        <v>0</v>
      </c>
      <c r="AS46" s="18">
        <f t="shared" si="16"/>
        <v>494230</v>
      </c>
      <c r="AT46" s="19">
        <v>0</v>
      </c>
      <c r="AU46" s="8">
        <v>8800</v>
      </c>
      <c r="AV46" s="13">
        <f t="shared" si="17"/>
        <v>1411344</v>
      </c>
      <c r="AW46" s="18">
        <f t="shared" si="18"/>
        <v>3524366</v>
      </c>
      <c r="AX46" s="15">
        <f t="shared" si="19"/>
        <v>3525000</v>
      </c>
      <c r="AY46" s="20">
        <v>0.05</v>
      </c>
      <c r="AZ46" s="13">
        <f t="shared" si="20"/>
        <v>176250</v>
      </c>
      <c r="BA46" s="15">
        <f t="shared" si="21"/>
        <v>176300</v>
      </c>
      <c r="BB46" s="21">
        <f t="shared" si="22"/>
        <v>670530</v>
      </c>
      <c r="BC46" s="10">
        <f t="shared" si="23"/>
        <v>0</v>
      </c>
      <c r="BD46" s="10">
        <f t="shared" si="24"/>
        <v>0</v>
      </c>
      <c r="BE46" s="10">
        <v>34.299999999999997</v>
      </c>
      <c r="BF46" s="10">
        <v>14.9</v>
      </c>
      <c r="BG46" s="107">
        <v>46176</v>
      </c>
      <c r="BH46" s="107">
        <f t="shared" si="27"/>
        <v>46206</v>
      </c>
      <c r="BI46" s="23">
        <v>5</v>
      </c>
      <c r="BJ46" s="6"/>
      <c r="BK46" s="6"/>
      <c r="BL46" s="24">
        <f>VLOOKUP(A46,[2]Sheet1!$D$2:$H$933,5,0)</f>
        <v>0</v>
      </c>
      <c r="BM46" s="6" t="s">
        <v>3828</v>
      </c>
      <c r="BN46" s="6" t="s">
        <v>3829</v>
      </c>
      <c r="BO46" s="6" t="s">
        <v>3820</v>
      </c>
      <c r="BP46" s="6" t="s">
        <v>3821</v>
      </c>
      <c r="BQ46" s="6" t="s">
        <v>3830</v>
      </c>
      <c r="BR46" t="s">
        <v>3823</v>
      </c>
      <c r="BS46" t="s">
        <v>3824</v>
      </c>
      <c r="BT46" t="s">
        <v>3825</v>
      </c>
      <c r="BU46" t="s">
        <v>3826</v>
      </c>
      <c r="BV46" t="s">
        <v>3827</v>
      </c>
      <c r="BW46" t="s">
        <v>3835</v>
      </c>
      <c r="BX46">
        <v>0</v>
      </c>
      <c r="BY46" t="s">
        <v>3870</v>
      </c>
      <c r="BZ46" t="s">
        <v>3860</v>
      </c>
    </row>
    <row r="47" spans="1:78" x14ac:dyDescent="0.25">
      <c r="A47" s="7" t="s">
        <v>256</v>
      </c>
      <c r="B47" s="7" t="s">
        <v>181</v>
      </c>
      <c r="C47" s="7" t="s">
        <v>254</v>
      </c>
      <c r="D47" s="8" t="s">
        <v>255</v>
      </c>
      <c r="E47" s="7" t="s">
        <v>257</v>
      </c>
      <c r="F47" s="9">
        <v>44926</v>
      </c>
      <c r="G47" s="9" t="s">
        <v>65</v>
      </c>
      <c r="H47" s="9" t="s">
        <v>72</v>
      </c>
      <c r="I47" s="8" t="s">
        <v>78</v>
      </c>
      <c r="J47" s="10">
        <v>529.59</v>
      </c>
      <c r="K47" s="10">
        <v>529.59</v>
      </c>
      <c r="L47" s="10">
        <f t="shared" si="0"/>
        <v>0</v>
      </c>
      <c r="M47" s="10">
        <v>242.19</v>
      </c>
      <c r="N47" s="10">
        <v>242.19</v>
      </c>
      <c r="O47" s="10">
        <f t="shared" si="1"/>
        <v>0</v>
      </c>
      <c r="P47" s="11">
        <v>11400</v>
      </c>
      <c r="Q47" s="11">
        <v>24928.056484578225</v>
      </c>
      <c r="R47" s="11">
        <v>20000</v>
      </c>
      <c r="S47" s="11">
        <v>6037326</v>
      </c>
      <c r="T47" s="11">
        <v>724480</v>
      </c>
      <c r="U47" s="12">
        <f t="shared" si="2"/>
        <v>0.12000014575989436</v>
      </c>
      <c r="V47" s="13">
        <f t="shared" si="26"/>
        <v>0</v>
      </c>
      <c r="W47" s="10">
        <f t="shared" si="3"/>
        <v>0</v>
      </c>
      <c r="X47" s="10"/>
      <c r="Y47" s="10"/>
      <c r="Z47" s="11">
        <f t="shared" si="4"/>
        <v>6037326</v>
      </c>
      <c r="AA47" s="14"/>
      <c r="AB47" s="14"/>
      <c r="AC47" s="11">
        <f t="shared" si="5"/>
        <v>6037326</v>
      </c>
      <c r="AD47" s="10">
        <f t="shared" si="6"/>
        <v>300</v>
      </c>
      <c r="AE47" s="15">
        <v>72657</v>
      </c>
      <c r="AF47" s="16">
        <v>13078</v>
      </c>
      <c r="AG47" s="15">
        <f t="shared" si="7"/>
        <v>0</v>
      </c>
      <c r="AH47" s="15">
        <f t="shared" si="8"/>
        <v>0</v>
      </c>
      <c r="AI47" s="15">
        <f t="shared" si="9"/>
        <v>72657</v>
      </c>
      <c r="AJ47" s="15">
        <f t="shared" si="10"/>
        <v>13079</v>
      </c>
      <c r="AK47" s="10">
        <v>72657</v>
      </c>
      <c r="AL47" s="15">
        <f t="shared" si="11"/>
        <v>72657</v>
      </c>
      <c r="AM47" s="15">
        <f t="shared" si="12"/>
        <v>6109983</v>
      </c>
      <c r="AN47" s="15">
        <f t="shared" si="13"/>
        <v>737559</v>
      </c>
      <c r="AO47" s="15">
        <f t="shared" si="14"/>
        <v>810216</v>
      </c>
      <c r="AP47" s="17">
        <f t="shared" si="15"/>
        <v>6920199</v>
      </c>
      <c r="AQ47" s="15">
        <v>6085626</v>
      </c>
      <c r="AR47" s="15">
        <v>0</v>
      </c>
      <c r="AS47" s="18">
        <f t="shared" si="16"/>
        <v>834573</v>
      </c>
      <c r="AT47" s="19">
        <v>0</v>
      </c>
      <c r="AU47" s="8">
        <v>8800</v>
      </c>
      <c r="AV47" s="13">
        <f t="shared" si="17"/>
        <v>2131272</v>
      </c>
      <c r="AW47" s="18">
        <f t="shared" si="18"/>
        <v>6109983</v>
      </c>
      <c r="AX47" s="15">
        <f t="shared" si="19"/>
        <v>6110000</v>
      </c>
      <c r="AY47" s="20">
        <v>6.3399999999999998E-2</v>
      </c>
      <c r="AZ47" s="13">
        <f t="shared" si="20"/>
        <v>387374</v>
      </c>
      <c r="BA47" s="15">
        <f t="shared" si="21"/>
        <v>387400</v>
      </c>
      <c r="BB47" s="21">
        <f t="shared" si="22"/>
        <v>1221973</v>
      </c>
      <c r="BC47" s="10">
        <f t="shared" si="23"/>
        <v>0</v>
      </c>
      <c r="BD47" s="10">
        <f t="shared" si="24"/>
        <v>0</v>
      </c>
      <c r="BE47" s="10">
        <v>49.2</v>
      </c>
      <c r="BF47" s="10">
        <v>22.5</v>
      </c>
      <c r="BG47" s="107">
        <v>46176</v>
      </c>
      <c r="BH47" s="107">
        <f t="shared" si="27"/>
        <v>46206</v>
      </c>
      <c r="BI47" s="23">
        <v>6.34</v>
      </c>
      <c r="BJ47" s="6"/>
      <c r="BK47" s="6"/>
      <c r="BL47" s="24">
        <f>VLOOKUP(A47,[2]Sheet1!$D$2:$H$933,5,0)</f>
        <v>0</v>
      </c>
      <c r="BM47" s="6" t="s">
        <v>3828</v>
      </c>
      <c r="BN47" s="6" t="s">
        <v>3829</v>
      </c>
      <c r="BO47" s="6" t="s">
        <v>3820</v>
      </c>
      <c r="BP47" s="6" t="s">
        <v>3821</v>
      </c>
      <c r="BQ47" s="6" t="s">
        <v>3830</v>
      </c>
      <c r="BR47" t="s">
        <v>3823</v>
      </c>
      <c r="BS47" t="s">
        <v>3824</v>
      </c>
      <c r="BT47" t="s">
        <v>3825</v>
      </c>
      <c r="BU47" t="s">
        <v>3826</v>
      </c>
      <c r="BV47" t="s">
        <v>3827</v>
      </c>
      <c r="BW47" t="s">
        <v>3835</v>
      </c>
      <c r="BX47">
        <v>0</v>
      </c>
      <c r="BY47" t="s">
        <v>3867</v>
      </c>
      <c r="BZ47" t="s">
        <v>3860</v>
      </c>
    </row>
    <row r="48" spans="1:78" x14ac:dyDescent="0.25">
      <c r="A48" s="7" t="s">
        <v>260</v>
      </c>
      <c r="B48" s="7" t="s">
        <v>181</v>
      </c>
      <c r="C48" s="7" t="s">
        <v>258</v>
      </c>
      <c r="D48" s="8" t="s">
        <v>259</v>
      </c>
      <c r="E48" s="7" t="s">
        <v>261</v>
      </c>
      <c r="F48" s="9">
        <v>44945</v>
      </c>
      <c r="G48" s="9" t="s">
        <v>65</v>
      </c>
      <c r="H48" s="9" t="s">
        <v>72</v>
      </c>
      <c r="I48" s="8" t="s">
        <v>78</v>
      </c>
      <c r="J48" s="10">
        <v>574.37</v>
      </c>
      <c r="K48" s="10">
        <v>574.37</v>
      </c>
      <c r="L48" s="10">
        <f t="shared" si="0"/>
        <v>0</v>
      </c>
      <c r="M48" s="10">
        <v>266.95</v>
      </c>
      <c r="N48" s="10">
        <v>266.95</v>
      </c>
      <c r="O48" s="10">
        <f t="shared" si="1"/>
        <v>0</v>
      </c>
      <c r="P48" s="11">
        <v>8649.7501610460149</v>
      </c>
      <c r="Q48" s="11">
        <v>18610.814759318226</v>
      </c>
      <c r="R48" s="11">
        <v>20000</v>
      </c>
      <c r="S48" s="11">
        <v>4968157</v>
      </c>
      <c r="T48" s="11">
        <v>596180</v>
      </c>
      <c r="U48" s="12">
        <f t="shared" si="2"/>
        <v>0.12000023348698521</v>
      </c>
      <c r="V48" s="13">
        <f t="shared" si="26"/>
        <v>0</v>
      </c>
      <c r="W48" s="10">
        <f t="shared" si="3"/>
        <v>0</v>
      </c>
      <c r="X48" s="10"/>
      <c r="Y48" s="10"/>
      <c r="Z48" s="11">
        <f t="shared" si="4"/>
        <v>4968157</v>
      </c>
      <c r="AA48" s="14"/>
      <c r="AB48" s="14"/>
      <c r="AC48" s="11">
        <f t="shared" si="5"/>
        <v>4968157</v>
      </c>
      <c r="AD48" s="10">
        <f t="shared" si="6"/>
        <v>300</v>
      </c>
      <c r="AE48" s="15">
        <v>80085</v>
      </c>
      <c r="AF48" s="16">
        <v>14416</v>
      </c>
      <c r="AG48" s="15">
        <f t="shared" si="7"/>
        <v>0</v>
      </c>
      <c r="AH48" s="15">
        <f t="shared" si="8"/>
        <v>0</v>
      </c>
      <c r="AI48" s="15">
        <f t="shared" si="9"/>
        <v>80085</v>
      </c>
      <c r="AJ48" s="15">
        <f t="shared" si="10"/>
        <v>14416</v>
      </c>
      <c r="AK48" s="10">
        <v>80085</v>
      </c>
      <c r="AL48" s="15">
        <f t="shared" si="11"/>
        <v>80085</v>
      </c>
      <c r="AM48" s="15">
        <f t="shared" si="12"/>
        <v>5048242</v>
      </c>
      <c r="AN48" s="15">
        <f t="shared" si="13"/>
        <v>610596</v>
      </c>
      <c r="AO48" s="15">
        <f t="shared" si="14"/>
        <v>690681</v>
      </c>
      <c r="AP48" s="17">
        <f t="shared" si="15"/>
        <v>5738923</v>
      </c>
      <c r="AQ48" s="15">
        <v>4854102</v>
      </c>
      <c r="AR48" s="15">
        <v>0</v>
      </c>
      <c r="AS48" s="18">
        <f t="shared" si="16"/>
        <v>884821</v>
      </c>
      <c r="AT48" s="19">
        <v>0</v>
      </c>
      <c r="AU48" s="8">
        <v>8800</v>
      </c>
      <c r="AV48" s="13">
        <f t="shared" si="17"/>
        <v>2349160</v>
      </c>
      <c r="AW48" s="18">
        <f t="shared" si="18"/>
        <v>5048242</v>
      </c>
      <c r="AX48" s="15">
        <f t="shared" si="19"/>
        <v>5049000</v>
      </c>
      <c r="AY48" s="20">
        <v>0.05</v>
      </c>
      <c r="AZ48" s="13">
        <f t="shared" si="20"/>
        <v>252450</v>
      </c>
      <c r="BA48" s="15">
        <f t="shared" si="21"/>
        <v>252500</v>
      </c>
      <c r="BB48" s="21">
        <f t="shared" si="22"/>
        <v>1137321</v>
      </c>
      <c r="BC48" s="10">
        <f t="shared" si="23"/>
        <v>0</v>
      </c>
      <c r="BD48" s="10">
        <f t="shared" si="24"/>
        <v>0</v>
      </c>
      <c r="BE48" s="10">
        <v>53.36</v>
      </c>
      <c r="BF48" s="10">
        <v>24.8</v>
      </c>
      <c r="BG48" s="107">
        <v>46176</v>
      </c>
      <c r="BH48" s="107">
        <f t="shared" si="27"/>
        <v>46206</v>
      </c>
      <c r="BI48" s="23">
        <v>5</v>
      </c>
      <c r="BJ48" s="6"/>
      <c r="BK48" s="6"/>
      <c r="BL48" s="24">
        <f>VLOOKUP(A48,[2]Sheet1!$D$2:$H$933,5,0)</f>
        <v>0</v>
      </c>
      <c r="BM48" s="6" t="s">
        <v>3828</v>
      </c>
      <c r="BN48" s="6" t="s">
        <v>3829</v>
      </c>
      <c r="BO48" s="6" t="s">
        <v>3820</v>
      </c>
      <c r="BP48" s="6" t="s">
        <v>3821</v>
      </c>
      <c r="BQ48" s="6" t="s">
        <v>3830</v>
      </c>
      <c r="BR48" t="s">
        <v>3823</v>
      </c>
      <c r="BS48" t="s">
        <v>3824</v>
      </c>
      <c r="BT48" t="s">
        <v>3825</v>
      </c>
      <c r="BU48" t="s">
        <v>3826</v>
      </c>
      <c r="BV48" t="s">
        <v>3827</v>
      </c>
      <c r="BW48" t="s">
        <v>3835</v>
      </c>
      <c r="BX48">
        <v>0</v>
      </c>
      <c r="BY48" t="s">
        <v>3867</v>
      </c>
      <c r="BZ48" t="s">
        <v>3860</v>
      </c>
    </row>
    <row r="49" spans="1:78" x14ac:dyDescent="0.25">
      <c r="A49" s="7" t="s">
        <v>264</v>
      </c>
      <c r="B49" s="7" t="s">
        <v>181</v>
      </c>
      <c r="C49" s="7" t="s">
        <v>262</v>
      </c>
      <c r="D49" s="8" t="s">
        <v>263</v>
      </c>
      <c r="E49" s="7" t="s">
        <v>265</v>
      </c>
      <c r="F49" s="9">
        <v>44882</v>
      </c>
      <c r="G49" s="9" t="s">
        <v>65</v>
      </c>
      <c r="H49" s="9" t="s">
        <v>72</v>
      </c>
      <c r="I49" s="8" t="s">
        <v>78</v>
      </c>
      <c r="J49" s="10">
        <v>564.46</v>
      </c>
      <c r="K49" s="10">
        <v>564.46</v>
      </c>
      <c r="L49" s="10">
        <f t="shared" si="0"/>
        <v>0</v>
      </c>
      <c r="M49" s="10">
        <v>248.65</v>
      </c>
      <c r="N49" s="10">
        <v>248.65</v>
      </c>
      <c r="O49" s="10">
        <f t="shared" si="1"/>
        <v>0</v>
      </c>
      <c r="P49" s="11">
        <v>14799.999999999998</v>
      </c>
      <c r="Q49" s="11">
        <v>33597.458274683289</v>
      </c>
      <c r="R49" s="11">
        <v>20000</v>
      </c>
      <c r="S49" s="11">
        <v>8354008</v>
      </c>
      <c r="T49" s="11">
        <v>1002482</v>
      </c>
      <c r="U49" s="12">
        <f t="shared" si="2"/>
        <v>0.12000012449114246</v>
      </c>
      <c r="V49" s="13">
        <f t="shared" si="26"/>
        <v>0</v>
      </c>
      <c r="W49" s="10">
        <f t="shared" si="3"/>
        <v>0</v>
      </c>
      <c r="X49" s="10"/>
      <c r="Y49" s="10"/>
      <c r="Z49" s="11">
        <f t="shared" si="4"/>
        <v>8354008</v>
      </c>
      <c r="AA49" s="14">
        <v>1826626</v>
      </c>
      <c r="AB49" s="14">
        <v>219196</v>
      </c>
      <c r="AC49" s="11">
        <f t="shared" si="5"/>
        <v>6527382</v>
      </c>
      <c r="AD49" s="10">
        <f t="shared" si="6"/>
        <v>300</v>
      </c>
      <c r="AE49" s="15">
        <v>74595</v>
      </c>
      <c r="AF49" s="16">
        <v>13428</v>
      </c>
      <c r="AG49" s="15">
        <f t="shared" si="7"/>
        <v>0</v>
      </c>
      <c r="AH49" s="15">
        <f t="shared" si="8"/>
        <v>0</v>
      </c>
      <c r="AI49" s="15">
        <f t="shared" si="9"/>
        <v>74595</v>
      </c>
      <c r="AJ49" s="15">
        <f t="shared" si="10"/>
        <v>13428</v>
      </c>
      <c r="AK49" s="10">
        <v>74595</v>
      </c>
      <c r="AL49" s="15">
        <f t="shared" si="11"/>
        <v>74595</v>
      </c>
      <c r="AM49" s="15">
        <f t="shared" si="12"/>
        <v>6601977</v>
      </c>
      <c r="AN49" s="15">
        <f t="shared" si="13"/>
        <v>796714</v>
      </c>
      <c r="AO49" s="15">
        <f t="shared" si="14"/>
        <v>871309</v>
      </c>
      <c r="AP49" s="17">
        <f t="shared" si="15"/>
        <v>7473286</v>
      </c>
      <c r="AQ49" s="15">
        <v>6375020</v>
      </c>
      <c r="AR49" s="15">
        <v>0</v>
      </c>
      <c r="AS49" s="18">
        <f t="shared" si="16"/>
        <v>1098266</v>
      </c>
      <c r="AT49" s="19">
        <v>0</v>
      </c>
      <c r="AU49" s="8">
        <v>8800</v>
      </c>
      <c r="AV49" s="13">
        <f t="shared" si="17"/>
        <v>2188120</v>
      </c>
      <c r="AW49" s="18">
        <f t="shared" si="18"/>
        <v>6601977</v>
      </c>
      <c r="AX49" s="15">
        <f t="shared" si="19"/>
        <v>6602000</v>
      </c>
      <c r="AY49" s="20">
        <v>0.06</v>
      </c>
      <c r="AZ49" s="13">
        <f t="shared" si="20"/>
        <v>396120</v>
      </c>
      <c r="BA49" s="15">
        <f t="shared" si="21"/>
        <v>396200</v>
      </c>
      <c r="BB49" s="21">
        <f t="shared" si="22"/>
        <v>1494466</v>
      </c>
      <c r="BC49" s="10">
        <f t="shared" si="23"/>
        <v>0</v>
      </c>
      <c r="BD49" s="10">
        <f t="shared" si="24"/>
        <v>0</v>
      </c>
      <c r="BE49" s="10">
        <v>52.44</v>
      </c>
      <c r="BF49" s="10">
        <v>23.1</v>
      </c>
      <c r="BG49" s="107">
        <v>46176</v>
      </c>
      <c r="BH49" s="107">
        <f t="shared" si="27"/>
        <v>46206</v>
      </c>
      <c r="BI49" s="23">
        <v>6</v>
      </c>
      <c r="BJ49" s="6"/>
      <c r="BK49" s="6"/>
      <c r="BL49" s="24">
        <f>VLOOKUP(A49,[2]Sheet1!$D$2:$H$933,5,0)</f>
        <v>0</v>
      </c>
      <c r="BM49" s="6" t="s">
        <v>3828</v>
      </c>
      <c r="BN49" s="6" t="s">
        <v>3829</v>
      </c>
      <c r="BO49" s="6" t="s">
        <v>3820</v>
      </c>
      <c r="BP49" s="6" t="s">
        <v>3821</v>
      </c>
      <c r="BQ49" s="6" t="s">
        <v>3830</v>
      </c>
      <c r="BR49" t="s">
        <v>3823</v>
      </c>
      <c r="BS49" t="s">
        <v>3824</v>
      </c>
      <c r="BT49" t="s">
        <v>3825</v>
      </c>
      <c r="BU49" t="s">
        <v>3826</v>
      </c>
      <c r="BV49" t="s">
        <v>3827</v>
      </c>
      <c r="BW49" t="s">
        <v>3835</v>
      </c>
      <c r="BX49">
        <v>0</v>
      </c>
      <c r="BY49" t="s">
        <v>3862</v>
      </c>
      <c r="BZ49" t="s">
        <v>3860</v>
      </c>
    </row>
    <row r="50" spans="1:78" x14ac:dyDescent="0.25">
      <c r="A50" s="7" t="s">
        <v>268</v>
      </c>
      <c r="B50" s="7" t="s">
        <v>181</v>
      </c>
      <c r="C50" s="7" t="s">
        <v>266</v>
      </c>
      <c r="D50" s="8" t="s">
        <v>267</v>
      </c>
      <c r="E50" s="7" t="s">
        <v>269</v>
      </c>
      <c r="F50" s="9">
        <v>44903</v>
      </c>
      <c r="G50" s="9" t="s">
        <v>65</v>
      </c>
      <c r="H50" s="9" t="s">
        <v>72</v>
      </c>
      <c r="I50" s="8" t="s">
        <v>78</v>
      </c>
      <c r="J50" s="10">
        <v>742.07</v>
      </c>
      <c r="K50" s="10">
        <v>742.07</v>
      </c>
      <c r="L50" s="10">
        <f t="shared" si="0"/>
        <v>0</v>
      </c>
      <c r="M50" s="10">
        <v>340.14</v>
      </c>
      <c r="N50" s="10">
        <v>340.14</v>
      </c>
      <c r="O50" s="10">
        <f t="shared" si="1"/>
        <v>0</v>
      </c>
      <c r="P50" s="11">
        <v>7285.0000673790873</v>
      </c>
      <c r="Q50" s="11">
        <v>15893.396836596696</v>
      </c>
      <c r="R50" s="11">
        <v>20000</v>
      </c>
      <c r="S50" s="11">
        <v>5405980</v>
      </c>
      <c r="T50" s="11">
        <v>648720</v>
      </c>
      <c r="U50" s="12">
        <f t="shared" si="2"/>
        <v>0.12000044395280782</v>
      </c>
      <c r="V50" s="13">
        <f t="shared" si="26"/>
        <v>0</v>
      </c>
      <c r="W50" s="10">
        <f t="shared" si="3"/>
        <v>0</v>
      </c>
      <c r="X50" s="10"/>
      <c r="Y50" s="10"/>
      <c r="Z50" s="11">
        <f t="shared" si="4"/>
        <v>5405980</v>
      </c>
      <c r="AA50" s="14">
        <v>1073875</v>
      </c>
      <c r="AB50" s="14">
        <v>128866</v>
      </c>
      <c r="AC50" s="11">
        <f t="shared" si="5"/>
        <v>4332105</v>
      </c>
      <c r="AD50" s="10">
        <f t="shared" si="6"/>
        <v>300</v>
      </c>
      <c r="AE50" s="15">
        <v>102042</v>
      </c>
      <c r="AF50" s="16">
        <v>18368</v>
      </c>
      <c r="AG50" s="15">
        <f t="shared" si="7"/>
        <v>0</v>
      </c>
      <c r="AH50" s="15">
        <f t="shared" si="8"/>
        <v>0</v>
      </c>
      <c r="AI50" s="15">
        <f t="shared" si="9"/>
        <v>102042</v>
      </c>
      <c r="AJ50" s="15">
        <f t="shared" si="10"/>
        <v>18368</v>
      </c>
      <c r="AK50" s="10">
        <v>102042</v>
      </c>
      <c r="AL50" s="15">
        <f t="shared" si="11"/>
        <v>102042</v>
      </c>
      <c r="AM50" s="15">
        <f t="shared" si="12"/>
        <v>4434147</v>
      </c>
      <c r="AN50" s="15">
        <f t="shared" si="13"/>
        <v>538222</v>
      </c>
      <c r="AO50" s="15">
        <f t="shared" si="14"/>
        <v>640264</v>
      </c>
      <c r="AP50" s="17">
        <f t="shared" si="15"/>
        <v>5074411</v>
      </c>
      <c r="AQ50" s="15">
        <v>4701609.62</v>
      </c>
      <c r="AR50" s="15">
        <v>0</v>
      </c>
      <c r="AS50" s="18">
        <f t="shared" si="16"/>
        <v>372801</v>
      </c>
      <c r="AT50" s="19">
        <v>5405980</v>
      </c>
      <c r="AU50" s="8">
        <v>8800</v>
      </c>
      <c r="AV50" s="13">
        <f t="shared" si="17"/>
        <v>2993232</v>
      </c>
      <c r="AW50" s="18">
        <f t="shared" si="18"/>
        <v>5405980</v>
      </c>
      <c r="AX50" s="15">
        <f t="shared" si="19"/>
        <v>5406000</v>
      </c>
      <c r="AY50" s="20">
        <v>7.0000000000000007E-2</v>
      </c>
      <c r="AZ50" s="13">
        <f t="shared" si="20"/>
        <v>378420.00000000006</v>
      </c>
      <c r="BA50" s="15">
        <f t="shared" si="21"/>
        <v>378500</v>
      </c>
      <c r="BB50" s="21">
        <f t="shared" si="22"/>
        <v>751301</v>
      </c>
      <c r="BC50" s="10">
        <f t="shared" si="23"/>
        <v>0</v>
      </c>
      <c r="BD50" s="10">
        <f t="shared" si="24"/>
        <v>0</v>
      </c>
      <c r="BE50" s="10">
        <v>68.94</v>
      </c>
      <c r="BF50" s="10">
        <v>31.6</v>
      </c>
      <c r="BG50" s="107">
        <v>46176</v>
      </c>
      <c r="BH50" s="107">
        <f t="shared" si="27"/>
        <v>46206</v>
      </c>
      <c r="BI50" s="23">
        <v>7</v>
      </c>
      <c r="BJ50" s="6"/>
      <c r="BK50" s="6"/>
      <c r="BL50" s="24">
        <f>VLOOKUP(A50,[2]Sheet1!$D$2:$H$933,5,0)</f>
        <v>0</v>
      </c>
      <c r="BM50" s="6" t="s">
        <v>3828</v>
      </c>
      <c r="BN50" s="6" t="s">
        <v>3829</v>
      </c>
      <c r="BO50" s="6" t="s">
        <v>3820</v>
      </c>
      <c r="BP50" s="6" t="s">
        <v>3821</v>
      </c>
      <c r="BQ50" s="6" t="s">
        <v>3830</v>
      </c>
      <c r="BR50" t="s">
        <v>3823</v>
      </c>
      <c r="BS50" t="s">
        <v>3824</v>
      </c>
      <c r="BT50" t="s">
        <v>3825</v>
      </c>
      <c r="BU50" t="s">
        <v>3826</v>
      </c>
      <c r="BV50" t="s">
        <v>3827</v>
      </c>
      <c r="BW50" t="s">
        <v>3835</v>
      </c>
      <c r="BX50">
        <v>0</v>
      </c>
      <c r="BY50" t="s">
        <v>3866</v>
      </c>
      <c r="BZ50" t="s">
        <v>3860</v>
      </c>
    </row>
    <row r="51" spans="1:78" x14ac:dyDescent="0.25">
      <c r="A51" s="7" t="s">
        <v>272</v>
      </c>
      <c r="B51" s="7" t="s">
        <v>181</v>
      </c>
      <c r="C51" s="7" t="s">
        <v>270</v>
      </c>
      <c r="D51" s="8" t="s">
        <v>271</v>
      </c>
      <c r="E51" s="7" t="s">
        <v>273</v>
      </c>
      <c r="F51" s="9">
        <v>44907</v>
      </c>
      <c r="G51" s="9" t="s">
        <v>65</v>
      </c>
      <c r="H51" s="9" t="s">
        <v>72</v>
      </c>
      <c r="I51" s="8" t="s">
        <v>78</v>
      </c>
      <c r="J51" s="10">
        <v>617.85</v>
      </c>
      <c r="K51" s="10">
        <v>617.85</v>
      </c>
      <c r="L51" s="10">
        <f t="shared" si="0"/>
        <v>0</v>
      </c>
      <c r="M51" s="10">
        <v>286.32</v>
      </c>
      <c r="N51" s="10">
        <v>286.32</v>
      </c>
      <c r="O51" s="10">
        <f t="shared" si="1"/>
        <v>0</v>
      </c>
      <c r="P51" s="11">
        <v>12250.00080925791</v>
      </c>
      <c r="Q51" s="11">
        <v>26434.279826767255</v>
      </c>
      <c r="R51" s="11">
        <v>20000</v>
      </c>
      <c r="S51" s="11">
        <v>7568663</v>
      </c>
      <c r="T51" s="11">
        <v>908240</v>
      </c>
      <c r="U51" s="12">
        <f t="shared" si="2"/>
        <v>0.12000005813444198</v>
      </c>
      <c r="V51" s="13">
        <f t="shared" si="26"/>
        <v>0</v>
      </c>
      <c r="W51" s="10">
        <f t="shared" si="3"/>
        <v>0</v>
      </c>
      <c r="X51" s="10"/>
      <c r="Y51" s="10"/>
      <c r="Z51" s="11">
        <f t="shared" si="4"/>
        <v>7568663</v>
      </c>
      <c r="AA51" s="14"/>
      <c r="AB51" s="14"/>
      <c r="AC51" s="11">
        <f t="shared" si="5"/>
        <v>7568663</v>
      </c>
      <c r="AD51" s="10">
        <f t="shared" si="6"/>
        <v>300</v>
      </c>
      <c r="AE51" s="15">
        <v>85896</v>
      </c>
      <c r="AF51" s="16">
        <v>15462</v>
      </c>
      <c r="AG51" s="15">
        <f t="shared" si="7"/>
        <v>0</v>
      </c>
      <c r="AH51" s="15">
        <f t="shared" si="8"/>
        <v>0</v>
      </c>
      <c r="AI51" s="15">
        <f t="shared" si="9"/>
        <v>85896</v>
      </c>
      <c r="AJ51" s="15">
        <f t="shared" si="10"/>
        <v>15462</v>
      </c>
      <c r="AK51" s="10">
        <v>85896</v>
      </c>
      <c r="AL51" s="15">
        <f t="shared" si="11"/>
        <v>85896</v>
      </c>
      <c r="AM51" s="15">
        <f t="shared" si="12"/>
        <v>7654559</v>
      </c>
      <c r="AN51" s="15">
        <f t="shared" si="13"/>
        <v>923702</v>
      </c>
      <c r="AO51" s="15">
        <f t="shared" si="14"/>
        <v>1009598</v>
      </c>
      <c r="AP51" s="17">
        <f t="shared" si="15"/>
        <v>8664157</v>
      </c>
      <c r="AQ51" s="15">
        <v>7629213</v>
      </c>
      <c r="AR51" s="15">
        <v>0</v>
      </c>
      <c r="AS51" s="18">
        <f t="shared" si="16"/>
        <v>1034944</v>
      </c>
      <c r="AT51" s="19">
        <v>0</v>
      </c>
      <c r="AU51" s="8">
        <v>8800</v>
      </c>
      <c r="AV51" s="13">
        <f t="shared" si="17"/>
        <v>2519616</v>
      </c>
      <c r="AW51" s="18">
        <f t="shared" si="18"/>
        <v>7654559</v>
      </c>
      <c r="AX51" s="15">
        <f t="shared" si="19"/>
        <v>7655000</v>
      </c>
      <c r="AY51" s="20">
        <v>0.06</v>
      </c>
      <c r="AZ51" s="13">
        <f t="shared" si="20"/>
        <v>459300</v>
      </c>
      <c r="BA51" s="15">
        <f t="shared" si="21"/>
        <v>459300</v>
      </c>
      <c r="BB51" s="21">
        <f t="shared" si="22"/>
        <v>1494244</v>
      </c>
      <c r="BC51" s="10">
        <f t="shared" si="23"/>
        <v>0</v>
      </c>
      <c r="BD51" s="10">
        <f t="shared" si="24"/>
        <v>0</v>
      </c>
      <c r="BE51" s="10">
        <v>57.4</v>
      </c>
      <c r="BF51" s="10">
        <v>26.6</v>
      </c>
      <c r="BG51" s="107">
        <v>46176</v>
      </c>
      <c r="BH51" s="107">
        <f t="shared" si="27"/>
        <v>46206</v>
      </c>
      <c r="BI51" s="23">
        <v>6</v>
      </c>
      <c r="BJ51" s="6"/>
      <c r="BK51" s="6"/>
      <c r="BL51" s="24">
        <f>VLOOKUP(A51,[2]Sheet1!$D$2:$H$933,5,0)</f>
        <v>0</v>
      </c>
      <c r="BM51" s="6" t="s">
        <v>3828</v>
      </c>
      <c r="BN51" s="6" t="s">
        <v>3829</v>
      </c>
      <c r="BO51" s="6" t="s">
        <v>3820</v>
      </c>
      <c r="BP51" s="6" t="s">
        <v>3821</v>
      </c>
      <c r="BQ51" s="6" t="s">
        <v>3830</v>
      </c>
      <c r="BR51" t="s">
        <v>3823</v>
      </c>
      <c r="BS51" t="s">
        <v>3824</v>
      </c>
      <c r="BT51" t="s">
        <v>3825</v>
      </c>
      <c r="BU51" t="s">
        <v>3826</v>
      </c>
      <c r="BV51" t="s">
        <v>3827</v>
      </c>
      <c r="BW51" t="s">
        <v>3835</v>
      </c>
      <c r="BX51">
        <v>0</v>
      </c>
      <c r="BY51" t="s">
        <v>3867</v>
      </c>
      <c r="BZ51" t="s">
        <v>3860</v>
      </c>
    </row>
    <row r="52" spans="1:78" x14ac:dyDescent="0.25">
      <c r="A52" s="7" t="s">
        <v>276</v>
      </c>
      <c r="B52" s="7" t="s">
        <v>181</v>
      </c>
      <c r="C52" s="7" t="s">
        <v>274</v>
      </c>
      <c r="D52" s="8" t="s">
        <v>275</v>
      </c>
      <c r="E52" s="7" t="s">
        <v>277</v>
      </c>
      <c r="F52" s="9">
        <v>44931</v>
      </c>
      <c r="G52" s="9" t="s">
        <v>65</v>
      </c>
      <c r="H52" s="9" t="s">
        <v>72</v>
      </c>
      <c r="I52" s="8" t="s">
        <v>78</v>
      </c>
      <c r="J52" s="10">
        <v>676.41</v>
      </c>
      <c r="K52" s="10">
        <v>676.41</v>
      </c>
      <c r="L52" s="10">
        <f t="shared" si="0"/>
        <v>0</v>
      </c>
      <c r="M52" s="10">
        <v>315.39</v>
      </c>
      <c r="N52" s="10">
        <v>315.39</v>
      </c>
      <c r="O52" s="10">
        <f t="shared" si="1"/>
        <v>0</v>
      </c>
      <c r="P52" s="11">
        <v>11850.000739196641</v>
      </c>
      <c r="Q52" s="11">
        <v>25414.4360949935</v>
      </c>
      <c r="R52" s="11">
        <v>20000</v>
      </c>
      <c r="S52" s="11">
        <v>8015459</v>
      </c>
      <c r="T52" s="11">
        <v>961856</v>
      </c>
      <c r="U52" s="12">
        <f t="shared" si="2"/>
        <v>0.12000011477820546</v>
      </c>
      <c r="V52" s="13">
        <f t="shared" si="26"/>
        <v>0</v>
      </c>
      <c r="W52" s="10">
        <f t="shared" si="3"/>
        <v>0</v>
      </c>
      <c r="X52" s="10"/>
      <c r="Y52" s="10"/>
      <c r="Z52" s="11">
        <f t="shared" si="4"/>
        <v>8015459</v>
      </c>
      <c r="AA52" s="14"/>
      <c r="AB52" s="14"/>
      <c r="AC52" s="11">
        <f t="shared" si="5"/>
        <v>8015459</v>
      </c>
      <c r="AD52" s="10">
        <f t="shared" si="6"/>
        <v>300</v>
      </c>
      <c r="AE52" s="15">
        <v>94617</v>
      </c>
      <c r="AF52" s="16">
        <v>17032</v>
      </c>
      <c r="AG52" s="15">
        <f t="shared" si="7"/>
        <v>0</v>
      </c>
      <c r="AH52" s="15">
        <f t="shared" si="8"/>
        <v>0</v>
      </c>
      <c r="AI52" s="15">
        <f t="shared" si="9"/>
        <v>94617</v>
      </c>
      <c r="AJ52" s="15">
        <f t="shared" si="10"/>
        <v>17032</v>
      </c>
      <c r="AK52" s="10">
        <v>94617</v>
      </c>
      <c r="AL52" s="15">
        <f t="shared" si="11"/>
        <v>94617</v>
      </c>
      <c r="AM52" s="15">
        <f t="shared" si="12"/>
        <v>8110076</v>
      </c>
      <c r="AN52" s="15">
        <f t="shared" si="13"/>
        <v>978888</v>
      </c>
      <c r="AO52" s="15">
        <f t="shared" si="14"/>
        <v>1073505</v>
      </c>
      <c r="AP52" s="17">
        <f t="shared" si="15"/>
        <v>9183581</v>
      </c>
      <c r="AQ52" s="15">
        <v>8079581</v>
      </c>
      <c r="AR52" s="15">
        <v>0</v>
      </c>
      <c r="AS52" s="18">
        <f t="shared" si="16"/>
        <v>1104000</v>
      </c>
      <c r="AT52" s="19">
        <v>0</v>
      </c>
      <c r="AU52" s="8">
        <v>8800</v>
      </c>
      <c r="AV52" s="13">
        <f t="shared" si="17"/>
        <v>2775432</v>
      </c>
      <c r="AW52" s="18">
        <f t="shared" si="18"/>
        <v>8110076</v>
      </c>
      <c r="AX52" s="15">
        <f t="shared" si="19"/>
        <v>8111000</v>
      </c>
      <c r="AY52" s="20">
        <v>0.05</v>
      </c>
      <c r="AZ52" s="13">
        <f t="shared" si="20"/>
        <v>405550</v>
      </c>
      <c r="BA52" s="15">
        <f t="shared" si="21"/>
        <v>405600</v>
      </c>
      <c r="BB52" s="21">
        <f t="shared" si="22"/>
        <v>1509600</v>
      </c>
      <c r="BC52" s="10">
        <f t="shared" si="23"/>
        <v>0</v>
      </c>
      <c r="BD52" s="10">
        <f t="shared" si="24"/>
        <v>0</v>
      </c>
      <c r="BE52" s="10">
        <v>62.84</v>
      </c>
      <c r="BF52" s="10">
        <v>29.3</v>
      </c>
      <c r="BG52" s="107">
        <v>46176</v>
      </c>
      <c r="BH52" s="107">
        <f t="shared" si="27"/>
        <v>46206</v>
      </c>
      <c r="BI52" s="23">
        <v>5</v>
      </c>
      <c r="BJ52" s="6"/>
      <c r="BK52" s="6"/>
      <c r="BL52" s="24">
        <f>VLOOKUP(A52,[2]Sheet1!$D$2:$H$933,5,0)</f>
        <v>0</v>
      </c>
      <c r="BM52" s="6" t="s">
        <v>3828</v>
      </c>
      <c r="BN52" s="6" t="s">
        <v>3829</v>
      </c>
      <c r="BO52" s="6" t="s">
        <v>3820</v>
      </c>
      <c r="BP52" s="6" t="s">
        <v>3821</v>
      </c>
      <c r="BQ52" s="6" t="s">
        <v>3830</v>
      </c>
      <c r="BR52" t="s">
        <v>3823</v>
      </c>
      <c r="BS52" t="s">
        <v>3824</v>
      </c>
      <c r="BT52" t="s">
        <v>3825</v>
      </c>
      <c r="BU52" t="s">
        <v>3826</v>
      </c>
      <c r="BV52" t="s">
        <v>3827</v>
      </c>
      <c r="BW52" t="s">
        <v>3835</v>
      </c>
      <c r="BX52">
        <v>0</v>
      </c>
      <c r="BY52" t="s">
        <v>3869</v>
      </c>
      <c r="BZ52" t="s">
        <v>3860</v>
      </c>
    </row>
    <row r="53" spans="1:78" x14ac:dyDescent="0.25">
      <c r="A53" s="7" t="s">
        <v>280</v>
      </c>
      <c r="B53" s="7" t="s">
        <v>181</v>
      </c>
      <c r="C53" s="7" t="s">
        <v>278</v>
      </c>
      <c r="D53" s="8" t="s">
        <v>279</v>
      </c>
      <c r="E53" s="7" t="s">
        <v>281</v>
      </c>
      <c r="F53" s="9">
        <v>44998</v>
      </c>
      <c r="G53" s="9" t="s">
        <v>65</v>
      </c>
      <c r="H53" s="9" t="s">
        <v>72</v>
      </c>
      <c r="I53" s="8" t="s">
        <v>78</v>
      </c>
      <c r="J53" s="10">
        <v>676.41</v>
      </c>
      <c r="K53" s="10">
        <v>676.41</v>
      </c>
      <c r="L53" s="10">
        <f t="shared" si="0"/>
        <v>0</v>
      </c>
      <c r="M53" s="10">
        <v>315.39</v>
      </c>
      <c r="N53" s="10">
        <v>315.39</v>
      </c>
      <c r="O53" s="10">
        <f t="shared" si="1"/>
        <v>0</v>
      </c>
      <c r="P53" s="11">
        <v>13668.999571265949</v>
      </c>
      <c r="Q53" s="11">
        <v>29315.60290434066</v>
      </c>
      <c r="R53" s="11">
        <v>20000</v>
      </c>
      <c r="S53" s="11">
        <v>9245848</v>
      </c>
      <c r="T53" s="11">
        <v>1109500</v>
      </c>
      <c r="U53" s="12">
        <f t="shared" si="2"/>
        <v>0.11999980964428573</v>
      </c>
      <c r="V53" s="13">
        <f t="shared" si="26"/>
        <v>0</v>
      </c>
      <c r="W53" s="10">
        <f t="shared" si="3"/>
        <v>0</v>
      </c>
      <c r="X53" s="10"/>
      <c r="Y53" s="10"/>
      <c r="Z53" s="11">
        <f t="shared" si="4"/>
        <v>9245848</v>
      </c>
      <c r="AA53" s="14">
        <v>2744765</v>
      </c>
      <c r="AB53" s="14">
        <v>329372</v>
      </c>
      <c r="AC53" s="11">
        <f t="shared" si="5"/>
        <v>6501083</v>
      </c>
      <c r="AD53" s="10">
        <f t="shared" si="6"/>
        <v>300</v>
      </c>
      <c r="AE53" s="15">
        <v>94617</v>
      </c>
      <c r="AF53" s="16">
        <v>17032</v>
      </c>
      <c r="AG53" s="15">
        <f t="shared" si="7"/>
        <v>0</v>
      </c>
      <c r="AH53" s="15">
        <f t="shared" si="8"/>
        <v>0</v>
      </c>
      <c r="AI53" s="15">
        <f t="shared" si="9"/>
        <v>94617</v>
      </c>
      <c r="AJ53" s="15">
        <f t="shared" si="10"/>
        <v>17032</v>
      </c>
      <c r="AK53" s="10">
        <v>94617</v>
      </c>
      <c r="AL53" s="15">
        <f t="shared" si="11"/>
        <v>94617</v>
      </c>
      <c r="AM53" s="15">
        <f t="shared" si="12"/>
        <v>6595700</v>
      </c>
      <c r="AN53" s="15">
        <f t="shared" si="13"/>
        <v>797160</v>
      </c>
      <c r="AO53" s="15">
        <f t="shared" si="14"/>
        <v>891777</v>
      </c>
      <c r="AP53" s="17">
        <f t="shared" si="15"/>
        <v>7487477</v>
      </c>
      <c r="AQ53" s="15">
        <v>6720000</v>
      </c>
      <c r="AR53" s="15">
        <v>0</v>
      </c>
      <c r="AS53" s="18">
        <f t="shared" si="16"/>
        <v>767477</v>
      </c>
      <c r="AT53" s="19">
        <v>0</v>
      </c>
      <c r="AU53" s="8">
        <v>8800</v>
      </c>
      <c r="AV53" s="13">
        <f t="shared" si="17"/>
        <v>2775432</v>
      </c>
      <c r="AW53" s="18">
        <f t="shared" si="18"/>
        <v>6595700</v>
      </c>
      <c r="AX53" s="15">
        <f t="shared" si="19"/>
        <v>6596000</v>
      </c>
      <c r="AY53" s="20">
        <v>7.0000000000000007E-2</v>
      </c>
      <c r="AZ53" s="13">
        <f t="shared" si="20"/>
        <v>461720.00000000006</v>
      </c>
      <c r="BA53" s="15">
        <f t="shared" si="21"/>
        <v>461800</v>
      </c>
      <c r="BB53" s="21">
        <f t="shared" si="22"/>
        <v>1229277</v>
      </c>
      <c r="BC53" s="10">
        <f t="shared" si="23"/>
        <v>0</v>
      </c>
      <c r="BD53" s="10">
        <f t="shared" si="24"/>
        <v>0</v>
      </c>
      <c r="BE53" s="10">
        <v>62.84</v>
      </c>
      <c r="BF53" s="10">
        <v>29.3</v>
      </c>
      <c r="BG53" s="107">
        <v>46176</v>
      </c>
      <c r="BH53" s="107">
        <f t="shared" si="27"/>
        <v>46206</v>
      </c>
      <c r="BI53" s="23">
        <v>7</v>
      </c>
      <c r="BJ53" s="6"/>
      <c r="BK53" s="6"/>
      <c r="BL53" s="24">
        <f>VLOOKUP(A53,[2]Sheet1!$D$2:$H$933,5,0)</f>
        <v>0</v>
      </c>
      <c r="BM53" s="6" t="s">
        <v>3828</v>
      </c>
      <c r="BN53" s="6" t="s">
        <v>3829</v>
      </c>
      <c r="BO53" s="6" t="s">
        <v>3820</v>
      </c>
      <c r="BP53" s="6" t="s">
        <v>3821</v>
      </c>
      <c r="BQ53" s="6" t="s">
        <v>3830</v>
      </c>
      <c r="BR53" t="s">
        <v>3823</v>
      </c>
      <c r="BS53" t="s">
        <v>3824</v>
      </c>
      <c r="BT53" t="s">
        <v>3825</v>
      </c>
      <c r="BU53" t="s">
        <v>3826</v>
      </c>
      <c r="BV53" t="s">
        <v>3827</v>
      </c>
      <c r="BW53" t="s">
        <v>3835</v>
      </c>
      <c r="BX53">
        <v>0</v>
      </c>
      <c r="BY53" t="s">
        <v>3867</v>
      </c>
      <c r="BZ53" t="s">
        <v>3860</v>
      </c>
    </row>
    <row r="54" spans="1:78" x14ac:dyDescent="0.25">
      <c r="A54" s="7" t="s">
        <v>284</v>
      </c>
      <c r="B54" s="7" t="s">
        <v>181</v>
      </c>
      <c r="C54" s="7" t="s">
        <v>282</v>
      </c>
      <c r="D54" s="8" t="s">
        <v>283</v>
      </c>
      <c r="E54" s="7" t="s">
        <v>285</v>
      </c>
      <c r="F54" s="9">
        <v>44956</v>
      </c>
      <c r="G54" s="9" t="s">
        <v>65</v>
      </c>
      <c r="H54" s="9" t="s">
        <v>72</v>
      </c>
      <c r="I54" s="8" t="s">
        <v>78</v>
      </c>
      <c r="J54" s="10">
        <v>1044.97</v>
      </c>
      <c r="K54" s="10">
        <v>1020.9</v>
      </c>
      <c r="L54" s="10">
        <f t="shared" si="0"/>
        <v>-24.07000000000005</v>
      </c>
      <c r="M54" s="10">
        <v>479</v>
      </c>
      <c r="N54" s="10">
        <v>468</v>
      </c>
      <c r="O54" s="10">
        <f t="shared" si="1"/>
        <v>-11</v>
      </c>
      <c r="P54" s="11">
        <v>6736.6900485181395</v>
      </c>
      <c r="Q54" s="11">
        <v>14696.532359081421</v>
      </c>
      <c r="R54" s="11">
        <v>20000</v>
      </c>
      <c r="S54" s="11">
        <v>7039639</v>
      </c>
      <c r="T54" s="11">
        <v>844756</v>
      </c>
      <c r="U54" s="12">
        <f t="shared" si="2"/>
        <v>0.11999990340413763</v>
      </c>
      <c r="V54" s="13">
        <f t="shared" si="26"/>
        <v>-162152.12946783195</v>
      </c>
      <c r="W54" s="10">
        <f t="shared" si="3"/>
        <v>-19458.239872915052</v>
      </c>
      <c r="X54" s="15"/>
      <c r="Y54" s="15"/>
      <c r="Z54" s="11">
        <f t="shared" si="4"/>
        <v>6877486.8705321681</v>
      </c>
      <c r="AA54" s="14"/>
      <c r="AB54" s="14"/>
      <c r="AC54" s="11">
        <f t="shared" si="5"/>
        <v>6877486.8705321681</v>
      </c>
      <c r="AD54" s="10">
        <f t="shared" si="6"/>
        <v>300</v>
      </c>
      <c r="AE54" s="15">
        <v>143700</v>
      </c>
      <c r="AF54" s="16">
        <v>25866</v>
      </c>
      <c r="AG54" s="15">
        <f t="shared" si="7"/>
        <v>-3300</v>
      </c>
      <c r="AH54" s="15">
        <f t="shared" si="8"/>
        <v>-594</v>
      </c>
      <c r="AI54" s="15">
        <f t="shared" si="9"/>
        <v>140400</v>
      </c>
      <c r="AJ54" s="15">
        <f t="shared" si="10"/>
        <v>25272</v>
      </c>
      <c r="AK54" s="10">
        <v>143700</v>
      </c>
      <c r="AL54" s="15">
        <f t="shared" si="11"/>
        <v>140400</v>
      </c>
      <c r="AM54" s="15">
        <f t="shared" si="12"/>
        <v>7017887</v>
      </c>
      <c r="AN54" s="15">
        <f t="shared" si="13"/>
        <v>850570</v>
      </c>
      <c r="AO54" s="15">
        <f t="shared" si="14"/>
        <v>990970</v>
      </c>
      <c r="AP54" s="17">
        <f t="shared" si="15"/>
        <v>8008857</v>
      </c>
      <c r="AQ54" s="15">
        <v>7095957</v>
      </c>
      <c r="AR54" s="15">
        <v>0</v>
      </c>
      <c r="AS54" s="18">
        <f t="shared" si="16"/>
        <v>912900</v>
      </c>
      <c r="AT54" s="19">
        <v>0</v>
      </c>
      <c r="AU54" s="8">
        <v>8800</v>
      </c>
      <c r="AV54" s="13">
        <f t="shared" si="17"/>
        <v>4118400</v>
      </c>
      <c r="AW54" s="18">
        <f t="shared" si="18"/>
        <v>7017887</v>
      </c>
      <c r="AX54" s="15">
        <f t="shared" si="19"/>
        <v>7018000</v>
      </c>
      <c r="AY54" s="20">
        <v>0.06</v>
      </c>
      <c r="AZ54" s="13">
        <f t="shared" si="20"/>
        <v>421080</v>
      </c>
      <c r="BA54" s="15">
        <f t="shared" si="21"/>
        <v>421100</v>
      </c>
      <c r="BB54" s="21">
        <f t="shared" si="22"/>
        <v>1334000</v>
      </c>
      <c r="BC54" s="10">
        <f t="shared" si="23"/>
        <v>-2.3034154090548102</v>
      </c>
      <c r="BD54" s="10">
        <f t="shared" si="24"/>
        <v>-2.2964509394572024</v>
      </c>
      <c r="BE54" s="10">
        <v>94.84</v>
      </c>
      <c r="BF54" s="10">
        <v>43.48</v>
      </c>
      <c r="BG54" s="107">
        <v>46176</v>
      </c>
      <c r="BH54" s="107">
        <f t="shared" si="27"/>
        <v>46206</v>
      </c>
      <c r="BI54" s="23">
        <v>6</v>
      </c>
      <c r="BJ54" s="6"/>
      <c r="BK54" s="6"/>
      <c r="BL54" s="24">
        <f>VLOOKUP(A54,[2]Sheet1!$D$2:$H$933,5,0)</f>
        <v>0</v>
      </c>
      <c r="BM54" s="6" t="s">
        <v>3828</v>
      </c>
      <c r="BN54" s="6" t="s">
        <v>3829</v>
      </c>
      <c r="BO54" s="6" t="s">
        <v>3820</v>
      </c>
      <c r="BP54" s="6" t="s">
        <v>3821</v>
      </c>
      <c r="BQ54" s="6" t="s">
        <v>3830</v>
      </c>
      <c r="BR54" t="s">
        <v>3823</v>
      </c>
      <c r="BS54" t="s">
        <v>3824</v>
      </c>
      <c r="BT54" t="s">
        <v>3825</v>
      </c>
      <c r="BU54" t="s">
        <v>3826</v>
      </c>
      <c r="BV54" t="s">
        <v>3827</v>
      </c>
      <c r="BW54" t="s">
        <v>3835</v>
      </c>
      <c r="BX54">
        <v>0</v>
      </c>
      <c r="BY54" t="s">
        <v>3865</v>
      </c>
      <c r="BZ54" t="s">
        <v>3860</v>
      </c>
    </row>
    <row r="55" spans="1:78" x14ac:dyDescent="0.25">
      <c r="A55" s="7" t="s">
        <v>288</v>
      </c>
      <c r="B55" s="7" t="s">
        <v>181</v>
      </c>
      <c r="C55" s="7" t="s">
        <v>286</v>
      </c>
      <c r="D55" s="8" t="s">
        <v>287</v>
      </c>
      <c r="E55" s="7" t="s">
        <v>289</v>
      </c>
      <c r="F55" s="9">
        <v>44895</v>
      </c>
      <c r="G55" s="9" t="s">
        <v>65</v>
      </c>
      <c r="H55" s="9" t="s">
        <v>72</v>
      </c>
      <c r="I55" s="8" t="s">
        <v>78</v>
      </c>
      <c r="J55" s="10">
        <v>999.33</v>
      </c>
      <c r="K55" s="10">
        <v>999.33</v>
      </c>
      <c r="L55" s="10">
        <f t="shared" si="0"/>
        <v>0</v>
      </c>
      <c r="M55" s="10">
        <v>457.47</v>
      </c>
      <c r="N55" s="10">
        <v>457.47</v>
      </c>
      <c r="O55" s="10">
        <f t="shared" si="1"/>
        <v>0</v>
      </c>
      <c r="P55" s="11">
        <v>6500</v>
      </c>
      <c r="Q55" s="11">
        <v>14199.062233589088</v>
      </c>
      <c r="R55" s="11">
        <v>20000</v>
      </c>
      <c r="S55" s="11">
        <v>6495645</v>
      </c>
      <c r="T55" s="11">
        <v>779478</v>
      </c>
      <c r="U55" s="12">
        <f t="shared" si="2"/>
        <v>0.12000009236957992</v>
      </c>
      <c r="V55" s="13">
        <f t="shared" si="26"/>
        <v>0</v>
      </c>
      <c r="W55" s="10">
        <f t="shared" si="3"/>
        <v>0</v>
      </c>
      <c r="X55" s="10"/>
      <c r="Y55" s="10"/>
      <c r="Z55" s="11">
        <f t="shared" si="4"/>
        <v>6495645</v>
      </c>
      <c r="AA55" s="14">
        <v>1856751</v>
      </c>
      <c r="AB55" s="14">
        <v>222810</v>
      </c>
      <c r="AC55" s="11">
        <f t="shared" si="5"/>
        <v>4638894</v>
      </c>
      <c r="AD55" s="10">
        <f t="shared" si="6"/>
        <v>300</v>
      </c>
      <c r="AE55" s="15">
        <v>137241</v>
      </c>
      <c r="AF55" s="16">
        <v>24704</v>
      </c>
      <c r="AG55" s="15">
        <f t="shared" si="7"/>
        <v>0</v>
      </c>
      <c r="AH55" s="15">
        <f t="shared" si="8"/>
        <v>0</v>
      </c>
      <c r="AI55" s="15">
        <f t="shared" si="9"/>
        <v>137241</v>
      </c>
      <c r="AJ55" s="15">
        <f t="shared" si="10"/>
        <v>24704</v>
      </c>
      <c r="AK55" s="10">
        <v>137241</v>
      </c>
      <c r="AL55" s="15">
        <f t="shared" si="11"/>
        <v>137241</v>
      </c>
      <c r="AM55" s="15">
        <f t="shared" si="12"/>
        <v>4776135</v>
      </c>
      <c r="AN55" s="15">
        <f t="shared" si="13"/>
        <v>581372</v>
      </c>
      <c r="AO55" s="15">
        <f t="shared" si="14"/>
        <v>718613</v>
      </c>
      <c r="AP55" s="17">
        <f t="shared" si="15"/>
        <v>5494748</v>
      </c>
      <c r="AQ55" s="15">
        <v>4468053</v>
      </c>
      <c r="AR55" s="15">
        <v>0</v>
      </c>
      <c r="AS55" s="18">
        <f t="shared" si="16"/>
        <v>1026695</v>
      </c>
      <c r="AT55" s="19">
        <v>0</v>
      </c>
      <c r="AU55" s="8">
        <v>8800</v>
      </c>
      <c r="AV55" s="13">
        <f t="shared" si="17"/>
        <v>4025736.0000000005</v>
      </c>
      <c r="AW55" s="18">
        <f t="shared" si="18"/>
        <v>4776135</v>
      </c>
      <c r="AX55" s="15">
        <f t="shared" si="19"/>
        <v>4777000</v>
      </c>
      <c r="AY55" s="20">
        <v>7.0000000000000007E-2</v>
      </c>
      <c r="AZ55" s="13">
        <f t="shared" si="20"/>
        <v>334390.00000000006</v>
      </c>
      <c r="BA55" s="15">
        <f t="shared" si="21"/>
        <v>334400</v>
      </c>
      <c r="BB55" s="21">
        <f t="shared" si="22"/>
        <v>1361095</v>
      </c>
      <c r="BC55" s="10">
        <f t="shared" si="23"/>
        <v>0</v>
      </c>
      <c r="BD55" s="10">
        <f t="shared" si="24"/>
        <v>0</v>
      </c>
      <c r="BE55" s="10">
        <v>92.84</v>
      </c>
      <c r="BF55" s="10">
        <v>42.5</v>
      </c>
      <c r="BG55" s="107">
        <v>46176</v>
      </c>
      <c r="BH55" s="107">
        <f t="shared" si="27"/>
        <v>46206</v>
      </c>
      <c r="BI55" s="23">
        <v>7</v>
      </c>
      <c r="BJ55" s="6"/>
      <c r="BK55" s="6"/>
      <c r="BL55" s="24">
        <f>VLOOKUP(A55,[2]Sheet1!$D$2:$H$933,5,0)</f>
        <v>0</v>
      </c>
      <c r="BM55" s="6" t="s">
        <v>3828</v>
      </c>
      <c r="BN55" s="6" t="s">
        <v>3829</v>
      </c>
      <c r="BO55" s="6" t="s">
        <v>3820</v>
      </c>
      <c r="BP55" s="6" t="s">
        <v>3821</v>
      </c>
      <c r="BQ55" s="6" t="s">
        <v>3830</v>
      </c>
      <c r="BR55" t="s">
        <v>3823</v>
      </c>
      <c r="BS55" t="s">
        <v>3824</v>
      </c>
      <c r="BT55" t="s">
        <v>3825</v>
      </c>
      <c r="BU55" t="s">
        <v>3826</v>
      </c>
      <c r="BV55" t="s">
        <v>3827</v>
      </c>
      <c r="BW55" t="s">
        <v>3835</v>
      </c>
      <c r="BX55">
        <v>0</v>
      </c>
      <c r="BY55" t="s">
        <v>3867</v>
      </c>
      <c r="BZ55" t="s">
        <v>3860</v>
      </c>
    </row>
    <row r="56" spans="1:78" x14ac:dyDescent="0.25">
      <c r="A56" s="7" t="s">
        <v>292</v>
      </c>
      <c r="B56" s="7" t="s">
        <v>181</v>
      </c>
      <c r="C56" s="7" t="s">
        <v>290</v>
      </c>
      <c r="D56" s="8" t="s">
        <v>291</v>
      </c>
      <c r="E56" s="7" t="s">
        <v>293</v>
      </c>
      <c r="F56" s="9">
        <v>45005</v>
      </c>
      <c r="G56" s="9" t="s">
        <v>65</v>
      </c>
      <c r="H56" s="9" t="s">
        <v>72</v>
      </c>
      <c r="I56" s="8" t="s">
        <v>78</v>
      </c>
      <c r="J56" s="10">
        <v>929.15</v>
      </c>
      <c r="K56" s="10">
        <v>929.15</v>
      </c>
      <c r="L56" s="10">
        <f t="shared" si="0"/>
        <v>0</v>
      </c>
      <c r="M56" s="10">
        <v>428.41</v>
      </c>
      <c r="N56" s="10">
        <v>428.41</v>
      </c>
      <c r="O56" s="10">
        <f t="shared" si="1"/>
        <v>0</v>
      </c>
      <c r="P56" s="11">
        <v>8747.9997847495033</v>
      </c>
      <c r="Q56" s="11">
        <v>18972.955813356362</v>
      </c>
      <c r="R56" s="11">
        <v>20000</v>
      </c>
      <c r="S56" s="11">
        <v>8128204</v>
      </c>
      <c r="T56" s="11">
        <v>975384</v>
      </c>
      <c r="U56" s="12">
        <f t="shared" si="2"/>
        <v>0.11999994094636404</v>
      </c>
      <c r="V56" s="13">
        <f t="shared" si="26"/>
        <v>0</v>
      </c>
      <c r="W56" s="10">
        <f t="shared" si="3"/>
        <v>0</v>
      </c>
      <c r="X56" s="10"/>
      <c r="Y56" s="10"/>
      <c r="Z56" s="11">
        <f t="shared" si="4"/>
        <v>8128204</v>
      </c>
      <c r="AA56" s="14">
        <v>1457139</v>
      </c>
      <c r="AB56" s="14">
        <v>174856</v>
      </c>
      <c r="AC56" s="11">
        <f t="shared" si="5"/>
        <v>6671065</v>
      </c>
      <c r="AD56" s="10">
        <f t="shared" si="6"/>
        <v>300</v>
      </c>
      <c r="AE56" s="15">
        <v>128523</v>
      </c>
      <c r="AF56" s="16">
        <v>23134</v>
      </c>
      <c r="AG56" s="15">
        <f t="shared" si="7"/>
        <v>0</v>
      </c>
      <c r="AH56" s="15">
        <f t="shared" si="8"/>
        <v>0</v>
      </c>
      <c r="AI56" s="15">
        <f t="shared" si="9"/>
        <v>128523.00000000001</v>
      </c>
      <c r="AJ56" s="15">
        <f t="shared" si="10"/>
        <v>23135</v>
      </c>
      <c r="AK56" s="10">
        <v>128523</v>
      </c>
      <c r="AL56" s="15">
        <f t="shared" si="11"/>
        <v>128523.00000000001</v>
      </c>
      <c r="AM56" s="15">
        <f t="shared" si="12"/>
        <v>6799588</v>
      </c>
      <c r="AN56" s="15">
        <f t="shared" si="13"/>
        <v>823663</v>
      </c>
      <c r="AO56" s="15">
        <f t="shared" si="14"/>
        <v>952186</v>
      </c>
      <c r="AP56" s="17">
        <f t="shared" si="15"/>
        <v>7751774</v>
      </c>
      <c r="AQ56" s="15">
        <v>6561234</v>
      </c>
      <c r="AR56" s="15">
        <v>0</v>
      </c>
      <c r="AS56" s="18">
        <f t="shared" si="16"/>
        <v>1190540</v>
      </c>
      <c r="AT56" s="19">
        <v>0</v>
      </c>
      <c r="AU56" s="8">
        <v>8800</v>
      </c>
      <c r="AV56" s="13">
        <f t="shared" si="17"/>
        <v>3770008</v>
      </c>
      <c r="AW56" s="18">
        <f t="shared" si="18"/>
        <v>6799588</v>
      </c>
      <c r="AX56" s="15">
        <f t="shared" si="19"/>
        <v>6800000</v>
      </c>
      <c r="AY56" s="20">
        <v>0.05</v>
      </c>
      <c r="AZ56" s="13">
        <f t="shared" si="20"/>
        <v>340000</v>
      </c>
      <c r="BA56" s="15">
        <f t="shared" si="21"/>
        <v>340000</v>
      </c>
      <c r="BB56" s="21">
        <f t="shared" si="22"/>
        <v>1530540</v>
      </c>
      <c r="BC56" s="10">
        <f t="shared" si="23"/>
        <v>0</v>
      </c>
      <c r="BD56" s="10">
        <f t="shared" si="24"/>
        <v>0</v>
      </c>
      <c r="BE56" s="10">
        <v>86.32</v>
      </c>
      <c r="BF56" s="10">
        <v>39.799999999999997</v>
      </c>
      <c r="BG56" s="107">
        <v>46176</v>
      </c>
      <c r="BH56" s="107">
        <f t="shared" si="27"/>
        <v>46206</v>
      </c>
      <c r="BI56" s="23">
        <v>5</v>
      </c>
      <c r="BJ56" s="6"/>
      <c r="BK56" s="6"/>
      <c r="BL56" s="24">
        <f>VLOOKUP(A56,[2]Sheet1!$D$2:$H$933,5,0)</f>
        <v>0</v>
      </c>
      <c r="BM56" s="6" t="s">
        <v>3828</v>
      </c>
      <c r="BN56" s="6" t="s">
        <v>3829</v>
      </c>
      <c r="BO56" s="6" t="s">
        <v>3820</v>
      </c>
      <c r="BP56" s="6" t="s">
        <v>3821</v>
      </c>
      <c r="BQ56" s="6" t="s">
        <v>3830</v>
      </c>
      <c r="BR56" t="s">
        <v>3823</v>
      </c>
      <c r="BS56" t="s">
        <v>3824</v>
      </c>
      <c r="BT56" t="s">
        <v>3825</v>
      </c>
      <c r="BU56" t="s">
        <v>3826</v>
      </c>
      <c r="BV56" t="s">
        <v>3827</v>
      </c>
      <c r="BW56" t="s">
        <v>3835</v>
      </c>
      <c r="BX56">
        <v>0</v>
      </c>
      <c r="BY56" t="s">
        <v>3869</v>
      </c>
      <c r="BZ56" t="s">
        <v>3860</v>
      </c>
    </row>
    <row r="57" spans="1:78" x14ac:dyDescent="0.25">
      <c r="A57" s="7" t="s">
        <v>296</v>
      </c>
      <c r="B57" s="7" t="s">
        <v>181</v>
      </c>
      <c r="C57" s="7" t="s">
        <v>294</v>
      </c>
      <c r="D57" s="8" t="s">
        <v>295</v>
      </c>
      <c r="E57" s="7" t="s">
        <v>297</v>
      </c>
      <c r="F57" s="9">
        <v>45000</v>
      </c>
      <c r="G57" s="9" t="s">
        <v>65</v>
      </c>
      <c r="H57" s="9" t="s">
        <v>72</v>
      </c>
      <c r="I57" s="8" t="s">
        <v>67</v>
      </c>
      <c r="J57" s="10">
        <v>571.69000000000005</v>
      </c>
      <c r="K57" s="10">
        <v>571.69000000000005</v>
      </c>
      <c r="L57" s="10">
        <f t="shared" si="0"/>
        <v>0</v>
      </c>
      <c r="M57" s="10">
        <v>234.66</v>
      </c>
      <c r="N57" s="10">
        <v>234.66</v>
      </c>
      <c r="O57" s="10">
        <f t="shared" si="1"/>
        <v>0</v>
      </c>
      <c r="P57" s="11">
        <v>8385.9994052720867</v>
      </c>
      <c r="Q57" s="11">
        <v>20430.375862950652</v>
      </c>
      <c r="R57" s="11">
        <v>20000</v>
      </c>
      <c r="S57" s="11">
        <v>4794192</v>
      </c>
      <c r="T57" s="11">
        <v>575304</v>
      </c>
      <c r="U57" s="12">
        <f t="shared" si="2"/>
        <v>0.12000020024229317</v>
      </c>
      <c r="V57" s="13">
        <f t="shared" si="26"/>
        <v>0</v>
      </c>
      <c r="W57" s="10">
        <f t="shared" si="3"/>
        <v>0</v>
      </c>
      <c r="X57" s="10"/>
      <c r="Y57" s="10"/>
      <c r="Z57" s="11">
        <f t="shared" si="4"/>
        <v>4794192</v>
      </c>
      <c r="AA57" s="14"/>
      <c r="AB57" s="14"/>
      <c r="AC57" s="11">
        <f t="shared" si="5"/>
        <v>4794192</v>
      </c>
      <c r="AD57" s="10">
        <f t="shared" si="6"/>
        <v>300</v>
      </c>
      <c r="AE57" s="15">
        <v>70398</v>
      </c>
      <c r="AF57" s="16">
        <v>12672</v>
      </c>
      <c r="AG57" s="15">
        <f t="shared" si="7"/>
        <v>0</v>
      </c>
      <c r="AH57" s="15">
        <f t="shared" si="8"/>
        <v>0</v>
      </c>
      <c r="AI57" s="15">
        <f t="shared" si="9"/>
        <v>70398</v>
      </c>
      <c r="AJ57" s="15">
        <f t="shared" si="10"/>
        <v>12672</v>
      </c>
      <c r="AK57" s="10">
        <v>70398</v>
      </c>
      <c r="AL57" s="15">
        <f t="shared" si="11"/>
        <v>70398</v>
      </c>
      <c r="AM57" s="15">
        <f t="shared" si="12"/>
        <v>4864590</v>
      </c>
      <c r="AN57" s="15">
        <f t="shared" si="13"/>
        <v>587976</v>
      </c>
      <c r="AO57" s="15">
        <f t="shared" si="14"/>
        <v>658374</v>
      </c>
      <c r="AP57" s="17">
        <f t="shared" si="15"/>
        <v>5522964</v>
      </c>
      <c r="AQ57" s="15">
        <v>4720433</v>
      </c>
      <c r="AR57" s="15">
        <v>0</v>
      </c>
      <c r="AS57" s="18">
        <f t="shared" si="16"/>
        <v>802531</v>
      </c>
      <c r="AT57" s="19">
        <v>0</v>
      </c>
      <c r="AU57" s="8">
        <v>8800</v>
      </c>
      <c r="AV57" s="13">
        <f t="shared" si="17"/>
        <v>2065008</v>
      </c>
      <c r="AW57" s="18">
        <f t="shared" si="18"/>
        <v>4864590</v>
      </c>
      <c r="AX57" s="15">
        <f t="shared" si="19"/>
        <v>4865000</v>
      </c>
      <c r="AY57" s="20">
        <v>0.06</v>
      </c>
      <c r="AZ57" s="13">
        <f t="shared" si="20"/>
        <v>291900</v>
      </c>
      <c r="BA57" s="15">
        <f t="shared" si="21"/>
        <v>291900</v>
      </c>
      <c r="BB57" s="21">
        <f t="shared" si="22"/>
        <v>1094431</v>
      </c>
      <c r="BC57" s="10">
        <f t="shared" si="23"/>
        <v>0</v>
      </c>
      <c r="BD57" s="10">
        <f t="shared" si="24"/>
        <v>0</v>
      </c>
      <c r="BE57" s="10">
        <v>53.11</v>
      </c>
      <c r="BF57" s="10">
        <v>21.8</v>
      </c>
      <c r="BG57" s="107">
        <v>46176</v>
      </c>
      <c r="BH57" s="107">
        <f t="shared" si="27"/>
        <v>46206</v>
      </c>
      <c r="BI57" s="23">
        <v>6</v>
      </c>
      <c r="BJ57" s="6"/>
      <c r="BK57" s="6"/>
      <c r="BL57" s="24">
        <f>VLOOKUP(A57,[2]Sheet1!$D$2:$H$933,5,0)</f>
        <v>0</v>
      </c>
      <c r="BM57" s="6" t="s">
        <v>3828</v>
      </c>
      <c r="BN57" s="6" t="s">
        <v>3829</v>
      </c>
      <c r="BO57" s="6" t="s">
        <v>3820</v>
      </c>
      <c r="BP57" s="6" t="s">
        <v>3821</v>
      </c>
      <c r="BQ57" s="6" t="s">
        <v>3830</v>
      </c>
      <c r="BR57" t="s">
        <v>3823</v>
      </c>
      <c r="BS57" t="s">
        <v>3824</v>
      </c>
      <c r="BT57" t="s">
        <v>3825</v>
      </c>
      <c r="BU57" t="s">
        <v>3826</v>
      </c>
      <c r="BV57" t="s">
        <v>3827</v>
      </c>
      <c r="BW57" t="s">
        <v>3835</v>
      </c>
      <c r="BX57">
        <v>0</v>
      </c>
      <c r="BY57" t="s">
        <v>3870</v>
      </c>
      <c r="BZ57" t="s">
        <v>3860</v>
      </c>
    </row>
    <row r="58" spans="1:78" x14ac:dyDescent="0.25">
      <c r="A58" s="7" t="s">
        <v>300</v>
      </c>
      <c r="B58" s="7" t="s">
        <v>181</v>
      </c>
      <c r="C58" s="7" t="s">
        <v>298</v>
      </c>
      <c r="D58" s="8" t="s">
        <v>299</v>
      </c>
      <c r="E58" s="7" t="s">
        <v>301</v>
      </c>
      <c r="F58" s="9">
        <v>44940</v>
      </c>
      <c r="G58" s="9" t="s">
        <v>65</v>
      </c>
      <c r="H58" s="9" t="s">
        <v>190</v>
      </c>
      <c r="I58" s="8" t="s">
        <v>78</v>
      </c>
      <c r="J58" s="10">
        <v>1241.0899999999999</v>
      </c>
      <c r="K58" s="10">
        <v>1241.0899999999999</v>
      </c>
      <c r="L58" s="10">
        <f t="shared" ref="L58:L120" si="28">K58-J58</f>
        <v>0</v>
      </c>
      <c r="M58" s="10">
        <v>580.17999999999995</v>
      </c>
      <c r="N58" s="10">
        <v>580.17999999999995</v>
      </c>
      <c r="O58" s="10">
        <f t="shared" ref="O58:O120" si="29">N58-M58</f>
        <v>0</v>
      </c>
      <c r="P58" s="11">
        <v>11719.514297915543</v>
      </c>
      <c r="Q58" s="11">
        <v>25069.757661415424</v>
      </c>
      <c r="R58" s="11">
        <v>60000</v>
      </c>
      <c r="S58" s="11">
        <v>14544972</v>
      </c>
      <c r="T58" s="11">
        <v>1745396</v>
      </c>
      <c r="U58" s="12">
        <f t="shared" ref="U58:U120" si="30">T58/S58</f>
        <v>0.11999995599854026</v>
      </c>
      <c r="V58" s="13">
        <f t="shared" si="26"/>
        <v>0</v>
      </c>
      <c r="W58" s="10">
        <f t="shared" ref="W58:W120" si="31">V58*U58</f>
        <v>0</v>
      </c>
      <c r="X58" s="10"/>
      <c r="Y58" s="10"/>
      <c r="Z58" s="11">
        <f t="shared" ref="Z58:Z120" si="32">S58+V58+X58</f>
        <v>14544972</v>
      </c>
      <c r="AA58" s="14"/>
      <c r="AB58" s="14"/>
      <c r="AC58" s="11">
        <f t="shared" ref="AC58:AC120" si="33">Z58-AA58</f>
        <v>14544972</v>
      </c>
      <c r="AD58" s="10">
        <f t="shared" ref="AD58:AD120" si="34">AE58/M58</f>
        <v>300</v>
      </c>
      <c r="AE58" s="15">
        <v>174054</v>
      </c>
      <c r="AF58" s="16">
        <v>31330</v>
      </c>
      <c r="AG58" s="15">
        <f t="shared" ref="AG58:AG120" si="35">(AD58*O58)</f>
        <v>0</v>
      </c>
      <c r="AH58" s="15">
        <f t="shared" ref="AH58:AH120" si="36">AG58*18%</f>
        <v>0</v>
      </c>
      <c r="AI58" s="15">
        <f t="shared" ref="AI58:AI120" si="37">AD58*N58</f>
        <v>174053.99999999997</v>
      </c>
      <c r="AJ58" s="15">
        <f t="shared" ref="AJ58:AJ120" si="38">ROUNDUP(AI58*18%,0)</f>
        <v>31330</v>
      </c>
      <c r="AK58" s="10">
        <v>174054</v>
      </c>
      <c r="AL58" s="15">
        <f t="shared" ref="AL58:AL120" si="39">N58*300</f>
        <v>174053.99999999997</v>
      </c>
      <c r="AM58" s="15">
        <f t="shared" ref="AM58:AM120" si="40">ROUND(AI58+AC58,0)</f>
        <v>14719026</v>
      </c>
      <c r="AN58" s="15">
        <f t="shared" ref="AN58:AN120" si="41">ROUNDUP(AJ58+W58+T58+Y58-AB58,0)</f>
        <v>1776726</v>
      </c>
      <c r="AO58" s="15">
        <f t="shared" si="14"/>
        <v>1950780</v>
      </c>
      <c r="AP58" s="17">
        <f t="shared" ref="AP58:AP120" si="42">AM58+AO58</f>
        <v>16669806</v>
      </c>
      <c r="AQ58" s="15">
        <v>2825000</v>
      </c>
      <c r="AR58" s="15">
        <v>0</v>
      </c>
      <c r="AS58" s="18">
        <f t="shared" si="16"/>
        <v>13844806</v>
      </c>
      <c r="AT58" s="19">
        <v>0</v>
      </c>
      <c r="AU58" s="8">
        <v>8800</v>
      </c>
      <c r="AV58" s="13">
        <f t="shared" si="17"/>
        <v>5105584</v>
      </c>
      <c r="AW58" s="18">
        <f t="shared" si="18"/>
        <v>14719026</v>
      </c>
      <c r="AX58" s="15">
        <f t="shared" ref="AX58:AX120" si="43">CEILING((AW58),1000)</f>
        <v>14720000</v>
      </c>
      <c r="AY58" s="20">
        <v>0.05</v>
      </c>
      <c r="AZ58" s="13">
        <f t="shared" ref="AZ58:AZ120" si="44">AY58*AX58</f>
        <v>736000</v>
      </c>
      <c r="BA58" s="15">
        <f t="shared" ref="BA58:BA120" si="45">CEILING(AZ58,100)</f>
        <v>736000</v>
      </c>
      <c r="BB58" s="21">
        <f t="shared" si="22"/>
        <v>14580806</v>
      </c>
      <c r="BC58" s="10">
        <f t="shared" si="23"/>
        <v>0</v>
      </c>
      <c r="BD58" s="10">
        <f t="shared" si="24"/>
        <v>0</v>
      </c>
      <c r="BE58" s="10">
        <v>115.3</v>
      </c>
      <c r="BF58" s="10">
        <v>53.9</v>
      </c>
      <c r="BG58" s="107">
        <v>46176</v>
      </c>
      <c r="BH58" s="107">
        <f t="shared" si="27"/>
        <v>46206</v>
      </c>
      <c r="BI58" s="23">
        <v>5</v>
      </c>
      <c r="BJ58" s="6"/>
      <c r="BK58" s="6"/>
      <c r="BL58" s="24">
        <f>VLOOKUP(A58,[2]Sheet1!$D$2:$H$933,5,0)</f>
        <v>0</v>
      </c>
      <c r="BM58" s="6" t="s">
        <v>3828</v>
      </c>
      <c r="BN58" s="6" t="s">
        <v>3829</v>
      </c>
      <c r="BO58" s="6" t="s">
        <v>3820</v>
      </c>
      <c r="BP58" s="6" t="s">
        <v>3821</v>
      </c>
      <c r="BQ58" s="6" t="s">
        <v>3830</v>
      </c>
      <c r="BR58" t="s">
        <v>3823</v>
      </c>
      <c r="BS58" t="s">
        <v>3824</v>
      </c>
      <c r="BT58" t="s">
        <v>3825</v>
      </c>
      <c r="BU58" t="s">
        <v>3826</v>
      </c>
      <c r="BV58" t="s">
        <v>3827</v>
      </c>
      <c r="BW58" t="s">
        <v>3835</v>
      </c>
      <c r="BX58" s="101">
        <v>3808998.9371167999</v>
      </c>
      <c r="BY58" t="s">
        <v>3868</v>
      </c>
      <c r="BZ58" t="s">
        <v>3860</v>
      </c>
    </row>
    <row r="59" spans="1:78" x14ac:dyDescent="0.25">
      <c r="A59" s="7" t="s">
        <v>304</v>
      </c>
      <c r="B59" s="7" t="s">
        <v>181</v>
      </c>
      <c r="C59" s="7" t="s">
        <v>302</v>
      </c>
      <c r="D59" s="8" t="s">
        <v>303</v>
      </c>
      <c r="E59" s="7" t="s">
        <v>305</v>
      </c>
      <c r="F59" s="9">
        <v>45027</v>
      </c>
      <c r="G59" s="9" t="s">
        <v>65</v>
      </c>
      <c r="H59" s="9" t="s">
        <v>87</v>
      </c>
      <c r="I59" s="8" t="s">
        <v>78</v>
      </c>
      <c r="J59" s="10">
        <v>668.44</v>
      </c>
      <c r="K59" s="10">
        <v>668.44</v>
      </c>
      <c r="L59" s="10">
        <f t="shared" si="28"/>
        <v>0</v>
      </c>
      <c r="M59" s="10">
        <v>306.24</v>
      </c>
      <c r="N59" s="10">
        <v>306.24</v>
      </c>
      <c r="O59" s="10">
        <f t="shared" si="29"/>
        <v>0</v>
      </c>
      <c r="P59" s="11">
        <v>35443.000119681645</v>
      </c>
      <c r="Q59" s="11">
        <v>77362.588166144196</v>
      </c>
      <c r="R59" s="11">
        <v>40000</v>
      </c>
      <c r="S59" s="11">
        <v>23691519</v>
      </c>
      <c r="T59" s="11">
        <v>2842982</v>
      </c>
      <c r="U59" s="12">
        <f t="shared" si="30"/>
        <v>0.11999998818142475</v>
      </c>
      <c r="V59" s="13">
        <f t="shared" si="26"/>
        <v>0</v>
      </c>
      <c r="W59" s="10">
        <f t="shared" si="31"/>
        <v>0</v>
      </c>
      <c r="X59" s="10"/>
      <c r="Y59" s="10"/>
      <c r="Z59" s="11">
        <f t="shared" si="32"/>
        <v>23691519</v>
      </c>
      <c r="AA59" s="14"/>
      <c r="AB59" s="14"/>
      <c r="AC59" s="11">
        <f t="shared" si="33"/>
        <v>23691519</v>
      </c>
      <c r="AD59" s="10">
        <f t="shared" si="34"/>
        <v>300</v>
      </c>
      <c r="AE59" s="15">
        <v>91872</v>
      </c>
      <c r="AF59" s="16">
        <v>16536</v>
      </c>
      <c r="AG59" s="15">
        <f t="shared" si="35"/>
        <v>0</v>
      </c>
      <c r="AH59" s="15">
        <f t="shared" si="36"/>
        <v>0</v>
      </c>
      <c r="AI59" s="15">
        <f t="shared" si="37"/>
        <v>91872</v>
      </c>
      <c r="AJ59" s="15">
        <f t="shared" si="38"/>
        <v>16537</v>
      </c>
      <c r="AK59" s="10">
        <v>91872</v>
      </c>
      <c r="AL59" s="15">
        <f t="shared" si="39"/>
        <v>91872</v>
      </c>
      <c r="AM59" s="15">
        <f t="shared" si="40"/>
        <v>23783391</v>
      </c>
      <c r="AN59" s="15">
        <f t="shared" si="41"/>
        <v>2859519</v>
      </c>
      <c r="AO59" s="15">
        <f t="shared" si="14"/>
        <v>2951391</v>
      </c>
      <c r="AP59" s="17">
        <f t="shared" si="42"/>
        <v>26734782</v>
      </c>
      <c r="AQ59" s="15">
        <v>23881051</v>
      </c>
      <c r="AR59" s="15">
        <v>0</v>
      </c>
      <c r="AS59" s="18">
        <f t="shared" si="16"/>
        <v>2853731</v>
      </c>
      <c r="AT59" s="19">
        <v>0</v>
      </c>
      <c r="AU59" s="8">
        <v>8800</v>
      </c>
      <c r="AV59" s="13">
        <f t="shared" si="17"/>
        <v>2694912</v>
      </c>
      <c r="AW59" s="18">
        <f t="shared" si="18"/>
        <v>23783391</v>
      </c>
      <c r="AX59" s="15">
        <f t="shared" si="43"/>
        <v>23784000</v>
      </c>
      <c r="AY59" s="20">
        <v>0.06</v>
      </c>
      <c r="AZ59" s="13">
        <f t="shared" si="44"/>
        <v>1427040</v>
      </c>
      <c r="BA59" s="15">
        <f t="shared" si="45"/>
        <v>1427100</v>
      </c>
      <c r="BB59" s="21">
        <f t="shared" si="22"/>
        <v>4280831</v>
      </c>
      <c r="BC59" s="10">
        <f t="shared" si="23"/>
        <v>0</v>
      </c>
      <c r="BD59" s="10">
        <f t="shared" si="24"/>
        <v>0</v>
      </c>
      <c r="BE59" s="10">
        <v>62.1</v>
      </c>
      <c r="BF59" s="10">
        <v>28.45</v>
      </c>
      <c r="BG59" s="107">
        <v>46176</v>
      </c>
      <c r="BH59" s="107">
        <f t="shared" si="27"/>
        <v>46206</v>
      </c>
      <c r="BI59" s="23">
        <v>6</v>
      </c>
      <c r="BJ59" s="6"/>
      <c r="BK59" s="6"/>
      <c r="BL59" s="24">
        <f>VLOOKUP(A59,[2]Sheet1!$D$2:$H$933,5,0)</f>
        <v>0</v>
      </c>
      <c r="BM59" s="6" t="s">
        <v>3828</v>
      </c>
      <c r="BN59" s="6" t="s">
        <v>3829</v>
      </c>
      <c r="BO59" s="6" t="s">
        <v>3820</v>
      </c>
      <c r="BP59" s="6" t="s">
        <v>3821</v>
      </c>
      <c r="BQ59" s="6" t="s">
        <v>3830</v>
      </c>
      <c r="BR59" t="s">
        <v>3823</v>
      </c>
      <c r="BS59" t="s">
        <v>3824</v>
      </c>
      <c r="BT59" t="s">
        <v>3825</v>
      </c>
      <c r="BU59" t="s">
        <v>3826</v>
      </c>
      <c r="BV59" t="s">
        <v>3827</v>
      </c>
      <c r="BW59" t="s">
        <v>3835</v>
      </c>
      <c r="BX59">
        <v>0</v>
      </c>
      <c r="BY59" t="s">
        <v>3865</v>
      </c>
      <c r="BZ59" t="s">
        <v>3860</v>
      </c>
    </row>
    <row r="60" spans="1:78" x14ac:dyDescent="0.25">
      <c r="A60" s="7" t="s">
        <v>308</v>
      </c>
      <c r="B60" s="7" t="s">
        <v>181</v>
      </c>
      <c r="C60" s="7" t="s">
        <v>306</v>
      </c>
      <c r="D60" s="8" t="s">
        <v>307</v>
      </c>
      <c r="E60" s="7" t="s">
        <v>309</v>
      </c>
      <c r="F60" s="9">
        <v>45247</v>
      </c>
      <c r="G60" s="9" t="s">
        <v>65</v>
      </c>
      <c r="H60" s="9" t="s">
        <v>87</v>
      </c>
      <c r="I60" s="8" t="s">
        <v>78</v>
      </c>
      <c r="J60" s="10">
        <v>668.44</v>
      </c>
      <c r="K60" s="10">
        <v>668.44</v>
      </c>
      <c r="L60" s="10">
        <f t="shared" si="28"/>
        <v>0</v>
      </c>
      <c r="M60" s="10">
        <v>306.24</v>
      </c>
      <c r="N60" s="10">
        <v>306.24</v>
      </c>
      <c r="O60" s="10">
        <f t="shared" si="29"/>
        <v>0</v>
      </c>
      <c r="P60" s="11">
        <v>17999.997007958827</v>
      </c>
      <c r="Q60" s="11">
        <v>39289.17842215256</v>
      </c>
      <c r="R60" s="11">
        <v>40000</v>
      </c>
      <c r="S60" s="11">
        <v>12031918</v>
      </c>
      <c r="T60" s="11">
        <v>1443830</v>
      </c>
      <c r="U60" s="12">
        <f t="shared" si="30"/>
        <v>0.11999998670203703</v>
      </c>
      <c r="V60" s="13">
        <f t="shared" si="26"/>
        <v>0</v>
      </c>
      <c r="W60" s="10">
        <f t="shared" si="31"/>
        <v>0</v>
      </c>
      <c r="X60" s="10"/>
      <c r="Y60" s="10"/>
      <c r="Z60" s="11">
        <f t="shared" si="32"/>
        <v>12031918</v>
      </c>
      <c r="AA60" s="14"/>
      <c r="AB60" s="14"/>
      <c r="AC60" s="11">
        <f t="shared" si="33"/>
        <v>12031918</v>
      </c>
      <c r="AD60" s="10">
        <f t="shared" si="34"/>
        <v>300</v>
      </c>
      <c r="AE60" s="15">
        <v>91872</v>
      </c>
      <c r="AF60" s="16">
        <v>16536</v>
      </c>
      <c r="AG60" s="15">
        <f t="shared" si="35"/>
        <v>0</v>
      </c>
      <c r="AH60" s="15">
        <f t="shared" si="36"/>
        <v>0</v>
      </c>
      <c r="AI60" s="15">
        <f t="shared" si="37"/>
        <v>91872</v>
      </c>
      <c r="AJ60" s="15">
        <f t="shared" si="38"/>
        <v>16537</v>
      </c>
      <c r="AK60" s="10">
        <v>91872</v>
      </c>
      <c r="AL60" s="15">
        <f t="shared" si="39"/>
        <v>91872</v>
      </c>
      <c r="AM60" s="15">
        <f t="shared" si="40"/>
        <v>12123790</v>
      </c>
      <c r="AN60" s="15">
        <f t="shared" si="41"/>
        <v>1460367</v>
      </c>
      <c r="AO60" s="15">
        <f t="shared" si="14"/>
        <v>1552239</v>
      </c>
      <c r="AP60" s="17">
        <f t="shared" si="42"/>
        <v>13676029</v>
      </c>
      <c r="AQ60" s="15">
        <v>12240476</v>
      </c>
      <c r="AR60" s="15">
        <v>0</v>
      </c>
      <c r="AS60" s="18">
        <f t="shared" si="16"/>
        <v>1435553</v>
      </c>
      <c r="AT60" s="19">
        <v>0</v>
      </c>
      <c r="AU60" s="8">
        <v>8800</v>
      </c>
      <c r="AV60" s="13">
        <f t="shared" si="17"/>
        <v>2694912</v>
      </c>
      <c r="AW60" s="18">
        <f t="shared" si="18"/>
        <v>12123790</v>
      </c>
      <c r="AX60" s="15">
        <f t="shared" si="43"/>
        <v>12124000</v>
      </c>
      <c r="AY60" s="20">
        <v>7.0000000000000007E-2</v>
      </c>
      <c r="AZ60" s="13">
        <f t="shared" si="44"/>
        <v>848680.00000000012</v>
      </c>
      <c r="BA60" s="15">
        <f t="shared" si="45"/>
        <v>848700</v>
      </c>
      <c r="BB60" s="21">
        <f t="shared" si="22"/>
        <v>2284253</v>
      </c>
      <c r="BC60" s="10">
        <f t="shared" si="23"/>
        <v>0</v>
      </c>
      <c r="BD60" s="10">
        <f t="shared" si="24"/>
        <v>0</v>
      </c>
      <c r="BE60" s="10">
        <v>62.1</v>
      </c>
      <c r="BF60" s="10">
        <v>28.45</v>
      </c>
      <c r="BG60" s="107">
        <v>46176</v>
      </c>
      <c r="BH60" s="107">
        <f t="shared" si="27"/>
        <v>46206</v>
      </c>
      <c r="BI60" s="23">
        <v>7</v>
      </c>
      <c r="BJ60" s="6"/>
      <c r="BK60" s="6"/>
      <c r="BL60" s="24">
        <f>VLOOKUP(A60,[2]Sheet1!$D$2:$H$933,5,0)</f>
        <v>0</v>
      </c>
      <c r="BM60" s="6" t="s">
        <v>3828</v>
      </c>
      <c r="BN60" s="6" t="s">
        <v>3829</v>
      </c>
      <c r="BO60" s="6" t="s">
        <v>3820</v>
      </c>
      <c r="BP60" s="6" t="s">
        <v>3821</v>
      </c>
      <c r="BQ60" s="6" t="s">
        <v>3830</v>
      </c>
      <c r="BR60" t="s">
        <v>3823</v>
      </c>
      <c r="BS60" t="s">
        <v>3824</v>
      </c>
      <c r="BT60" t="s">
        <v>3825</v>
      </c>
      <c r="BU60" t="s">
        <v>3826</v>
      </c>
      <c r="BV60" t="s">
        <v>3827</v>
      </c>
      <c r="BW60" t="s">
        <v>3835</v>
      </c>
      <c r="BX60">
        <v>0</v>
      </c>
      <c r="BY60" t="s">
        <v>3868</v>
      </c>
      <c r="BZ60" t="s">
        <v>3860</v>
      </c>
    </row>
    <row r="61" spans="1:78" x14ac:dyDescent="0.25">
      <c r="A61" s="7" t="s">
        <v>312</v>
      </c>
      <c r="B61" s="7" t="s">
        <v>181</v>
      </c>
      <c r="C61" s="7" t="s">
        <v>310</v>
      </c>
      <c r="D61" s="8" t="s">
        <v>311</v>
      </c>
      <c r="E61" s="7" t="s">
        <v>313</v>
      </c>
      <c r="F61" s="9">
        <v>45181</v>
      </c>
      <c r="G61" s="9" t="s">
        <v>65</v>
      </c>
      <c r="H61" s="9" t="s">
        <v>87</v>
      </c>
      <c r="I61" s="8" t="s">
        <v>78</v>
      </c>
      <c r="J61" s="10">
        <v>668.44</v>
      </c>
      <c r="K61" s="10">
        <v>668.44</v>
      </c>
      <c r="L61" s="10">
        <f t="shared" si="28"/>
        <v>0</v>
      </c>
      <c r="M61" s="10">
        <v>306.24</v>
      </c>
      <c r="N61" s="10">
        <v>306.24</v>
      </c>
      <c r="O61" s="10">
        <f t="shared" si="29"/>
        <v>0</v>
      </c>
      <c r="P61" s="11">
        <v>14020.000299204115</v>
      </c>
      <c r="Q61" s="11">
        <v>30601.910266457679</v>
      </c>
      <c r="R61" s="11">
        <v>40000</v>
      </c>
      <c r="S61" s="11">
        <v>9371529</v>
      </c>
      <c r="T61" s="11">
        <v>1124584</v>
      </c>
      <c r="U61" s="12">
        <f t="shared" si="30"/>
        <v>0.12000005548721025</v>
      </c>
      <c r="V61" s="13">
        <f t="shared" si="26"/>
        <v>0</v>
      </c>
      <c r="W61" s="10">
        <f t="shared" si="31"/>
        <v>0</v>
      </c>
      <c r="X61" s="10"/>
      <c r="Y61" s="10"/>
      <c r="Z61" s="11">
        <f t="shared" si="32"/>
        <v>9371529</v>
      </c>
      <c r="AA61" s="14"/>
      <c r="AB61" s="14"/>
      <c r="AC61" s="11">
        <f t="shared" si="33"/>
        <v>9371529</v>
      </c>
      <c r="AD61" s="10">
        <f t="shared" si="34"/>
        <v>300</v>
      </c>
      <c r="AE61" s="15">
        <v>91872</v>
      </c>
      <c r="AF61" s="16">
        <v>16536</v>
      </c>
      <c r="AG61" s="15">
        <f t="shared" si="35"/>
        <v>0</v>
      </c>
      <c r="AH61" s="15">
        <f t="shared" si="36"/>
        <v>0</v>
      </c>
      <c r="AI61" s="15">
        <f t="shared" si="37"/>
        <v>91872</v>
      </c>
      <c r="AJ61" s="15">
        <f t="shared" si="38"/>
        <v>16537</v>
      </c>
      <c r="AK61" s="10">
        <v>91872</v>
      </c>
      <c r="AL61" s="15">
        <f t="shared" si="39"/>
        <v>91872</v>
      </c>
      <c r="AM61" s="15">
        <f t="shared" si="40"/>
        <v>9463401</v>
      </c>
      <c r="AN61" s="15">
        <f t="shared" si="41"/>
        <v>1141121</v>
      </c>
      <c r="AO61" s="15">
        <f t="shared" si="14"/>
        <v>1232993</v>
      </c>
      <c r="AP61" s="17">
        <f t="shared" si="42"/>
        <v>10696394</v>
      </c>
      <c r="AQ61" s="15">
        <v>2099223.06</v>
      </c>
      <c r="AR61" s="15">
        <v>0</v>
      </c>
      <c r="AS61" s="18">
        <f t="shared" si="16"/>
        <v>8597171</v>
      </c>
      <c r="AT61" s="19">
        <v>0</v>
      </c>
      <c r="AU61" s="8">
        <v>8800</v>
      </c>
      <c r="AV61" s="13">
        <f t="shared" si="17"/>
        <v>2694912</v>
      </c>
      <c r="AW61" s="18">
        <f t="shared" si="18"/>
        <v>9463401</v>
      </c>
      <c r="AX61" s="15">
        <f t="shared" si="43"/>
        <v>9464000</v>
      </c>
      <c r="AY61" s="20">
        <v>5.67E-2</v>
      </c>
      <c r="AZ61" s="13">
        <f t="shared" si="44"/>
        <v>536608.80000000005</v>
      </c>
      <c r="BA61" s="15">
        <f t="shared" si="45"/>
        <v>536700</v>
      </c>
      <c r="BB61" s="21">
        <f t="shared" si="22"/>
        <v>9133871</v>
      </c>
      <c r="BC61" s="10">
        <f t="shared" si="23"/>
        <v>0</v>
      </c>
      <c r="BD61" s="10">
        <f t="shared" si="24"/>
        <v>0</v>
      </c>
      <c r="BE61" s="10">
        <v>62.1</v>
      </c>
      <c r="BF61" s="10">
        <v>28.45</v>
      </c>
      <c r="BG61" s="107">
        <v>46176</v>
      </c>
      <c r="BH61" s="107">
        <f t="shared" si="27"/>
        <v>46206</v>
      </c>
      <c r="BI61" s="23">
        <v>5.67</v>
      </c>
      <c r="BJ61" s="6"/>
      <c r="BK61" s="6"/>
      <c r="BL61" s="24">
        <f>VLOOKUP(A61,[2]Sheet1!$D$2:$H$933,5,0)</f>
        <v>0</v>
      </c>
      <c r="BM61" s="6" t="s">
        <v>3828</v>
      </c>
      <c r="BN61" s="6" t="s">
        <v>3829</v>
      </c>
      <c r="BO61" s="6" t="s">
        <v>3820</v>
      </c>
      <c r="BP61" s="6" t="s">
        <v>3821</v>
      </c>
      <c r="BQ61" s="6" t="s">
        <v>3830</v>
      </c>
      <c r="BR61" t="s">
        <v>3823</v>
      </c>
      <c r="BS61" t="s">
        <v>3824</v>
      </c>
      <c r="BT61" t="s">
        <v>3825</v>
      </c>
      <c r="BU61" t="s">
        <v>3826</v>
      </c>
      <c r="BV61" t="s">
        <v>3827</v>
      </c>
      <c r="BW61" t="s">
        <v>3835</v>
      </c>
      <c r="BX61">
        <v>0</v>
      </c>
      <c r="BY61" t="s">
        <v>3868</v>
      </c>
      <c r="BZ61" t="s">
        <v>3860</v>
      </c>
    </row>
    <row r="62" spans="1:78" x14ac:dyDescent="0.25">
      <c r="A62" s="7" t="s">
        <v>316</v>
      </c>
      <c r="B62" s="7" t="s">
        <v>181</v>
      </c>
      <c r="C62" s="7" t="s">
        <v>314</v>
      </c>
      <c r="D62" s="8" t="s">
        <v>315</v>
      </c>
      <c r="E62" s="7" t="s">
        <v>317</v>
      </c>
      <c r="F62" s="9">
        <v>45266</v>
      </c>
      <c r="G62" s="9" t="s">
        <v>65</v>
      </c>
      <c r="H62" s="9" t="s">
        <v>87</v>
      </c>
      <c r="I62" s="8" t="s">
        <v>78</v>
      </c>
      <c r="J62" s="10">
        <v>668.44</v>
      </c>
      <c r="K62" s="10">
        <v>668.44</v>
      </c>
      <c r="L62" s="10">
        <f t="shared" si="28"/>
        <v>0</v>
      </c>
      <c r="M62" s="10">
        <v>306.24</v>
      </c>
      <c r="N62" s="10">
        <v>306.24</v>
      </c>
      <c r="O62" s="10">
        <f t="shared" si="29"/>
        <v>0</v>
      </c>
      <c r="P62" s="11">
        <v>10000.002992041169</v>
      </c>
      <c r="Q62" s="11">
        <v>21827.331504702193</v>
      </c>
      <c r="R62" s="11">
        <v>40000</v>
      </c>
      <c r="S62" s="11">
        <v>6684402</v>
      </c>
      <c r="T62" s="11">
        <v>802130</v>
      </c>
      <c r="U62" s="12">
        <f t="shared" si="30"/>
        <v>0.12000026329954422</v>
      </c>
      <c r="V62" s="13">
        <f t="shared" si="26"/>
        <v>0</v>
      </c>
      <c r="W62" s="10">
        <f t="shared" si="31"/>
        <v>0</v>
      </c>
      <c r="X62" s="10"/>
      <c r="Y62" s="10"/>
      <c r="Z62" s="11">
        <f t="shared" si="32"/>
        <v>6684402</v>
      </c>
      <c r="AA62" s="14"/>
      <c r="AB62" s="14"/>
      <c r="AC62" s="11">
        <f t="shared" si="33"/>
        <v>6684402</v>
      </c>
      <c r="AD62" s="10">
        <f t="shared" si="34"/>
        <v>300</v>
      </c>
      <c r="AE62" s="15">
        <v>91872</v>
      </c>
      <c r="AF62" s="16">
        <v>16536</v>
      </c>
      <c r="AG62" s="15">
        <f t="shared" si="35"/>
        <v>0</v>
      </c>
      <c r="AH62" s="15">
        <f t="shared" si="36"/>
        <v>0</v>
      </c>
      <c r="AI62" s="15">
        <f t="shared" si="37"/>
        <v>91872</v>
      </c>
      <c r="AJ62" s="15">
        <f t="shared" si="38"/>
        <v>16537</v>
      </c>
      <c r="AK62" s="10">
        <v>91872</v>
      </c>
      <c r="AL62" s="15">
        <f t="shared" si="39"/>
        <v>91872</v>
      </c>
      <c r="AM62" s="15">
        <f t="shared" si="40"/>
        <v>6776274</v>
      </c>
      <c r="AN62" s="15">
        <f t="shared" si="41"/>
        <v>818667</v>
      </c>
      <c r="AO62" s="15">
        <f t="shared" si="14"/>
        <v>910539</v>
      </c>
      <c r="AP62" s="17">
        <f t="shared" si="42"/>
        <v>7686813</v>
      </c>
      <c r="AQ62" s="15">
        <v>6989222</v>
      </c>
      <c r="AR62" s="15">
        <v>0</v>
      </c>
      <c r="AS62" s="18">
        <f t="shared" si="16"/>
        <v>697591</v>
      </c>
      <c r="AT62" s="19">
        <v>0</v>
      </c>
      <c r="AU62" s="8">
        <v>8800</v>
      </c>
      <c r="AV62" s="13">
        <f t="shared" si="17"/>
        <v>2694912</v>
      </c>
      <c r="AW62" s="18">
        <f t="shared" si="18"/>
        <v>6776274</v>
      </c>
      <c r="AX62" s="15">
        <f t="shared" si="43"/>
        <v>6777000</v>
      </c>
      <c r="AY62" s="20">
        <v>7.0000000000000007E-2</v>
      </c>
      <c r="AZ62" s="13">
        <f t="shared" si="44"/>
        <v>474390.00000000006</v>
      </c>
      <c r="BA62" s="15">
        <f t="shared" si="45"/>
        <v>474400</v>
      </c>
      <c r="BB62" s="21">
        <f t="shared" si="22"/>
        <v>1171991</v>
      </c>
      <c r="BC62" s="10">
        <f t="shared" si="23"/>
        <v>0</v>
      </c>
      <c r="BD62" s="10">
        <f t="shared" si="24"/>
        <v>0</v>
      </c>
      <c r="BE62" s="10">
        <v>62.1</v>
      </c>
      <c r="BF62" s="10">
        <v>28.45</v>
      </c>
      <c r="BG62" s="107">
        <v>46176</v>
      </c>
      <c r="BH62" s="107">
        <f t="shared" si="27"/>
        <v>46206</v>
      </c>
      <c r="BI62" s="23">
        <v>7</v>
      </c>
      <c r="BJ62" s="6"/>
      <c r="BK62" s="6"/>
      <c r="BL62" s="24">
        <f>VLOOKUP(A62,[2]Sheet1!$D$2:$H$933,5,0)</f>
        <v>0</v>
      </c>
      <c r="BM62" s="6" t="s">
        <v>3828</v>
      </c>
      <c r="BN62" s="6" t="s">
        <v>3829</v>
      </c>
      <c r="BO62" s="6" t="s">
        <v>3820</v>
      </c>
      <c r="BP62" s="6" t="s">
        <v>3821</v>
      </c>
      <c r="BQ62" s="6" t="s">
        <v>3830</v>
      </c>
      <c r="BR62" t="s">
        <v>3823</v>
      </c>
      <c r="BS62" t="s">
        <v>3824</v>
      </c>
      <c r="BT62" t="s">
        <v>3825</v>
      </c>
      <c r="BU62" t="s">
        <v>3826</v>
      </c>
      <c r="BV62" t="s">
        <v>3827</v>
      </c>
      <c r="BW62" t="s">
        <v>3835</v>
      </c>
      <c r="BX62">
        <v>0</v>
      </c>
      <c r="BY62" t="s">
        <v>3865</v>
      </c>
      <c r="BZ62" t="s">
        <v>3860</v>
      </c>
    </row>
    <row r="63" spans="1:78" x14ac:dyDescent="0.25">
      <c r="A63" s="7" t="s">
        <v>320</v>
      </c>
      <c r="B63" s="7" t="s">
        <v>181</v>
      </c>
      <c r="C63" s="7" t="s">
        <v>318</v>
      </c>
      <c r="D63" s="8" t="s">
        <v>319</v>
      </c>
      <c r="E63" s="7" t="s">
        <v>321</v>
      </c>
      <c r="F63" s="9">
        <v>44985</v>
      </c>
      <c r="G63" s="9" t="s">
        <v>65</v>
      </c>
      <c r="H63" s="9" t="s">
        <v>87</v>
      </c>
      <c r="I63" s="8" t="s">
        <v>78</v>
      </c>
      <c r="J63" s="10">
        <v>668.44</v>
      </c>
      <c r="K63" s="10">
        <v>668.44</v>
      </c>
      <c r="L63" s="10">
        <f t="shared" si="28"/>
        <v>0</v>
      </c>
      <c r="M63" s="10">
        <v>306.24</v>
      </c>
      <c r="N63" s="10">
        <v>306.24</v>
      </c>
      <c r="O63" s="10">
        <f t="shared" si="29"/>
        <v>0</v>
      </c>
      <c r="P63" s="11">
        <v>26416.435282149479</v>
      </c>
      <c r="Q63" s="11">
        <v>57660.011755485895</v>
      </c>
      <c r="R63" s="11">
        <v>40000</v>
      </c>
      <c r="S63" s="11">
        <v>17657802</v>
      </c>
      <c r="T63" s="11">
        <v>2118938</v>
      </c>
      <c r="U63" s="12">
        <f t="shared" si="30"/>
        <v>0.12000009967265461</v>
      </c>
      <c r="V63" s="13">
        <f t="shared" si="26"/>
        <v>0</v>
      </c>
      <c r="W63" s="10">
        <f t="shared" si="31"/>
        <v>0</v>
      </c>
      <c r="X63" s="10"/>
      <c r="Y63" s="10"/>
      <c r="Z63" s="11">
        <f t="shared" si="32"/>
        <v>17657802</v>
      </c>
      <c r="AA63" s="14">
        <v>1219680</v>
      </c>
      <c r="AB63" s="14">
        <v>146362</v>
      </c>
      <c r="AC63" s="11">
        <f t="shared" si="33"/>
        <v>16438122</v>
      </c>
      <c r="AD63" s="10">
        <f t="shared" si="34"/>
        <v>300</v>
      </c>
      <c r="AE63" s="15">
        <v>91872</v>
      </c>
      <c r="AF63" s="16">
        <v>16536</v>
      </c>
      <c r="AG63" s="15">
        <f t="shared" si="35"/>
        <v>0</v>
      </c>
      <c r="AH63" s="15">
        <f t="shared" si="36"/>
        <v>0</v>
      </c>
      <c r="AI63" s="15">
        <f t="shared" si="37"/>
        <v>91872</v>
      </c>
      <c r="AJ63" s="15">
        <f t="shared" si="38"/>
        <v>16537</v>
      </c>
      <c r="AK63" s="10">
        <v>91872</v>
      </c>
      <c r="AL63" s="15">
        <f t="shared" si="39"/>
        <v>91872</v>
      </c>
      <c r="AM63" s="15">
        <f t="shared" si="40"/>
        <v>16529994</v>
      </c>
      <c r="AN63" s="15">
        <f t="shared" si="41"/>
        <v>1989113</v>
      </c>
      <c r="AO63" s="15">
        <f t="shared" si="14"/>
        <v>2080985</v>
      </c>
      <c r="AP63" s="17">
        <f t="shared" si="42"/>
        <v>18610979</v>
      </c>
      <c r="AQ63" s="15">
        <v>15806141.190000001</v>
      </c>
      <c r="AR63" s="15">
        <v>0</v>
      </c>
      <c r="AS63" s="18">
        <f t="shared" si="16"/>
        <v>2804838</v>
      </c>
      <c r="AT63" s="19">
        <v>0</v>
      </c>
      <c r="AU63" s="8">
        <v>8800</v>
      </c>
      <c r="AV63" s="13">
        <f t="shared" si="17"/>
        <v>2694912</v>
      </c>
      <c r="AW63" s="18">
        <f t="shared" si="18"/>
        <v>16529994</v>
      </c>
      <c r="AX63" s="15">
        <f t="shared" si="43"/>
        <v>16530000</v>
      </c>
      <c r="AY63" s="20">
        <v>0.05</v>
      </c>
      <c r="AZ63" s="13">
        <f t="shared" si="44"/>
        <v>826500</v>
      </c>
      <c r="BA63" s="15">
        <f t="shared" si="45"/>
        <v>826500</v>
      </c>
      <c r="BB63" s="21">
        <f t="shared" si="22"/>
        <v>3631338</v>
      </c>
      <c r="BC63" s="10">
        <f t="shared" si="23"/>
        <v>0</v>
      </c>
      <c r="BD63" s="10">
        <f t="shared" si="24"/>
        <v>0</v>
      </c>
      <c r="BE63" s="10">
        <v>62.1</v>
      </c>
      <c r="BF63" s="10">
        <v>28.45</v>
      </c>
      <c r="BG63" s="107">
        <v>46176</v>
      </c>
      <c r="BH63" s="107">
        <f t="shared" si="27"/>
        <v>46206</v>
      </c>
      <c r="BI63" s="23">
        <v>5</v>
      </c>
      <c r="BJ63" s="6"/>
      <c r="BK63" s="6"/>
      <c r="BL63" s="24">
        <f>VLOOKUP(A63,[2]Sheet1!$D$2:$H$933,5,0)</f>
        <v>0</v>
      </c>
      <c r="BM63" s="6" t="s">
        <v>3828</v>
      </c>
      <c r="BN63" s="6" t="s">
        <v>3829</v>
      </c>
      <c r="BO63" s="6" t="s">
        <v>3820</v>
      </c>
      <c r="BP63" s="6" t="s">
        <v>3821</v>
      </c>
      <c r="BQ63" s="6" t="s">
        <v>3830</v>
      </c>
      <c r="BR63" t="s">
        <v>3823</v>
      </c>
      <c r="BS63" t="s">
        <v>3824</v>
      </c>
      <c r="BT63" t="s">
        <v>3825</v>
      </c>
      <c r="BU63" t="s">
        <v>3826</v>
      </c>
      <c r="BV63" t="s">
        <v>3827</v>
      </c>
      <c r="BW63" t="s">
        <v>3835</v>
      </c>
      <c r="BX63">
        <v>0</v>
      </c>
      <c r="BY63" t="s">
        <v>3870</v>
      </c>
      <c r="BZ63" t="s">
        <v>3860</v>
      </c>
    </row>
    <row r="64" spans="1:78" x14ac:dyDescent="0.25">
      <c r="A64" s="31" t="s">
        <v>324</v>
      </c>
      <c r="B64" s="31" t="s">
        <v>181</v>
      </c>
      <c r="C64" s="31" t="s">
        <v>322</v>
      </c>
      <c r="D64" s="32" t="s">
        <v>323</v>
      </c>
      <c r="E64" s="31" t="s">
        <v>325</v>
      </c>
      <c r="F64" s="33">
        <v>45014</v>
      </c>
      <c r="G64" s="33" t="s">
        <v>65</v>
      </c>
      <c r="H64" s="33" t="s">
        <v>87</v>
      </c>
      <c r="I64" s="32" t="s">
        <v>78</v>
      </c>
      <c r="J64" s="34">
        <v>1228.5999999999999</v>
      </c>
      <c r="K64" s="34">
        <v>1228.5999999999999</v>
      </c>
      <c r="L64" s="34">
        <f t="shared" si="28"/>
        <v>0</v>
      </c>
      <c r="M64" s="34">
        <v>567.79999999999995</v>
      </c>
      <c r="N64" s="34">
        <v>567.79999999999995</v>
      </c>
      <c r="O64" s="34">
        <f t="shared" si="29"/>
        <v>0</v>
      </c>
      <c r="P64" s="35">
        <v>15180.000000000002</v>
      </c>
      <c r="Q64" s="35">
        <v>32846.333215921099</v>
      </c>
      <c r="R64" s="35">
        <v>40000</v>
      </c>
      <c r="S64" s="35">
        <v>18650148</v>
      </c>
      <c r="T64" s="35">
        <v>2238018</v>
      </c>
      <c r="U64" s="36">
        <f t="shared" si="30"/>
        <v>0.12000001286853058</v>
      </c>
      <c r="V64" s="37">
        <f t="shared" si="26"/>
        <v>0</v>
      </c>
      <c r="W64" s="34">
        <f t="shared" si="31"/>
        <v>0</v>
      </c>
      <c r="X64" s="34"/>
      <c r="Y64" s="34"/>
      <c r="Z64" s="35">
        <f t="shared" si="32"/>
        <v>18650148</v>
      </c>
      <c r="AA64" s="38">
        <v>1641643</v>
      </c>
      <c r="AB64" s="38">
        <v>196997</v>
      </c>
      <c r="AC64" s="35">
        <f t="shared" si="33"/>
        <v>17008505</v>
      </c>
      <c r="AD64" s="34">
        <f t="shared" si="34"/>
        <v>300</v>
      </c>
      <c r="AE64" s="39">
        <v>170340</v>
      </c>
      <c r="AF64" s="40">
        <v>30662</v>
      </c>
      <c r="AG64" s="39">
        <f t="shared" si="35"/>
        <v>0</v>
      </c>
      <c r="AH64" s="39">
        <f t="shared" si="36"/>
        <v>0</v>
      </c>
      <c r="AI64" s="39">
        <f t="shared" si="37"/>
        <v>170340</v>
      </c>
      <c r="AJ64" s="39">
        <f t="shared" si="38"/>
        <v>30662</v>
      </c>
      <c r="AK64" s="34">
        <v>170340</v>
      </c>
      <c r="AL64" s="39">
        <f t="shared" si="39"/>
        <v>170340</v>
      </c>
      <c r="AM64" s="39">
        <f t="shared" si="40"/>
        <v>17178845</v>
      </c>
      <c r="AN64" s="39">
        <f t="shared" si="41"/>
        <v>2071683</v>
      </c>
      <c r="AO64" s="39">
        <f t="shared" si="14"/>
        <v>2242023</v>
      </c>
      <c r="AP64" s="41">
        <f t="shared" si="42"/>
        <v>19420868</v>
      </c>
      <c r="AQ64" s="39">
        <v>18799348</v>
      </c>
      <c r="AR64" s="15">
        <v>0</v>
      </c>
      <c r="AS64" s="42">
        <f t="shared" si="16"/>
        <v>621520</v>
      </c>
      <c r="AT64" s="43">
        <v>0</v>
      </c>
      <c r="AU64" s="32">
        <v>8800</v>
      </c>
      <c r="AV64" s="37">
        <f t="shared" si="17"/>
        <v>4996640</v>
      </c>
      <c r="AW64" s="42">
        <f t="shared" si="18"/>
        <v>17178845</v>
      </c>
      <c r="AX64" s="39">
        <f t="shared" si="43"/>
        <v>17179000</v>
      </c>
      <c r="AY64" s="44">
        <v>0.05</v>
      </c>
      <c r="AZ64" s="37">
        <f t="shared" si="44"/>
        <v>858950</v>
      </c>
      <c r="BA64" s="39">
        <f t="shared" si="45"/>
        <v>859000</v>
      </c>
      <c r="BB64" s="45">
        <f t="shared" si="22"/>
        <v>1480520</v>
      </c>
      <c r="BC64" s="34">
        <f t="shared" si="23"/>
        <v>0</v>
      </c>
      <c r="BD64" s="34">
        <f t="shared" si="24"/>
        <v>0</v>
      </c>
      <c r="BE64" s="34">
        <v>114.14</v>
      </c>
      <c r="BF64" s="34">
        <v>52.75</v>
      </c>
      <c r="BG64" s="107">
        <v>46176</v>
      </c>
      <c r="BH64" s="108">
        <f t="shared" si="27"/>
        <v>46206</v>
      </c>
      <c r="BI64" s="46">
        <v>5</v>
      </c>
      <c r="BJ64" s="47" t="s">
        <v>208</v>
      </c>
      <c r="BK64" s="47"/>
      <c r="BL64" s="24">
        <f>VLOOKUP(A64,[2]Sheet1!$D$2:$H$933,5,0)</f>
        <v>0</v>
      </c>
      <c r="BM64" s="6" t="s">
        <v>3828</v>
      </c>
      <c r="BN64" s="6" t="s">
        <v>3829</v>
      </c>
      <c r="BO64" s="6" t="s">
        <v>3820</v>
      </c>
      <c r="BP64" s="6" t="s">
        <v>3821</v>
      </c>
      <c r="BQ64" s="6" t="s">
        <v>3830</v>
      </c>
      <c r="BR64" t="s">
        <v>3823</v>
      </c>
      <c r="BS64" t="s">
        <v>3824</v>
      </c>
      <c r="BT64" t="s">
        <v>3825</v>
      </c>
      <c r="BU64" t="s">
        <v>3826</v>
      </c>
      <c r="BV64" t="s">
        <v>3827</v>
      </c>
      <c r="BW64" t="s">
        <v>3835</v>
      </c>
      <c r="BX64" s="101"/>
      <c r="BY64" t="s">
        <v>3868</v>
      </c>
      <c r="BZ64" t="s">
        <v>3860</v>
      </c>
    </row>
    <row r="65" spans="1:78" x14ac:dyDescent="0.25">
      <c r="A65" s="7" t="s">
        <v>328</v>
      </c>
      <c r="B65" s="7" t="s">
        <v>181</v>
      </c>
      <c r="C65" s="7" t="s">
        <v>326</v>
      </c>
      <c r="D65" s="8" t="s">
        <v>327</v>
      </c>
      <c r="E65" s="7" t="s">
        <v>329</v>
      </c>
      <c r="F65" s="9">
        <v>45046</v>
      </c>
      <c r="G65" s="9" t="s">
        <v>65</v>
      </c>
      <c r="H65" s="9" t="s">
        <v>87</v>
      </c>
      <c r="I65" s="8" t="s">
        <v>78</v>
      </c>
      <c r="J65" s="10">
        <v>1472.52</v>
      </c>
      <c r="K65" s="10">
        <v>1472.52</v>
      </c>
      <c r="L65" s="10">
        <f t="shared" si="28"/>
        <v>0</v>
      </c>
      <c r="M65" s="10">
        <v>683.51</v>
      </c>
      <c r="N65" s="10">
        <v>683.51</v>
      </c>
      <c r="O65" s="10">
        <f t="shared" si="29"/>
        <v>0</v>
      </c>
      <c r="P65" s="11">
        <v>12500</v>
      </c>
      <c r="Q65" s="11">
        <v>26929.379233661541</v>
      </c>
      <c r="R65" s="11">
        <v>40000</v>
      </c>
      <c r="S65" s="11">
        <v>18406500</v>
      </c>
      <c r="T65" s="11">
        <v>2208780</v>
      </c>
      <c r="U65" s="12">
        <f t="shared" si="30"/>
        <v>0.12</v>
      </c>
      <c r="V65" s="13">
        <f t="shared" si="26"/>
        <v>0</v>
      </c>
      <c r="W65" s="10">
        <f t="shared" si="31"/>
        <v>0</v>
      </c>
      <c r="X65" s="10"/>
      <c r="Y65" s="10"/>
      <c r="Z65" s="11">
        <f t="shared" si="32"/>
        <v>18406500</v>
      </c>
      <c r="AA65" s="14"/>
      <c r="AB65" s="14"/>
      <c r="AC65" s="11">
        <f t="shared" si="33"/>
        <v>18406500</v>
      </c>
      <c r="AD65" s="10">
        <f t="shared" si="34"/>
        <v>300</v>
      </c>
      <c r="AE65" s="15">
        <v>205053</v>
      </c>
      <c r="AF65" s="16">
        <v>36910</v>
      </c>
      <c r="AG65" s="15">
        <f t="shared" si="35"/>
        <v>0</v>
      </c>
      <c r="AH65" s="15">
        <f t="shared" si="36"/>
        <v>0</v>
      </c>
      <c r="AI65" s="15">
        <f t="shared" si="37"/>
        <v>205053</v>
      </c>
      <c r="AJ65" s="15">
        <f t="shared" si="38"/>
        <v>36910</v>
      </c>
      <c r="AK65" s="10">
        <v>205053</v>
      </c>
      <c r="AL65" s="15">
        <f t="shared" si="39"/>
        <v>205053</v>
      </c>
      <c r="AM65" s="15">
        <f t="shared" si="40"/>
        <v>18611553</v>
      </c>
      <c r="AN65" s="15">
        <f t="shared" si="41"/>
        <v>2245690</v>
      </c>
      <c r="AO65" s="15">
        <f t="shared" ref="AO65:AO127" si="46">AN65+AL65+AR65</f>
        <v>2450743</v>
      </c>
      <c r="AP65" s="17">
        <f t="shared" si="42"/>
        <v>21062296</v>
      </c>
      <c r="AQ65" s="15">
        <v>18553752</v>
      </c>
      <c r="AR65" s="15">
        <v>0</v>
      </c>
      <c r="AS65" s="18">
        <f t="shared" ref="AS65:AS127" si="47">ROUND(AP65-AQ65,0)</f>
        <v>2508544</v>
      </c>
      <c r="AT65" s="19">
        <v>18406500</v>
      </c>
      <c r="AU65" s="8">
        <v>8800</v>
      </c>
      <c r="AV65" s="13">
        <f t="shared" ref="AV65:AV127" si="48">AU65*N65</f>
        <v>6014888</v>
      </c>
      <c r="AW65" s="18">
        <f t="shared" ref="AW65:AW127" si="49">MAX(AM65,AT65,AV65)</f>
        <v>18611553</v>
      </c>
      <c r="AX65" s="15">
        <f t="shared" si="43"/>
        <v>18612000</v>
      </c>
      <c r="AY65" s="20">
        <v>7.0000000000000007E-2</v>
      </c>
      <c r="AZ65" s="13">
        <f t="shared" si="44"/>
        <v>1302840.0000000002</v>
      </c>
      <c r="BA65" s="15">
        <f t="shared" si="45"/>
        <v>1302900</v>
      </c>
      <c r="BB65" s="21">
        <f t="shared" ref="BB65:BB127" si="50">BA65+AS65</f>
        <v>3811444</v>
      </c>
      <c r="BC65" s="10">
        <f t="shared" ref="BC65:BC127" si="51">L65/J65%</f>
        <v>0</v>
      </c>
      <c r="BD65" s="10">
        <f t="shared" ref="BD65:BD127" si="52">O65/M65%</f>
        <v>0</v>
      </c>
      <c r="BE65" s="10">
        <v>136.80000000000001</v>
      </c>
      <c r="BF65" s="10">
        <v>63.5</v>
      </c>
      <c r="BG65" s="107">
        <v>46176</v>
      </c>
      <c r="BH65" s="107">
        <f t="shared" si="27"/>
        <v>46206</v>
      </c>
      <c r="BI65" s="23">
        <v>7</v>
      </c>
      <c r="BJ65" s="6"/>
      <c r="BK65" s="6"/>
      <c r="BL65" s="24">
        <f>VLOOKUP(A65,[2]Sheet1!$D$2:$H$933,5,0)</f>
        <v>0</v>
      </c>
      <c r="BM65" s="6" t="s">
        <v>3828</v>
      </c>
      <c r="BN65" s="6" t="s">
        <v>3829</v>
      </c>
      <c r="BO65" s="6" t="s">
        <v>3820</v>
      </c>
      <c r="BP65" s="6" t="s">
        <v>3821</v>
      </c>
      <c r="BQ65" s="6" t="s">
        <v>3830</v>
      </c>
      <c r="BR65" t="s">
        <v>3823</v>
      </c>
      <c r="BS65" t="s">
        <v>3824</v>
      </c>
      <c r="BT65" t="s">
        <v>3825</v>
      </c>
      <c r="BU65" t="s">
        <v>3826</v>
      </c>
      <c r="BV65" t="s">
        <v>3827</v>
      </c>
      <c r="BW65" t="s">
        <v>3835</v>
      </c>
      <c r="BX65">
        <v>0</v>
      </c>
      <c r="BY65" t="s">
        <v>3862</v>
      </c>
      <c r="BZ65" t="s">
        <v>3860</v>
      </c>
    </row>
    <row r="66" spans="1:78" x14ac:dyDescent="0.25">
      <c r="A66" s="7" t="s">
        <v>332</v>
      </c>
      <c r="B66" s="7" t="s">
        <v>181</v>
      </c>
      <c r="C66" s="7" t="s">
        <v>330</v>
      </c>
      <c r="D66" s="8" t="s">
        <v>331</v>
      </c>
      <c r="E66" s="7" t="s">
        <v>333</v>
      </c>
      <c r="F66" s="9">
        <v>45009</v>
      </c>
      <c r="G66" s="9" t="s">
        <v>65</v>
      </c>
      <c r="H66" s="9" t="s">
        <v>87</v>
      </c>
      <c r="I66" s="8" t="s">
        <v>78</v>
      </c>
      <c r="J66" s="10">
        <v>729.8</v>
      </c>
      <c r="K66" s="10">
        <v>729.8</v>
      </c>
      <c r="L66" s="10">
        <f t="shared" si="28"/>
        <v>0</v>
      </c>
      <c r="M66" s="10">
        <v>322.92</v>
      </c>
      <c r="N66" s="10">
        <v>322.92</v>
      </c>
      <c r="O66" s="10">
        <f t="shared" si="29"/>
        <v>0</v>
      </c>
      <c r="P66" s="11">
        <v>24085</v>
      </c>
      <c r="Q66" s="11">
        <v>54432.159668029228</v>
      </c>
      <c r="R66" s="11">
        <v>40000</v>
      </c>
      <c r="S66" s="11">
        <v>17577233</v>
      </c>
      <c r="T66" s="11">
        <v>2109268</v>
      </c>
      <c r="U66" s="12">
        <f t="shared" si="30"/>
        <v>0.12000000227567104</v>
      </c>
      <c r="V66" s="13">
        <f t="shared" si="26"/>
        <v>0</v>
      </c>
      <c r="W66" s="10">
        <f t="shared" si="31"/>
        <v>0</v>
      </c>
      <c r="X66" s="10"/>
      <c r="Y66" s="10"/>
      <c r="Z66" s="11">
        <f t="shared" si="32"/>
        <v>17577233</v>
      </c>
      <c r="AA66" s="14">
        <v>1434758</v>
      </c>
      <c r="AB66" s="14">
        <v>172170</v>
      </c>
      <c r="AC66" s="11">
        <f t="shared" si="33"/>
        <v>16142475</v>
      </c>
      <c r="AD66" s="10">
        <f t="shared" si="34"/>
        <v>300</v>
      </c>
      <c r="AE66" s="15">
        <v>96876</v>
      </c>
      <c r="AF66" s="16">
        <v>17438</v>
      </c>
      <c r="AG66" s="15">
        <f t="shared" si="35"/>
        <v>0</v>
      </c>
      <c r="AH66" s="15">
        <f t="shared" si="36"/>
        <v>0</v>
      </c>
      <c r="AI66" s="15">
        <f t="shared" si="37"/>
        <v>96876</v>
      </c>
      <c r="AJ66" s="15">
        <f t="shared" si="38"/>
        <v>17438</v>
      </c>
      <c r="AK66" s="10">
        <v>96876</v>
      </c>
      <c r="AL66" s="15">
        <f t="shared" si="39"/>
        <v>96876</v>
      </c>
      <c r="AM66" s="15">
        <f t="shared" si="40"/>
        <v>16239351</v>
      </c>
      <c r="AN66" s="15">
        <f t="shared" si="41"/>
        <v>1954536</v>
      </c>
      <c r="AO66" s="15">
        <f t="shared" si="46"/>
        <v>2051412</v>
      </c>
      <c r="AP66" s="17">
        <f t="shared" si="42"/>
        <v>18290763</v>
      </c>
      <c r="AQ66" s="15">
        <v>16110923.719999999</v>
      </c>
      <c r="AR66" s="15">
        <v>0</v>
      </c>
      <c r="AS66" s="18">
        <f t="shared" si="47"/>
        <v>2179839</v>
      </c>
      <c r="AT66" s="19">
        <v>0</v>
      </c>
      <c r="AU66" s="8">
        <v>8800</v>
      </c>
      <c r="AV66" s="13">
        <f t="shared" si="48"/>
        <v>2841696</v>
      </c>
      <c r="AW66" s="18">
        <f t="shared" si="49"/>
        <v>16239351</v>
      </c>
      <c r="AX66" s="15">
        <f t="shared" si="43"/>
        <v>16240000</v>
      </c>
      <c r="AY66" s="20">
        <v>7.0000000000000007E-2</v>
      </c>
      <c r="AZ66" s="13">
        <f t="shared" si="44"/>
        <v>1136800</v>
      </c>
      <c r="BA66" s="15">
        <f t="shared" si="45"/>
        <v>1136800</v>
      </c>
      <c r="BB66" s="21">
        <f t="shared" si="50"/>
        <v>3316639</v>
      </c>
      <c r="BC66" s="10">
        <f t="shared" si="51"/>
        <v>0</v>
      </c>
      <c r="BD66" s="10">
        <f t="shared" si="52"/>
        <v>0</v>
      </c>
      <c r="BE66" s="10">
        <v>67.8</v>
      </c>
      <c r="BF66" s="10">
        <v>30</v>
      </c>
      <c r="BG66" s="107">
        <v>46176</v>
      </c>
      <c r="BH66" s="107">
        <f t="shared" si="27"/>
        <v>46206</v>
      </c>
      <c r="BI66" s="23">
        <v>7</v>
      </c>
      <c r="BJ66" s="6"/>
      <c r="BK66" s="6"/>
      <c r="BL66" s="24">
        <f>VLOOKUP(A66,[2]Sheet1!$D$2:$H$933,5,0)</f>
        <v>0</v>
      </c>
      <c r="BM66" s="6" t="s">
        <v>3828</v>
      </c>
      <c r="BN66" s="6" t="s">
        <v>3829</v>
      </c>
      <c r="BO66" s="6" t="s">
        <v>3820</v>
      </c>
      <c r="BP66" s="6" t="s">
        <v>3821</v>
      </c>
      <c r="BQ66" s="6" t="s">
        <v>3830</v>
      </c>
      <c r="BR66" t="s">
        <v>3823</v>
      </c>
      <c r="BS66" t="s">
        <v>3824</v>
      </c>
      <c r="BT66" t="s">
        <v>3825</v>
      </c>
      <c r="BU66" t="s">
        <v>3826</v>
      </c>
      <c r="BV66" t="s">
        <v>3827</v>
      </c>
      <c r="BW66" t="s">
        <v>3835</v>
      </c>
      <c r="BX66">
        <v>0</v>
      </c>
      <c r="BY66" t="s">
        <v>3868</v>
      </c>
      <c r="BZ66" t="s">
        <v>3860</v>
      </c>
    </row>
    <row r="67" spans="1:78" x14ac:dyDescent="0.25">
      <c r="A67" s="7" t="s">
        <v>336</v>
      </c>
      <c r="B67" s="7" t="s">
        <v>181</v>
      </c>
      <c r="C67" s="7" t="s">
        <v>334</v>
      </c>
      <c r="D67" s="8" t="s">
        <v>335</v>
      </c>
      <c r="E67" s="7" t="s">
        <v>337</v>
      </c>
      <c r="F67" s="9">
        <v>45006</v>
      </c>
      <c r="G67" s="9" t="s">
        <v>65</v>
      </c>
      <c r="H67" s="9" t="s">
        <v>92</v>
      </c>
      <c r="I67" s="8" t="s">
        <v>78</v>
      </c>
      <c r="J67" s="10">
        <v>611.4</v>
      </c>
      <c r="K67" s="10">
        <v>611.4</v>
      </c>
      <c r="L67" s="10">
        <f t="shared" si="28"/>
        <v>0</v>
      </c>
      <c r="M67" s="10">
        <v>281.48</v>
      </c>
      <c r="N67" s="10">
        <v>281.48</v>
      </c>
      <c r="O67" s="10">
        <f t="shared" si="29"/>
        <v>0</v>
      </c>
      <c r="P67" s="11">
        <v>19903.290807981681</v>
      </c>
      <c r="Q67" s="11">
        <v>43231.746482876224</v>
      </c>
      <c r="R67" s="11">
        <v>28000</v>
      </c>
      <c r="S67" s="11">
        <v>12168872</v>
      </c>
      <c r="T67" s="11">
        <v>1460266</v>
      </c>
      <c r="U67" s="12">
        <f t="shared" si="30"/>
        <v>0.12000011176056417</v>
      </c>
      <c r="V67" s="13">
        <f t="shared" si="26"/>
        <v>0</v>
      </c>
      <c r="W67" s="10">
        <f t="shared" si="31"/>
        <v>0</v>
      </c>
      <c r="X67" s="10"/>
      <c r="Y67" s="10"/>
      <c r="Z67" s="11">
        <f t="shared" si="32"/>
        <v>12168872</v>
      </c>
      <c r="AA67" s="14"/>
      <c r="AB67" s="14"/>
      <c r="AC67" s="11">
        <f t="shared" si="33"/>
        <v>12168872</v>
      </c>
      <c r="AD67" s="10">
        <f t="shared" si="34"/>
        <v>300</v>
      </c>
      <c r="AE67" s="15">
        <v>84444</v>
      </c>
      <c r="AF67" s="16">
        <v>15200</v>
      </c>
      <c r="AG67" s="15">
        <f t="shared" si="35"/>
        <v>0</v>
      </c>
      <c r="AH67" s="15">
        <f t="shared" si="36"/>
        <v>0</v>
      </c>
      <c r="AI67" s="15">
        <f t="shared" si="37"/>
        <v>84444</v>
      </c>
      <c r="AJ67" s="15">
        <f t="shared" si="38"/>
        <v>15200</v>
      </c>
      <c r="AK67" s="10">
        <v>84444</v>
      </c>
      <c r="AL67" s="15">
        <f t="shared" si="39"/>
        <v>84444</v>
      </c>
      <c r="AM67" s="15">
        <f t="shared" si="40"/>
        <v>12253316</v>
      </c>
      <c r="AN67" s="15">
        <f t="shared" si="41"/>
        <v>1475466</v>
      </c>
      <c r="AO67" s="15">
        <f t="shared" si="46"/>
        <v>1559910</v>
      </c>
      <c r="AP67" s="17">
        <f t="shared" si="42"/>
        <v>13813226</v>
      </c>
      <c r="AQ67" s="15">
        <v>11726328</v>
      </c>
      <c r="AR67" s="15">
        <v>0</v>
      </c>
      <c r="AS67" s="18">
        <f t="shared" si="47"/>
        <v>2086898</v>
      </c>
      <c r="AT67" s="19">
        <v>0</v>
      </c>
      <c r="AU67" s="8">
        <v>8800</v>
      </c>
      <c r="AV67" s="13">
        <f t="shared" si="48"/>
        <v>2477024</v>
      </c>
      <c r="AW67" s="18">
        <f t="shared" si="49"/>
        <v>12253316</v>
      </c>
      <c r="AX67" s="15">
        <f t="shared" si="43"/>
        <v>12254000</v>
      </c>
      <c r="AY67" s="20">
        <v>0.05</v>
      </c>
      <c r="AZ67" s="13">
        <f t="shared" si="44"/>
        <v>612700</v>
      </c>
      <c r="BA67" s="15">
        <f t="shared" si="45"/>
        <v>612700</v>
      </c>
      <c r="BB67" s="21">
        <f t="shared" si="50"/>
        <v>2699598</v>
      </c>
      <c r="BC67" s="10">
        <f t="shared" si="51"/>
        <v>0</v>
      </c>
      <c r="BD67" s="10">
        <f t="shared" si="52"/>
        <v>0</v>
      </c>
      <c r="BE67" s="10">
        <v>56.8</v>
      </c>
      <c r="BF67" s="10">
        <v>26.15</v>
      </c>
      <c r="BG67" s="107">
        <v>46176</v>
      </c>
      <c r="BH67" s="107">
        <f t="shared" si="27"/>
        <v>46206</v>
      </c>
      <c r="BI67" s="23">
        <v>5</v>
      </c>
      <c r="BJ67" s="6"/>
      <c r="BK67" s="6"/>
      <c r="BL67" s="24">
        <f>VLOOKUP(A67,[2]Sheet1!$D$2:$H$933,5,0)</f>
        <v>0</v>
      </c>
      <c r="BM67" s="6" t="s">
        <v>3828</v>
      </c>
      <c r="BN67" s="6" t="s">
        <v>3829</v>
      </c>
      <c r="BO67" s="6" t="s">
        <v>3820</v>
      </c>
      <c r="BP67" s="6" t="s">
        <v>3821</v>
      </c>
      <c r="BQ67" s="6" t="s">
        <v>3830</v>
      </c>
      <c r="BR67" t="s">
        <v>3823</v>
      </c>
      <c r="BS67" t="s">
        <v>3824</v>
      </c>
      <c r="BT67" t="s">
        <v>3825</v>
      </c>
      <c r="BU67" t="s">
        <v>3826</v>
      </c>
      <c r="BV67" t="s">
        <v>3827</v>
      </c>
      <c r="BW67" t="s">
        <v>3835</v>
      </c>
      <c r="BX67">
        <v>0</v>
      </c>
      <c r="BY67" t="s">
        <v>3869</v>
      </c>
      <c r="BZ67" t="s">
        <v>3860</v>
      </c>
    </row>
    <row r="68" spans="1:78" x14ac:dyDescent="0.25">
      <c r="A68" s="7" t="s">
        <v>340</v>
      </c>
      <c r="B68" s="7" t="s">
        <v>181</v>
      </c>
      <c r="C68" s="7" t="s">
        <v>338</v>
      </c>
      <c r="D68" s="8" t="s">
        <v>339</v>
      </c>
      <c r="E68" s="7" t="s">
        <v>341</v>
      </c>
      <c r="F68" s="9">
        <v>45005</v>
      </c>
      <c r="G68" s="9" t="s">
        <v>65</v>
      </c>
      <c r="H68" s="9" t="s">
        <v>92</v>
      </c>
      <c r="I68" s="8" t="s">
        <v>78</v>
      </c>
      <c r="J68" s="10">
        <v>611.4</v>
      </c>
      <c r="K68" s="10">
        <v>611.4</v>
      </c>
      <c r="L68" s="10">
        <f t="shared" si="28"/>
        <v>0</v>
      </c>
      <c r="M68" s="10">
        <v>281.48</v>
      </c>
      <c r="N68" s="10">
        <v>281.48</v>
      </c>
      <c r="O68" s="10">
        <f t="shared" si="29"/>
        <v>0</v>
      </c>
      <c r="P68" s="11">
        <v>20128.459273797842</v>
      </c>
      <c r="Q68" s="11">
        <v>43720.832741224949</v>
      </c>
      <c r="R68" s="11">
        <v>28000</v>
      </c>
      <c r="S68" s="11">
        <v>12306540</v>
      </c>
      <c r="T68" s="11">
        <v>1476784</v>
      </c>
      <c r="U68" s="12">
        <f t="shared" si="30"/>
        <v>0.1199999349939138</v>
      </c>
      <c r="V68" s="13">
        <f t="shared" si="26"/>
        <v>0</v>
      </c>
      <c r="W68" s="10">
        <f t="shared" si="31"/>
        <v>0</v>
      </c>
      <c r="X68" s="10"/>
      <c r="Y68" s="10"/>
      <c r="Z68" s="11">
        <f t="shared" si="32"/>
        <v>12306540</v>
      </c>
      <c r="AA68" s="14">
        <v>1108011</v>
      </c>
      <c r="AB68" s="14">
        <v>132962</v>
      </c>
      <c r="AC68" s="11">
        <f t="shared" si="33"/>
        <v>11198529</v>
      </c>
      <c r="AD68" s="10">
        <f t="shared" si="34"/>
        <v>300</v>
      </c>
      <c r="AE68" s="15">
        <v>84444</v>
      </c>
      <c r="AF68" s="16">
        <v>15200</v>
      </c>
      <c r="AG68" s="15">
        <f t="shared" si="35"/>
        <v>0</v>
      </c>
      <c r="AH68" s="15">
        <f t="shared" si="36"/>
        <v>0</v>
      </c>
      <c r="AI68" s="15">
        <f t="shared" si="37"/>
        <v>84444</v>
      </c>
      <c r="AJ68" s="15">
        <f t="shared" si="38"/>
        <v>15200</v>
      </c>
      <c r="AK68" s="10">
        <v>84444</v>
      </c>
      <c r="AL68" s="15">
        <f t="shared" si="39"/>
        <v>84444</v>
      </c>
      <c r="AM68" s="15">
        <f t="shared" si="40"/>
        <v>11282973</v>
      </c>
      <c r="AN68" s="15">
        <f t="shared" si="41"/>
        <v>1359022</v>
      </c>
      <c r="AO68" s="15">
        <f t="shared" si="46"/>
        <v>1443466</v>
      </c>
      <c r="AP68" s="17">
        <f t="shared" si="42"/>
        <v>12726439</v>
      </c>
      <c r="AQ68" s="15">
        <v>11164019.369999999</v>
      </c>
      <c r="AR68" s="15">
        <v>0</v>
      </c>
      <c r="AS68" s="18">
        <f t="shared" si="47"/>
        <v>1562420</v>
      </c>
      <c r="AT68" s="19">
        <v>0</v>
      </c>
      <c r="AU68" s="8">
        <v>8800</v>
      </c>
      <c r="AV68" s="13">
        <f t="shared" si="48"/>
        <v>2477024</v>
      </c>
      <c r="AW68" s="18">
        <f t="shared" si="49"/>
        <v>11282973</v>
      </c>
      <c r="AX68" s="15">
        <f t="shared" si="43"/>
        <v>11283000</v>
      </c>
      <c r="AY68" s="20">
        <v>0.06</v>
      </c>
      <c r="AZ68" s="13">
        <f t="shared" si="44"/>
        <v>676980</v>
      </c>
      <c r="BA68" s="15">
        <f t="shared" si="45"/>
        <v>677000</v>
      </c>
      <c r="BB68" s="21">
        <f t="shared" si="50"/>
        <v>2239420</v>
      </c>
      <c r="BC68" s="10">
        <f t="shared" si="51"/>
        <v>0</v>
      </c>
      <c r="BD68" s="10">
        <f t="shared" si="52"/>
        <v>0</v>
      </c>
      <c r="BE68" s="10">
        <v>56.8</v>
      </c>
      <c r="BF68" s="10">
        <v>26.15</v>
      </c>
      <c r="BG68" s="107">
        <v>46176</v>
      </c>
      <c r="BH68" s="107">
        <f t="shared" si="27"/>
        <v>46206</v>
      </c>
      <c r="BI68" s="23">
        <v>6</v>
      </c>
      <c r="BJ68" s="6"/>
      <c r="BK68" s="6"/>
      <c r="BL68" s="24">
        <f>VLOOKUP(A68,[2]Sheet1!$D$2:$H$933,5,0)</f>
        <v>0</v>
      </c>
      <c r="BM68" s="6" t="s">
        <v>3828</v>
      </c>
      <c r="BN68" s="6" t="s">
        <v>3829</v>
      </c>
      <c r="BO68" s="6" t="s">
        <v>3820</v>
      </c>
      <c r="BP68" s="6" t="s">
        <v>3821</v>
      </c>
      <c r="BQ68" s="6" t="s">
        <v>3830</v>
      </c>
      <c r="BR68" t="s">
        <v>3823</v>
      </c>
      <c r="BS68" t="s">
        <v>3824</v>
      </c>
      <c r="BT68" t="s">
        <v>3825</v>
      </c>
      <c r="BU68" t="s">
        <v>3826</v>
      </c>
      <c r="BV68" t="s">
        <v>3827</v>
      </c>
      <c r="BW68" t="s">
        <v>3835</v>
      </c>
      <c r="BX68">
        <v>0</v>
      </c>
      <c r="BY68" t="s">
        <v>3868</v>
      </c>
      <c r="BZ68" t="s">
        <v>3860</v>
      </c>
    </row>
    <row r="69" spans="1:78" x14ac:dyDescent="0.25">
      <c r="A69" s="7" t="s">
        <v>344</v>
      </c>
      <c r="B69" s="7" t="s">
        <v>181</v>
      </c>
      <c r="C69" s="7" t="s">
        <v>342</v>
      </c>
      <c r="D69" s="8" t="s">
        <v>343</v>
      </c>
      <c r="E69" s="7" t="s">
        <v>345</v>
      </c>
      <c r="F69" s="9">
        <v>44990</v>
      </c>
      <c r="G69" s="9" t="s">
        <v>65</v>
      </c>
      <c r="H69" s="9" t="s">
        <v>92</v>
      </c>
      <c r="I69" s="8" t="s">
        <v>78</v>
      </c>
      <c r="J69" s="10">
        <v>585.55999999999995</v>
      </c>
      <c r="K69" s="10">
        <v>585.55999999999995</v>
      </c>
      <c r="L69" s="10">
        <f t="shared" si="28"/>
        <v>0</v>
      </c>
      <c r="M69" s="10">
        <v>272.33</v>
      </c>
      <c r="N69" s="10">
        <v>272.33</v>
      </c>
      <c r="O69" s="10">
        <f t="shared" si="29"/>
        <v>0</v>
      </c>
      <c r="P69" s="11">
        <v>14983.999931689325</v>
      </c>
      <c r="Q69" s="11">
        <v>32218.378437924577</v>
      </c>
      <c r="R69" s="11">
        <v>28000</v>
      </c>
      <c r="S69" s="11">
        <v>8774031</v>
      </c>
      <c r="T69" s="11">
        <v>1052882</v>
      </c>
      <c r="U69" s="12">
        <f t="shared" si="30"/>
        <v>0.11999980396695657</v>
      </c>
      <c r="V69" s="13">
        <f t="shared" si="26"/>
        <v>0</v>
      </c>
      <c r="W69" s="10">
        <f t="shared" si="31"/>
        <v>0</v>
      </c>
      <c r="X69" s="10"/>
      <c r="Y69" s="10"/>
      <c r="Z69" s="11">
        <f t="shared" si="32"/>
        <v>8774031</v>
      </c>
      <c r="AA69" s="14"/>
      <c r="AB69" s="14"/>
      <c r="AC69" s="11">
        <f t="shared" si="33"/>
        <v>8774031</v>
      </c>
      <c r="AD69" s="10">
        <f t="shared" si="34"/>
        <v>300</v>
      </c>
      <c r="AE69" s="15">
        <v>81699</v>
      </c>
      <c r="AF69" s="16">
        <v>14706</v>
      </c>
      <c r="AG69" s="15">
        <f t="shared" si="35"/>
        <v>0</v>
      </c>
      <c r="AH69" s="15">
        <f t="shared" si="36"/>
        <v>0</v>
      </c>
      <c r="AI69" s="15">
        <f t="shared" si="37"/>
        <v>81699</v>
      </c>
      <c r="AJ69" s="15">
        <f t="shared" si="38"/>
        <v>14706</v>
      </c>
      <c r="AK69" s="10">
        <v>81699</v>
      </c>
      <c r="AL69" s="15">
        <f t="shared" si="39"/>
        <v>81699</v>
      </c>
      <c r="AM69" s="15">
        <f t="shared" si="40"/>
        <v>8855730</v>
      </c>
      <c r="AN69" s="15">
        <f t="shared" si="41"/>
        <v>1067588</v>
      </c>
      <c r="AO69" s="15">
        <f t="shared" si="46"/>
        <v>1149287</v>
      </c>
      <c r="AP69" s="17">
        <f t="shared" si="42"/>
        <v>10005017</v>
      </c>
      <c r="AQ69" s="15">
        <v>8844499</v>
      </c>
      <c r="AR69" s="15">
        <v>0</v>
      </c>
      <c r="AS69" s="18">
        <f t="shared" si="47"/>
        <v>1160518</v>
      </c>
      <c r="AT69" s="19">
        <v>0</v>
      </c>
      <c r="AU69" s="8">
        <v>8800</v>
      </c>
      <c r="AV69" s="13">
        <f t="shared" si="48"/>
        <v>2396504</v>
      </c>
      <c r="AW69" s="18">
        <f t="shared" si="49"/>
        <v>8855730</v>
      </c>
      <c r="AX69" s="15">
        <f t="shared" si="43"/>
        <v>8856000</v>
      </c>
      <c r="AY69" s="20">
        <v>0.06</v>
      </c>
      <c r="AZ69" s="13">
        <f t="shared" si="44"/>
        <v>531360</v>
      </c>
      <c r="BA69" s="15">
        <f t="shared" si="45"/>
        <v>531400</v>
      </c>
      <c r="BB69" s="21">
        <f t="shared" si="50"/>
        <v>1691918</v>
      </c>
      <c r="BC69" s="10">
        <f t="shared" si="51"/>
        <v>0</v>
      </c>
      <c r="BD69" s="10">
        <f t="shared" si="52"/>
        <v>0</v>
      </c>
      <c r="BE69" s="10">
        <v>54.4</v>
      </c>
      <c r="BF69" s="10">
        <v>25.3</v>
      </c>
      <c r="BG69" s="107">
        <v>46176</v>
      </c>
      <c r="BH69" s="107">
        <f t="shared" si="27"/>
        <v>46206</v>
      </c>
      <c r="BI69" s="23">
        <v>6</v>
      </c>
      <c r="BJ69" s="6"/>
      <c r="BK69" s="6"/>
      <c r="BL69" s="24">
        <f>VLOOKUP(A69,[2]Sheet1!$D$2:$H$933,5,0)</f>
        <v>0</v>
      </c>
      <c r="BM69" s="6" t="s">
        <v>3828</v>
      </c>
      <c r="BN69" s="6" t="s">
        <v>3829</v>
      </c>
      <c r="BO69" s="6" t="s">
        <v>3820</v>
      </c>
      <c r="BP69" s="6" t="s">
        <v>3821</v>
      </c>
      <c r="BQ69" s="6" t="s">
        <v>3830</v>
      </c>
      <c r="BR69" t="s">
        <v>3823</v>
      </c>
      <c r="BS69" t="s">
        <v>3824</v>
      </c>
      <c r="BT69" t="s">
        <v>3825</v>
      </c>
      <c r="BU69" t="s">
        <v>3826</v>
      </c>
      <c r="BV69" t="s">
        <v>3827</v>
      </c>
      <c r="BW69" t="s">
        <v>3835</v>
      </c>
      <c r="BX69">
        <v>0</v>
      </c>
      <c r="BY69" t="s">
        <v>3870</v>
      </c>
      <c r="BZ69" t="s">
        <v>3860</v>
      </c>
    </row>
    <row r="70" spans="1:78" x14ac:dyDescent="0.25">
      <c r="A70" s="48" t="s">
        <v>348</v>
      </c>
      <c r="B70" s="48" t="s">
        <v>181</v>
      </c>
      <c r="C70" s="48" t="s">
        <v>346</v>
      </c>
      <c r="D70" s="49" t="s">
        <v>347</v>
      </c>
      <c r="E70" s="48" t="s">
        <v>349</v>
      </c>
      <c r="F70" s="50">
        <v>45111</v>
      </c>
      <c r="G70" s="50" t="s">
        <v>77</v>
      </c>
      <c r="H70" s="50" t="s">
        <v>72</v>
      </c>
      <c r="I70" s="49" t="s">
        <v>78</v>
      </c>
      <c r="J70" s="51">
        <v>1472.52</v>
      </c>
      <c r="K70" s="51">
        <v>1528</v>
      </c>
      <c r="L70" s="51">
        <f t="shared" si="28"/>
        <v>55.480000000000018</v>
      </c>
      <c r="M70" s="51">
        <v>666.29</v>
      </c>
      <c r="N70" s="51">
        <v>690</v>
      </c>
      <c r="O70" s="51">
        <f t="shared" si="29"/>
        <v>23.710000000000036</v>
      </c>
      <c r="P70" s="52">
        <v>6500.0013582158481</v>
      </c>
      <c r="Q70" s="52">
        <v>14365.189331972566</v>
      </c>
      <c r="R70" s="52">
        <v>20000</v>
      </c>
      <c r="S70" s="52">
        <v>9571382</v>
      </c>
      <c r="T70" s="52">
        <v>1148566</v>
      </c>
      <c r="U70" s="53">
        <f t="shared" si="30"/>
        <v>0.12000001671649925</v>
      </c>
      <c r="V70" s="54">
        <f>L70*R70</f>
        <v>1109600.0000000005</v>
      </c>
      <c r="W70" s="51">
        <f t="shared" si="31"/>
        <v>133152.01854862762</v>
      </c>
      <c r="X70" s="55"/>
      <c r="Y70" s="55"/>
      <c r="Z70" s="52">
        <f t="shared" si="32"/>
        <v>10680982</v>
      </c>
      <c r="AA70" s="56">
        <v>3260693</v>
      </c>
      <c r="AB70" s="56">
        <v>391283</v>
      </c>
      <c r="AC70" s="52">
        <f t="shared" si="33"/>
        <v>7420289</v>
      </c>
      <c r="AD70" s="51">
        <f t="shared" si="34"/>
        <v>300</v>
      </c>
      <c r="AE70" s="55">
        <v>199887</v>
      </c>
      <c r="AF70" s="57">
        <v>35980</v>
      </c>
      <c r="AG70" s="55">
        <f t="shared" si="35"/>
        <v>7113.0000000000109</v>
      </c>
      <c r="AH70" s="55">
        <f t="shared" si="36"/>
        <v>1280.340000000002</v>
      </c>
      <c r="AI70" s="55">
        <f t="shared" si="37"/>
        <v>207000</v>
      </c>
      <c r="AJ70" s="55">
        <f t="shared" si="38"/>
        <v>37260</v>
      </c>
      <c r="AK70" s="51">
        <v>199887</v>
      </c>
      <c r="AL70" s="55">
        <f t="shared" si="39"/>
        <v>207000</v>
      </c>
      <c r="AM70" s="15">
        <f t="shared" si="40"/>
        <v>7627289</v>
      </c>
      <c r="AN70" s="15">
        <f t="shared" si="41"/>
        <v>927696</v>
      </c>
      <c r="AO70" s="55">
        <f t="shared" si="46"/>
        <v>1134696</v>
      </c>
      <c r="AP70" s="58">
        <f t="shared" si="42"/>
        <v>8761985</v>
      </c>
      <c r="AQ70" s="55">
        <v>6538828.6199999992</v>
      </c>
      <c r="AR70" s="15">
        <v>0</v>
      </c>
      <c r="AS70" s="18">
        <f t="shared" si="47"/>
        <v>2223156</v>
      </c>
      <c r="AT70" s="60">
        <v>0</v>
      </c>
      <c r="AU70" s="49">
        <v>8800</v>
      </c>
      <c r="AV70" s="54">
        <f t="shared" si="48"/>
        <v>6072000</v>
      </c>
      <c r="AW70" s="59">
        <f t="shared" si="49"/>
        <v>7627289</v>
      </c>
      <c r="AX70" s="55">
        <f t="shared" si="43"/>
        <v>7628000</v>
      </c>
      <c r="AY70" s="61">
        <v>0.05</v>
      </c>
      <c r="AZ70" s="54">
        <f t="shared" si="44"/>
        <v>381400</v>
      </c>
      <c r="BA70" s="55">
        <f t="shared" si="45"/>
        <v>381400</v>
      </c>
      <c r="BB70" s="62">
        <f t="shared" si="50"/>
        <v>2604556</v>
      </c>
      <c r="BC70" s="51">
        <f t="shared" si="51"/>
        <v>3.7676907614158055</v>
      </c>
      <c r="BD70" s="51">
        <f t="shared" si="52"/>
        <v>3.5585105584655388</v>
      </c>
      <c r="BE70" s="51">
        <v>141.94999999999999</v>
      </c>
      <c r="BF70" s="51">
        <v>64.099999999999994</v>
      </c>
      <c r="BG70" s="107">
        <v>46176</v>
      </c>
      <c r="BH70" s="109">
        <f t="shared" si="27"/>
        <v>46206</v>
      </c>
      <c r="BI70" s="63">
        <v>5</v>
      </c>
      <c r="BJ70" s="24" t="s">
        <v>350</v>
      </c>
      <c r="BK70" s="6"/>
      <c r="BL70" s="24">
        <f>VLOOKUP(A70,[2]Sheet1!$D$2:$H$933,5,0)</f>
        <v>0</v>
      </c>
      <c r="BM70" s="6" t="s">
        <v>3828</v>
      </c>
      <c r="BN70" s="6" t="s">
        <v>3829</v>
      </c>
      <c r="BO70" s="6" t="s">
        <v>3820</v>
      </c>
      <c r="BP70" s="6" t="s">
        <v>3821</v>
      </c>
      <c r="BQ70" s="6" t="s">
        <v>3830</v>
      </c>
      <c r="BR70" t="s">
        <v>3823</v>
      </c>
      <c r="BS70" t="s">
        <v>3824</v>
      </c>
      <c r="BT70" t="s">
        <v>3825</v>
      </c>
      <c r="BU70" t="s">
        <v>3826</v>
      </c>
      <c r="BV70" t="s">
        <v>3827</v>
      </c>
      <c r="BW70" t="s">
        <v>3835</v>
      </c>
      <c r="BX70">
        <v>0</v>
      </c>
      <c r="BY70" t="s">
        <v>3864</v>
      </c>
      <c r="BZ70" t="s">
        <v>3863</v>
      </c>
    </row>
    <row r="71" spans="1:78" x14ac:dyDescent="0.25">
      <c r="A71" s="7" t="s">
        <v>353</v>
      </c>
      <c r="B71" s="7" t="s">
        <v>181</v>
      </c>
      <c r="C71" s="7" t="s">
        <v>351</v>
      </c>
      <c r="D71" s="8" t="s">
        <v>352</v>
      </c>
      <c r="E71" s="7" t="s">
        <v>354</v>
      </c>
      <c r="F71" s="9">
        <v>45181</v>
      </c>
      <c r="G71" s="9" t="s">
        <v>77</v>
      </c>
      <c r="H71" s="9" t="s">
        <v>92</v>
      </c>
      <c r="I71" s="8" t="s">
        <v>78</v>
      </c>
      <c r="J71" s="10">
        <v>946.16</v>
      </c>
      <c r="K71" s="10">
        <v>946.16</v>
      </c>
      <c r="L71" s="10">
        <f t="shared" si="28"/>
        <v>0</v>
      </c>
      <c r="M71" s="10">
        <v>441.97</v>
      </c>
      <c r="N71" s="10">
        <v>441.97</v>
      </c>
      <c r="O71" s="10">
        <f t="shared" si="29"/>
        <v>0</v>
      </c>
      <c r="P71" s="11">
        <v>12437.002198359685</v>
      </c>
      <c r="Q71" s="11">
        <v>26624.870466321241</v>
      </c>
      <c r="R71" s="11">
        <v>28000</v>
      </c>
      <c r="S71" s="11">
        <v>11767394</v>
      </c>
      <c r="T71" s="11">
        <v>1412086</v>
      </c>
      <c r="U71" s="12">
        <f t="shared" si="30"/>
        <v>0.11999989122485404</v>
      </c>
      <c r="V71" s="13">
        <f t="shared" ref="V71:V133" si="53">L71*P71</f>
        <v>0</v>
      </c>
      <c r="W71" s="10">
        <f t="shared" si="31"/>
        <v>0</v>
      </c>
      <c r="X71" s="10"/>
      <c r="Y71" s="10"/>
      <c r="Z71" s="11">
        <f t="shared" si="32"/>
        <v>11767394</v>
      </c>
      <c r="AA71" s="14"/>
      <c r="AB71" s="14"/>
      <c r="AC71" s="11">
        <f t="shared" si="33"/>
        <v>11767394</v>
      </c>
      <c r="AD71" s="10">
        <f t="shared" si="34"/>
        <v>300</v>
      </c>
      <c r="AE71" s="15">
        <v>132591</v>
      </c>
      <c r="AF71" s="16">
        <v>23866</v>
      </c>
      <c r="AG71" s="15">
        <f t="shared" si="35"/>
        <v>0</v>
      </c>
      <c r="AH71" s="15">
        <f t="shared" si="36"/>
        <v>0</v>
      </c>
      <c r="AI71" s="15">
        <f t="shared" si="37"/>
        <v>132591</v>
      </c>
      <c r="AJ71" s="15">
        <f t="shared" si="38"/>
        <v>23867</v>
      </c>
      <c r="AK71" s="10">
        <v>132591</v>
      </c>
      <c r="AL71" s="15">
        <f t="shared" si="39"/>
        <v>132591</v>
      </c>
      <c r="AM71" s="15">
        <f t="shared" si="40"/>
        <v>11899985</v>
      </c>
      <c r="AN71" s="15">
        <f t="shared" si="41"/>
        <v>1435953</v>
      </c>
      <c r="AO71" s="15">
        <f t="shared" si="46"/>
        <v>1568544</v>
      </c>
      <c r="AP71" s="17">
        <f t="shared" si="42"/>
        <v>13468529</v>
      </c>
      <c r="AQ71" s="15">
        <v>12520505</v>
      </c>
      <c r="AR71" s="15">
        <v>0</v>
      </c>
      <c r="AS71" s="18">
        <f t="shared" si="47"/>
        <v>948024</v>
      </c>
      <c r="AT71" s="19">
        <v>11992298</v>
      </c>
      <c r="AU71" s="8">
        <v>8800</v>
      </c>
      <c r="AV71" s="13">
        <f t="shared" si="48"/>
        <v>3889336.0000000005</v>
      </c>
      <c r="AW71" s="18">
        <f t="shared" si="49"/>
        <v>11992298</v>
      </c>
      <c r="AX71" s="15">
        <f t="shared" si="43"/>
        <v>11993000</v>
      </c>
      <c r="AY71" s="20">
        <v>0.05</v>
      </c>
      <c r="AZ71" s="13">
        <f t="shared" si="44"/>
        <v>599650</v>
      </c>
      <c r="BA71" s="15">
        <f t="shared" si="45"/>
        <v>599700</v>
      </c>
      <c r="BB71" s="21">
        <f t="shared" si="50"/>
        <v>1547724</v>
      </c>
      <c r="BC71" s="10">
        <f t="shared" si="51"/>
        <v>0</v>
      </c>
      <c r="BD71" s="10">
        <f t="shared" si="52"/>
        <v>0</v>
      </c>
      <c r="BE71" s="10">
        <v>87.9</v>
      </c>
      <c r="BF71" s="10">
        <v>41.06</v>
      </c>
      <c r="BG71" s="107">
        <v>46176</v>
      </c>
      <c r="BH71" s="107">
        <f t="shared" si="27"/>
        <v>46206</v>
      </c>
      <c r="BI71" s="23">
        <v>5</v>
      </c>
      <c r="BJ71" s="6"/>
      <c r="BK71" s="6"/>
      <c r="BL71" s="24">
        <f>VLOOKUP(A71,[2]Sheet1!$D$2:$H$933,5,0)</f>
        <v>0</v>
      </c>
      <c r="BM71" s="6" t="s">
        <v>3828</v>
      </c>
      <c r="BN71" s="6" t="s">
        <v>3829</v>
      </c>
      <c r="BO71" s="6" t="s">
        <v>3820</v>
      </c>
      <c r="BP71" s="6" t="s">
        <v>3821</v>
      </c>
      <c r="BQ71" s="6" t="s">
        <v>3830</v>
      </c>
      <c r="BR71" t="s">
        <v>3823</v>
      </c>
      <c r="BS71" t="s">
        <v>3824</v>
      </c>
      <c r="BT71" t="s">
        <v>3825</v>
      </c>
      <c r="BU71" t="s">
        <v>3826</v>
      </c>
      <c r="BV71" t="s">
        <v>3827</v>
      </c>
      <c r="BW71" t="s">
        <v>3835</v>
      </c>
      <c r="BX71">
        <v>0</v>
      </c>
      <c r="BY71" t="s">
        <v>3861</v>
      </c>
      <c r="BZ71" t="s">
        <v>3863</v>
      </c>
    </row>
    <row r="72" spans="1:78" x14ac:dyDescent="0.25">
      <c r="A72" s="7" t="s">
        <v>357</v>
      </c>
      <c r="B72" s="7" t="s">
        <v>181</v>
      </c>
      <c r="C72" s="7" t="s">
        <v>355</v>
      </c>
      <c r="D72" s="8" t="s">
        <v>356</v>
      </c>
      <c r="E72" s="7" t="s">
        <v>358</v>
      </c>
      <c r="F72" s="9">
        <v>44901</v>
      </c>
      <c r="G72" s="9" t="s">
        <v>77</v>
      </c>
      <c r="H72" s="9" t="s">
        <v>92</v>
      </c>
      <c r="I72" s="8" t="s">
        <v>78</v>
      </c>
      <c r="J72" s="10">
        <v>344.45</v>
      </c>
      <c r="K72" s="10">
        <v>344.45</v>
      </c>
      <c r="L72" s="10">
        <f t="shared" si="28"/>
        <v>0</v>
      </c>
      <c r="M72" s="10">
        <v>147.47</v>
      </c>
      <c r="N72" s="10">
        <v>147.47</v>
      </c>
      <c r="O72" s="10">
        <f t="shared" si="29"/>
        <v>0</v>
      </c>
      <c r="P72" s="11">
        <v>18535.999419364205</v>
      </c>
      <c r="Q72" s="11">
        <v>43295.076964806402</v>
      </c>
      <c r="R72" s="11">
        <v>28000</v>
      </c>
      <c r="S72" s="11">
        <v>6384725</v>
      </c>
      <c r="T72" s="11">
        <v>766166</v>
      </c>
      <c r="U72" s="12">
        <f t="shared" si="30"/>
        <v>0.119999843376183</v>
      </c>
      <c r="V72" s="13">
        <f t="shared" si="53"/>
        <v>0</v>
      </c>
      <c r="W72" s="10">
        <f t="shared" si="31"/>
        <v>0</v>
      </c>
      <c r="X72" s="10"/>
      <c r="Y72" s="10"/>
      <c r="Z72" s="11">
        <f t="shared" si="32"/>
        <v>6384725</v>
      </c>
      <c r="AA72" s="14">
        <v>861354</v>
      </c>
      <c r="AB72" s="14">
        <v>103362</v>
      </c>
      <c r="AC72" s="11">
        <f t="shared" si="33"/>
        <v>5523371</v>
      </c>
      <c r="AD72" s="10">
        <f t="shared" si="34"/>
        <v>300</v>
      </c>
      <c r="AE72" s="15">
        <v>44241</v>
      </c>
      <c r="AF72" s="16">
        <v>7964</v>
      </c>
      <c r="AG72" s="15">
        <f t="shared" si="35"/>
        <v>0</v>
      </c>
      <c r="AH72" s="15">
        <f t="shared" si="36"/>
        <v>0</v>
      </c>
      <c r="AI72" s="15">
        <f t="shared" si="37"/>
        <v>44241</v>
      </c>
      <c r="AJ72" s="15">
        <f t="shared" si="38"/>
        <v>7964</v>
      </c>
      <c r="AK72" s="10">
        <v>44241</v>
      </c>
      <c r="AL72" s="15">
        <f t="shared" si="39"/>
        <v>44241</v>
      </c>
      <c r="AM72" s="15">
        <f t="shared" si="40"/>
        <v>5567612</v>
      </c>
      <c r="AN72" s="15">
        <f t="shared" si="41"/>
        <v>670768</v>
      </c>
      <c r="AO72" s="15">
        <f t="shared" si="46"/>
        <v>715009</v>
      </c>
      <c r="AP72" s="17">
        <f t="shared" si="42"/>
        <v>6282621</v>
      </c>
      <c r="AQ72" s="15">
        <v>5503227.7699999996</v>
      </c>
      <c r="AR72" s="15">
        <v>0</v>
      </c>
      <c r="AS72" s="18">
        <f t="shared" si="47"/>
        <v>779393</v>
      </c>
      <c r="AT72" s="19">
        <v>0</v>
      </c>
      <c r="AU72" s="8">
        <v>8800</v>
      </c>
      <c r="AV72" s="13">
        <f t="shared" si="48"/>
        <v>1297736</v>
      </c>
      <c r="AW72" s="18">
        <f t="shared" si="49"/>
        <v>5567612</v>
      </c>
      <c r="AX72" s="15">
        <f t="shared" si="43"/>
        <v>5568000</v>
      </c>
      <c r="AY72" s="20">
        <v>0.05</v>
      </c>
      <c r="AZ72" s="13">
        <f t="shared" si="44"/>
        <v>278400</v>
      </c>
      <c r="BA72" s="15">
        <f t="shared" si="45"/>
        <v>278400</v>
      </c>
      <c r="BB72" s="21">
        <f t="shared" si="50"/>
        <v>1057793</v>
      </c>
      <c r="BC72" s="10">
        <f t="shared" si="51"/>
        <v>0</v>
      </c>
      <c r="BD72" s="10">
        <f t="shared" si="52"/>
        <v>0</v>
      </c>
      <c r="BE72" s="10">
        <v>32</v>
      </c>
      <c r="BF72" s="10">
        <v>13.7</v>
      </c>
      <c r="BG72" s="107">
        <v>46176</v>
      </c>
      <c r="BH72" s="107">
        <f t="shared" si="27"/>
        <v>46206</v>
      </c>
      <c r="BI72" s="23">
        <v>5</v>
      </c>
      <c r="BJ72" s="6"/>
      <c r="BK72" s="6"/>
      <c r="BL72" s="24">
        <f>VLOOKUP(A72,[2]Sheet1!$D$2:$H$933,5,0)</f>
        <v>0</v>
      </c>
      <c r="BM72" s="6" t="s">
        <v>3828</v>
      </c>
      <c r="BN72" s="6" t="s">
        <v>3829</v>
      </c>
      <c r="BO72" s="6" t="s">
        <v>3820</v>
      </c>
      <c r="BP72" s="6" t="s">
        <v>3821</v>
      </c>
      <c r="BQ72" s="6" t="s">
        <v>3830</v>
      </c>
      <c r="BR72" t="s">
        <v>3823</v>
      </c>
      <c r="BS72" t="s">
        <v>3824</v>
      </c>
      <c r="BT72" t="s">
        <v>3825</v>
      </c>
      <c r="BU72" t="s">
        <v>3826</v>
      </c>
      <c r="BV72" t="s">
        <v>3827</v>
      </c>
      <c r="BW72" t="s">
        <v>3835</v>
      </c>
      <c r="BX72">
        <v>0</v>
      </c>
      <c r="BY72" t="s">
        <v>3867</v>
      </c>
      <c r="BZ72" t="s">
        <v>3863</v>
      </c>
    </row>
    <row r="73" spans="1:78" x14ac:dyDescent="0.25">
      <c r="A73" s="7" t="s">
        <v>361</v>
      </c>
      <c r="B73" s="7" t="s">
        <v>181</v>
      </c>
      <c r="C73" s="7" t="s">
        <v>359</v>
      </c>
      <c r="D73" s="8" t="s">
        <v>360</v>
      </c>
      <c r="E73" s="7" t="s">
        <v>362</v>
      </c>
      <c r="F73" s="9">
        <v>44970</v>
      </c>
      <c r="G73" s="9" t="s">
        <v>363</v>
      </c>
      <c r="H73" s="9" t="s">
        <v>87</v>
      </c>
      <c r="I73" s="8" t="s">
        <v>67</v>
      </c>
      <c r="J73" s="10">
        <v>201.17</v>
      </c>
      <c r="K73" s="10">
        <v>201.17</v>
      </c>
      <c r="L73" s="10">
        <f t="shared" si="28"/>
        <v>0</v>
      </c>
      <c r="M73" s="10">
        <v>75.89</v>
      </c>
      <c r="N73" s="10">
        <v>75.89</v>
      </c>
      <c r="O73" s="10">
        <f t="shared" si="29"/>
        <v>0</v>
      </c>
      <c r="P73" s="11">
        <v>12717.999701744793</v>
      </c>
      <c r="Q73" s="11">
        <v>33713.005666095662</v>
      </c>
      <c r="R73" s="11">
        <v>40000</v>
      </c>
      <c r="S73" s="11">
        <v>2558480</v>
      </c>
      <c r="T73" s="11">
        <v>307016</v>
      </c>
      <c r="U73" s="12">
        <f t="shared" si="30"/>
        <v>0.11999937462868578</v>
      </c>
      <c r="V73" s="13">
        <f t="shared" si="53"/>
        <v>0</v>
      </c>
      <c r="W73" s="10">
        <f t="shared" si="31"/>
        <v>0</v>
      </c>
      <c r="X73" s="10"/>
      <c r="Y73" s="10"/>
      <c r="Z73" s="11">
        <f t="shared" si="32"/>
        <v>2558480</v>
      </c>
      <c r="AA73" s="14"/>
      <c r="AB73" s="14"/>
      <c r="AC73" s="11">
        <f t="shared" si="33"/>
        <v>2558480</v>
      </c>
      <c r="AD73" s="10">
        <f t="shared" si="34"/>
        <v>300</v>
      </c>
      <c r="AE73" s="15">
        <v>22767</v>
      </c>
      <c r="AF73" s="16">
        <v>4098</v>
      </c>
      <c r="AG73" s="15">
        <f t="shared" si="35"/>
        <v>0</v>
      </c>
      <c r="AH73" s="15">
        <f t="shared" si="36"/>
        <v>0</v>
      </c>
      <c r="AI73" s="15">
        <f t="shared" si="37"/>
        <v>22767</v>
      </c>
      <c r="AJ73" s="15">
        <f t="shared" si="38"/>
        <v>4099</v>
      </c>
      <c r="AK73" s="10">
        <v>22767</v>
      </c>
      <c r="AL73" s="15">
        <f t="shared" si="39"/>
        <v>22767</v>
      </c>
      <c r="AM73" s="15">
        <f t="shared" si="40"/>
        <v>2581247</v>
      </c>
      <c r="AN73" s="15">
        <f t="shared" si="41"/>
        <v>311115</v>
      </c>
      <c r="AO73" s="15">
        <f t="shared" si="46"/>
        <v>333882</v>
      </c>
      <c r="AP73" s="17">
        <f t="shared" si="42"/>
        <v>2915129</v>
      </c>
      <c r="AQ73" s="15">
        <v>2518917</v>
      </c>
      <c r="AR73" s="15">
        <v>0</v>
      </c>
      <c r="AS73" s="18">
        <f t="shared" si="47"/>
        <v>396212</v>
      </c>
      <c r="AT73" s="19">
        <v>0</v>
      </c>
      <c r="AU73" s="8">
        <v>8800</v>
      </c>
      <c r="AV73" s="13">
        <f t="shared" si="48"/>
        <v>667832</v>
      </c>
      <c r="AW73" s="18">
        <f t="shared" si="49"/>
        <v>2581247</v>
      </c>
      <c r="AX73" s="15">
        <f t="shared" si="43"/>
        <v>2582000</v>
      </c>
      <c r="AY73" s="20">
        <v>7.0000000000000007E-2</v>
      </c>
      <c r="AZ73" s="13">
        <f t="shared" si="44"/>
        <v>180740.00000000003</v>
      </c>
      <c r="BA73" s="15">
        <f t="shared" si="45"/>
        <v>180800</v>
      </c>
      <c r="BB73" s="21">
        <f t="shared" si="50"/>
        <v>577012</v>
      </c>
      <c r="BC73" s="10">
        <f t="shared" si="51"/>
        <v>0</v>
      </c>
      <c r="BD73" s="10">
        <f t="shared" si="52"/>
        <v>0</v>
      </c>
      <c r="BE73" s="10">
        <v>18.690000000000001</v>
      </c>
      <c r="BF73" s="10">
        <v>7.05</v>
      </c>
      <c r="BG73" s="107">
        <v>46176</v>
      </c>
      <c r="BH73" s="107">
        <f t="shared" si="27"/>
        <v>46206</v>
      </c>
      <c r="BI73" s="23">
        <v>7</v>
      </c>
      <c r="BJ73" s="6"/>
      <c r="BK73" s="6"/>
      <c r="BL73" s="24">
        <f>VLOOKUP(A73,[2]Sheet1!$D$2:$H$933,5,0)</f>
        <v>0</v>
      </c>
      <c r="BM73" s="6" t="s">
        <v>3828</v>
      </c>
      <c r="BN73" s="6" t="s">
        <v>3829</v>
      </c>
      <c r="BO73" s="6" t="s">
        <v>3820</v>
      </c>
      <c r="BP73" s="6" t="s">
        <v>3821</v>
      </c>
      <c r="BQ73" s="6" t="s">
        <v>3830</v>
      </c>
      <c r="BR73" t="s">
        <v>3823</v>
      </c>
      <c r="BS73" t="s">
        <v>3824</v>
      </c>
      <c r="BT73" t="s">
        <v>3825</v>
      </c>
      <c r="BU73" t="s">
        <v>3826</v>
      </c>
      <c r="BV73" t="s">
        <v>3827</v>
      </c>
      <c r="BW73" t="s">
        <v>3835</v>
      </c>
      <c r="BX73">
        <v>0</v>
      </c>
      <c r="BY73" t="s">
        <v>3870</v>
      </c>
      <c r="BZ73" t="s">
        <v>3860</v>
      </c>
    </row>
    <row r="74" spans="1:78" x14ac:dyDescent="0.25">
      <c r="A74" s="7" t="s">
        <v>366</v>
      </c>
      <c r="B74" s="7" t="s">
        <v>181</v>
      </c>
      <c r="C74" s="7" t="s">
        <v>364</v>
      </c>
      <c r="D74" s="8" t="s">
        <v>365</v>
      </c>
      <c r="E74" s="7" t="s">
        <v>367</v>
      </c>
      <c r="F74" s="9">
        <v>45002</v>
      </c>
      <c r="G74" s="9" t="s">
        <v>363</v>
      </c>
      <c r="H74" s="9" t="s">
        <v>87</v>
      </c>
      <c r="I74" s="8" t="s">
        <v>67</v>
      </c>
      <c r="J74" s="10">
        <v>220.06</v>
      </c>
      <c r="K74" s="10">
        <v>220.06</v>
      </c>
      <c r="L74" s="10">
        <f t="shared" si="28"/>
        <v>0</v>
      </c>
      <c r="M74" s="10">
        <v>88.26</v>
      </c>
      <c r="N74" s="10">
        <v>88.26</v>
      </c>
      <c r="O74" s="10">
        <f t="shared" si="29"/>
        <v>0</v>
      </c>
      <c r="P74" s="11">
        <v>17701.68135962919</v>
      </c>
      <c r="Q74" s="11">
        <v>44135.871289372306</v>
      </c>
      <c r="R74" s="11">
        <v>40000</v>
      </c>
      <c r="S74" s="11">
        <v>3895432</v>
      </c>
      <c r="T74" s="11">
        <v>467452</v>
      </c>
      <c r="U74" s="12">
        <f t="shared" si="30"/>
        <v>0.12000004107374997</v>
      </c>
      <c r="V74" s="13">
        <f t="shared" si="53"/>
        <v>0</v>
      </c>
      <c r="W74" s="10">
        <f t="shared" si="31"/>
        <v>0</v>
      </c>
      <c r="X74" s="10"/>
      <c r="Y74" s="10"/>
      <c r="Z74" s="11">
        <f t="shared" si="32"/>
        <v>3895432</v>
      </c>
      <c r="AA74" s="14"/>
      <c r="AB74" s="14"/>
      <c r="AC74" s="11">
        <f t="shared" si="33"/>
        <v>3895432</v>
      </c>
      <c r="AD74" s="10">
        <f t="shared" si="34"/>
        <v>300</v>
      </c>
      <c r="AE74" s="15">
        <v>26478</v>
      </c>
      <c r="AF74" s="16">
        <v>4766</v>
      </c>
      <c r="AG74" s="15">
        <f t="shared" si="35"/>
        <v>0</v>
      </c>
      <c r="AH74" s="15">
        <f t="shared" si="36"/>
        <v>0</v>
      </c>
      <c r="AI74" s="15">
        <f t="shared" si="37"/>
        <v>26478</v>
      </c>
      <c r="AJ74" s="15">
        <f t="shared" si="38"/>
        <v>4767</v>
      </c>
      <c r="AK74" s="10">
        <v>26478</v>
      </c>
      <c r="AL74" s="15">
        <f t="shared" si="39"/>
        <v>26478</v>
      </c>
      <c r="AM74" s="15">
        <f t="shared" si="40"/>
        <v>3921910</v>
      </c>
      <c r="AN74" s="15">
        <f t="shared" si="41"/>
        <v>472219</v>
      </c>
      <c r="AO74" s="15">
        <f t="shared" si="46"/>
        <v>498697</v>
      </c>
      <c r="AP74" s="17">
        <f t="shared" si="42"/>
        <v>4420607</v>
      </c>
      <c r="AQ74" s="15">
        <v>3926595</v>
      </c>
      <c r="AR74" s="15">
        <v>0</v>
      </c>
      <c r="AS74" s="18">
        <f t="shared" si="47"/>
        <v>494012</v>
      </c>
      <c r="AT74" s="19">
        <v>0</v>
      </c>
      <c r="AU74" s="8">
        <v>8800</v>
      </c>
      <c r="AV74" s="13">
        <f t="shared" si="48"/>
        <v>776688</v>
      </c>
      <c r="AW74" s="18">
        <f t="shared" si="49"/>
        <v>3921910</v>
      </c>
      <c r="AX74" s="15">
        <f t="shared" si="43"/>
        <v>3922000</v>
      </c>
      <c r="AY74" s="20">
        <v>0.05</v>
      </c>
      <c r="AZ74" s="13">
        <f t="shared" si="44"/>
        <v>196100</v>
      </c>
      <c r="BA74" s="15">
        <f t="shared" si="45"/>
        <v>196100</v>
      </c>
      <c r="BB74" s="21">
        <f t="shared" si="50"/>
        <v>690112</v>
      </c>
      <c r="BC74" s="10">
        <f t="shared" si="51"/>
        <v>0</v>
      </c>
      <c r="BD74" s="10">
        <f t="shared" si="52"/>
        <v>0</v>
      </c>
      <c r="BE74" s="10">
        <v>20.440000000000001</v>
      </c>
      <c r="BF74" s="10">
        <v>8.1999999999999993</v>
      </c>
      <c r="BG74" s="107">
        <v>46176</v>
      </c>
      <c r="BH74" s="107">
        <f t="shared" si="27"/>
        <v>46206</v>
      </c>
      <c r="BI74" s="23">
        <v>5</v>
      </c>
      <c r="BJ74" s="6"/>
      <c r="BK74" s="6"/>
      <c r="BL74" s="24">
        <f>VLOOKUP(A74,[2]Sheet1!$D$2:$H$933,5,0)</f>
        <v>0</v>
      </c>
      <c r="BM74" s="6" t="s">
        <v>3828</v>
      </c>
      <c r="BN74" s="6" t="s">
        <v>3829</v>
      </c>
      <c r="BO74" s="6" t="s">
        <v>3820</v>
      </c>
      <c r="BP74" s="6" t="s">
        <v>3821</v>
      </c>
      <c r="BQ74" s="6" t="s">
        <v>3830</v>
      </c>
      <c r="BR74" t="s">
        <v>3823</v>
      </c>
      <c r="BS74" t="s">
        <v>3824</v>
      </c>
      <c r="BT74" t="s">
        <v>3825</v>
      </c>
      <c r="BU74" t="s">
        <v>3826</v>
      </c>
      <c r="BV74" t="s">
        <v>3827</v>
      </c>
      <c r="BW74" t="s">
        <v>3835</v>
      </c>
      <c r="BX74">
        <v>0</v>
      </c>
      <c r="BY74" t="s">
        <v>3869</v>
      </c>
      <c r="BZ74" t="s">
        <v>3860</v>
      </c>
    </row>
    <row r="75" spans="1:78" x14ac:dyDescent="0.25">
      <c r="A75" s="7" t="s">
        <v>370</v>
      </c>
      <c r="B75" s="7" t="s">
        <v>181</v>
      </c>
      <c r="C75" s="7" t="s">
        <v>368</v>
      </c>
      <c r="D75" s="8" t="s">
        <v>369</v>
      </c>
      <c r="E75" s="7" t="s">
        <v>371</v>
      </c>
      <c r="F75" s="9">
        <v>44995</v>
      </c>
      <c r="G75" s="9" t="s">
        <v>363</v>
      </c>
      <c r="H75" s="9" t="s">
        <v>87</v>
      </c>
      <c r="I75" s="8" t="s">
        <v>67</v>
      </c>
      <c r="J75" s="10">
        <v>220.06</v>
      </c>
      <c r="K75" s="10">
        <v>220.06</v>
      </c>
      <c r="L75" s="10">
        <f t="shared" si="28"/>
        <v>0</v>
      </c>
      <c r="M75" s="10">
        <v>88.26</v>
      </c>
      <c r="N75" s="10">
        <v>88.26</v>
      </c>
      <c r="O75" s="10">
        <f t="shared" si="29"/>
        <v>0</v>
      </c>
      <c r="P75" s="11">
        <v>10000</v>
      </c>
      <c r="Q75" s="11">
        <v>24933.152050759119</v>
      </c>
      <c r="R75" s="11">
        <v>40000</v>
      </c>
      <c r="S75" s="11">
        <v>2200600</v>
      </c>
      <c r="T75" s="11">
        <v>264072</v>
      </c>
      <c r="U75" s="12">
        <f t="shared" si="30"/>
        <v>0.12</v>
      </c>
      <c r="V75" s="13">
        <f t="shared" si="53"/>
        <v>0</v>
      </c>
      <c r="W75" s="10">
        <f t="shared" si="31"/>
        <v>0</v>
      </c>
      <c r="X75" s="10"/>
      <c r="Y75" s="10"/>
      <c r="Z75" s="11">
        <f t="shared" si="32"/>
        <v>2200600</v>
      </c>
      <c r="AA75" s="14"/>
      <c r="AB75" s="14"/>
      <c r="AC75" s="11">
        <f t="shared" si="33"/>
        <v>2200600</v>
      </c>
      <c r="AD75" s="10">
        <f t="shared" si="34"/>
        <v>300</v>
      </c>
      <c r="AE75" s="15">
        <v>26478</v>
      </c>
      <c r="AF75" s="16">
        <v>4766</v>
      </c>
      <c r="AG75" s="15">
        <f t="shared" si="35"/>
        <v>0</v>
      </c>
      <c r="AH75" s="15">
        <f t="shared" si="36"/>
        <v>0</v>
      </c>
      <c r="AI75" s="15">
        <f t="shared" si="37"/>
        <v>26478</v>
      </c>
      <c r="AJ75" s="15">
        <f t="shared" si="38"/>
        <v>4767</v>
      </c>
      <c r="AK75" s="10">
        <v>26478</v>
      </c>
      <c r="AL75" s="15">
        <f t="shared" si="39"/>
        <v>26478</v>
      </c>
      <c r="AM75" s="15">
        <f t="shared" si="40"/>
        <v>2227078</v>
      </c>
      <c r="AN75" s="15">
        <f t="shared" si="41"/>
        <v>268839</v>
      </c>
      <c r="AO75" s="15">
        <f t="shared" si="46"/>
        <v>295317</v>
      </c>
      <c r="AP75" s="17">
        <f t="shared" si="42"/>
        <v>2522395</v>
      </c>
      <c r="AQ75" s="15">
        <v>2218204</v>
      </c>
      <c r="AR75" s="15">
        <v>0</v>
      </c>
      <c r="AS75" s="18">
        <f t="shared" si="47"/>
        <v>304191</v>
      </c>
      <c r="AT75" s="19">
        <v>0</v>
      </c>
      <c r="AU75" s="8">
        <v>8800</v>
      </c>
      <c r="AV75" s="13">
        <f t="shared" si="48"/>
        <v>776688</v>
      </c>
      <c r="AW75" s="18">
        <f t="shared" si="49"/>
        <v>2227078</v>
      </c>
      <c r="AX75" s="15">
        <f t="shared" si="43"/>
        <v>2228000</v>
      </c>
      <c r="AY75" s="20">
        <v>7.0000000000000007E-2</v>
      </c>
      <c r="AZ75" s="13">
        <f t="shared" si="44"/>
        <v>155960.00000000003</v>
      </c>
      <c r="BA75" s="15">
        <f t="shared" si="45"/>
        <v>156000</v>
      </c>
      <c r="BB75" s="21">
        <f t="shared" si="50"/>
        <v>460191</v>
      </c>
      <c r="BC75" s="10">
        <f t="shared" si="51"/>
        <v>0</v>
      </c>
      <c r="BD75" s="10">
        <f t="shared" si="52"/>
        <v>0</v>
      </c>
      <c r="BE75" s="10">
        <v>20.440000000000001</v>
      </c>
      <c r="BF75" s="10">
        <v>8.1999999999999993</v>
      </c>
      <c r="BG75" s="107">
        <v>46176</v>
      </c>
      <c r="BH75" s="107">
        <f t="shared" si="27"/>
        <v>46206</v>
      </c>
      <c r="BI75" s="23">
        <v>7</v>
      </c>
      <c r="BJ75" s="6"/>
      <c r="BK75" s="24"/>
      <c r="BL75" s="24">
        <f>VLOOKUP(A75,[2]Sheet1!$D$2:$H$933,5,0)</f>
        <v>0</v>
      </c>
      <c r="BM75" s="6" t="s">
        <v>3828</v>
      </c>
      <c r="BN75" s="6" t="s">
        <v>3829</v>
      </c>
      <c r="BO75" s="6" t="s">
        <v>3820</v>
      </c>
      <c r="BP75" s="6" t="s">
        <v>3821</v>
      </c>
      <c r="BQ75" s="6" t="s">
        <v>3830</v>
      </c>
      <c r="BR75" t="s">
        <v>3823</v>
      </c>
      <c r="BS75" t="s">
        <v>3824</v>
      </c>
      <c r="BT75" t="s">
        <v>3825</v>
      </c>
      <c r="BU75" t="s">
        <v>3826</v>
      </c>
      <c r="BV75" t="s">
        <v>3827</v>
      </c>
      <c r="BW75" t="s">
        <v>3835</v>
      </c>
      <c r="BX75">
        <v>0</v>
      </c>
      <c r="BY75" t="s">
        <v>3870</v>
      </c>
      <c r="BZ75" t="s">
        <v>3860</v>
      </c>
    </row>
    <row r="76" spans="1:78" x14ac:dyDescent="0.25">
      <c r="A76" s="7" t="s">
        <v>374</v>
      </c>
      <c r="B76" s="7" t="s">
        <v>181</v>
      </c>
      <c r="C76" s="7" t="s">
        <v>372</v>
      </c>
      <c r="D76" s="8" t="s">
        <v>373</v>
      </c>
      <c r="E76" s="7" t="s">
        <v>375</v>
      </c>
      <c r="F76" s="9">
        <v>45035</v>
      </c>
      <c r="G76" s="9" t="s">
        <v>363</v>
      </c>
      <c r="H76" s="9" t="s">
        <v>87</v>
      </c>
      <c r="I76" s="8" t="s">
        <v>67</v>
      </c>
      <c r="J76" s="10">
        <v>220.06</v>
      </c>
      <c r="K76" s="10">
        <v>220.06</v>
      </c>
      <c r="L76" s="10">
        <f t="shared" si="28"/>
        <v>0</v>
      </c>
      <c r="M76" s="10">
        <v>88.26</v>
      </c>
      <c r="N76" s="10">
        <v>88.26</v>
      </c>
      <c r="O76" s="10">
        <f t="shared" si="29"/>
        <v>0</v>
      </c>
      <c r="P76" s="11">
        <v>21700</v>
      </c>
      <c r="Q76" s="11">
        <v>54104.939950147287</v>
      </c>
      <c r="R76" s="11">
        <v>40000</v>
      </c>
      <c r="S76" s="11">
        <v>4775302</v>
      </c>
      <c r="T76" s="11">
        <v>573036</v>
      </c>
      <c r="U76" s="12">
        <f t="shared" si="30"/>
        <v>0.11999994974139855</v>
      </c>
      <c r="V76" s="13">
        <f t="shared" si="53"/>
        <v>0</v>
      </c>
      <c r="W76" s="10">
        <f t="shared" si="31"/>
        <v>0</v>
      </c>
      <c r="X76" s="10"/>
      <c r="Y76" s="10"/>
      <c r="Z76" s="11">
        <f t="shared" si="32"/>
        <v>4775302</v>
      </c>
      <c r="AA76" s="14"/>
      <c r="AB76" s="14"/>
      <c r="AC76" s="11">
        <f t="shared" si="33"/>
        <v>4775302</v>
      </c>
      <c r="AD76" s="10">
        <f t="shared" si="34"/>
        <v>300</v>
      </c>
      <c r="AE76" s="15">
        <v>26478</v>
      </c>
      <c r="AF76" s="16">
        <v>4766</v>
      </c>
      <c r="AG76" s="15">
        <f t="shared" si="35"/>
        <v>0</v>
      </c>
      <c r="AH76" s="15">
        <f t="shared" si="36"/>
        <v>0</v>
      </c>
      <c r="AI76" s="15">
        <f t="shared" si="37"/>
        <v>26478</v>
      </c>
      <c r="AJ76" s="15">
        <f t="shared" si="38"/>
        <v>4767</v>
      </c>
      <c r="AK76" s="10">
        <v>26478</v>
      </c>
      <c r="AL76" s="15">
        <f t="shared" si="39"/>
        <v>26478</v>
      </c>
      <c r="AM76" s="15">
        <f t="shared" si="40"/>
        <v>4801780</v>
      </c>
      <c r="AN76" s="15">
        <f t="shared" si="41"/>
        <v>577803</v>
      </c>
      <c r="AO76" s="15">
        <f t="shared" si="46"/>
        <v>604281</v>
      </c>
      <c r="AP76" s="17">
        <f t="shared" si="42"/>
        <v>5406061</v>
      </c>
      <c r="AQ76" s="15">
        <v>4813504</v>
      </c>
      <c r="AR76" s="15">
        <v>0</v>
      </c>
      <c r="AS76" s="18">
        <f t="shared" si="47"/>
        <v>592557</v>
      </c>
      <c r="AT76" s="19">
        <v>0</v>
      </c>
      <c r="AU76" s="8">
        <v>8800</v>
      </c>
      <c r="AV76" s="13">
        <f t="shared" si="48"/>
        <v>776688</v>
      </c>
      <c r="AW76" s="18">
        <f t="shared" si="49"/>
        <v>4801780</v>
      </c>
      <c r="AX76" s="15">
        <f t="shared" si="43"/>
        <v>4802000</v>
      </c>
      <c r="AY76" s="20">
        <v>7.0000000000000007E-2</v>
      </c>
      <c r="AZ76" s="13">
        <f t="shared" si="44"/>
        <v>336140.00000000006</v>
      </c>
      <c r="BA76" s="15">
        <f t="shared" si="45"/>
        <v>336200</v>
      </c>
      <c r="BB76" s="21">
        <f t="shared" si="50"/>
        <v>928757</v>
      </c>
      <c r="BC76" s="10">
        <f t="shared" si="51"/>
        <v>0</v>
      </c>
      <c r="BD76" s="10">
        <f t="shared" si="52"/>
        <v>0</v>
      </c>
      <c r="BE76" s="10">
        <v>20.440000000000001</v>
      </c>
      <c r="BF76" s="10">
        <v>8.1999999999999993</v>
      </c>
      <c r="BG76" s="107">
        <v>46176</v>
      </c>
      <c r="BH76" s="107">
        <f t="shared" si="27"/>
        <v>46206</v>
      </c>
      <c r="BI76" s="23">
        <v>7</v>
      </c>
      <c r="BJ76" s="6"/>
      <c r="BK76" s="6"/>
      <c r="BL76" s="24">
        <f>VLOOKUP(A76,[2]Sheet1!$D$2:$H$933,5,0)</f>
        <v>0</v>
      </c>
      <c r="BM76" s="6" t="s">
        <v>3828</v>
      </c>
      <c r="BN76" s="6" t="s">
        <v>3829</v>
      </c>
      <c r="BO76" s="6" t="s">
        <v>3820</v>
      </c>
      <c r="BP76" s="6" t="s">
        <v>3821</v>
      </c>
      <c r="BQ76" s="6" t="s">
        <v>3830</v>
      </c>
      <c r="BR76" t="s">
        <v>3823</v>
      </c>
      <c r="BS76" t="s">
        <v>3824</v>
      </c>
      <c r="BT76" t="s">
        <v>3825</v>
      </c>
      <c r="BU76" t="s">
        <v>3826</v>
      </c>
      <c r="BV76" t="s">
        <v>3827</v>
      </c>
      <c r="BW76" t="s">
        <v>3835</v>
      </c>
      <c r="BX76">
        <v>0</v>
      </c>
      <c r="BY76" t="s">
        <v>3867</v>
      </c>
      <c r="BZ76" t="s">
        <v>3860</v>
      </c>
    </row>
    <row r="77" spans="1:78" x14ac:dyDescent="0.25">
      <c r="A77" s="7" t="s">
        <v>378</v>
      </c>
      <c r="B77" s="7" t="s">
        <v>181</v>
      </c>
      <c r="C77" s="7" t="s">
        <v>376</v>
      </c>
      <c r="D77" s="8" t="s">
        <v>377</v>
      </c>
      <c r="E77" s="7" t="s">
        <v>379</v>
      </c>
      <c r="F77" s="9">
        <v>45108</v>
      </c>
      <c r="G77" s="9" t="s">
        <v>363</v>
      </c>
      <c r="H77" s="9" t="s">
        <v>87</v>
      </c>
      <c r="I77" s="8" t="s">
        <v>67</v>
      </c>
      <c r="J77" s="10">
        <v>340.38</v>
      </c>
      <c r="K77" s="10">
        <v>340.38</v>
      </c>
      <c r="L77" s="10">
        <f t="shared" si="28"/>
        <v>0</v>
      </c>
      <c r="M77" s="10">
        <v>135.63</v>
      </c>
      <c r="N77" s="10">
        <v>135.63</v>
      </c>
      <c r="O77" s="10">
        <f t="shared" si="29"/>
        <v>0</v>
      </c>
      <c r="P77" s="11">
        <v>10000</v>
      </c>
      <c r="Q77" s="11">
        <v>25096.217650962179</v>
      </c>
      <c r="R77" s="11">
        <v>40000</v>
      </c>
      <c r="S77" s="11">
        <v>3403800</v>
      </c>
      <c r="T77" s="11">
        <v>408456</v>
      </c>
      <c r="U77" s="12">
        <f t="shared" si="30"/>
        <v>0.12</v>
      </c>
      <c r="V77" s="13">
        <f t="shared" si="53"/>
        <v>0</v>
      </c>
      <c r="W77" s="10">
        <f t="shared" si="31"/>
        <v>0</v>
      </c>
      <c r="X77" s="10"/>
      <c r="Y77" s="10"/>
      <c r="Z77" s="11">
        <f t="shared" si="32"/>
        <v>3403800</v>
      </c>
      <c r="AA77" s="14"/>
      <c r="AB77" s="14"/>
      <c r="AC77" s="11">
        <f t="shared" si="33"/>
        <v>3403800</v>
      </c>
      <c r="AD77" s="10">
        <f t="shared" si="34"/>
        <v>300</v>
      </c>
      <c r="AE77" s="15">
        <v>40689</v>
      </c>
      <c r="AF77" s="16">
        <v>7324</v>
      </c>
      <c r="AG77" s="15">
        <f t="shared" si="35"/>
        <v>0</v>
      </c>
      <c r="AH77" s="15">
        <f t="shared" si="36"/>
        <v>0</v>
      </c>
      <c r="AI77" s="15">
        <f t="shared" si="37"/>
        <v>40689</v>
      </c>
      <c r="AJ77" s="15">
        <f t="shared" si="38"/>
        <v>7325</v>
      </c>
      <c r="AK77" s="10">
        <v>40689</v>
      </c>
      <c r="AL77" s="15">
        <f t="shared" si="39"/>
        <v>40689</v>
      </c>
      <c r="AM77" s="15">
        <f t="shared" si="40"/>
        <v>3444489</v>
      </c>
      <c r="AN77" s="15">
        <f t="shared" si="41"/>
        <v>415781</v>
      </c>
      <c r="AO77" s="15">
        <f t="shared" si="46"/>
        <v>456470</v>
      </c>
      <c r="AP77" s="17">
        <f t="shared" si="42"/>
        <v>3900959</v>
      </c>
      <c r="AQ77" s="15">
        <v>3431030</v>
      </c>
      <c r="AR77" s="15">
        <v>0</v>
      </c>
      <c r="AS77" s="18">
        <f t="shared" si="47"/>
        <v>469929</v>
      </c>
      <c r="AT77" s="19">
        <v>0</v>
      </c>
      <c r="AU77" s="8">
        <v>8800</v>
      </c>
      <c r="AV77" s="13">
        <f t="shared" si="48"/>
        <v>1193544</v>
      </c>
      <c r="AW77" s="18">
        <f t="shared" si="49"/>
        <v>3444489</v>
      </c>
      <c r="AX77" s="15">
        <f t="shared" si="43"/>
        <v>3445000</v>
      </c>
      <c r="AY77" s="20">
        <v>7.0000000000000007E-2</v>
      </c>
      <c r="AZ77" s="13">
        <f t="shared" si="44"/>
        <v>241150.00000000003</v>
      </c>
      <c r="BA77" s="15">
        <f t="shared" si="45"/>
        <v>241200</v>
      </c>
      <c r="BB77" s="21">
        <f t="shared" si="50"/>
        <v>711129</v>
      </c>
      <c r="BC77" s="10">
        <f t="shared" si="51"/>
        <v>0</v>
      </c>
      <c r="BD77" s="10">
        <f t="shared" si="52"/>
        <v>0</v>
      </c>
      <c r="BE77" s="10">
        <v>31.62</v>
      </c>
      <c r="BF77" s="10">
        <v>12.6</v>
      </c>
      <c r="BG77" s="107">
        <v>46176</v>
      </c>
      <c r="BH77" s="107">
        <f t="shared" si="27"/>
        <v>46206</v>
      </c>
      <c r="BI77" s="23">
        <v>7</v>
      </c>
      <c r="BJ77" s="6"/>
      <c r="BK77" s="24"/>
      <c r="BL77" s="24">
        <f>VLOOKUP(A77,[2]Sheet1!$D$2:$H$933,5,0)</f>
        <v>0</v>
      </c>
      <c r="BM77" s="6" t="s">
        <v>3828</v>
      </c>
      <c r="BN77" s="6" t="s">
        <v>3829</v>
      </c>
      <c r="BO77" s="6" t="s">
        <v>3820</v>
      </c>
      <c r="BP77" s="6" t="s">
        <v>3821</v>
      </c>
      <c r="BQ77" s="6" t="s">
        <v>3830</v>
      </c>
      <c r="BR77" t="s">
        <v>3823</v>
      </c>
      <c r="BS77" t="s">
        <v>3824</v>
      </c>
      <c r="BT77" t="s">
        <v>3825</v>
      </c>
      <c r="BU77" t="s">
        <v>3826</v>
      </c>
      <c r="BV77" t="s">
        <v>3827</v>
      </c>
      <c r="BW77" t="s">
        <v>3835</v>
      </c>
      <c r="BX77">
        <v>0</v>
      </c>
      <c r="BY77" t="s">
        <v>3866</v>
      </c>
      <c r="BZ77" t="s">
        <v>3860</v>
      </c>
    </row>
    <row r="78" spans="1:78" x14ac:dyDescent="0.25">
      <c r="A78" s="7" t="s">
        <v>382</v>
      </c>
      <c r="B78" s="7" t="s">
        <v>181</v>
      </c>
      <c r="C78" s="7" t="s">
        <v>380</v>
      </c>
      <c r="D78" s="8" t="s">
        <v>381</v>
      </c>
      <c r="E78" s="7" t="s">
        <v>383</v>
      </c>
      <c r="F78" s="9">
        <v>45149</v>
      </c>
      <c r="G78" s="9" t="s">
        <v>363</v>
      </c>
      <c r="H78" s="9" t="s">
        <v>92</v>
      </c>
      <c r="I78" s="8" t="s">
        <v>78</v>
      </c>
      <c r="J78" s="10">
        <v>697.51</v>
      </c>
      <c r="K78" s="10">
        <v>697.51</v>
      </c>
      <c r="L78" s="10">
        <f t="shared" si="28"/>
        <v>0</v>
      </c>
      <c r="M78" s="10">
        <v>317.54000000000002</v>
      </c>
      <c r="N78" s="10">
        <v>317.54000000000002</v>
      </c>
      <c r="O78" s="10">
        <f t="shared" si="29"/>
        <v>0</v>
      </c>
      <c r="P78" s="11">
        <v>7000</v>
      </c>
      <c r="Q78" s="11">
        <v>15376.236064747747</v>
      </c>
      <c r="R78" s="11">
        <v>28000</v>
      </c>
      <c r="S78" s="11">
        <v>4882570</v>
      </c>
      <c r="T78" s="11">
        <v>585908</v>
      </c>
      <c r="U78" s="12">
        <f t="shared" si="30"/>
        <v>0.11999991807593133</v>
      </c>
      <c r="V78" s="13">
        <f t="shared" si="53"/>
        <v>0</v>
      </c>
      <c r="W78" s="10">
        <f t="shared" si="31"/>
        <v>0</v>
      </c>
      <c r="X78" s="10"/>
      <c r="Y78" s="10"/>
      <c r="Z78" s="11">
        <f t="shared" si="32"/>
        <v>4882570</v>
      </c>
      <c r="AA78" s="14"/>
      <c r="AB78" s="14"/>
      <c r="AC78" s="11">
        <f t="shared" si="33"/>
        <v>4882570</v>
      </c>
      <c r="AD78" s="10">
        <f t="shared" si="34"/>
        <v>300</v>
      </c>
      <c r="AE78" s="15">
        <v>95262</v>
      </c>
      <c r="AF78" s="16">
        <v>17148</v>
      </c>
      <c r="AG78" s="15">
        <f t="shared" si="35"/>
        <v>0</v>
      </c>
      <c r="AH78" s="15">
        <f t="shared" si="36"/>
        <v>0</v>
      </c>
      <c r="AI78" s="15">
        <f t="shared" si="37"/>
        <v>95262</v>
      </c>
      <c r="AJ78" s="15">
        <f t="shared" si="38"/>
        <v>17148</v>
      </c>
      <c r="AK78" s="10">
        <v>95262</v>
      </c>
      <c r="AL78" s="15">
        <f t="shared" si="39"/>
        <v>95262</v>
      </c>
      <c r="AM78" s="15">
        <f t="shared" si="40"/>
        <v>4977832</v>
      </c>
      <c r="AN78" s="15">
        <f t="shared" si="41"/>
        <v>603056</v>
      </c>
      <c r="AO78" s="15">
        <f t="shared" si="46"/>
        <v>698318</v>
      </c>
      <c r="AP78" s="17">
        <f t="shared" si="42"/>
        <v>5676150</v>
      </c>
      <c r="AQ78" s="15">
        <v>4921631</v>
      </c>
      <c r="AR78" s="15">
        <v>0</v>
      </c>
      <c r="AS78" s="18">
        <f t="shared" si="47"/>
        <v>754519</v>
      </c>
      <c r="AT78" s="19">
        <v>0</v>
      </c>
      <c r="AU78" s="8">
        <v>8800</v>
      </c>
      <c r="AV78" s="13">
        <f t="shared" si="48"/>
        <v>2794352</v>
      </c>
      <c r="AW78" s="18">
        <f t="shared" si="49"/>
        <v>4977832</v>
      </c>
      <c r="AX78" s="15">
        <f t="shared" si="43"/>
        <v>4978000</v>
      </c>
      <c r="AY78" s="20">
        <v>7.0000000000000007E-2</v>
      </c>
      <c r="AZ78" s="13">
        <f t="shared" si="44"/>
        <v>348460.00000000006</v>
      </c>
      <c r="BA78" s="15">
        <f t="shared" si="45"/>
        <v>348500</v>
      </c>
      <c r="BB78" s="21">
        <f t="shared" si="50"/>
        <v>1103019</v>
      </c>
      <c r="BC78" s="10">
        <f t="shared" si="51"/>
        <v>0</v>
      </c>
      <c r="BD78" s="10">
        <f t="shared" si="52"/>
        <v>0</v>
      </c>
      <c r="BE78" s="10">
        <v>64.8</v>
      </c>
      <c r="BF78" s="10">
        <v>29.5</v>
      </c>
      <c r="BG78" s="107">
        <v>46176</v>
      </c>
      <c r="BH78" s="107">
        <f t="shared" si="27"/>
        <v>46206</v>
      </c>
      <c r="BI78" s="23">
        <v>7</v>
      </c>
      <c r="BJ78" s="6"/>
      <c r="BK78" s="6"/>
      <c r="BL78" s="24">
        <f>VLOOKUP(A78,[2]Sheet1!$D$2:$H$933,5,0)</f>
        <v>0</v>
      </c>
      <c r="BM78" s="6" t="s">
        <v>3828</v>
      </c>
      <c r="BN78" s="6" t="s">
        <v>3829</v>
      </c>
      <c r="BO78" s="6" t="s">
        <v>3820</v>
      </c>
      <c r="BP78" s="6" t="s">
        <v>3821</v>
      </c>
      <c r="BQ78" s="6" t="s">
        <v>3830</v>
      </c>
      <c r="BR78" t="s">
        <v>3823</v>
      </c>
      <c r="BS78" t="s">
        <v>3824</v>
      </c>
      <c r="BT78" t="s">
        <v>3825</v>
      </c>
      <c r="BU78" t="s">
        <v>3826</v>
      </c>
      <c r="BV78" t="s">
        <v>3827</v>
      </c>
      <c r="BW78" t="s">
        <v>3835</v>
      </c>
      <c r="BX78">
        <v>0</v>
      </c>
      <c r="BY78" t="s">
        <v>3865</v>
      </c>
      <c r="BZ78" t="s">
        <v>3860</v>
      </c>
    </row>
    <row r="79" spans="1:78" x14ac:dyDescent="0.25">
      <c r="A79" s="7" t="s">
        <v>386</v>
      </c>
      <c r="B79" s="7" t="s">
        <v>181</v>
      </c>
      <c r="C79" s="7" t="s">
        <v>384</v>
      </c>
      <c r="D79" s="8" t="s">
        <v>385</v>
      </c>
      <c r="E79" s="7" t="s">
        <v>387</v>
      </c>
      <c r="F79" s="9">
        <v>45008</v>
      </c>
      <c r="G79" s="9" t="s">
        <v>363</v>
      </c>
      <c r="H79" s="9" t="s">
        <v>92</v>
      </c>
      <c r="I79" s="8" t="s">
        <v>78</v>
      </c>
      <c r="J79" s="10">
        <v>697.51</v>
      </c>
      <c r="K79" s="10">
        <v>697.51</v>
      </c>
      <c r="L79" s="10">
        <f t="shared" si="28"/>
        <v>0</v>
      </c>
      <c r="M79" s="10">
        <v>317.54000000000002</v>
      </c>
      <c r="N79" s="10">
        <v>317.54000000000002</v>
      </c>
      <c r="O79" s="10">
        <f t="shared" si="29"/>
        <v>0</v>
      </c>
      <c r="P79" s="11">
        <v>14700</v>
      </c>
      <c r="Q79" s="11">
        <v>32290.09573597027</v>
      </c>
      <c r="R79" s="11">
        <v>28000</v>
      </c>
      <c r="S79" s="11">
        <v>10253397</v>
      </c>
      <c r="T79" s="11">
        <v>1230408</v>
      </c>
      <c r="U79" s="12">
        <f t="shared" si="30"/>
        <v>0.12000003511031515</v>
      </c>
      <c r="V79" s="13">
        <f t="shared" si="53"/>
        <v>0</v>
      </c>
      <c r="W79" s="10">
        <f t="shared" si="31"/>
        <v>0</v>
      </c>
      <c r="X79" s="10"/>
      <c r="Y79" s="10"/>
      <c r="Z79" s="11">
        <f t="shared" si="32"/>
        <v>10253397</v>
      </c>
      <c r="AA79" s="14"/>
      <c r="AB79" s="14"/>
      <c r="AC79" s="11">
        <f t="shared" si="33"/>
        <v>10253397</v>
      </c>
      <c r="AD79" s="10">
        <f t="shared" si="34"/>
        <v>300</v>
      </c>
      <c r="AE79" s="15">
        <v>95262</v>
      </c>
      <c r="AF79" s="16">
        <v>17148</v>
      </c>
      <c r="AG79" s="15">
        <f t="shared" si="35"/>
        <v>0</v>
      </c>
      <c r="AH79" s="15">
        <f t="shared" si="36"/>
        <v>0</v>
      </c>
      <c r="AI79" s="15">
        <f t="shared" si="37"/>
        <v>95262</v>
      </c>
      <c r="AJ79" s="15">
        <f t="shared" si="38"/>
        <v>17148</v>
      </c>
      <c r="AK79" s="10">
        <v>95262</v>
      </c>
      <c r="AL79" s="15">
        <f t="shared" si="39"/>
        <v>95262</v>
      </c>
      <c r="AM79" s="15">
        <f t="shared" si="40"/>
        <v>10348659</v>
      </c>
      <c r="AN79" s="15">
        <f t="shared" si="41"/>
        <v>1247556</v>
      </c>
      <c r="AO79" s="15">
        <f t="shared" si="46"/>
        <v>1342818</v>
      </c>
      <c r="AP79" s="17">
        <f t="shared" si="42"/>
        <v>11691477</v>
      </c>
      <c r="AQ79" s="15">
        <v>10351292.09</v>
      </c>
      <c r="AR79" s="15">
        <v>0</v>
      </c>
      <c r="AS79" s="18">
        <f t="shared" si="47"/>
        <v>1340185</v>
      </c>
      <c r="AT79" s="19">
        <v>0</v>
      </c>
      <c r="AU79" s="8">
        <v>8800</v>
      </c>
      <c r="AV79" s="13">
        <f t="shared" si="48"/>
        <v>2794352</v>
      </c>
      <c r="AW79" s="18">
        <f t="shared" si="49"/>
        <v>10348659</v>
      </c>
      <c r="AX79" s="15">
        <f t="shared" si="43"/>
        <v>10349000</v>
      </c>
      <c r="AY79" s="20">
        <v>7.0000000000000007E-2</v>
      </c>
      <c r="AZ79" s="13">
        <f t="shared" si="44"/>
        <v>724430.00000000012</v>
      </c>
      <c r="BA79" s="15">
        <f t="shared" si="45"/>
        <v>724500</v>
      </c>
      <c r="BB79" s="21">
        <f t="shared" si="50"/>
        <v>2064685</v>
      </c>
      <c r="BC79" s="10">
        <f t="shared" si="51"/>
        <v>0</v>
      </c>
      <c r="BD79" s="10">
        <f t="shared" si="52"/>
        <v>0</v>
      </c>
      <c r="BE79" s="10">
        <v>64.8</v>
      </c>
      <c r="BF79" s="10">
        <v>29.5</v>
      </c>
      <c r="BG79" s="107">
        <v>46176</v>
      </c>
      <c r="BH79" s="107">
        <f t="shared" si="27"/>
        <v>46206</v>
      </c>
      <c r="BI79" s="23">
        <v>7</v>
      </c>
      <c r="BJ79" s="6"/>
      <c r="BK79" s="6"/>
      <c r="BL79" s="24">
        <f>VLOOKUP(A79,[2]Sheet1!$D$2:$H$933,5,0)</f>
        <v>0</v>
      </c>
      <c r="BM79" s="6" t="s">
        <v>3828</v>
      </c>
      <c r="BN79" s="6" t="s">
        <v>3829</v>
      </c>
      <c r="BO79" s="6" t="s">
        <v>3820</v>
      </c>
      <c r="BP79" s="6" t="s">
        <v>3821</v>
      </c>
      <c r="BQ79" s="6" t="s">
        <v>3830</v>
      </c>
      <c r="BR79" t="s">
        <v>3823</v>
      </c>
      <c r="BS79" t="s">
        <v>3824</v>
      </c>
      <c r="BT79" t="s">
        <v>3825</v>
      </c>
      <c r="BU79" t="s">
        <v>3826</v>
      </c>
      <c r="BV79" t="s">
        <v>3827</v>
      </c>
      <c r="BW79" t="s">
        <v>3835</v>
      </c>
      <c r="BX79">
        <v>0</v>
      </c>
      <c r="BY79" t="s">
        <v>3862</v>
      </c>
      <c r="BZ79" t="s">
        <v>3860</v>
      </c>
    </row>
    <row r="80" spans="1:78" x14ac:dyDescent="0.25">
      <c r="A80" s="7" t="s">
        <v>390</v>
      </c>
      <c r="B80" s="7" t="s">
        <v>181</v>
      </c>
      <c r="C80" s="7" t="s">
        <v>388</v>
      </c>
      <c r="D80" s="8" t="s">
        <v>389</v>
      </c>
      <c r="E80" s="7" t="s">
        <v>391</v>
      </c>
      <c r="F80" s="9">
        <v>45084</v>
      </c>
      <c r="G80" s="9" t="s">
        <v>363</v>
      </c>
      <c r="H80" s="9" t="s">
        <v>92</v>
      </c>
      <c r="I80" s="8" t="s">
        <v>78</v>
      </c>
      <c r="J80" s="10">
        <v>697.51</v>
      </c>
      <c r="K80" s="10">
        <v>697.51</v>
      </c>
      <c r="L80" s="10">
        <f t="shared" si="28"/>
        <v>0</v>
      </c>
      <c r="M80" s="10">
        <v>317.54000000000002</v>
      </c>
      <c r="N80" s="10">
        <v>317.54000000000002</v>
      </c>
      <c r="O80" s="10">
        <f t="shared" si="29"/>
        <v>0</v>
      </c>
      <c r="P80" s="11">
        <v>20353.85155768376</v>
      </c>
      <c r="Q80" s="11">
        <v>44709.375196825597</v>
      </c>
      <c r="R80" s="11">
        <v>28000</v>
      </c>
      <c r="S80" s="11">
        <v>14197015</v>
      </c>
      <c r="T80" s="11">
        <v>1703642</v>
      </c>
      <c r="U80" s="12">
        <f t="shared" si="30"/>
        <v>0.12000001408746838</v>
      </c>
      <c r="V80" s="13">
        <f t="shared" si="53"/>
        <v>0</v>
      </c>
      <c r="W80" s="10">
        <f t="shared" si="31"/>
        <v>0</v>
      </c>
      <c r="X80" s="10"/>
      <c r="Y80" s="10"/>
      <c r="Z80" s="11">
        <f t="shared" si="32"/>
        <v>14197015</v>
      </c>
      <c r="AA80" s="14">
        <v>737642</v>
      </c>
      <c r="AB80" s="14">
        <v>88518</v>
      </c>
      <c r="AC80" s="11">
        <f t="shared" si="33"/>
        <v>13459373</v>
      </c>
      <c r="AD80" s="10">
        <f t="shared" si="34"/>
        <v>300</v>
      </c>
      <c r="AE80" s="15">
        <v>95262</v>
      </c>
      <c r="AF80" s="16">
        <v>17148</v>
      </c>
      <c r="AG80" s="15">
        <f t="shared" si="35"/>
        <v>0</v>
      </c>
      <c r="AH80" s="15">
        <f t="shared" si="36"/>
        <v>0</v>
      </c>
      <c r="AI80" s="15">
        <f t="shared" si="37"/>
        <v>95262</v>
      </c>
      <c r="AJ80" s="15">
        <f t="shared" si="38"/>
        <v>17148</v>
      </c>
      <c r="AK80" s="10">
        <v>95262</v>
      </c>
      <c r="AL80" s="15">
        <f t="shared" si="39"/>
        <v>95262</v>
      </c>
      <c r="AM80" s="15">
        <f t="shared" si="40"/>
        <v>13554635</v>
      </c>
      <c r="AN80" s="15">
        <f t="shared" si="41"/>
        <v>1632272</v>
      </c>
      <c r="AO80" s="15">
        <f t="shared" si="46"/>
        <v>1727534</v>
      </c>
      <c r="AP80" s="17">
        <f t="shared" si="42"/>
        <v>15282169</v>
      </c>
      <c r="AQ80" s="15">
        <v>12798022</v>
      </c>
      <c r="AR80" s="15">
        <v>0</v>
      </c>
      <c r="AS80" s="18">
        <f t="shared" si="47"/>
        <v>2484147</v>
      </c>
      <c r="AT80" s="19">
        <v>0</v>
      </c>
      <c r="AU80" s="8">
        <v>8800</v>
      </c>
      <c r="AV80" s="13">
        <f t="shared" si="48"/>
        <v>2794352</v>
      </c>
      <c r="AW80" s="18">
        <f t="shared" si="49"/>
        <v>13554635</v>
      </c>
      <c r="AX80" s="15">
        <f t="shared" si="43"/>
        <v>13555000</v>
      </c>
      <c r="AY80" s="20">
        <v>0.06</v>
      </c>
      <c r="AZ80" s="13">
        <f t="shared" si="44"/>
        <v>813300</v>
      </c>
      <c r="BA80" s="15">
        <f t="shared" si="45"/>
        <v>813300</v>
      </c>
      <c r="BB80" s="21">
        <f t="shared" si="50"/>
        <v>3297447</v>
      </c>
      <c r="BC80" s="10">
        <f t="shared" si="51"/>
        <v>0</v>
      </c>
      <c r="BD80" s="10">
        <f t="shared" si="52"/>
        <v>0</v>
      </c>
      <c r="BE80" s="10">
        <v>64.8</v>
      </c>
      <c r="BF80" s="10">
        <v>29.5</v>
      </c>
      <c r="BG80" s="107">
        <v>46176</v>
      </c>
      <c r="BH80" s="107">
        <f t="shared" si="27"/>
        <v>46206</v>
      </c>
      <c r="BI80" s="23">
        <v>6</v>
      </c>
      <c r="BJ80" s="6"/>
      <c r="BK80" s="6"/>
      <c r="BL80" s="24">
        <f>VLOOKUP(A80,[2]Sheet1!$D$2:$H$933,5,0)</f>
        <v>0</v>
      </c>
      <c r="BM80" s="6" t="s">
        <v>3828</v>
      </c>
      <c r="BN80" s="6" t="s">
        <v>3829</v>
      </c>
      <c r="BO80" s="6" t="s">
        <v>3820</v>
      </c>
      <c r="BP80" s="6" t="s">
        <v>3821</v>
      </c>
      <c r="BQ80" s="6" t="s">
        <v>3830</v>
      </c>
      <c r="BR80" t="s">
        <v>3823</v>
      </c>
      <c r="BS80" t="s">
        <v>3824</v>
      </c>
      <c r="BT80" t="s">
        <v>3825</v>
      </c>
      <c r="BU80" t="s">
        <v>3826</v>
      </c>
      <c r="BV80" t="s">
        <v>3827</v>
      </c>
      <c r="BW80" t="s">
        <v>3835</v>
      </c>
      <c r="BX80">
        <v>0</v>
      </c>
      <c r="BY80" t="s">
        <v>3861</v>
      </c>
      <c r="BZ80" t="s">
        <v>3860</v>
      </c>
    </row>
    <row r="81" spans="1:78" x14ac:dyDescent="0.25">
      <c r="A81" s="48" t="s">
        <v>394</v>
      </c>
      <c r="B81" s="48" t="s">
        <v>181</v>
      </c>
      <c r="C81" s="48" t="s">
        <v>392</v>
      </c>
      <c r="D81" s="49" t="s">
        <v>393</v>
      </c>
      <c r="E81" s="48" t="s">
        <v>395</v>
      </c>
      <c r="F81" s="50">
        <v>44863</v>
      </c>
      <c r="G81" s="50" t="s">
        <v>363</v>
      </c>
      <c r="H81" s="50" t="s">
        <v>92</v>
      </c>
      <c r="I81" s="49" t="s">
        <v>78</v>
      </c>
      <c r="J81" s="51">
        <v>611.4</v>
      </c>
      <c r="K81" s="51">
        <v>611.4</v>
      </c>
      <c r="L81" s="51">
        <f t="shared" si="28"/>
        <v>0</v>
      </c>
      <c r="M81" s="51">
        <v>282.02</v>
      </c>
      <c r="N81" s="51">
        <v>282.02</v>
      </c>
      <c r="O81" s="51">
        <f t="shared" si="29"/>
        <v>0</v>
      </c>
      <c r="P81" s="52">
        <v>17815.850507033039</v>
      </c>
      <c r="Q81" s="52">
        <v>38623.540883625275</v>
      </c>
      <c r="R81" s="52">
        <v>28000</v>
      </c>
      <c r="S81" s="52">
        <v>10892611</v>
      </c>
      <c r="T81" s="52">
        <v>1307114</v>
      </c>
      <c r="U81" s="53">
        <f t="shared" si="30"/>
        <v>0.12000006242764016</v>
      </c>
      <c r="V81" s="54">
        <f t="shared" si="53"/>
        <v>0</v>
      </c>
      <c r="W81" s="51">
        <f t="shared" si="31"/>
        <v>0</v>
      </c>
      <c r="X81" s="51"/>
      <c r="Y81" s="51"/>
      <c r="Z81" s="52">
        <f t="shared" si="32"/>
        <v>10892611</v>
      </c>
      <c r="AA81" s="56">
        <v>1880540</v>
      </c>
      <c r="AB81" s="56">
        <v>225665</v>
      </c>
      <c r="AC81" s="52">
        <f t="shared" si="33"/>
        <v>9012071</v>
      </c>
      <c r="AD81" s="51">
        <f t="shared" si="34"/>
        <v>300</v>
      </c>
      <c r="AE81" s="55">
        <v>84606</v>
      </c>
      <c r="AF81" s="57">
        <v>15230</v>
      </c>
      <c r="AG81" s="55">
        <f t="shared" si="35"/>
        <v>0</v>
      </c>
      <c r="AH81" s="55">
        <f t="shared" si="36"/>
        <v>0</v>
      </c>
      <c r="AI81" s="55">
        <f t="shared" si="37"/>
        <v>84606</v>
      </c>
      <c r="AJ81" s="55">
        <f t="shared" si="38"/>
        <v>15230</v>
      </c>
      <c r="AK81" s="51">
        <v>84606</v>
      </c>
      <c r="AL81" s="55">
        <f t="shared" si="39"/>
        <v>84606</v>
      </c>
      <c r="AM81" s="15">
        <f t="shared" si="40"/>
        <v>9096677</v>
      </c>
      <c r="AN81" s="15">
        <f t="shared" si="41"/>
        <v>1096679</v>
      </c>
      <c r="AO81" s="55">
        <f t="shared" si="46"/>
        <v>1181285</v>
      </c>
      <c r="AP81" s="58">
        <f t="shared" si="42"/>
        <v>10277962</v>
      </c>
      <c r="AQ81" s="55">
        <v>9000000</v>
      </c>
      <c r="AR81" s="15">
        <v>0</v>
      </c>
      <c r="AS81" s="18">
        <f t="shared" si="47"/>
        <v>1277962</v>
      </c>
      <c r="AT81" s="60">
        <v>0</v>
      </c>
      <c r="AU81" s="49">
        <v>8800</v>
      </c>
      <c r="AV81" s="54">
        <f t="shared" si="48"/>
        <v>2481776</v>
      </c>
      <c r="AW81" s="59">
        <f t="shared" si="49"/>
        <v>9096677</v>
      </c>
      <c r="AX81" s="55">
        <f t="shared" si="43"/>
        <v>9097000</v>
      </c>
      <c r="AY81" s="61">
        <v>0.06</v>
      </c>
      <c r="AZ81" s="54">
        <f t="shared" si="44"/>
        <v>545820</v>
      </c>
      <c r="BA81" s="55">
        <f t="shared" si="45"/>
        <v>545900</v>
      </c>
      <c r="BB81" s="62">
        <f t="shared" si="50"/>
        <v>1823862</v>
      </c>
      <c r="BC81" s="51">
        <f t="shared" si="51"/>
        <v>0</v>
      </c>
      <c r="BD81" s="51">
        <f t="shared" si="52"/>
        <v>0</v>
      </c>
      <c r="BE81" s="51">
        <v>56.8</v>
      </c>
      <c r="BF81" s="51">
        <v>26.2</v>
      </c>
      <c r="BG81" s="107">
        <v>46176</v>
      </c>
      <c r="BH81" s="109">
        <f t="shared" si="27"/>
        <v>46206</v>
      </c>
      <c r="BI81" s="63">
        <v>6</v>
      </c>
      <c r="BJ81" s="24" t="s">
        <v>350</v>
      </c>
      <c r="BK81" s="6"/>
      <c r="BL81" s="24">
        <f>VLOOKUP(A81,[2]Sheet1!$D$2:$H$933,5,0)</f>
        <v>0</v>
      </c>
      <c r="BM81" s="6" t="s">
        <v>3828</v>
      </c>
      <c r="BN81" s="6" t="s">
        <v>3829</v>
      </c>
      <c r="BO81" s="6" t="s">
        <v>3820</v>
      </c>
      <c r="BP81" s="6" t="s">
        <v>3821</v>
      </c>
      <c r="BQ81" s="6" t="s">
        <v>3830</v>
      </c>
      <c r="BR81" t="s">
        <v>3823</v>
      </c>
      <c r="BS81" t="s">
        <v>3824</v>
      </c>
      <c r="BT81" t="s">
        <v>3825</v>
      </c>
      <c r="BU81" t="s">
        <v>3826</v>
      </c>
      <c r="BV81" t="s">
        <v>3827</v>
      </c>
      <c r="BW81" t="s">
        <v>3835</v>
      </c>
      <c r="BX81">
        <v>0</v>
      </c>
      <c r="BY81" t="s">
        <v>3862</v>
      </c>
      <c r="BZ81" t="s">
        <v>3860</v>
      </c>
    </row>
    <row r="82" spans="1:78" x14ac:dyDescent="0.25">
      <c r="A82" s="7" t="s">
        <v>398</v>
      </c>
      <c r="B82" s="7" t="s">
        <v>181</v>
      </c>
      <c r="C82" s="7" t="s">
        <v>396</v>
      </c>
      <c r="D82" s="8" t="s">
        <v>397</v>
      </c>
      <c r="E82" s="7" t="s">
        <v>399</v>
      </c>
      <c r="F82" s="9">
        <v>44973</v>
      </c>
      <c r="G82" s="9" t="s">
        <v>363</v>
      </c>
      <c r="H82" s="9" t="s">
        <v>92</v>
      </c>
      <c r="I82" s="8" t="s">
        <v>78</v>
      </c>
      <c r="J82" s="10">
        <v>542.94000000000005</v>
      </c>
      <c r="K82" s="10">
        <v>542.94000000000005</v>
      </c>
      <c r="L82" s="10">
        <f t="shared" si="28"/>
        <v>0</v>
      </c>
      <c r="M82" s="10">
        <v>240.04</v>
      </c>
      <c r="N82" s="10">
        <v>240.04</v>
      </c>
      <c r="O82" s="10">
        <f t="shared" si="29"/>
        <v>0</v>
      </c>
      <c r="P82" s="11">
        <v>25671.000478874274</v>
      </c>
      <c r="Q82" s="11">
        <v>58064.543409431761</v>
      </c>
      <c r="R82" s="11">
        <v>28000</v>
      </c>
      <c r="S82" s="11">
        <v>13937813</v>
      </c>
      <c r="T82" s="11">
        <v>1672538</v>
      </c>
      <c r="U82" s="12">
        <f t="shared" si="30"/>
        <v>0.12000003156879778</v>
      </c>
      <c r="V82" s="13">
        <f t="shared" si="53"/>
        <v>0</v>
      </c>
      <c r="W82" s="10">
        <f t="shared" si="31"/>
        <v>0</v>
      </c>
      <c r="X82" s="10"/>
      <c r="Y82" s="10"/>
      <c r="Z82" s="11">
        <f t="shared" si="32"/>
        <v>13937813</v>
      </c>
      <c r="AA82" s="14">
        <v>903268</v>
      </c>
      <c r="AB82" s="14">
        <v>108392</v>
      </c>
      <c r="AC82" s="11">
        <f t="shared" si="33"/>
        <v>13034545</v>
      </c>
      <c r="AD82" s="10">
        <f t="shared" si="34"/>
        <v>300</v>
      </c>
      <c r="AE82" s="15">
        <v>72012</v>
      </c>
      <c r="AF82" s="16">
        <v>12962</v>
      </c>
      <c r="AG82" s="15">
        <f t="shared" si="35"/>
        <v>0</v>
      </c>
      <c r="AH82" s="15">
        <f t="shared" si="36"/>
        <v>0</v>
      </c>
      <c r="AI82" s="15">
        <f t="shared" si="37"/>
        <v>72012</v>
      </c>
      <c r="AJ82" s="15">
        <f t="shared" si="38"/>
        <v>12963</v>
      </c>
      <c r="AK82" s="10">
        <v>72012</v>
      </c>
      <c r="AL82" s="15">
        <f t="shared" si="39"/>
        <v>72012</v>
      </c>
      <c r="AM82" s="15">
        <f t="shared" si="40"/>
        <v>13106557</v>
      </c>
      <c r="AN82" s="15">
        <f t="shared" si="41"/>
        <v>1577109</v>
      </c>
      <c r="AO82" s="15">
        <f t="shared" si="46"/>
        <v>1649121</v>
      </c>
      <c r="AP82" s="17">
        <f t="shared" si="42"/>
        <v>14755678</v>
      </c>
      <c r="AQ82" s="15">
        <v>13037656.33</v>
      </c>
      <c r="AR82" s="15">
        <v>0</v>
      </c>
      <c r="AS82" s="18">
        <f t="shared" si="47"/>
        <v>1718022</v>
      </c>
      <c r="AT82" s="19">
        <v>0</v>
      </c>
      <c r="AU82" s="8">
        <v>8800</v>
      </c>
      <c r="AV82" s="13">
        <f t="shared" si="48"/>
        <v>2112352</v>
      </c>
      <c r="AW82" s="18">
        <f t="shared" si="49"/>
        <v>13106557</v>
      </c>
      <c r="AX82" s="15">
        <f t="shared" si="43"/>
        <v>13107000</v>
      </c>
      <c r="AY82" s="20">
        <v>6.3399999999999998E-2</v>
      </c>
      <c r="AZ82" s="13">
        <f t="shared" si="44"/>
        <v>830983.79999999993</v>
      </c>
      <c r="BA82" s="15">
        <f t="shared" si="45"/>
        <v>831000</v>
      </c>
      <c r="BB82" s="21">
        <f t="shared" si="50"/>
        <v>2549022</v>
      </c>
      <c r="BC82" s="10">
        <f t="shared" si="51"/>
        <v>0</v>
      </c>
      <c r="BD82" s="10">
        <f t="shared" si="52"/>
        <v>0</v>
      </c>
      <c r="BE82" s="10">
        <v>50.44</v>
      </c>
      <c r="BF82" s="10">
        <v>22.3</v>
      </c>
      <c r="BG82" s="107">
        <v>46176</v>
      </c>
      <c r="BH82" s="107">
        <f t="shared" si="27"/>
        <v>46206</v>
      </c>
      <c r="BI82" s="23">
        <v>6.34</v>
      </c>
      <c r="BJ82" s="6"/>
      <c r="BK82" s="6"/>
      <c r="BL82" s="24">
        <f>VLOOKUP(A82,[2]Sheet1!$D$2:$H$933,5,0)</f>
        <v>0</v>
      </c>
      <c r="BM82" s="6" t="s">
        <v>3828</v>
      </c>
      <c r="BN82" s="6" t="s">
        <v>3829</v>
      </c>
      <c r="BO82" s="6" t="s">
        <v>3820</v>
      </c>
      <c r="BP82" s="6" t="s">
        <v>3821</v>
      </c>
      <c r="BQ82" s="6" t="s">
        <v>3830</v>
      </c>
      <c r="BR82" t="s">
        <v>3823</v>
      </c>
      <c r="BS82" t="s">
        <v>3824</v>
      </c>
      <c r="BT82" t="s">
        <v>3825</v>
      </c>
      <c r="BU82" t="s">
        <v>3826</v>
      </c>
      <c r="BV82" t="s">
        <v>3827</v>
      </c>
      <c r="BW82" t="s">
        <v>3835</v>
      </c>
      <c r="BX82">
        <v>0</v>
      </c>
      <c r="BY82" t="s">
        <v>3868</v>
      </c>
      <c r="BZ82" t="s">
        <v>3860</v>
      </c>
    </row>
    <row r="83" spans="1:78" x14ac:dyDescent="0.25">
      <c r="A83" s="7" t="s">
        <v>402</v>
      </c>
      <c r="B83" s="7" t="s">
        <v>181</v>
      </c>
      <c r="C83" s="7" t="s">
        <v>400</v>
      </c>
      <c r="D83" s="8" t="s">
        <v>401</v>
      </c>
      <c r="E83" s="7" t="s">
        <v>403</v>
      </c>
      <c r="F83" s="9">
        <v>44895</v>
      </c>
      <c r="G83" s="9" t="s">
        <v>404</v>
      </c>
      <c r="H83" s="9" t="s">
        <v>66</v>
      </c>
      <c r="I83" s="8" t="s">
        <v>78</v>
      </c>
      <c r="J83" s="10">
        <v>784.7</v>
      </c>
      <c r="K83" s="10">
        <v>784.7</v>
      </c>
      <c r="L83" s="10">
        <f t="shared" si="28"/>
        <v>0</v>
      </c>
      <c r="M83" s="10">
        <v>358.44</v>
      </c>
      <c r="N83" s="10">
        <v>358.44</v>
      </c>
      <c r="O83" s="10">
        <f t="shared" si="29"/>
        <v>0</v>
      </c>
      <c r="P83" s="11">
        <v>12000</v>
      </c>
      <c r="Q83" s="11">
        <v>26270.505523937059</v>
      </c>
      <c r="R83" s="11">
        <v>22000</v>
      </c>
      <c r="S83" s="11">
        <v>9416400</v>
      </c>
      <c r="T83" s="11">
        <v>1129966</v>
      </c>
      <c r="U83" s="12">
        <f t="shared" si="30"/>
        <v>0.11999978760460474</v>
      </c>
      <c r="V83" s="13">
        <f t="shared" si="53"/>
        <v>0</v>
      </c>
      <c r="W83" s="10">
        <f t="shared" si="31"/>
        <v>0</v>
      </c>
      <c r="X83" s="10"/>
      <c r="Y83" s="10"/>
      <c r="Z83" s="11">
        <f t="shared" si="32"/>
        <v>9416400</v>
      </c>
      <c r="AA83" s="14"/>
      <c r="AB83" s="14"/>
      <c r="AC83" s="11">
        <f t="shared" si="33"/>
        <v>9416400</v>
      </c>
      <c r="AD83" s="10">
        <f t="shared" si="34"/>
        <v>300</v>
      </c>
      <c r="AE83" s="15">
        <v>107532</v>
      </c>
      <c r="AF83" s="16">
        <v>19356</v>
      </c>
      <c r="AG83" s="15">
        <f t="shared" si="35"/>
        <v>0</v>
      </c>
      <c r="AH83" s="15">
        <f t="shared" si="36"/>
        <v>0</v>
      </c>
      <c r="AI83" s="15">
        <f t="shared" si="37"/>
        <v>107532</v>
      </c>
      <c r="AJ83" s="15">
        <f t="shared" si="38"/>
        <v>19356</v>
      </c>
      <c r="AK83" s="10">
        <v>107532</v>
      </c>
      <c r="AL83" s="15">
        <f t="shared" si="39"/>
        <v>107532</v>
      </c>
      <c r="AM83" s="15">
        <f t="shared" si="40"/>
        <v>9523932</v>
      </c>
      <c r="AN83" s="15">
        <f t="shared" si="41"/>
        <v>1149322</v>
      </c>
      <c r="AO83" s="15">
        <f t="shared" si="46"/>
        <v>1256854</v>
      </c>
      <c r="AP83" s="17">
        <f t="shared" si="42"/>
        <v>10780786</v>
      </c>
      <c r="AQ83" s="15">
        <v>7909774</v>
      </c>
      <c r="AR83" s="15">
        <v>0</v>
      </c>
      <c r="AS83" s="18">
        <f t="shared" si="47"/>
        <v>2871012</v>
      </c>
      <c r="AT83" s="19">
        <v>0</v>
      </c>
      <c r="AU83" s="8">
        <v>8800</v>
      </c>
      <c r="AV83" s="13">
        <f t="shared" si="48"/>
        <v>3154272</v>
      </c>
      <c r="AW83" s="18">
        <f t="shared" si="49"/>
        <v>9523932</v>
      </c>
      <c r="AX83" s="15">
        <f t="shared" si="43"/>
        <v>9524000</v>
      </c>
      <c r="AY83" s="20">
        <v>7.0000000000000007E-2</v>
      </c>
      <c r="AZ83" s="13">
        <f t="shared" si="44"/>
        <v>666680.00000000012</v>
      </c>
      <c r="BA83" s="15">
        <f t="shared" si="45"/>
        <v>666700</v>
      </c>
      <c r="BB83" s="21">
        <f t="shared" si="50"/>
        <v>3537712</v>
      </c>
      <c r="BC83" s="10">
        <f t="shared" si="51"/>
        <v>0</v>
      </c>
      <c r="BD83" s="10">
        <f t="shared" si="52"/>
        <v>0</v>
      </c>
      <c r="BE83" s="10">
        <v>72.900000000000006</v>
      </c>
      <c r="BF83" s="10">
        <v>33.299999999999997</v>
      </c>
      <c r="BG83" s="107">
        <v>46176</v>
      </c>
      <c r="BH83" s="107">
        <f t="shared" si="27"/>
        <v>46206</v>
      </c>
      <c r="BI83" s="23">
        <v>7</v>
      </c>
      <c r="BJ83" s="6"/>
      <c r="BK83" s="6"/>
      <c r="BL83" s="24">
        <f>VLOOKUP(A83,[2]Sheet1!$D$2:$H$933,5,0)</f>
        <v>0</v>
      </c>
      <c r="BM83" s="6" t="s">
        <v>3828</v>
      </c>
      <c r="BN83" s="6" t="s">
        <v>3829</v>
      </c>
      <c r="BO83" s="6" t="s">
        <v>3820</v>
      </c>
      <c r="BP83" s="6" t="s">
        <v>3821</v>
      </c>
      <c r="BQ83" s="6" t="s">
        <v>3830</v>
      </c>
      <c r="BR83" t="s">
        <v>3823</v>
      </c>
      <c r="BS83" t="s">
        <v>3824</v>
      </c>
      <c r="BT83" t="s">
        <v>3825</v>
      </c>
      <c r="BU83" t="s">
        <v>3826</v>
      </c>
      <c r="BV83" t="s">
        <v>3827</v>
      </c>
      <c r="BW83" t="s">
        <v>3835</v>
      </c>
      <c r="BX83">
        <v>0</v>
      </c>
      <c r="BY83" t="s">
        <v>3865</v>
      </c>
      <c r="BZ83" t="s">
        <v>3863</v>
      </c>
    </row>
    <row r="84" spans="1:78" x14ac:dyDescent="0.25">
      <c r="A84" s="7" t="s">
        <v>411</v>
      </c>
      <c r="B84" s="7" t="s">
        <v>181</v>
      </c>
      <c r="C84" s="7" t="s">
        <v>409</v>
      </c>
      <c r="D84" s="8" t="s">
        <v>410</v>
      </c>
      <c r="E84" s="7" t="s">
        <v>412</v>
      </c>
      <c r="F84" s="9">
        <v>44998</v>
      </c>
      <c r="G84" s="9" t="s">
        <v>404</v>
      </c>
      <c r="H84" s="9" t="s">
        <v>66</v>
      </c>
      <c r="I84" s="8" t="s">
        <v>78</v>
      </c>
      <c r="J84" s="10">
        <v>937.11</v>
      </c>
      <c r="K84" s="10">
        <v>937.11</v>
      </c>
      <c r="L84" s="10">
        <f t="shared" si="28"/>
        <v>0</v>
      </c>
      <c r="M84" s="10">
        <v>434.87</v>
      </c>
      <c r="N84" s="10">
        <v>434.87</v>
      </c>
      <c r="O84" s="10">
        <f t="shared" si="29"/>
        <v>0</v>
      </c>
      <c r="P84" s="11">
        <v>13252.000298790963</v>
      </c>
      <c r="Q84" s="11">
        <v>28556.998643272702</v>
      </c>
      <c r="R84" s="11">
        <v>22000</v>
      </c>
      <c r="S84" s="11">
        <v>12418582</v>
      </c>
      <c r="T84" s="11">
        <v>1490230</v>
      </c>
      <c r="U84" s="12">
        <f t="shared" si="30"/>
        <v>0.12000001288391864</v>
      </c>
      <c r="V84" s="13">
        <f t="shared" si="53"/>
        <v>0</v>
      </c>
      <c r="W84" s="10">
        <f t="shared" si="31"/>
        <v>0</v>
      </c>
      <c r="X84" s="10"/>
      <c r="Y84" s="10"/>
      <c r="Z84" s="11">
        <f t="shared" si="32"/>
        <v>12418582</v>
      </c>
      <c r="AA84" s="14"/>
      <c r="AB84" s="14"/>
      <c r="AC84" s="11">
        <f t="shared" si="33"/>
        <v>12418582</v>
      </c>
      <c r="AD84" s="10">
        <f t="shared" si="34"/>
        <v>300</v>
      </c>
      <c r="AE84" s="15">
        <v>130461</v>
      </c>
      <c r="AF84" s="16">
        <v>23482</v>
      </c>
      <c r="AG84" s="15">
        <f t="shared" si="35"/>
        <v>0</v>
      </c>
      <c r="AH84" s="15">
        <f t="shared" si="36"/>
        <v>0</v>
      </c>
      <c r="AI84" s="15">
        <f t="shared" si="37"/>
        <v>130461</v>
      </c>
      <c r="AJ84" s="15">
        <f t="shared" si="38"/>
        <v>23483</v>
      </c>
      <c r="AK84" s="10">
        <v>130461</v>
      </c>
      <c r="AL84" s="15">
        <f t="shared" si="39"/>
        <v>130461</v>
      </c>
      <c r="AM84" s="15">
        <f t="shared" si="40"/>
        <v>12549043</v>
      </c>
      <c r="AN84" s="15">
        <f t="shared" si="41"/>
        <v>1513713</v>
      </c>
      <c r="AO84" s="15">
        <f t="shared" si="46"/>
        <v>1644174</v>
      </c>
      <c r="AP84" s="17">
        <f t="shared" si="42"/>
        <v>14193217</v>
      </c>
      <c r="AQ84" s="15">
        <v>12517932</v>
      </c>
      <c r="AR84" s="15">
        <v>0</v>
      </c>
      <c r="AS84" s="18">
        <f t="shared" si="47"/>
        <v>1675285</v>
      </c>
      <c r="AT84" s="19">
        <v>12418582</v>
      </c>
      <c r="AU84" s="8">
        <v>8800</v>
      </c>
      <c r="AV84" s="13">
        <f t="shared" si="48"/>
        <v>3826856</v>
      </c>
      <c r="AW84" s="18">
        <f t="shared" si="49"/>
        <v>12549043</v>
      </c>
      <c r="AX84" s="15">
        <f t="shared" si="43"/>
        <v>12550000</v>
      </c>
      <c r="AY84" s="20">
        <v>0.05</v>
      </c>
      <c r="AZ84" s="13">
        <f t="shared" si="44"/>
        <v>627500</v>
      </c>
      <c r="BA84" s="15">
        <f t="shared" si="45"/>
        <v>627500</v>
      </c>
      <c r="BB84" s="21">
        <f t="shared" si="50"/>
        <v>2302785</v>
      </c>
      <c r="BC84" s="10">
        <f t="shared" si="51"/>
        <v>0</v>
      </c>
      <c r="BD84" s="10">
        <f t="shared" si="52"/>
        <v>0</v>
      </c>
      <c r="BE84" s="10">
        <v>87.06</v>
      </c>
      <c r="BF84" s="10">
        <v>40.4</v>
      </c>
      <c r="BG84" s="107">
        <v>46176</v>
      </c>
      <c r="BH84" s="107">
        <f t="shared" si="27"/>
        <v>46206</v>
      </c>
      <c r="BI84" s="23">
        <v>5</v>
      </c>
      <c r="BJ84" s="6"/>
      <c r="BK84" s="6"/>
      <c r="BL84" s="24">
        <f>VLOOKUP(A84,[2]Sheet1!$D$2:$H$933,5,0)</f>
        <v>0</v>
      </c>
      <c r="BM84" s="6" t="s">
        <v>3828</v>
      </c>
      <c r="BN84" s="6" t="s">
        <v>3829</v>
      </c>
      <c r="BO84" s="6" t="s">
        <v>3820</v>
      </c>
      <c r="BP84" s="6" t="s">
        <v>3821</v>
      </c>
      <c r="BQ84" s="6" t="s">
        <v>3830</v>
      </c>
      <c r="BR84" t="s">
        <v>3823</v>
      </c>
      <c r="BS84" t="s">
        <v>3824</v>
      </c>
      <c r="BT84" t="s">
        <v>3825</v>
      </c>
      <c r="BU84" t="s">
        <v>3826</v>
      </c>
      <c r="BV84" t="s">
        <v>3827</v>
      </c>
      <c r="BW84" t="s">
        <v>3835</v>
      </c>
      <c r="BX84">
        <v>0</v>
      </c>
      <c r="BY84" t="s">
        <v>3869</v>
      </c>
      <c r="BZ84" t="s">
        <v>3863</v>
      </c>
    </row>
    <row r="85" spans="1:78" x14ac:dyDescent="0.25">
      <c r="A85" s="7" t="s">
        <v>415</v>
      </c>
      <c r="B85" s="7" t="s">
        <v>181</v>
      </c>
      <c r="C85" s="7" t="s">
        <v>413</v>
      </c>
      <c r="D85" s="8" t="s">
        <v>414</v>
      </c>
      <c r="E85" s="7" t="s">
        <v>416</v>
      </c>
      <c r="F85" s="9">
        <v>44907</v>
      </c>
      <c r="G85" s="9" t="s">
        <v>404</v>
      </c>
      <c r="H85" s="9" t="s">
        <v>66</v>
      </c>
      <c r="I85" s="8" t="s">
        <v>78</v>
      </c>
      <c r="J85" s="10">
        <v>815.91</v>
      </c>
      <c r="K85" s="10">
        <v>815.91</v>
      </c>
      <c r="L85" s="10">
        <f t="shared" si="28"/>
        <v>0</v>
      </c>
      <c r="M85" s="10">
        <v>375.66</v>
      </c>
      <c r="N85" s="10">
        <v>375.66</v>
      </c>
      <c r="O85" s="10">
        <f t="shared" si="29"/>
        <v>0</v>
      </c>
      <c r="P85" s="11">
        <v>12000</v>
      </c>
      <c r="Q85" s="11">
        <v>26063.248682319118</v>
      </c>
      <c r="R85" s="11">
        <v>22000</v>
      </c>
      <c r="S85" s="11">
        <v>9790920</v>
      </c>
      <c r="T85" s="11">
        <v>1174914</v>
      </c>
      <c r="U85" s="12">
        <f t="shared" si="30"/>
        <v>0.1200003676876126</v>
      </c>
      <c r="V85" s="13">
        <f t="shared" si="53"/>
        <v>0</v>
      </c>
      <c r="W85" s="10">
        <f t="shared" si="31"/>
        <v>0</v>
      </c>
      <c r="X85" s="10"/>
      <c r="Y85" s="10"/>
      <c r="Z85" s="11">
        <f t="shared" si="32"/>
        <v>9790920</v>
      </c>
      <c r="AA85" s="14"/>
      <c r="AB85" s="14"/>
      <c r="AC85" s="11">
        <f t="shared" si="33"/>
        <v>9790920</v>
      </c>
      <c r="AD85" s="10">
        <f t="shared" si="34"/>
        <v>300</v>
      </c>
      <c r="AE85" s="15">
        <v>112698</v>
      </c>
      <c r="AF85" s="16">
        <v>20286</v>
      </c>
      <c r="AG85" s="15">
        <f t="shared" si="35"/>
        <v>0</v>
      </c>
      <c r="AH85" s="15">
        <f t="shared" si="36"/>
        <v>0</v>
      </c>
      <c r="AI85" s="15">
        <f t="shared" si="37"/>
        <v>112698.00000000001</v>
      </c>
      <c r="AJ85" s="15">
        <f t="shared" si="38"/>
        <v>20286</v>
      </c>
      <c r="AK85" s="10">
        <v>112698</v>
      </c>
      <c r="AL85" s="15">
        <f t="shared" si="39"/>
        <v>112698.00000000001</v>
      </c>
      <c r="AM85" s="15">
        <f t="shared" si="40"/>
        <v>9903618</v>
      </c>
      <c r="AN85" s="15">
        <f t="shared" si="41"/>
        <v>1195200</v>
      </c>
      <c r="AO85" s="15">
        <f t="shared" si="46"/>
        <v>1307898</v>
      </c>
      <c r="AP85" s="17">
        <f t="shared" si="42"/>
        <v>11211516</v>
      </c>
      <c r="AQ85" s="15">
        <v>9869250</v>
      </c>
      <c r="AR85" s="15">
        <v>0</v>
      </c>
      <c r="AS85" s="18">
        <f t="shared" si="47"/>
        <v>1342266</v>
      </c>
      <c r="AT85" s="19">
        <v>0</v>
      </c>
      <c r="AU85" s="8">
        <v>8800</v>
      </c>
      <c r="AV85" s="13">
        <f t="shared" si="48"/>
        <v>3305808</v>
      </c>
      <c r="AW85" s="18">
        <f t="shared" si="49"/>
        <v>9903618</v>
      </c>
      <c r="AX85" s="15">
        <f t="shared" si="43"/>
        <v>9904000</v>
      </c>
      <c r="AY85" s="20">
        <v>7.0000000000000007E-2</v>
      </c>
      <c r="AZ85" s="13">
        <f t="shared" si="44"/>
        <v>693280.00000000012</v>
      </c>
      <c r="BA85" s="15">
        <f t="shared" si="45"/>
        <v>693300</v>
      </c>
      <c r="BB85" s="21">
        <f t="shared" si="50"/>
        <v>2035566</v>
      </c>
      <c r="BC85" s="10">
        <f t="shared" si="51"/>
        <v>0</v>
      </c>
      <c r="BD85" s="10">
        <f t="shared" si="52"/>
        <v>0</v>
      </c>
      <c r="BE85" s="10">
        <v>75.8</v>
      </c>
      <c r="BF85" s="10">
        <v>34.9</v>
      </c>
      <c r="BG85" s="107">
        <v>46176</v>
      </c>
      <c r="BH85" s="107">
        <f t="shared" si="27"/>
        <v>46206</v>
      </c>
      <c r="BI85" s="23">
        <v>7</v>
      </c>
      <c r="BJ85" s="6"/>
      <c r="BK85" s="6"/>
      <c r="BL85" s="24">
        <f>VLOOKUP(A85,[2]Sheet1!$D$2:$H$933,5,0)</f>
        <v>0</v>
      </c>
      <c r="BM85" s="6" t="s">
        <v>3828</v>
      </c>
      <c r="BN85" s="6" t="s">
        <v>3829</v>
      </c>
      <c r="BO85" s="6" t="s">
        <v>3820</v>
      </c>
      <c r="BP85" s="6" t="s">
        <v>3821</v>
      </c>
      <c r="BQ85" s="6" t="s">
        <v>3830</v>
      </c>
      <c r="BR85" t="s">
        <v>3823</v>
      </c>
      <c r="BS85" t="s">
        <v>3824</v>
      </c>
      <c r="BT85" t="s">
        <v>3825</v>
      </c>
      <c r="BU85" t="s">
        <v>3826</v>
      </c>
      <c r="BV85" t="s">
        <v>3827</v>
      </c>
      <c r="BW85" t="s">
        <v>3835</v>
      </c>
      <c r="BX85">
        <v>0</v>
      </c>
      <c r="BY85" t="s">
        <v>3869</v>
      </c>
      <c r="BZ85" t="s">
        <v>3863</v>
      </c>
    </row>
    <row r="86" spans="1:78" x14ac:dyDescent="0.25">
      <c r="A86" s="7" t="s">
        <v>419</v>
      </c>
      <c r="B86" s="7" t="s">
        <v>181</v>
      </c>
      <c r="C86" s="7" t="s">
        <v>417</v>
      </c>
      <c r="D86" s="8" t="s">
        <v>418</v>
      </c>
      <c r="E86" s="7" t="s">
        <v>420</v>
      </c>
      <c r="F86" s="9">
        <v>44925</v>
      </c>
      <c r="G86" s="9" t="s">
        <v>404</v>
      </c>
      <c r="H86" s="9" t="s">
        <v>66</v>
      </c>
      <c r="I86" s="8" t="s">
        <v>78</v>
      </c>
      <c r="J86" s="10">
        <v>504.83</v>
      </c>
      <c r="K86" s="10">
        <v>504.83</v>
      </c>
      <c r="L86" s="10">
        <f t="shared" si="28"/>
        <v>0</v>
      </c>
      <c r="M86" s="10">
        <v>234.12</v>
      </c>
      <c r="N86" s="10">
        <v>234.12</v>
      </c>
      <c r="O86" s="10">
        <f t="shared" si="29"/>
        <v>0</v>
      </c>
      <c r="P86" s="11">
        <v>12969.999801913516</v>
      </c>
      <c r="Q86" s="11">
        <v>27967.046813599864</v>
      </c>
      <c r="R86" s="11">
        <v>22000</v>
      </c>
      <c r="S86" s="11">
        <v>6547645</v>
      </c>
      <c r="T86" s="11">
        <v>785718</v>
      </c>
      <c r="U86" s="12">
        <f t="shared" si="30"/>
        <v>0.12000009163600042</v>
      </c>
      <c r="V86" s="13">
        <f t="shared" si="53"/>
        <v>0</v>
      </c>
      <c r="W86" s="10">
        <f t="shared" si="31"/>
        <v>0</v>
      </c>
      <c r="X86" s="10"/>
      <c r="Y86" s="10"/>
      <c r="Z86" s="11">
        <f t="shared" si="32"/>
        <v>6547645</v>
      </c>
      <c r="AA86" s="14">
        <v>2142667</v>
      </c>
      <c r="AB86" s="14">
        <v>257120</v>
      </c>
      <c r="AC86" s="11">
        <f t="shared" si="33"/>
        <v>4404978</v>
      </c>
      <c r="AD86" s="10">
        <f t="shared" si="34"/>
        <v>300</v>
      </c>
      <c r="AE86" s="15">
        <v>70236</v>
      </c>
      <c r="AF86" s="16">
        <v>12642</v>
      </c>
      <c r="AG86" s="15">
        <f t="shared" si="35"/>
        <v>0</v>
      </c>
      <c r="AH86" s="15">
        <f t="shared" si="36"/>
        <v>0</v>
      </c>
      <c r="AI86" s="15">
        <f t="shared" si="37"/>
        <v>70236</v>
      </c>
      <c r="AJ86" s="15">
        <f t="shared" si="38"/>
        <v>12643</v>
      </c>
      <c r="AK86" s="10">
        <v>70236</v>
      </c>
      <c r="AL86" s="15">
        <f t="shared" si="39"/>
        <v>70236</v>
      </c>
      <c r="AM86" s="15">
        <f t="shared" si="40"/>
        <v>4475214</v>
      </c>
      <c r="AN86" s="15">
        <f t="shared" si="41"/>
        <v>541241</v>
      </c>
      <c r="AO86" s="15">
        <f t="shared" si="46"/>
        <v>611477</v>
      </c>
      <c r="AP86" s="17">
        <f t="shared" si="42"/>
        <v>5086691</v>
      </c>
      <c r="AQ86" s="15">
        <v>4200240</v>
      </c>
      <c r="AR86" s="15">
        <v>0</v>
      </c>
      <c r="AS86" s="18">
        <f t="shared" si="47"/>
        <v>886451</v>
      </c>
      <c r="AT86" s="19">
        <v>0</v>
      </c>
      <c r="AU86" s="8">
        <v>8800</v>
      </c>
      <c r="AV86" s="13">
        <f t="shared" si="48"/>
        <v>2060256</v>
      </c>
      <c r="AW86" s="18">
        <f t="shared" si="49"/>
        <v>4475214</v>
      </c>
      <c r="AX86" s="15">
        <f t="shared" si="43"/>
        <v>4476000</v>
      </c>
      <c r="AY86" s="20">
        <v>7.0000000000000007E-2</v>
      </c>
      <c r="AZ86" s="13">
        <f t="shared" si="44"/>
        <v>313320.00000000006</v>
      </c>
      <c r="BA86" s="15">
        <f t="shared" si="45"/>
        <v>313400</v>
      </c>
      <c r="BB86" s="21">
        <f t="shared" si="50"/>
        <v>1199851</v>
      </c>
      <c r="BC86" s="10">
        <f t="shared" si="51"/>
        <v>0</v>
      </c>
      <c r="BD86" s="10">
        <f t="shared" si="52"/>
        <v>0</v>
      </c>
      <c r="BE86" s="10">
        <v>46.9</v>
      </c>
      <c r="BF86" s="10">
        <v>21.75</v>
      </c>
      <c r="BG86" s="107">
        <v>46176</v>
      </c>
      <c r="BH86" s="107">
        <f t="shared" si="27"/>
        <v>46206</v>
      </c>
      <c r="BI86" s="23">
        <v>7</v>
      </c>
      <c r="BJ86" s="6"/>
      <c r="BK86" s="6"/>
      <c r="BL86" s="24">
        <f>VLOOKUP(A86,[2]Sheet1!$D$2:$H$933,5,0)</f>
        <v>0</v>
      </c>
      <c r="BM86" s="6" t="s">
        <v>3828</v>
      </c>
      <c r="BN86" s="6" t="s">
        <v>3829</v>
      </c>
      <c r="BO86" s="6" t="s">
        <v>3820</v>
      </c>
      <c r="BP86" s="6" t="s">
        <v>3821</v>
      </c>
      <c r="BQ86" s="6" t="s">
        <v>3830</v>
      </c>
      <c r="BR86" t="s">
        <v>3823</v>
      </c>
      <c r="BS86" t="s">
        <v>3824</v>
      </c>
      <c r="BT86" t="s">
        <v>3825</v>
      </c>
      <c r="BU86" t="s">
        <v>3826</v>
      </c>
      <c r="BV86" t="s">
        <v>3827</v>
      </c>
      <c r="BW86" t="s">
        <v>3835</v>
      </c>
      <c r="BX86">
        <v>0</v>
      </c>
      <c r="BY86" t="s">
        <v>3867</v>
      </c>
      <c r="BZ86" t="s">
        <v>3863</v>
      </c>
    </row>
    <row r="87" spans="1:78" x14ac:dyDescent="0.25">
      <c r="A87" s="7" t="s">
        <v>424</v>
      </c>
      <c r="B87" s="7" t="s">
        <v>181</v>
      </c>
      <c r="C87" s="7" t="s">
        <v>422</v>
      </c>
      <c r="D87" s="8" t="s">
        <v>423</v>
      </c>
      <c r="E87" s="7" t="s">
        <v>425</v>
      </c>
      <c r="F87" s="9">
        <v>44871</v>
      </c>
      <c r="G87" s="9" t="s">
        <v>404</v>
      </c>
      <c r="H87" s="9" t="s">
        <v>66</v>
      </c>
      <c r="I87" s="8" t="s">
        <v>78</v>
      </c>
      <c r="J87" s="10">
        <v>363.82</v>
      </c>
      <c r="K87" s="10">
        <v>363.82</v>
      </c>
      <c r="L87" s="10">
        <f t="shared" si="28"/>
        <v>0</v>
      </c>
      <c r="M87" s="10">
        <v>156.08000000000001</v>
      </c>
      <c r="N87" s="10">
        <v>156.08000000000001</v>
      </c>
      <c r="O87" s="10">
        <f t="shared" si="29"/>
        <v>0</v>
      </c>
      <c r="P87" s="11">
        <v>12000</v>
      </c>
      <c r="Q87" s="11">
        <v>27971.809328549458</v>
      </c>
      <c r="R87" s="11">
        <v>22000</v>
      </c>
      <c r="S87" s="11">
        <v>4365840</v>
      </c>
      <c r="T87" s="11">
        <v>523902</v>
      </c>
      <c r="U87" s="12">
        <f t="shared" si="30"/>
        <v>0.12000027486119509</v>
      </c>
      <c r="V87" s="13">
        <f t="shared" si="53"/>
        <v>0</v>
      </c>
      <c r="W87" s="10">
        <f t="shared" si="31"/>
        <v>0</v>
      </c>
      <c r="X87" s="10"/>
      <c r="Y87" s="10"/>
      <c r="Z87" s="11">
        <f t="shared" si="32"/>
        <v>4365840</v>
      </c>
      <c r="AA87" s="14">
        <v>731471</v>
      </c>
      <c r="AB87" s="14">
        <v>87776</v>
      </c>
      <c r="AC87" s="11">
        <f t="shared" si="33"/>
        <v>3634369</v>
      </c>
      <c r="AD87" s="10">
        <f t="shared" si="34"/>
        <v>300</v>
      </c>
      <c r="AE87" s="15">
        <v>46824</v>
      </c>
      <c r="AF87" s="16">
        <v>8428</v>
      </c>
      <c r="AG87" s="15">
        <f t="shared" si="35"/>
        <v>0</v>
      </c>
      <c r="AH87" s="15">
        <f t="shared" si="36"/>
        <v>0</v>
      </c>
      <c r="AI87" s="15">
        <f t="shared" si="37"/>
        <v>46824.000000000007</v>
      </c>
      <c r="AJ87" s="15">
        <f t="shared" si="38"/>
        <v>8429</v>
      </c>
      <c r="AK87" s="10">
        <v>46824</v>
      </c>
      <c r="AL87" s="15">
        <f t="shared" si="39"/>
        <v>46824.000000000007</v>
      </c>
      <c r="AM87" s="15">
        <f t="shared" si="40"/>
        <v>3681193</v>
      </c>
      <c r="AN87" s="15">
        <f t="shared" si="41"/>
        <v>444555</v>
      </c>
      <c r="AO87" s="15">
        <f t="shared" si="46"/>
        <v>491379</v>
      </c>
      <c r="AP87" s="17">
        <f t="shared" si="42"/>
        <v>4172572</v>
      </c>
      <c r="AQ87" s="15">
        <v>3581521</v>
      </c>
      <c r="AR87" s="15">
        <v>0</v>
      </c>
      <c r="AS87" s="18">
        <f t="shared" si="47"/>
        <v>591051</v>
      </c>
      <c r="AT87" s="19">
        <v>0</v>
      </c>
      <c r="AU87" s="8">
        <v>8800</v>
      </c>
      <c r="AV87" s="13">
        <f t="shared" si="48"/>
        <v>1373504</v>
      </c>
      <c r="AW87" s="18">
        <f t="shared" si="49"/>
        <v>3681193</v>
      </c>
      <c r="AX87" s="15">
        <f t="shared" si="43"/>
        <v>3682000</v>
      </c>
      <c r="AY87" s="20">
        <v>7.0000000000000007E-2</v>
      </c>
      <c r="AZ87" s="13">
        <f t="shared" si="44"/>
        <v>257740.00000000003</v>
      </c>
      <c r="BA87" s="15">
        <f t="shared" si="45"/>
        <v>257800</v>
      </c>
      <c r="BB87" s="21">
        <f t="shared" si="50"/>
        <v>848851</v>
      </c>
      <c r="BC87" s="10">
        <f t="shared" si="51"/>
        <v>0</v>
      </c>
      <c r="BD87" s="10">
        <f t="shared" si="52"/>
        <v>0</v>
      </c>
      <c r="BE87" s="10">
        <v>33.799999999999997</v>
      </c>
      <c r="BF87" s="10">
        <v>14.5</v>
      </c>
      <c r="BG87" s="107">
        <v>46176</v>
      </c>
      <c r="BH87" s="107">
        <f t="shared" si="27"/>
        <v>46206</v>
      </c>
      <c r="BI87" s="23">
        <v>7</v>
      </c>
      <c r="BJ87" s="6"/>
      <c r="BK87" s="6"/>
      <c r="BL87" s="24">
        <f>VLOOKUP(A87,[2]Sheet1!$D$2:$H$933,5,0)</f>
        <v>0</v>
      </c>
      <c r="BM87" s="6" t="s">
        <v>3828</v>
      </c>
      <c r="BN87" s="6" t="s">
        <v>3829</v>
      </c>
      <c r="BO87" s="6" t="s">
        <v>3820</v>
      </c>
      <c r="BP87" s="6" t="s">
        <v>3821</v>
      </c>
      <c r="BQ87" s="6" t="s">
        <v>3830</v>
      </c>
      <c r="BR87" t="s">
        <v>3823</v>
      </c>
      <c r="BS87" t="s">
        <v>3824</v>
      </c>
      <c r="BT87" t="s">
        <v>3825</v>
      </c>
      <c r="BU87" t="s">
        <v>3826</v>
      </c>
      <c r="BV87" t="s">
        <v>3827</v>
      </c>
      <c r="BW87" t="s">
        <v>3835</v>
      </c>
      <c r="BX87">
        <v>0</v>
      </c>
      <c r="BY87" t="s">
        <v>3862</v>
      </c>
      <c r="BZ87" t="s">
        <v>3863</v>
      </c>
    </row>
    <row r="88" spans="1:78" x14ac:dyDescent="0.25">
      <c r="A88" s="7" t="s">
        <v>428</v>
      </c>
      <c r="B88" s="7" t="s">
        <v>181</v>
      </c>
      <c r="C88" s="7" t="s">
        <v>426</v>
      </c>
      <c r="D88" s="8" t="s">
        <v>427</v>
      </c>
      <c r="E88" s="7" t="s">
        <v>429</v>
      </c>
      <c r="F88" s="9">
        <v>44870</v>
      </c>
      <c r="G88" s="9" t="s">
        <v>404</v>
      </c>
      <c r="H88" s="9" t="s">
        <v>66</v>
      </c>
      <c r="I88" s="8" t="s">
        <v>78</v>
      </c>
      <c r="J88" s="10">
        <v>363.82</v>
      </c>
      <c r="K88" s="10">
        <v>363.82</v>
      </c>
      <c r="L88" s="10">
        <f t="shared" si="28"/>
        <v>0</v>
      </c>
      <c r="M88" s="10">
        <v>156.08000000000001</v>
      </c>
      <c r="N88" s="10">
        <v>156.08000000000001</v>
      </c>
      <c r="O88" s="10">
        <f t="shared" si="29"/>
        <v>0</v>
      </c>
      <c r="P88" s="11">
        <v>11999.999615194325</v>
      </c>
      <c r="Q88" s="11">
        <v>27971.808431573547</v>
      </c>
      <c r="R88" s="11">
        <v>22000</v>
      </c>
      <c r="S88" s="11">
        <v>4365839.8599999994</v>
      </c>
      <c r="T88" s="11">
        <v>523902</v>
      </c>
      <c r="U88" s="12">
        <f t="shared" si="30"/>
        <v>0.12000027870926078</v>
      </c>
      <c r="V88" s="13">
        <f t="shared" si="53"/>
        <v>0</v>
      </c>
      <c r="W88" s="10">
        <f t="shared" si="31"/>
        <v>0</v>
      </c>
      <c r="X88" s="10"/>
      <c r="Y88" s="10"/>
      <c r="Z88" s="11">
        <f t="shared" si="32"/>
        <v>4365839.8599999994</v>
      </c>
      <c r="AA88" s="14">
        <v>732838</v>
      </c>
      <c r="AB88" s="14">
        <v>87940</v>
      </c>
      <c r="AC88" s="11">
        <f t="shared" si="33"/>
        <v>3633001.8599999994</v>
      </c>
      <c r="AD88" s="10">
        <f t="shared" si="34"/>
        <v>300</v>
      </c>
      <c r="AE88" s="15">
        <v>46824</v>
      </c>
      <c r="AF88" s="16">
        <v>8428</v>
      </c>
      <c r="AG88" s="15">
        <f t="shared" si="35"/>
        <v>0</v>
      </c>
      <c r="AH88" s="15">
        <f t="shared" si="36"/>
        <v>0</v>
      </c>
      <c r="AI88" s="15">
        <f t="shared" si="37"/>
        <v>46824.000000000007</v>
      </c>
      <c r="AJ88" s="15">
        <f t="shared" si="38"/>
        <v>8429</v>
      </c>
      <c r="AK88" s="10">
        <v>46824</v>
      </c>
      <c r="AL88" s="15">
        <f t="shared" si="39"/>
        <v>46824.000000000007</v>
      </c>
      <c r="AM88" s="15">
        <f t="shared" si="40"/>
        <v>3679826</v>
      </c>
      <c r="AN88" s="15">
        <f t="shared" si="41"/>
        <v>444391</v>
      </c>
      <c r="AO88" s="15">
        <f t="shared" si="46"/>
        <v>491215</v>
      </c>
      <c r="AP88" s="17">
        <f t="shared" si="42"/>
        <v>4171041</v>
      </c>
      <c r="AQ88" s="15">
        <v>3579989</v>
      </c>
      <c r="AR88" s="15">
        <v>0</v>
      </c>
      <c r="AS88" s="18">
        <f t="shared" si="47"/>
        <v>591052</v>
      </c>
      <c r="AT88" s="19">
        <v>0</v>
      </c>
      <c r="AU88" s="8">
        <v>8800</v>
      </c>
      <c r="AV88" s="13">
        <f t="shared" si="48"/>
        <v>1373504</v>
      </c>
      <c r="AW88" s="18">
        <f t="shared" si="49"/>
        <v>3679826</v>
      </c>
      <c r="AX88" s="15">
        <f t="shared" si="43"/>
        <v>3680000</v>
      </c>
      <c r="AY88" s="20">
        <v>0.05</v>
      </c>
      <c r="AZ88" s="13">
        <f t="shared" si="44"/>
        <v>184000</v>
      </c>
      <c r="BA88" s="15">
        <f t="shared" si="45"/>
        <v>184000</v>
      </c>
      <c r="BB88" s="21">
        <f t="shared" si="50"/>
        <v>775052</v>
      </c>
      <c r="BC88" s="10">
        <f t="shared" si="51"/>
        <v>0</v>
      </c>
      <c r="BD88" s="10">
        <f t="shared" si="52"/>
        <v>0</v>
      </c>
      <c r="BE88" s="10">
        <v>33.799999999999997</v>
      </c>
      <c r="BF88" s="10">
        <v>14.5</v>
      </c>
      <c r="BG88" s="107">
        <v>46176</v>
      </c>
      <c r="BH88" s="107">
        <f t="shared" si="27"/>
        <v>46206</v>
      </c>
      <c r="BI88" s="23">
        <v>5</v>
      </c>
      <c r="BJ88" s="6"/>
      <c r="BK88" s="6"/>
      <c r="BL88" s="24">
        <f>VLOOKUP(A88,[2]Sheet1!$D$2:$H$933,5,0)</f>
        <v>0</v>
      </c>
      <c r="BM88" s="6" t="s">
        <v>3828</v>
      </c>
      <c r="BN88" s="6" t="s">
        <v>3829</v>
      </c>
      <c r="BO88" s="6" t="s">
        <v>3820</v>
      </c>
      <c r="BP88" s="6" t="s">
        <v>3821</v>
      </c>
      <c r="BQ88" s="6" t="s">
        <v>3830</v>
      </c>
      <c r="BR88" t="s">
        <v>3823</v>
      </c>
      <c r="BS88" t="s">
        <v>3824</v>
      </c>
      <c r="BT88" t="s">
        <v>3825</v>
      </c>
      <c r="BU88" t="s">
        <v>3826</v>
      </c>
      <c r="BV88" t="s">
        <v>3827</v>
      </c>
      <c r="BW88" t="s">
        <v>3835</v>
      </c>
      <c r="BX88">
        <v>0</v>
      </c>
      <c r="BY88" t="s">
        <v>3862</v>
      </c>
      <c r="BZ88" t="s">
        <v>3863</v>
      </c>
    </row>
    <row r="89" spans="1:78" x14ac:dyDescent="0.25">
      <c r="A89" s="7" t="s">
        <v>432</v>
      </c>
      <c r="B89" s="7" t="s">
        <v>181</v>
      </c>
      <c r="C89" s="7" t="s">
        <v>430</v>
      </c>
      <c r="D89" s="8" t="s">
        <v>431</v>
      </c>
      <c r="E89" s="7" t="s">
        <v>433</v>
      </c>
      <c r="F89" s="9">
        <v>44924</v>
      </c>
      <c r="G89" s="9" t="s">
        <v>404</v>
      </c>
      <c r="H89" s="9" t="s">
        <v>72</v>
      </c>
      <c r="I89" s="8" t="s">
        <v>78</v>
      </c>
      <c r="J89" s="10">
        <v>945.08</v>
      </c>
      <c r="K89" s="10">
        <v>945.08</v>
      </c>
      <c r="L89" s="10">
        <f t="shared" si="28"/>
        <v>0</v>
      </c>
      <c r="M89" s="10">
        <v>425.18</v>
      </c>
      <c r="N89" s="10">
        <v>425.18</v>
      </c>
      <c r="O89" s="10">
        <f t="shared" si="29"/>
        <v>0</v>
      </c>
      <c r="P89" s="11">
        <v>9092.9995344309464</v>
      </c>
      <c r="Q89" s="11">
        <v>20211.70327861141</v>
      </c>
      <c r="R89" s="11">
        <v>20000</v>
      </c>
      <c r="S89" s="11">
        <v>8593612</v>
      </c>
      <c r="T89" s="11">
        <v>1031236</v>
      </c>
      <c r="U89" s="12">
        <f t="shared" si="30"/>
        <v>0.12000029789569275</v>
      </c>
      <c r="V89" s="13">
        <f t="shared" si="53"/>
        <v>0</v>
      </c>
      <c r="W89" s="10">
        <f t="shared" si="31"/>
        <v>0</v>
      </c>
      <c r="X89" s="10"/>
      <c r="Y89" s="10"/>
      <c r="Z89" s="11">
        <f t="shared" si="32"/>
        <v>8593612</v>
      </c>
      <c r="AA89" s="14"/>
      <c r="AB89" s="14"/>
      <c r="AC89" s="11">
        <f t="shared" si="33"/>
        <v>8593612</v>
      </c>
      <c r="AD89" s="10">
        <f t="shared" si="34"/>
        <v>300</v>
      </c>
      <c r="AE89" s="15">
        <v>127554</v>
      </c>
      <c r="AF89" s="16">
        <v>22960</v>
      </c>
      <c r="AG89" s="15">
        <f t="shared" si="35"/>
        <v>0</v>
      </c>
      <c r="AH89" s="15">
        <f t="shared" si="36"/>
        <v>0</v>
      </c>
      <c r="AI89" s="15">
        <f t="shared" si="37"/>
        <v>127554</v>
      </c>
      <c r="AJ89" s="15">
        <f t="shared" si="38"/>
        <v>22960</v>
      </c>
      <c r="AK89" s="10">
        <v>127554</v>
      </c>
      <c r="AL89" s="15">
        <f t="shared" si="39"/>
        <v>127554</v>
      </c>
      <c r="AM89" s="15">
        <f t="shared" si="40"/>
        <v>8721166</v>
      </c>
      <c r="AN89" s="15">
        <f t="shared" si="41"/>
        <v>1054196</v>
      </c>
      <c r="AO89" s="15">
        <f t="shared" si="46"/>
        <v>1181750</v>
      </c>
      <c r="AP89" s="17">
        <f t="shared" si="42"/>
        <v>9902916</v>
      </c>
      <c r="AQ89" s="15">
        <v>8662363</v>
      </c>
      <c r="AR89" s="15">
        <v>0</v>
      </c>
      <c r="AS89" s="18">
        <f t="shared" si="47"/>
        <v>1240553</v>
      </c>
      <c r="AT89" s="19">
        <v>8593612</v>
      </c>
      <c r="AU89" s="8">
        <v>8800</v>
      </c>
      <c r="AV89" s="13">
        <f t="shared" si="48"/>
        <v>3741584</v>
      </c>
      <c r="AW89" s="18">
        <f t="shared" si="49"/>
        <v>8721166</v>
      </c>
      <c r="AX89" s="15">
        <f t="shared" si="43"/>
        <v>8722000</v>
      </c>
      <c r="AY89" s="20">
        <v>5.67E-2</v>
      </c>
      <c r="AZ89" s="13">
        <f t="shared" si="44"/>
        <v>494537.4</v>
      </c>
      <c r="BA89" s="15">
        <f t="shared" si="45"/>
        <v>494600</v>
      </c>
      <c r="BB89" s="21">
        <f t="shared" si="50"/>
        <v>1735153</v>
      </c>
      <c r="BC89" s="10">
        <f t="shared" si="51"/>
        <v>0</v>
      </c>
      <c r="BD89" s="10">
        <f t="shared" si="52"/>
        <v>0</v>
      </c>
      <c r="BE89" s="10">
        <v>87.8</v>
      </c>
      <c r="BF89" s="10">
        <v>39.5</v>
      </c>
      <c r="BG89" s="107">
        <v>46176</v>
      </c>
      <c r="BH89" s="107">
        <f t="shared" si="27"/>
        <v>46206</v>
      </c>
      <c r="BI89" s="23">
        <v>5.67</v>
      </c>
      <c r="BJ89" s="6"/>
      <c r="BK89" s="6"/>
      <c r="BL89" s="24">
        <f>VLOOKUP(A89,[2]Sheet1!$D$2:$H$933,5,0)</f>
        <v>0</v>
      </c>
      <c r="BM89" s="6" t="s">
        <v>3828</v>
      </c>
      <c r="BN89" s="6" t="s">
        <v>3829</v>
      </c>
      <c r="BO89" s="6" t="s">
        <v>3820</v>
      </c>
      <c r="BP89" s="6" t="s">
        <v>3821</v>
      </c>
      <c r="BQ89" s="6" t="s">
        <v>3830</v>
      </c>
      <c r="BR89" t="s">
        <v>3823</v>
      </c>
      <c r="BS89" t="s">
        <v>3824</v>
      </c>
      <c r="BT89" t="s">
        <v>3825</v>
      </c>
      <c r="BU89" t="s">
        <v>3826</v>
      </c>
      <c r="BV89" t="s">
        <v>3827</v>
      </c>
      <c r="BW89" t="s">
        <v>3835</v>
      </c>
      <c r="BX89">
        <v>0</v>
      </c>
      <c r="BY89" t="s">
        <v>3869</v>
      </c>
      <c r="BZ89" t="s">
        <v>3863</v>
      </c>
    </row>
    <row r="90" spans="1:78" x14ac:dyDescent="0.25">
      <c r="A90" s="7" t="s">
        <v>436</v>
      </c>
      <c r="B90" s="7" t="s">
        <v>181</v>
      </c>
      <c r="C90" s="7" t="s">
        <v>434</v>
      </c>
      <c r="D90" s="8" t="s">
        <v>435</v>
      </c>
      <c r="E90" s="7" t="s">
        <v>437</v>
      </c>
      <c r="F90" s="9">
        <v>44998</v>
      </c>
      <c r="G90" s="9" t="s">
        <v>404</v>
      </c>
      <c r="H90" s="9" t="s">
        <v>72</v>
      </c>
      <c r="I90" s="8" t="s">
        <v>78</v>
      </c>
      <c r="J90" s="10">
        <v>652.29999999999995</v>
      </c>
      <c r="K90" s="10">
        <v>652.29999999999995</v>
      </c>
      <c r="L90" s="10">
        <f t="shared" si="28"/>
        <v>0</v>
      </c>
      <c r="M90" s="10">
        <v>293.86</v>
      </c>
      <c r="N90" s="10">
        <v>293.86</v>
      </c>
      <c r="O90" s="10">
        <f t="shared" si="29"/>
        <v>0</v>
      </c>
      <c r="P90" s="11">
        <v>7600.9995400889165</v>
      </c>
      <c r="Q90" s="11">
        <v>16872.429047845912</v>
      </c>
      <c r="R90" s="11">
        <v>20000</v>
      </c>
      <c r="S90" s="11">
        <v>4958132</v>
      </c>
      <c r="T90" s="11">
        <v>594978</v>
      </c>
      <c r="U90" s="12">
        <f t="shared" si="30"/>
        <v>0.12000043564794161</v>
      </c>
      <c r="V90" s="13">
        <f t="shared" si="53"/>
        <v>0</v>
      </c>
      <c r="W90" s="10">
        <f t="shared" si="31"/>
        <v>0</v>
      </c>
      <c r="X90" s="10"/>
      <c r="Y90" s="10"/>
      <c r="Z90" s="11">
        <f t="shared" si="32"/>
        <v>4958132</v>
      </c>
      <c r="AA90" s="14"/>
      <c r="AB90" s="14"/>
      <c r="AC90" s="11">
        <f t="shared" si="33"/>
        <v>4958132</v>
      </c>
      <c r="AD90" s="10">
        <f t="shared" si="34"/>
        <v>300</v>
      </c>
      <c r="AE90" s="15">
        <v>88158</v>
      </c>
      <c r="AF90" s="16">
        <v>15868</v>
      </c>
      <c r="AG90" s="15">
        <f t="shared" si="35"/>
        <v>0</v>
      </c>
      <c r="AH90" s="15">
        <f t="shared" si="36"/>
        <v>0</v>
      </c>
      <c r="AI90" s="15">
        <f t="shared" si="37"/>
        <v>88158</v>
      </c>
      <c r="AJ90" s="15">
        <f t="shared" si="38"/>
        <v>15869</v>
      </c>
      <c r="AK90" s="10">
        <v>88158</v>
      </c>
      <c r="AL90" s="15">
        <f t="shared" si="39"/>
        <v>88158</v>
      </c>
      <c r="AM90" s="15">
        <f t="shared" si="40"/>
        <v>5046290</v>
      </c>
      <c r="AN90" s="15">
        <f t="shared" si="41"/>
        <v>610847</v>
      </c>
      <c r="AO90" s="15">
        <f t="shared" si="46"/>
        <v>699005</v>
      </c>
      <c r="AP90" s="17">
        <f t="shared" si="42"/>
        <v>5745295</v>
      </c>
      <c r="AQ90" s="15">
        <v>4997893</v>
      </c>
      <c r="AR90" s="15">
        <v>0</v>
      </c>
      <c r="AS90" s="18">
        <f t="shared" si="47"/>
        <v>747402</v>
      </c>
      <c r="AT90" s="19">
        <v>6261842</v>
      </c>
      <c r="AU90" s="8">
        <v>8800</v>
      </c>
      <c r="AV90" s="13">
        <f t="shared" si="48"/>
        <v>2585968</v>
      </c>
      <c r="AW90" s="18">
        <f t="shared" si="49"/>
        <v>6261842</v>
      </c>
      <c r="AX90" s="15">
        <f t="shared" si="43"/>
        <v>6262000</v>
      </c>
      <c r="AY90" s="20">
        <v>0.05</v>
      </c>
      <c r="AZ90" s="13">
        <f t="shared" si="44"/>
        <v>313100</v>
      </c>
      <c r="BA90" s="15">
        <f t="shared" si="45"/>
        <v>313100</v>
      </c>
      <c r="BB90" s="21">
        <f t="shared" si="50"/>
        <v>1060502</v>
      </c>
      <c r="BC90" s="10">
        <f t="shared" si="51"/>
        <v>0</v>
      </c>
      <c r="BD90" s="10">
        <f t="shared" si="52"/>
        <v>0</v>
      </c>
      <c r="BE90" s="10">
        <v>60.6</v>
      </c>
      <c r="BF90" s="10">
        <v>27.3</v>
      </c>
      <c r="BG90" s="107">
        <v>46176</v>
      </c>
      <c r="BH90" s="107">
        <f t="shared" si="27"/>
        <v>46206</v>
      </c>
      <c r="BI90" s="23">
        <v>5</v>
      </c>
      <c r="BJ90" s="6"/>
      <c r="BK90" s="6"/>
      <c r="BL90" s="24">
        <f>VLOOKUP(A90,[2]Sheet1!$D$2:$H$933,5,0)</f>
        <v>0</v>
      </c>
      <c r="BM90" s="6" t="s">
        <v>3828</v>
      </c>
      <c r="BN90" s="6" t="s">
        <v>3829</v>
      </c>
      <c r="BO90" s="6" t="s">
        <v>3820</v>
      </c>
      <c r="BP90" s="6" t="s">
        <v>3821</v>
      </c>
      <c r="BQ90" s="6" t="s">
        <v>3830</v>
      </c>
      <c r="BR90" t="s">
        <v>3823</v>
      </c>
      <c r="BS90" t="s">
        <v>3824</v>
      </c>
      <c r="BT90" t="s">
        <v>3825</v>
      </c>
      <c r="BU90" t="s">
        <v>3826</v>
      </c>
      <c r="BV90" t="s">
        <v>3827</v>
      </c>
      <c r="BW90" t="s">
        <v>3835</v>
      </c>
      <c r="BX90">
        <v>0</v>
      </c>
      <c r="BY90" t="s">
        <v>3859</v>
      </c>
      <c r="BZ90" t="s">
        <v>3863</v>
      </c>
    </row>
    <row r="91" spans="1:78" x14ac:dyDescent="0.25">
      <c r="A91" s="7" t="s">
        <v>440</v>
      </c>
      <c r="B91" s="7" t="s">
        <v>181</v>
      </c>
      <c r="C91" s="7" t="s">
        <v>438</v>
      </c>
      <c r="D91" s="8" t="s">
        <v>439</v>
      </c>
      <c r="E91" s="7" t="s">
        <v>441</v>
      </c>
      <c r="F91" s="9">
        <v>44886</v>
      </c>
      <c r="G91" s="9" t="s">
        <v>404</v>
      </c>
      <c r="H91" s="9" t="s">
        <v>72</v>
      </c>
      <c r="I91" s="8" t="s">
        <v>78</v>
      </c>
      <c r="J91" s="10">
        <v>556.5</v>
      </c>
      <c r="K91" s="10">
        <v>556.5</v>
      </c>
      <c r="L91" s="10">
        <f t="shared" si="28"/>
        <v>0</v>
      </c>
      <c r="M91" s="10">
        <v>257.26</v>
      </c>
      <c r="N91" s="10">
        <v>257.26</v>
      </c>
      <c r="O91" s="10">
        <f t="shared" si="29"/>
        <v>0</v>
      </c>
      <c r="P91" s="11">
        <v>8722.6307277628039</v>
      </c>
      <c r="Q91" s="11">
        <v>18868.630957008474</v>
      </c>
      <c r="R91" s="11">
        <v>20000</v>
      </c>
      <c r="S91" s="11">
        <v>4854144</v>
      </c>
      <c r="T91" s="11">
        <v>582498</v>
      </c>
      <c r="U91" s="12">
        <f t="shared" si="30"/>
        <v>0.12000014832687288</v>
      </c>
      <c r="V91" s="13">
        <f t="shared" si="53"/>
        <v>0</v>
      </c>
      <c r="W91" s="10">
        <f t="shared" si="31"/>
        <v>0</v>
      </c>
      <c r="X91" s="10"/>
      <c r="Y91" s="10"/>
      <c r="Z91" s="11">
        <f t="shared" si="32"/>
        <v>4854144</v>
      </c>
      <c r="AA91" s="14">
        <v>6377</v>
      </c>
      <c r="AB91" s="14">
        <v>766</v>
      </c>
      <c r="AC91" s="11">
        <f t="shared" si="33"/>
        <v>4847767</v>
      </c>
      <c r="AD91" s="10">
        <f t="shared" si="34"/>
        <v>300</v>
      </c>
      <c r="AE91" s="15">
        <v>77178</v>
      </c>
      <c r="AF91" s="16">
        <v>13892</v>
      </c>
      <c r="AG91" s="15">
        <f t="shared" si="35"/>
        <v>0</v>
      </c>
      <c r="AH91" s="15">
        <f t="shared" si="36"/>
        <v>0</v>
      </c>
      <c r="AI91" s="15">
        <f t="shared" si="37"/>
        <v>77178</v>
      </c>
      <c r="AJ91" s="15">
        <f t="shared" si="38"/>
        <v>13893</v>
      </c>
      <c r="AK91" s="10">
        <v>77178</v>
      </c>
      <c r="AL91" s="15">
        <f t="shared" si="39"/>
        <v>77178</v>
      </c>
      <c r="AM91" s="15">
        <f t="shared" si="40"/>
        <v>4924945</v>
      </c>
      <c r="AN91" s="15">
        <f t="shared" si="41"/>
        <v>595625</v>
      </c>
      <c r="AO91" s="15">
        <f t="shared" si="46"/>
        <v>672803</v>
      </c>
      <c r="AP91" s="17">
        <f t="shared" si="42"/>
        <v>5597748</v>
      </c>
      <c r="AQ91" s="15">
        <v>4885836</v>
      </c>
      <c r="AR91" s="15">
        <v>0</v>
      </c>
      <c r="AS91" s="18">
        <f t="shared" si="47"/>
        <v>711912</v>
      </c>
      <c r="AT91" s="19">
        <v>0</v>
      </c>
      <c r="AU91" s="8">
        <v>8800</v>
      </c>
      <c r="AV91" s="13">
        <f t="shared" si="48"/>
        <v>2263888</v>
      </c>
      <c r="AW91" s="18">
        <f t="shared" si="49"/>
        <v>4924945</v>
      </c>
      <c r="AX91" s="15">
        <f t="shared" si="43"/>
        <v>4925000</v>
      </c>
      <c r="AY91" s="20">
        <v>5.67E-2</v>
      </c>
      <c r="AZ91" s="13">
        <f t="shared" si="44"/>
        <v>279247.5</v>
      </c>
      <c r="BA91" s="15">
        <f t="shared" si="45"/>
        <v>279300</v>
      </c>
      <c r="BB91" s="21">
        <f t="shared" si="50"/>
        <v>991212</v>
      </c>
      <c r="BC91" s="10">
        <f t="shared" si="51"/>
        <v>0</v>
      </c>
      <c r="BD91" s="10">
        <f t="shared" si="52"/>
        <v>0</v>
      </c>
      <c r="BE91" s="10">
        <v>51.7</v>
      </c>
      <c r="BF91" s="10">
        <v>23.9</v>
      </c>
      <c r="BG91" s="107">
        <v>46176</v>
      </c>
      <c r="BH91" s="107">
        <f t="shared" si="27"/>
        <v>46206</v>
      </c>
      <c r="BI91" s="23">
        <v>5.67</v>
      </c>
      <c r="BJ91" s="6"/>
      <c r="BK91" s="6"/>
      <c r="BL91" s="24">
        <f>VLOOKUP(A91,[2]Sheet1!$D$2:$H$933,5,0)</f>
        <v>0</v>
      </c>
      <c r="BM91" s="6" t="s">
        <v>3828</v>
      </c>
      <c r="BN91" s="6" t="s">
        <v>3829</v>
      </c>
      <c r="BO91" s="6" t="s">
        <v>3820</v>
      </c>
      <c r="BP91" s="6" t="s">
        <v>3821</v>
      </c>
      <c r="BQ91" s="6" t="s">
        <v>3830</v>
      </c>
      <c r="BR91" t="s">
        <v>3823</v>
      </c>
      <c r="BS91" t="s">
        <v>3824</v>
      </c>
      <c r="BT91" t="s">
        <v>3825</v>
      </c>
      <c r="BU91" t="s">
        <v>3826</v>
      </c>
      <c r="BV91" t="s">
        <v>3827</v>
      </c>
      <c r="BW91" t="s">
        <v>3835</v>
      </c>
      <c r="BX91">
        <v>0</v>
      </c>
      <c r="BY91" t="s">
        <v>3859</v>
      </c>
      <c r="BZ91" t="s">
        <v>3863</v>
      </c>
    </row>
    <row r="92" spans="1:78" x14ac:dyDescent="0.25">
      <c r="A92" s="7" t="s">
        <v>445</v>
      </c>
      <c r="B92" s="7" t="s">
        <v>181</v>
      </c>
      <c r="C92" s="7" t="s">
        <v>443</v>
      </c>
      <c r="D92" s="8" t="s">
        <v>444</v>
      </c>
      <c r="E92" s="7" t="s">
        <v>446</v>
      </c>
      <c r="F92" s="9">
        <v>44863</v>
      </c>
      <c r="G92" s="9" t="s">
        <v>404</v>
      </c>
      <c r="H92" s="9" t="s">
        <v>72</v>
      </c>
      <c r="I92" s="8" t="s">
        <v>78</v>
      </c>
      <c r="J92" s="10">
        <v>541.21</v>
      </c>
      <c r="K92" s="10">
        <v>541.21</v>
      </c>
      <c r="L92" s="10">
        <f t="shared" si="28"/>
        <v>0</v>
      </c>
      <c r="M92" s="10">
        <v>241.11</v>
      </c>
      <c r="N92" s="10">
        <v>241.11</v>
      </c>
      <c r="O92" s="10">
        <f t="shared" si="29"/>
        <v>0</v>
      </c>
      <c r="P92" s="11">
        <v>6500</v>
      </c>
      <c r="Q92" s="11">
        <v>14590.290738666998</v>
      </c>
      <c r="R92" s="11">
        <v>20000</v>
      </c>
      <c r="S92" s="11">
        <v>3517865</v>
      </c>
      <c r="T92" s="11">
        <v>422142</v>
      </c>
      <c r="U92" s="12">
        <f t="shared" si="30"/>
        <v>0.11999948832601592</v>
      </c>
      <c r="V92" s="13">
        <f t="shared" si="53"/>
        <v>0</v>
      </c>
      <c r="W92" s="10">
        <f t="shared" si="31"/>
        <v>0</v>
      </c>
      <c r="X92" s="10"/>
      <c r="Y92" s="10"/>
      <c r="Z92" s="11">
        <f t="shared" si="32"/>
        <v>3517865</v>
      </c>
      <c r="AA92" s="14">
        <v>1008293</v>
      </c>
      <c r="AB92" s="14">
        <v>120996</v>
      </c>
      <c r="AC92" s="11">
        <f t="shared" si="33"/>
        <v>2509572</v>
      </c>
      <c r="AD92" s="10">
        <f t="shared" si="34"/>
        <v>300</v>
      </c>
      <c r="AE92" s="15">
        <v>72333</v>
      </c>
      <c r="AF92" s="16">
        <v>13020</v>
      </c>
      <c r="AG92" s="15">
        <f t="shared" si="35"/>
        <v>0</v>
      </c>
      <c r="AH92" s="15">
        <f t="shared" si="36"/>
        <v>0</v>
      </c>
      <c r="AI92" s="15">
        <f t="shared" si="37"/>
        <v>72333</v>
      </c>
      <c r="AJ92" s="15">
        <f t="shared" si="38"/>
        <v>13020</v>
      </c>
      <c r="AK92" s="10">
        <v>72333</v>
      </c>
      <c r="AL92" s="15">
        <f t="shared" si="39"/>
        <v>72333</v>
      </c>
      <c r="AM92" s="15">
        <f t="shared" si="40"/>
        <v>2581905</v>
      </c>
      <c r="AN92" s="15">
        <f t="shared" si="41"/>
        <v>314166</v>
      </c>
      <c r="AO92" s="15">
        <f t="shared" si="46"/>
        <v>386499</v>
      </c>
      <c r="AP92" s="17">
        <f t="shared" si="42"/>
        <v>2968404</v>
      </c>
      <c r="AQ92" s="15">
        <v>2416717</v>
      </c>
      <c r="AR92" s="15">
        <v>0</v>
      </c>
      <c r="AS92" s="18">
        <f t="shared" si="47"/>
        <v>551687</v>
      </c>
      <c r="AT92" s="19">
        <v>0</v>
      </c>
      <c r="AU92" s="8">
        <v>8800</v>
      </c>
      <c r="AV92" s="13">
        <f t="shared" si="48"/>
        <v>2121768</v>
      </c>
      <c r="AW92" s="18">
        <f t="shared" si="49"/>
        <v>2581905</v>
      </c>
      <c r="AX92" s="15">
        <f t="shared" si="43"/>
        <v>2582000</v>
      </c>
      <c r="AY92" s="20">
        <v>0.05</v>
      </c>
      <c r="AZ92" s="13">
        <f t="shared" si="44"/>
        <v>129100</v>
      </c>
      <c r="BA92" s="15">
        <f t="shared" si="45"/>
        <v>129100</v>
      </c>
      <c r="BB92" s="21">
        <f t="shared" si="50"/>
        <v>680787</v>
      </c>
      <c r="BC92" s="10">
        <f t="shared" si="51"/>
        <v>0</v>
      </c>
      <c r="BD92" s="10">
        <f t="shared" si="52"/>
        <v>0</v>
      </c>
      <c r="BE92" s="10">
        <v>50.28</v>
      </c>
      <c r="BF92" s="10">
        <v>22.4</v>
      </c>
      <c r="BG92" s="107">
        <v>46176</v>
      </c>
      <c r="BH92" s="107">
        <f t="shared" ref="BH92:BH154" si="54">BG92+30</f>
        <v>46206</v>
      </c>
      <c r="BI92" s="23">
        <v>5</v>
      </c>
      <c r="BJ92" s="6"/>
      <c r="BK92" s="6"/>
      <c r="BL92" s="24">
        <f>VLOOKUP(A92,[2]Sheet1!$D$2:$H$933,5,0)</f>
        <v>0</v>
      </c>
      <c r="BM92" s="6" t="s">
        <v>3828</v>
      </c>
      <c r="BN92" s="6" t="s">
        <v>3829</v>
      </c>
      <c r="BO92" s="6" t="s">
        <v>3820</v>
      </c>
      <c r="BP92" s="6" t="s">
        <v>3821</v>
      </c>
      <c r="BQ92" s="6" t="s">
        <v>3830</v>
      </c>
      <c r="BR92" t="s">
        <v>3823</v>
      </c>
      <c r="BS92" t="s">
        <v>3824</v>
      </c>
      <c r="BT92" t="s">
        <v>3825</v>
      </c>
      <c r="BU92" t="s">
        <v>3826</v>
      </c>
      <c r="BV92" t="s">
        <v>3827</v>
      </c>
      <c r="BW92" t="s">
        <v>3835</v>
      </c>
      <c r="BX92">
        <v>0</v>
      </c>
      <c r="BY92" t="s">
        <v>3867</v>
      </c>
      <c r="BZ92" t="s">
        <v>3863</v>
      </c>
    </row>
    <row r="93" spans="1:78" x14ac:dyDescent="0.25">
      <c r="A93" s="7" t="s">
        <v>449</v>
      </c>
      <c r="B93" s="7" t="s">
        <v>181</v>
      </c>
      <c r="C93" s="7" t="s">
        <v>447</v>
      </c>
      <c r="D93" s="8" t="s">
        <v>448</v>
      </c>
      <c r="E93" s="7" t="s">
        <v>450</v>
      </c>
      <c r="F93" s="9">
        <v>44895</v>
      </c>
      <c r="G93" s="9" t="s">
        <v>404</v>
      </c>
      <c r="H93" s="9" t="s">
        <v>72</v>
      </c>
      <c r="I93" s="8" t="s">
        <v>78</v>
      </c>
      <c r="J93" s="10">
        <v>682.44</v>
      </c>
      <c r="K93" s="10">
        <v>682.44</v>
      </c>
      <c r="L93" s="10">
        <f t="shared" si="28"/>
        <v>0</v>
      </c>
      <c r="M93" s="10">
        <v>312.16000000000003</v>
      </c>
      <c r="N93" s="10">
        <v>312.16000000000003</v>
      </c>
      <c r="O93" s="10">
        <f t="shared" si="29"/>
        <v>0</v>
      </c>
      <c r="P93" s="11">
        <v>6889.2605943379631</v>
      </c>
      <c r="Q93" s="11">
        <v>15061.20899538698</v>
      </c>
      <c r="R93" s="11">
        <v>20000</v>
      </c>
      <c r="S93" s="11">
        <v>4701507</v>
      </c>
      <c r="T93" s="11">
        <v>564180</v>
      </c>
      <c r="U93" s="12">
        <f t="shared" si="30"/>
        <v>0.11999982133388294</v>
      </c>
      <c r="V93" s="13">
        <f t="shared" si="53"/>
        <v>0</v>
      </c>
      <c r="W93" s="10">
        <f t="shared" si="31"/>
        <v>0</v>
      </c>
      <c r="X93" s="10"/>
      <c r="Y93" s="10"/>
      <c r="Z93" s="11">
        <f t="shared" si="32"/>
        <v>4701507</v>
      </c>
      <c r="AA93" s="14">
        <v>599581</v>
      </c>
      <c r="AB93" s="14">
        <v>71950</v>
      </c>
      <c r="AC93" s="11">
        <f t="shared" si="33"/>
        <v>4101926</v>
      </c>
      <c r="AD93" s="10">
        <f t="shared" si="34"/>
        <v>300</v>
      </c>
      <c r="AE93" s="15">
        <v>93648</v>
      </c>
      <c r="AF93" s="16">
        <v>16856</v>
      </c>
      <c r="AG93" s="15">
        <f t="shared" si="35"/>
        <v>0</v>
      </c>
      <c r="AH93" s="15">
        <f t="shared" si="36"/>
        <v>0</v>
      </c>
      <c r="AI93" s="15">
        <f t="shared" si="37"/>
        <v>93648.000000000015</v>
      </c>
      <c r="AJ93" s="15">
        <f t="shared" si="38"/>
        <v>16857</v>
      </c>
      <c r="AK93" s="10">
        <v>93648</v>
      </c>
      <c r="AL93" s="15">
        <f t="shared" si="39"/>
        <v>93648.000000000015</v>
      </c>
      <c r="AM93" s="15">
        <f t="shared" si="40"/>
        <v>4195574</v>
      </c>
      <c r="AN93" s="15">
        <f t="shared" si="41"/>
        <v>509087</v>
      </c>
      <c r="AO93" s="15">
        <f t="shared" si="46"/>
        <v>602735</v>
      </c>
      <c r="AP93" s="17">
        <f t="shared" si="42"/>
        <v>4798309</v>
      </c>
      <c r="AQ93" s="15">
        <v>3601289</v>
      </c>
      <c r="AR93" s="15">
        <v>0</v>
      </c>
      <c r="AS93" s="18">
        <f t="shared" si="47"/>
        <v>1197020</v>
      </c>
      <c r="AT93" s="19">
        <v>0</v>
      </c>
      <c r="AU93" s="8">
        <v>8800</v>
      </c>
      <c r="AV93" s="13">
        <f t="shared" si="48"/>
        <v>2747008</v>
      </c>
      <c r="AW93" s="18">
        <f t="shared" si="49"/>
        <v>4195574</v>
      </c>
      <c r="AX93" s="15">
        <f t="shared" si="43"/>
        <v>4196000</v>
      </c>
      <c r="AY93" s="20">
        <v>0.06</v>
      </c>
      <c r="AZ93" s="13">
        <f t="shared" si="44"/>
        <v>251760</v>
      </c>
      <c r="BA93" s="15">
        <f t="shared" si="45"/>
        <v>251800</v>
      </c>
      <c r="BB93" s="21">
        <f t="shared" si="50"/>
        <v>1448820</v>
      </c>
      <c r="BC93" s="10">
        <f t="shared" si="51"/>
        <v>0</v>
      </c>
      <c r="BD93" s="10">
        <f t="shared" si="52"/>
        <v>0</v>
      </c>
      <c r="BE93" s="10">
        <v>63.4</v>
      </c>
      <c r="BF93" s="10">
        <v>29</v>
      </c>
      <c r="BG93" s="107">
        <v>46176</v>
      </c>
      <c r="BH93" s="107">
        <f t="shared" si="54"/>
        <v>46206</v>
      </c>
      <c r="BI93" s="23">
        <v>6</v>
      </c>
      <c r="BJ93" s="6"/>
      <c r="BK93" s="6"/>
      <c r="BL93" s="24">
        <f>VLOOKUP(A93,[2]Sheet1!$D$2:$H$933,5,0)</f>
        <v>0</v>
      </c>
      <c r="BM93" s="6" t="s">
        <v>3828</v>
      </c>
      <c r="BN93" s="6" t="s">
        <v>3829</v>
      </c>
      <c r="BO93" s="6" t="s">
        <v>3820</v>
      </c>
      <c r="BP93" s="6" t="s">
        <v>3821</v>
      </c>
      <c r="BQ93" s="6" t="s">
        <v>3830</v>
      </c>
      <c r="BR93" t="s">
        <v>3823</v>
      </c>
      <c r="BS93" t="s">
        <v>3824</v>
      </c>
      <c r="BT93" t="s">
        <v>3825</v>
      </c>
      <c r="BU93" t="s">
        <v>3826</v>
      </c>
      <c r="BV93" t="s">
        <v>3827</v>
      </c>
      <c r="BW93" t="s">
        <v>3835</v>
      </c>
      <c r="BX93">
        <v>0</v>
      </c>
      <c r="BY93" t="s">
        <v>3859</v>
      </c>
      <c r="BZ93" t="s">
        <v>3863</v>
      </c>
    </row>
    <row r="94" spans="1:78" x14ac:dyDescent="0.25">
      <c r="A94" s="7" t="s">
        <v>453</v>
      </c>
      <c r="B94" s="7" t="s">
        <v>181</v>
      </c>
      <c r="C94" s="7" t="s">
        <v>451</v>
      </c>
      <c r="D94" s="8" t="s">
        <v>452</v>
      </c>
      <c r="E94" s="7" t="s">
        <v>454</v>
      </c>
      <c r="F94" s="9">
        <v>44896</v>
      </c>
      <c r="G94" s="9" t="s">
        <v>404</v>
      </c>
      <c r="H94" s="9" t="s">
        <v>72</v>
      </c>
      <c r="I94" s="8" t="s">
        <v>78</v>
      </c>
      <c r="J94" s="10">
        <v>556.5</v>
      </c>
      <c r="K94" s="10">
        <v>556.5</v>
      </c>
      <c r="L94" s="10">
        <f t="shared" si="28"/>
        <v>0</v>
      </c>
      <c r="M94" s="10">
        <v>257.26</v>
      </c>
      <c r="N94" s="10">
        <v>257.26</v>
      </c>
      <c r="O94" s="10">
        <f t="shared" si="29"/>
        <v>0</v>
      </c>
      <c r="P94" s="11">
        <v>15750</v>
      </c>
      <c r="Q94" s="11">
        <v>34070.104174764834</v>
      </c>
      <c r="R94" s="11">
        <v>20000</v>
      </c>
      <c r="S94" s="11">
        <v>8764875</v>
      </c>
      <c r="T94" s="11">
        <v>1051784</v>
      </c>
      <c r="U94" s="12">
        <f t="shared" si="30"/>
        <v>0.1199998859082417</v>
      </c>
      <c r="V94" s="13">
        <f t="shared" si="53"/>
        <v>0</v>
      </c>
      <c r="W94" s="10">
        <f t="shared" si="31"/>
        <v>0</v>
      </c>
      <c r="X94" s="10"/>
      <c r="Y94" s="10"/>
      <c r="Z94" s="11">
        <f t="shared" si="32"/>
        <v>8764875</v>
      </c>
      <c r="AA94" s="14"/>
      <c r="AB94" s="14"/>
      <c r="AC94" s="11">
        <f t="shared" si="33"/>
        <v>8764875</v>
      </c>
      <c r="AD94" s="10">
        <f t="shared" si="34"/>
        <v>300</v>
      </c>
      <c r="AE94" s="15">
        <v>77178</v>
      </c>
      <c r="AF94" s="16">
        <v>13892</v>
      </c>
      <c r="AG94" s="15">
        <f t="shared" si="35"/>
        <v>0</v>
      </c>
      <c r="AH94" s="15">
        <f t="shared" si="36"/>
        <v>0</v>
      </c>
      <c r="AI94" s="15">
        <f t="shared" si="37"/>
        <v>77178</v>
      </c>
      <c r="AJ94" s="15">
        <f t="shared" si="38"/>
        <v>13893</v>
      </c>
      <c r="AK94" s="10">
        <v>77178</v>
      </c>
      <c r="AL94" s="15">
        <f t="shared" si="39"/>
        <v>77178</v>
      </c>
      <c r="AM94" s="15">
        <f t="shared" si="40"/>
        <v>8842053</v>
      </c>
      <c r="AN94" s="15">
        <f t="shared" si="41"/>
        <v>1065677</v>
      </c>
      <c r="AO94" s="15">
        <f t="shared" si="46"/>
        <v>1142855</v>
      </c>
      <c r="AP94" s="17">
        <f t="shared" si="42"/>
        <v>9984908</v>
      </c>
      <c r="AQ94" s="15">
        <v>8834995</v>
      </c>
      <c r="AR94" s="15">
        <v>0</v>
      </c>
      <c r="AS94" s="18">
        <f t="shared" si="47"/>
        <v>1149913</v>
      </c>
      <c r="AT94" s="19">
        <v>0</v>
      </c>
      <c r="AU94" s="8">
        <v>8800</v>
      </c>
      <c r="AV94" s="13">
        <f t="shared" si="48"/>
        <v>2263888</v>
      </c>
      <c r="AW94" s="18">
        <f t="shared" si="49"/>
        <v>8842053</v>
      </c>
      <c r="AX94" s="15">
        <f t="shared" si="43"/>
        <v>8843000</v>
      </c>
      <c r="AY94" s="20">
        <v>0.06</v>
      </c>
      <c r="AZ94" s="13">
        <f t="shared" si="44"/>
        <v>530580</v>
      </c>
      <c r="BA94" s="15">
        <f t="shared" si="45"/>
        <v>530600</v>
      </c>
      <c r="BB94" s="21">
        <f t="shared" si="50"/>
        <v>1680513</v>
      </c>
      <c r="BC94" s="10">
        <f t="shared" si="51"/>
        <v>0</v>
      </c>
      <c r="BD94" s="10">
        <f t="shared" si="52"/>
        <v>0</v>
      </c>
      <c r="BE94" s="10">
        <v>51.7</v>
      </c>
      <c r="BF94" s="10">
        <v>23.9</v>
      </c>
      <c r="BG94" s="107">
        <v>46176</v>
      </c>
      <c r="BH94" s="107">
        <f t="shared" si="54"/>
        <v>46206</v>
      </c>
      <c r="BI94" s="23">
        <v>6</v>
      </c>
      <c r="BJ94" s="64"/>
      <c r="BK94" s="6"/>
      <c r="BL94" s="24">
        <f>VLOOKUP(A94,[2]Sheet1!$D$2:$H$933,5,0)</f>
        <v>0</v>
      </c>
      <c r="BM94" s="6" t="s">
        <v>3828</v>
      </c>
      <c r="BN94" s="6" t="s">
        <v>3829</v>
      </c>
      <c r="BO94" s="6" t="s">
        <v>3820</v>
      </c>
      <c r="BP94" s="6" t="s">
        <v>3821</v>
      </c>
      <c r="BQ94" s="6" t="s">
        <v>3830</v>
      </c>
      <c r="BR94" t="s">
        <v>3823</v>
      </c>
      <c r="BS94" t="s">
        <v>3824</v>
      </c>
      <c r="BT94" t="s">
        <v>3825</v>
      </c>
      <c r="BU94" t="s">
        <v>3826</v>
      </c>
      <c r="BV94" t="s">
        <v>3827</v>
      </c>
      <c r="BW94" t="s">
        <v>3835</v>
      </c>
      <c r="BX94">
        <v>0</v>
      </c>
      <c r="BY94" t="s">
        <v>3868</v>
      </c>
      <c r="BZ94" t="s">
        <v>3863</v>
      </c>
    </row>
    <row r="95" spans="1:78" x14ac:dyDescent="0.25">
      <c r="A95" s="7" t="s">
        <v>457</v>
      </c>
      <c r="B95" s="7" t="s">
        <v>181</v>
      </c>
      <c r="C95" s="7" t="s">
        <v>455</v>
      </c>
      <c r="D95" s="8" t="s">
        <v>456</v>
      </c>
      <c r="E95" s="7" t="s">
        <v>458</v>
      </c>
      <c r="F95" s="9">
        <v>45020</v>
      </c>
      <c r="G95" s="9" t="s">
        <v>404</v>
      </c>
      <c r="H95" s="9" t="s">
        <v>72</v>
      </c>
      <c r="I95" s="8" t="s">
        <v>78</v>
      </c>
      <c r="J95" s="10">
        <v>556.5</v>
      </c>
      <c r="K95" s="10">
        <v>556.5</v>
      </c>
      <c r="L95" s="10">
        <f t="shared" si="28"/>
        <v>0</v>
      </c>
      <c r="M95" s="10">
        <v>257.26</v>
      </c>
      <c r="N95" s="10">
        <v>257.26</v>
      </c>
      <c r="O95" s="10">
        <f t="shared" si="29"/>
        <v>0</v>
      </c>
      <c r="P95" s="11">
        <v>9980.4797843665765</v>
      </c>
      <c r="Q95" s="11">
        <v>21589.586410635155</v>
      </c>
      <c r="R95" s="11">
        <v>20000</v>
      </c>
      <c r="S95" s="11">
        <v>5554137</v>
      </c>
      <c r="T95" s="11">
        <v>666496</v>
      </c>
      <c r="U95" s="12">
        <f t="shared" si="30"/>
        <v>0.11999992077977191</v>
      </c>
      <c r="V95" s="13">
        <f t="shared" si="53"/>
        <v>0</v>
      </c>
      <c r="W95" s="10">
        <f t="shared" si="31"/>
        <v>0</v>
      </c>
      <c r="X95" s="10"/>
      <c r="Y95" s="10"/>
      <c r="Z95" s="11">
        <f t="shared" si="32"/>
        <v>5554137</v>
      </c>
      <c r="AA95" s="14">
        <v>1106828</v>
      </c>
      <c r="AB95" s="14">
        <v>132820</v>
      </c>
      <c r="AC95" s="11">
        <f t="shared" si="33"/>
        <v>4447309</v>
      </c>
      <c r="AD95" s="10">
        <f t="shared" si="34"/>
        <v>300</v>
      </c>
      <c r="AE95" s="15">
        <v>77178</v>
      </c>
      <c r="AF95" s="16">
        <v>13892</v>
      </c>
      <c r="AG95" s="15">
        <f t="shared" si="35"/>
        <v>0</v>
      </c>
      <c r="AH95" s="15">
        <f t="shared" si="36"/>
        <v>0</v>
      </c>
      <c r="AI95" s="15">
        <f t="shared" si="37"/>
        <v>77178</v>
      </c>
      <c r="AJ95" s="15">
        <f t="shared" si="38"/>
        <v>13893</v>
      </c>
      <c r="AK95" s="10">
        <v>77178</v>
      </c>
      <c r="AL95" s="15">
        <f t="shared" si="39"/>
        <v>77178</v>
      </c>
      <c r="AM95" s="15">
        <f t="shared" si="40"/>
        <v>4524487</v>
      </c>
      <c r="AN95" s="15">
        <f t="shared" si="41"/>
        <v>547569</v>
      </c>
      <c r="AO95" s="15">
        <f t="shared" si="46"/>
        <v>624747</v>
      </c>
      <c r="AP95" s="17">
        <f t="shared" si="42"/>
        <v>5149234</v>
      </c>
      <c r="AQ95" s="15">
        <v>4072868</v>
      </c>
      <c r="AR95" s="15">
        <v>0</v>
      </c>
      <c r="AS95" s="18">
        <f t="shared" si="47"/>
        <v>1076366</v>
      </c>
      <c r="AT95" s="19">
        <v>0</v>
      </c>
      <c r="AU95" s="8">
        <v>8800</v>
      </c>
      <c r="AV95" s="13">
        <f t="shared" si="48"/>
        <v>2263888</v>
      </c>
      <c r="AW95" s="18">
        <f t="shared" si="49"/>
        <v>4524487</v>
      </c>
      <c r="AX95" s="15">
        <f t="shared" si="43"/>
        <v>4525000</v>
      </c>
      <c r="AY95" s="20">
        <v>7.0000000000000007E-2</v>
      </c>
      <c r="AZ95" s="13">
        <f t="shared" si="44"/>
        <v>316750.00000000006</v>
      </c>
      <c r="BA95" s="15">
        <f t="shared" si="45"/>
        <v>316800</v>
      </c>
      <c r="BB95" s="21">
        <f t="shared" si="50"/>
        <v>1393166</v>
      </c>
      <c r="BC95" s="10">
        <f t="shared" si="51"/>
        <v>0</v>
      </c>
      <c r="BD95" s="10">
        <f t="shared" si="52"/>
        <v>0</v>
      </c>
      <c r="BE95" s="10">
        <v>51.7</v>
      </c>
      <c r="BF95" s="10">
        <v>23.9</v>
      </c>
      <c r="BG95" s="107">
        <v>46176</v>
      </c>
      <c r="BH95" s="107">
        <f t="shared" si="54"/>
        <v>46206</v>
      </c>
      <c r="BI95" s="23">
        <v>7</v>
      </c>
      <c r="BJ95" s="6"/>
      <c r="BK95" s="6"/>
      <c r="BL95" s="24">
        <f>VLOOKUP(A95,[2]Sheet1!$D$2:$H$933,5,0)</f>
        <v>0</v>
      </c>
      <c r="BM95" s="6" t="s">
        <v>3828</v>
      </c>
      <c r="BN95" s="6" t="s">
        <v>3829</v>
      </c>
      <c r="BO95" s="6" t="s">
        <v>3820</v>
      </c>
      <c r="BP95" s="6" t="s">
        <v>3821</v>
      </c>
      <c r="BQ95" s="6" t="s">
        <v>3830</v>
      </c>
      <c r="BR95" t="s">
        <v>3823</v>
      </c>
      <c r="BS95" t="s">
        <v>3824</v>
      </c>
      <c r="BT95" t="s">
        <v>3825</v>
      </c>
      <c r="BU95" t="s">
        <v>3826</v>
      </c>
      <c r="BV95" t="s">
        <v>3827</v>
      </c>
      <c r="BW95" t="s">
        <v>3835</v>
      </c>
      <c r="BX95">
        <v>0</v>
      </c>
      <c r="BY95" t="s">
        <v>3862</v>
      </c>
      <c r="BZ95" t="s">
        <v>3863</v>
      </c>
    </row>
    <row r="96" spans="1:78" x14ac:dyDescent="0.25">
      <c r="A96" s="7" t="s">
        <v>461</v>
      </c>
      <c r="B96" s="7" t="s">
        <v>181</v>
      </c>
      <c r="C96" s="7" t="s">
        <v>459</v>
      </c>
      <c r="D96" s="8" t="s">
        <v>460</v>
      </c>
      <c r="E96" s="7" t="s">
        <v>462</v>
      </c>
      <c r="F96" s="9">
        <v>44895</v>
      </c>
      <c r="G96" s="9" t="s">
        <v>404</v>
      </c>
      <c r="H96" s="9" t="s">
        <v>72</v>
      </c>
      <c r="I96" s="8" t="s">
        <v>78</v>
      </c>
      <c r="J96" s="10">
        <v>556.5</v>
      </c>
      <c r="K96" s="10">
        <v>556.5</v>
      </c>
      <c r="L96" s="10">
        <f t="shared" si="28"/>
        <v>0</v>
      </c>
      <c r="M96" s="10">
        <v>257.26</v>
      </c>
      <c r="N96" s="10">
        <v>257.26</v>
      </c>
      <c r="O96" s="10">
        <f t="shared" si="29"/>
        <v>0</v>
      </c>
      <c r="P96" s="11">
        <v>9000</v>
      </c>
      <c r="Q96" s="11">
        <v>19468.630957008474</v>
      </c>
      <c r="R96" s="11">
        <v>20000</v>
      </c>
      <c r="S96" s="11">
        <v>5008500</v>
      </c>
      <c r="T96" s="11">
        <v>601020</v>
      </c>
      <c r="U96" s="12">
        <f t="shared" si="30"/>
        <v>0.12</v>
      </c>
      <c r="V96" s="13">
        <f t="shared" si="53"/>
        <v>0</v>
      </c>
      <c r="W96" s="10">
        <f t="shared" si="31"/>
        <v>0</v>
      </c>
      <c r="X96" s="10"/>
      <c r="Y96" s="10"/>
      <c r="Z96" s="11">
        <f t="shared" si="32"/>
        <v>5008500</v>
      </c>
      <c r="AA96" s="14">
        <v>603703</v>
      </c>
      <c r="AB96" s="14">
        <v>72444</v>
      </c>
      <c r="AC96" s="11">
        <f t="shared" si="33"/>
        <v>4404797</v>
      </c>
      <c r="AD96" s="10">
        <f t="shared" si="34"/>
        <v>300</v>
      </c>
      <c r="AE96" s="15">
        <v>77178</v>
      </c>
      <c r="AF96" s="16">
        <v>13892</v>
      </c>
      <c r="AG96" s="15">
        <f t="shared" si="35"/>
        <v>0</v>
      </c>
      <c r="AH96" s="15">
        <f t="shared" si="36"/>
        <v>0</v>
      </c>
      <c r="AI96" s="15">
        <f t="shared" si="37"/>
        <v>77178</v>
      </c>
      <c r="AJ96" s="15">
        <f t="shared" si="38"/>
        <v>13893</v>
      </c>
      <c r="AK96" s="10">
        <v>77178</v>
      </c>
      <c r="AL96" s="15">
        <f t="shared" si="39"/>
        <v>77178</v>
      </c>
      <c r="AM96" s="15">
        <f t="shared" si="40"/>
        <v>4481975</v>
      </c>
      <c r="AN96" s="15">
        <f t="shared" si="41"/>
        <v>542469</v>
      </c>
      <c r="AO96" s="15">
        <f t="shared" si="46"/>
        <v>619647</v>
      </c>
      <c r="AP96" s="17">
        <f t="shared" si="42"/>
        <v>5101622</v>
      </c>
      <c r="AQ96" s="15">
        <v>4532447</v>
      </c>
      <c r="AR96" s="15">
        <v>0</v>
      </c>
      <c r="AS96" s="18">
        <f t="shared" si="47"/>
        <v>569175</v>
      </c>
      <c r="AT96" s="19">
        <v>0</v>
      </c>
      <c r="AU96" s="8">
        <v>8800</v>
      </c>
      <c r="AV96" s="13">
        <f t="shared" si="48"/>
        <v>2263888</v>
      </c>
      <c r="AW96" s="18">
        <f t="shared" si="49"/>
        <v>4481975</v>
      </c>
      <c r="AX96" s="15">
        <f t="shared" si="43"/>
        <v>4482000</v>
      </c>
      <c r="AY96" s="20">
        <v>7.0000000000000007E-2</v>
      </c>
      <c r="AZ96" s="13">
        <f t="shared" si="44"/>
        <v>313740.00000000006</v>
      </c>
      <c r="BA96" s="15">
        <f t="shared" si="45"/>
        <v>313800</v>
      </c>
      <c r="BB96" s="21">
        <f t="shared" si="50"/>
        <v>882975</v>
      </c>
      <c r="BC96" s="10">
        <f t="shared" si="51"/>
        <v>0</v>
      </c>
      <c r="BD96" s="10">
        <f t="shared" si="52"/>
        <v>0</v>
      </c>
      <c r="BE96" s="10">
        <v>51.7</v>
      </c>
      <c r="BF96" s="10">
        <v>23.9</v>
      </c>
      <c r="BG96" s="107">
        <v>46176</v>
      </c>
      <c r="BH96" s="107">
        <f t="shared" si="54"/>
        <v>46206</v>
      </c>
      <c r="BI96" s="23">
        <v>7</v>
      </c>
      <c r="BJ96" s="6"/>
      <c r="BK96" s="6"/>
      <c r="BL96" s="24">
        <f>VLOOKUP(A96,[2]Sheet1!$D$2:$H$933,5,0)</f>
        <v>0</v>
      </c>
      <c r="BM96" s="6" t="s">
        <v>3828</v>
      </c>
      <c r="BN96" s="6" t="s">
        <v>3829</v>
      </c>
      <c r="BO96" s="6" t="s">
        <v>3820</v>
      </c>
      <c r="BP96" s="6" t="s">
        <v>3821</v>
      </c>
      <c r="BQ96" s="6" t="s">
        <v>3830</v>
      </c>
      <c r="BR96" t="s">
        <v>3823</v>
      </c>
      <c r="BS96" t="s">
        <v>3824</v>
      </c>
      <c r="BT96" t="s">
        <v>3825</v>
      </c>
      <c r="BU96" t="s">
        <v>3826</v>
      </c>
      <c r="BV96" t="s">
        <v>3827</v>
      </c>
      <c r="BW96" t="s">
        <v>3835</v>
      </c>
      <c r="BX96">
        <v>0</v>
      </c>
      <c r="BY96" t="s">
        <v>3867</v>
      </c>
      <c r="BZ96" t="s">
        <v>3863</v>
      </c>
    </row>
    <row r="97" spans="1:78" x14ac:dyDescent="0.25">
      <c r="A97" s="7" t="s">
        <v>465</v>
      </c>
      <c r="B97" s="7" t="s">
        <v>181</v>
      </c>
      <c r="C97" s="7" t="s">
        <v>463</v>
      </c>
      <c r="D97" s="8" t="s">
        <v>464</v>
      </c>
      <c r="E97" s="7" t="s">
        <v>466</v>
      </c>
      <c r="F97" s="9">
        <v>44896</v>
      </c>
      <c r="G97" s="9" t="s">
        <v>404</v>
      </c>
      <c r="H97" s="9" t="s">
        <v>72</v>
      </c>
      <c r="I97" s="8" t="s">
        <v>78</v>
      </c>
      <c r="J97" s="10">
        <v>424.1</v>
      </c>
      <c r="K97" s="10">
        <v>424.1</v>
      </c>
      <c r="L97" s="10">
        <f t="shared" si="28"/>
        <v>0</v>
      </c>
      <c r="M97" s="10">
        <v>186.76</v>
      </c>
      <c r="N97" s="10">
        <v>186.76</v>
      </c>
      <c r="O97" s="10">
        <f t="shared" si="29"/>
        <v>0</v>
      </c>
      <c r="P97" s="11">
        <v>9000</v>
      </c>
      <c r="Q97" s="11">
        <v>20437.459841507818</v>
      </c>
      <c r="R97" s="11">
        <v>20000</v>
      </c>
      <c r="S97" s="11">
        <v>3816900</v>
      </c>
      <c r="T97" s="11">
        <v>458028</v>
      </c>
      <c r="U97" s="12">
        <f t="shared" si="30"/>
        <v>0.12</v>
      </c>
      <c r="V97" s="13">
        <f t="shared" si="53"/>
        <v>0</v>
      </c>
      <c r="W97" s="10">
        <f t="shared" si="31"/>
        <v>0</v>
      </c>
      <c r="X97" s="10"/>
      <c r="Y97" s="10"/>
      <c r="Z97" s="11">
        <f t="shared" si="32"/>
        <v>3816900</v>
      </c>
      <c r="AA97" s="14">
        <v>436883</v>
      </c>
      <c r="AB97" s="14">
        <v>52426</v>
      </c>
      <c r="AC97" s="11">
        <f t="shared" si="33"/>
        <v>3380017</v>
      </c>
      <c r="AD97" s="10">
        <f t="shared" si="34"/>
        <v>300</v>
      </c>
      <c r="AE97" s="15">
        <v>56028</v>
      </c>
      <c r="AF97" s="16">
        <v>10086</v>
      </c>
      <c r="AG97" s="15">
        <f t="shared" si="35"/>
        <v>0</v>
      </c>
      <c r="AH97" s="15">
        <f t="shared" si="36"/>
        <v>0</v>
      </c>
      <c r="AI97" s="15">
        <f t="shared" si="37"/>
        <v>56028</v>
      </c>
      <c r="AJ97" s="15">
        <f t="shared" si="38"/>
        <v>10086</v>
      </c>
      <c r="AK97" s="10">
        <v>56028</v>
      </c>
      <c r="AL97" s="15">
        <f t="shared" si="39"/>
        <v>56028</v>
      </c>
      <c r="AM97" s="15">
        <f t="shared" si="40"/>
        <v>3436045</v>
      </c>
      <c r="AN97" s="15">
        <f t="shared" si="41"/>
        <v>415688</v>
      </c>
      <c r="AO97" s="15">
        <f t="shared" si="46"/>
        <v>471716</v>
      </c>
      <c r="AP97" s="17">
        <f t="shared" si="42"/>
        <v>3907761</v>
      </c>
      <c r="AQ97" s="15">
        <v>3506696</v>
      </c>
      <c r="AR97" s="15">
        <v>0</v>
      </c>
      <c r="AS97" s="18">
        <f t="shared" si="47"/>
        <v>401065</v>
      </c>
      <c r="AT97" s="19">
        <v>0</v>
      </c>
      <c r="AU97" s="8">
        <v>8800</v>
      </c>
      <c r="AV97" s="13">
        <f t="shared" si="48"/>
        <v>1643488</v>
      </c>
      <c r="AW97" s="18">
        <f t="shared" si="49"/>
        <v>3436045</v>
      </c>
      <c r="AX97" s="15">
        <f t="shared" si="43"/>
        <v>3437000</v>
      </c>
      <c r="AY97" s="20">
        <v>0.06</v>
      </c>
      <c r="AZ97" s="13">
        <f t="shared" si="44"/>
        <v>206220</v>
      </c>
      <c r="BA97" s="15">
        <f t="shared" si="45"/>
        <v>206300</v>
      </c>
      <c r="BB97" s="21">
        <f t="shared" si="50"/>
        <v>607365</v>
      </c>
      <c r="BC97" s="10">
        <f t="shared" si="51"/>
        <v>0</v>
      </c>
      <c r="BD97" s="10">
        <f t="shared" si="52"/>
        <v>0</v>
      </c>
      <c r="BE97" s="10">
        <v>39.4</v>
      </c>
      <c r="BF97" s="10">
        <v>17.350000000000001</v>
      </c>
      <c r="BG97" s="107">
        <v>46176</v>
      </c>
      <c r="BH97" s="107">
        <f t="shared" si="54"/>
        <v>46206</v>
      </c>
      <c r="BI97" s="23">
        <v>6</v>
      </c>
      <c r="BJ97" s="6"/>
      <c r="BK97" s="6"/>
      <c r="BL97" s="24">
        <f>VLOOKUP(A97,[2]Sheet1!$D$2:$H$933,5,0)</f>
        <v>0</v>
      </c>
      <c r="BM97" s="6" t="s">
        <v>3828</v>
      </c>
      <c r="BN97" s="6" t="s">
        <v>3829</v>
      </c>
      <c r="BO97" s="6" t="s">
        <v>3820</v>
      </c>
      <c r="BP97" s="6" t="s">
        <v>3821</v>
      </c>
      <c r="BQ97" s="6" t="s">
        <v>3830</v>
      </c>
      <c r="BR97" t="s">
        <v>3823</v>
      </c>
      <c r="BS97" t="s">
        <v>3824</v>
      </c>
      <c r="BT97" t="s">
        <v>3825</v>
      </c>
      <c r="BU97" t="s">
        <v>3826</v>
      </c>
      <c r="BV97" t="s">
        <v>3827</v>
      </c>
      <c r="BW97" t="s">
        <v>3835</v>
      </c>
      <c r="BX97">
        <v>0</v>
      </c>
      <c r="BY97" t="s">
        <v>3869</v>
      </c>
      <c r="BZ97" t="s">
        <v>3863</v>
      </c>
    </row>
    <row r="98" spans="1:78" x14ac:dyDescent="0.25">
      <c r="A98" s="7" t="s">
        <v>469</v>
      </c>
      <c r="B98" s="7" t="s">
        <v>181</v>
      </c>
      <c r="C98" s="7" t="s">
        <v>467</v>
      </c>
      <c r="D98" s="8" t="s">
        <v>468</v>
      </c>
      <c r="E98" s="7" t="s">
        <v>470</v>
      </c>
      <c r="F98" s="9">
        <v>45216</v>
      </c>
      <c r="G98" s="9" t="s">
        <v>404</v>
      </c>
      <c r="H98" s="9" t="s">
        <v>72</v>
      </c>
      <c r="I98" s="8" t="s">
        <v>78</v>
      </c>
      <c r="J98" s="10">
        <v>991.58</v>
      </c>
      <c r="K98" s="10">
        <v>991.58</v>
      </c>
      <c r="L98" s="10">
        <f t="shared" si="28"/>
        <v>0</v>
      </c>
      <c r="M98" s="10">
        <v>453.06</v>
      </c>
      <c r="N98" s="10">
        <v>453.06</v>
      </c>
      <c r="O98" s="10">
        <f t="shared" si="29"/>
        <v>0</v>
      </c>
      <c r="P98" s="11">
        <v>9999.9979830170032</v>
      </c>
      <c r="Q98" s="11">
        <v>21886.279962918819</v>
      </c>
      <c r="R98" s="11">
        <v>20000</v>
      </c>
      <c r="S98" s="11">
        <v>9915798</v>
      </c>
      <c r="T98" s="11">
        <v>1189896</v>
      </c>
      <c r="U98" s="12">
        <f t="shared" si="30"/>
        <v>0.12000002420380085</v>
      </c>
      <c r="V98" s="13">
        <f t="shared" si="53"/>
        <v>0</v>
      </c>
      <c r="W98" s="10">
        <f t="shared" si="31"/>
        <v>0</v>
      </c>
      <c r="X98" s="10"/>
      <c r="Y98" s="10"/>
      <c r="Z98" s="11">
        <f t="shared" si="32"/>
        <v>9915798</v>
      </c>
      <c r="AA98" s="14"/>
      <c r="AB98" s="14"/>
      <c r="AC98" s="11">
        <f t="shared" si="33"/>
        <v>9915798</v>
      </c>
      <c r="AD98" s="10">
        <f t="shared" si="34"/>
        <v>300</v>
      </c>
      <c r="AE98" s="15">
        <v>135918</v>
      </c>
      <c r="AF98" s="16">
        <v>24466</v>
      </c>
      <c r="AG98" s="15">
        <f t="shared" si="35"/>
        <v>0</v>
      </c>
      <c r="AH98" s="15">
        <f t="shared" si="36"/>
        <v>0</v>
      </c>
      <c r="AI98" s="15">
        <f t="shared" si="37"/>
        <v>135918</v>
      </c>
      <c r="AJ98" s="15">
        <f t="shared" si="38"/>
        <v>24466</v>
      </c>
      <c r="AK98" s="10">
        <v>135918</v>
      </c>
      <c r="AL98" s="15">
        <f t="shared" si="39"/>
        <v>135918</v>
      </c>
      <c r="AM98" s="15">
        <f t="shared" si="40"/>
        <v>10051716</v>
      </c>
      <c r="AN98" s="15">
        <f t="shared" si="41"/>
        <v>1214362</v>
      </c>
      <c r="AO98" s="15">
        <f t="shared" si="46"/>
        <v>1350280</v>
      </c>
      <c r="AP98" s="17">
        <f t="shared" si="42"/>
        <v>11401996</v>
      </c>
      <c r="AQ98" s="15">
        <v>9995126</v>
      </c>
      <c r="AR98" s="15">
        <v>0</v>
      </c>
      <c r="AS98" s="18">
        <f t="shared" si="47"/>
        <v>1406870</v>
      </c>
      <c r="AT98" s="19">
        <v>0</v>
      </c>
      <c r="AU98" s="8">
        <v>8800</v>
      </c>
      <c r="AV98" s="13">
        <f t="shared" si="48"/>
        <v>3986928</v>
      </c>
      <c r="AW98" s="18">
        <f t="shared" si="49"/>
        <v>10051716</v>
      </c>
      <c r="AX98" s="15">
        <f t="shared" si="43"/>
        <v>10052000</v>
      </c>
      <c r="AY98" s="20">
        <v>6.3399999999999998E-2</v>
      </c>
      <c r="AZ98" s="13">
        <f t="shared" si="44"/>
        <v>637296.79999999993</v>
      </c>
      <c r="BA98" s="15">
        <f t="shared" si="45"/>
        <v>637300</v>
      </c>
      <c r="BB98" s="21">
        <f t="shared" si="50"/>
        <v>2044170</v>
      </c>
      <c r="BC98" s="10">
        <f t="shared" si="51"/>
        <v>0</v>
      </c>
      <c r="BD98" s="10">
        <f t="shared" si="52"/>
        <v>0</v>
      </c>
      <c r="BE98" s="10">
        <v>92.12</v>
      </c>
      <c r="BF98" s="10">
        <v>42.09</v>
      </c>
      <c r="BG98" s="107">
        <v>46176</v>
      </c>
      <c r="BH98" s="107">
        <f t="shared" si="54"/>
        <v>46206</v>
      </c>
      <c r="BI98" s="23">
        <v>6.34</v>
      </c>
      <c r="BJ98" s="6"/>
      <c r="BK98" s="6"/>
      <c r="BL98" s="24">
        <f>VLOOKUP(A98,[2]Sheet1!$D$2:$H$933,5,0)</f>
        <v>0</v>
      </c>
      <c r="BM98" s="6" t="s">
        <v>3828</v>
      </c>
      <c r="BN98" s="6" t="s">
        <v>3829</v>
      </c>
      <c r="BO98" s="6" t="s">
        <v>3820</v>
      </c>
      <c r="BP98" s="6" t="s">
        <v>3821</v>
      </c>
      <c r="BQ98" s="6" t="s">
        <v>3830</v>
      </c>
      <c r="BR98" t="s">
        <v>3823</v>
      </c>
      <c r="BS98" t="s">
        <v>3824</v>
      </c>
      <c r="BT98" t="s">
        <v>3825</v>
      </c>
      <c r="BU98" t="s">
        <v>3826</v>
      </c>
      <c r="BV98" t="s">
        <v>3827</v>
      </c>
      <c r="BW98" t="s">
        <v>3835</v>
      </c>
      <c r="BX98">
        <v>0</v>
      </c>
      <c r="BY98" t="s">
        <v>3861</v>
      </c>
      <c r="BZ98" t="s">
        <v>3863</v>
      </c>
    </row>
    <row r="99" spans="1:78" x14ac:dyDescent="0.25">
      <c r="A99" s="7" t="s">
        <v>473</v>
      </c>
      <c r="B99" s="7" t="s">
        <v>181</v>
      </c>
      <c r="C99" s="7" t="s">
        <v>471</v>
      </c>
      <c r="D99" s="8" t="s">
        <v>472</v>
      </c>
      <c r="E99" s="7" t="s">
        <v>474</v>
      </c>
      <c r="F99" s="9">
        <v>44875</v>
      </c>
      <c r="G99" s="9" t="s">
        <v>404</v>
      </c>
      <c r="H99" s="9" t="s">
        <v>72</v>
      </c>
      <c r="I99" s="8" t="s">
        <v>78</v>
      </c>
      <c r="J99" s="10">
        <v>365.98</v>
      </c>
      <c r="K99" s="10">
        <v>365.98</v>
      </c>
      <c r="L99" s="10">
        <f t="shared" si="28"/>
        <v>0</v>
      </c>
      <c r="M99" s="10">
        <v>156.08000000000001</v>
      </c>
      <c r="N99" s="10">
        <v>156.08000000000001</v>
      </c>
      <c r="O99" s="10">
        <f t="shared" si="29"/>
        <v>0</v>
      </c>
      <c r="P99" s="11">
        <v>11871.001147603694</v>
      </c>
      <c r="Q99" s="11">
        <v>27835.398513582775</v>
      </c>
      <c r="R99" s="11">
        <v>20000</v>
      </c>
      <c r="S99" s="11">
        <v>4344549</v>
      </c>
      <c r="T99" s="11">
        <v>521346</v>
      </c>
      <c r="U99" s="12">
        <f t="shared" si="30"/>
        <v>0.12000002762081864</v>
      </c>
      <c r="V99" s="13">
        <f t="shared" si="53"/>
        <v>0</v>
      </c>
      <c r="W99" s="10">
        <f t="shared" si="31"/>
        <v>0</v>
      </c>
      <c r="X99" s="10"/>
      <c r="Y99" s="10"/>
      <c r="Z99" s="11">
        <f t="shared" si="32"/>
        <v>4344549</v>
      </c>
      <c r="AA99" s="14">
        <v>427214</v>
      </c>
      <c r="AB99" s="14">
        <v>51266</v>
      </c>
      <c r="AC99" s="11">
        <f t="shared" si="33"/>
        <v>3917335</v>
      </c>
      <c r="AD99" s="10">
        <f t="shared" si="34"/>
        <v>300</v>
      </c>
      <c r="AE99" s="15">
        <v>46824</v>
      </c>
      <c r="AF99" s="16">
        <v>8428</v>
      </c>
      <c r="AG99" s="15">
        <f t="shared" si="35"/>
        <v>0</v>
      </c>
      <c r="AH99" s="15">
        <f t="shared" si="36"/>
        <v>0</v>
      </c>
      <c r="AI99" s="15">
        <f t="shared" si="37"/>
        <v>46824.000000000007</v>
      </c>
      <c r="AJ99" s="15">
        <f t="shared" si="38"/>
        <v>8429</v>
      </c>
      <c r="AK99" s="10">
        <v>46824</v>
      </c>
      <c r="AL99" s="15">
        <f t="shared" si="39"/>
        <v>46824.000000000007</v>
      </c>
      <c r="AM99" s="15">
        <f t="shared" si="40"/>
        <v>3964159</v>
      </c>
      <c r="AN99" s="15">
        <f t="shared" si="41"/>
        <v>478509</v>
      </c>
      <c r="AO99" s="15">
        <f t="shared" si="46"/>
        <v>525333</v>
      </c>
      <c r="AP99" s="17">
        <f t="shared" si="42"/>
        <v>4489492</v>
      </c>
      <c r="AQ99" s="15">
        <v>3900827</v>
      </c>
      <c r="AR99" s="15">
        <v>0</v>
      </c>
      <c r="AS99" s="18">
        <f t="shared" si="47"/>
        <v>588665</v>
      </c>
      <c r="AT99" s="19">
        <v>4978654</v>
      </c>
      <c r="AU99" s="8">
        <v>8800</v>
      </c>
      <c r="AV99" s="13">
        <f t="shared" si="48"/>
        <v>1373504</v>
      </c>
      <c r="AW99" s="18">
        <f t="shared" si="49"/>
        <v>4978654</v>
      </c>
      <c r="AX99" s="15">
        <f t="shared" si="43"/>
        <v>4979000</v>
      </c>
      <c r="AY99" s="20">
        <v>0.05</v>
      </c>
      <c r="AZ99" s="13">
        <f t="shared" si="44"/>
        <v>248950</v>
      </c>
      <c r="BA99" s="15">
        <f t="shared" si="45"/>
        <v>249000</v>
      </c>
      <c r="BB99" s="21">
        <f t="shared" si="50"/>
        <v>837665</v>
      </c>
      <c r="BC99" s="10">
        <f t="shared" si="51"/>
        <v>0</v>
      </c>
      <c r="BD99" s="10">
        <f t="shared" si="52"/>
        <v>0</v>
      </c>
      <c r="BE99" s="10">
        <v>34</v>
      </c>
      <c r="BF99" s="10">
        <v>14.5</v>
      </c>
      <c r="BG99" s="107">
        <v>46176</v>
      </c>
      <c r="BH99" s="107">
        <f t="shared" si="54"/>
        <v>46206</v>
      </c>
      <c r="BI99" s="23">
        <v>5</v>
      </c>
      <c r="BJ99" s="6"/>
      <c r="BK99" s="6"/>
      <c r="BL99" s="24">
        <f>VLOOKUP(A99,[2]Sheet1!$D$2:$H$933,5,0)</f>
        <v>0</v>
      </c>
      <c r="BM99" s="6" t="s">
        <v>3828</v>
      </c>
      <c r="BN99" s="6" t="s">
        <v>3829</v>
      </c>
      <c r="BO99" s="6" t="s">
        <v>3820</v>
      </c>
      <c r="BP99" s="6" t="s">
        <v>3821</v>
      </c>
      <c r="BQ99" s="6" t="s">
        <v>3830</v>
      </c>
      <c r="BR99" t="s">
        <v>3823</v>
      </c>
      <c r="BS99" t="s">
        <v>3824</v>
      </c>
      <c r="BT99" t="s">
        <v>3825</v>
      </c>
      <c r="BU99" t="s">
        <v>3826</v>
      </c>
      <c r="BV99" t="s">
        <v>3827</v>
      </c>
      <c r="BW99" t="s">
        <v>3835</v>
      </c>
      <c r="BX99">
        <v>0</v>
      </c>
      <c r="BY99" t="s">
        <v>3862</v>
      </c>
      <c r="BZ99" t="s">
        <v>3863</v>
      </c>
    </row>
    <row r="100" spans="1:78" x14ac:dyDescent="0.25">
      <c r="A100" s="7" t="s">
        <v>477</v>
      </c>
      <c r="B100" s="7" t="s">
        <v>181</v>
      </c>
      <c r="C100" s="7" t="s">
        <v>475</v>
      </c>
      <c r="D100" s="8" t="s">
        <v>476</v>
      </c>
      <c r="E100" s="7" t="s">
        <v>478</v>
      </c>
      <c r="F100" s="9">
        <v>44896</v>
      </c>
      <c r="G100" s="9" t="s">
        <v>404</v>
      </c>
      <c r="H100" s="9" t="s">
        <v>72</v>
      </c>
      <c r="I100" s="8" t="s">
        <v>78</v>
      </c>
      <c r="J100" s="10">
        <v>537.12</v>
      </c>
      <c r="K100" s="10">
        <v>537.12</v>
      </c>
      <c r="L100" s="10">
        <f t="shared" si="28"/>
        <v>0</v>
      </c>
      <c r="M100" s="10">
        <v>242.19</v>
      </c>
      <c r="N100" s="10">
        <v>242.19</v>
      </c>
      <c r="O100" s="10">
        <f t="shared" si="29"/>
        <v>0</v>
      </c>
      <c r="P100" s="11">
        <v>9000</v>
      </c>
      <c r="Q100" s="11">
        <v>19959.866220735785</v>
      </c>
      <c r="R100" s="11">
        <v>20000</v>
      </c>
      <c r="S100" s="11">
        <v>4834080</v>
      </c>
      <c r="T100" s="11">
        <v>580090</v>
      </c>
      <c r="U100" s="12">
        <f t="shared" si="30"/>
        <v>0.12000008274583789</v>
      </c>
      <c r="V100" s="13">
        <f t="shared" si="53"/>
        <v>0</v>
      </c>
      <c r="W100" s="10">
        <f t="shared" si="31"/>
        <v>0</v>
      </c>
      <c r="X100" s="10"/>
      <c r="Y100" s="10"/>
      <c r="Z100" s="11">
        <f t="shared" si="32"/>
        <v>4834080</v>
      </c>
      <c r="AA100" s="14">
        <v>582679</v>
      </c>
      <c r="AB100" s="14">
        <v>69922</v>
      </c>
      <c r="AC100" s="11">
        <f t="shared" si="33"/>
        <v>4251401</v>
      </c>
      <c r="AD100" s="10">
        <f t="shared" si="34"/>
        <v>300</v>
      </c>
      <c r="AE100" s="15">
        <v>72657</v>
      </c>
      <c r="AF100" s="16">
        <v>13078</v>
      </c>
      <c r="AG100" s="15">
        <f t="shared" si="35"/>
        <v>0</v>
      </c>
      <c r="AH100" s="15">
        <f t="shared" si="36"/>
        <v>0</v>
      </c>
      <c r="AI100" s="15">
        <f t="shared" si="37"/>
        <v>72657</v>
      </c>
      <c r="AJ100" s="15">
        <f t="shared" si="38"/>
        <v>13079</v>
      </c>
      <c r="AK100" s="10">
        <v>72657</v>
      </c>
      <c r="AL100" s="15">
        <f t="shared" si="39"/>
        <v>72657</v>
      </c>
      <c r="AM100" s="15">
        <f t="shared" si="40"/>
        <v>4324058</v>
      </c>
      <c r="AN100" s="15">
        <f t="shared" si="41"/>
        <v>523247</v>
      </c>
      <c r="AO100" s="15">
        <f t="shared" si="46"/>
        <v>595904</v>
      </c>
      <c r="AP100" s="17">
        <f t="shared" si="42"/>
        <v>4919962</v>
      </c>
      <c r="AQ100" s="15">
        <v>3987645</v>
      </c>
      <c r="AR100" s="15">
        <v>0</v>
      </c>
      <c r="AS100" s="18">
        <f t="shared" si="47"/>
        <v>932317</v>
      </c>
      <c r="AT100" s="19">
        <v>0</v>
      </c>
      <c r="AU100" s="8">
        <v>8800</v>
      </c>
      <c r="AV100" s="13">
        <f t="shared" si="48"/>
        <v>2131272</v>
      </c>
      <c r="AW100" s="18">
        <f t="shared" si="49"/>
        <v>4324058</v>
      </c>
      <c r="AX100" s="15">
        <f t="shared" si="43"/>
        <v>4325000</v>
      </c>
      <c r="AY100" s="20">
        <v>0.06</v>
      </c>
      <c r="AZ100" s="13">
        <f t="shared" si="44"/>
        <v>259500</v>
      </c>
      <c r="BA100" s="15">
        <f t="shared" si="45"/>
        <v>259500</v>
      </c>
      <c r="BB100" s="21">
        <f t="shared" si="50"/>
        <v>1191817</v>
      </c>
      <c r="BC100" s="10">
        <f t="shared" si="51"/>
        <v>0</v>
      </c>
      <c r="BD100" s="10">
        <f t="shared" si="52"/>
        <v>0</v>
      </c>
      <c r="BE100" s="10">
        <v>49.9</v>
      </c>
      <c r="BF100" s="10">
        <v>22.5</v>
      </c>
      <c r="BG100" s="107">
        <v>46176</v>
      </c>
      <c r="BH100" s="107">
        <f t="shared" si="54"/>
        <v>46206</v>
      </c>
      <c r="BI100" s="23">
        <v>6</v>
      </c>
      <c r="BJ100" s="6"/>
      <c r="BK100" s="6"/>
      <c r="BL100" s="24">
        <f>VLOOKUP(A100,[2]Sheet1!$D$2:$H$933,5,0)</f>
        <v>0</v>
      </c>
      <c r="BM100" s="6" t="s">
        <v>3828</v>
      </c>
      <c r="BN100" s="6" t="s">
        <v>3829</v>
      </c>
      <c r="BO100" s="6" t="s">
        <v>3820</v>
      </c>
      <c r="BP100" s="6" t="s">
        <v>3821</v>
      </c>
      <c r="BQ100" s="6" t="s">
        <v>3830</v>
      </c>
      <c r="BR100" t="s">
        <v>3823</v>
      </c>
      <c r="BS100" t="s">
        <v>3824</v>
      </c>
      <c r="BT100" t="s">
        <v>3825</v>
      </c>
      <c r="BU100" t="s">
        <v>3826</v>
      </c>
      <c r="BV100" t="s">
        <v>3827</v>
      </c>
      <c r="BW100" t="s">
        <v>3835</v>
      </c>
      <c r="BX100">
        <v>0</v>
      </c>
      <c r="BY100" t="s">
        <v>3867</v>
      </c>
      <c r="BZ100" t="s">
        <v>3863</v>
      </c>
    </row>
    <row r="101" spans="1:78" x14ac:dyDescent="0.25">
      <c r="A101" s="7" t="s">
        <v>481</v>
      </c>
      <c r="B101" s="7" t="s">
        <v>181</v>
      </c>
      <c r="C101" s="7" t="s">
        <v>479</v>
      </c>
      <c r="D101" s="8" t="s">
        <v>480</v>
      </c>
      <c r="E101" s="7" t="s">
        <v>482</v>
      </c>
      <c r="F101" s="9">
        <v>44896</v>
      </c>
      <c r="G101" s="9" t="s">
        <v>404</v>
      </c>
      <c r="H101" s="9" t="s">
        <v>72</v>
      </c>
      <c r="I101" s="8" t="s">
        <v>78</v>
      </c>
      <c r="J101" s="10">
        <v>559.73</v>
      </c>
      <c r="K101" s="10">
        <v>559.73</v>
      </c>
      <c r="L101" s="10">
        <f t="shared" si="28"/>
        <v>0</v>
      </c>
      <c r="M101" s="10">
        <v>254.03</v>
      </c>
      <c r="N101" s="10">
        <v>254.03</v>
      </c>
      <c r="O101" s="10">
        <f t="shared" si="29"/>
        <v>0</v>
      </c>
      <c r="P101" s="11">
        <v>10150.000893287835</v>
      </c>
      <c r="Q101" s="11">
        <v>22364.523875132858</v>
      </c>
      <c r="R101" s="11">
        <v>20000</v>
      </c>
      <c r="S101" s="11">
        <v>5681260</v>
      </c>
      <c r="T101" s="11">
        <v>681752</v>
      </c>
      <c r="U101" s="12">
        <f t="shared" si="30"/>
        <v>0.12000014081383355</v>
      </c>
      <c r="V101" s="13">
        <f t="shared" si="53"/>
        <v>0</v>
      </c>
      <c r="W101" s="10">
        <f t="shared" si="31"/>
        <v>0</v>
      </c>
      <c r="X101" s="10"/>
      <c r="Y101" s="10"/>
      <c r="Z101" s="11">
        <f t="shared" si="32"/>
        <v>5681260</v>
      </c>
      <c r="AA101" s="14">
        <v>1973574</v>
      </c>
      <c r="AB101" s="14">
        <v>236828</v>
      </c>
      <c r="AC101" s="11">
        <f t="shared" si="33"/>
        <v>3707686</v>
      </c>
      <c r="AD101" s="10">
        <f t="shared" si="34"/>
        <v>300</v>
      </c>
      <c r="AE101" s="15">
        <v>76209</v>
      </c>
      <c r="AF101" s="16">
        <v>13718</v>
      </c>
      <c r="AG101" s="15">
        <f t="shared" si="35"/>
        <v>0</v>
      </c>
      <c r="AH101" s="15">
        <f t="shared" si="36"/>
        <v>0</v>
      </c>
      <c r="AI101" s="15">
        <f t="shared" si="37"/>
        <v>76209</v>
      </c>
      <c r="AJ101" s="15">
        <f t="shared" si="38"/>
        <v>13718</v>
      </c>
      <c r="AK101" s="10">
        <v>76209</v>
      </c>
      <c r="AL101" s="15">
        <f t="shared" si="39"/>
        <v>76209</v>
      </c>
      <c r="AM101" s="15">
        <f t="shared" si="40"/>
        <v>3783895</v>
      </c>
      <c r="AN101" s="15">
        <f t="shared" si="41"/>
        <v>458642</v>
      </c>
      <c r="AO101" s="15">
        <f t="shared" si="46"/>
        <v>534851</v>
      </c>
      <c r="AP101" s="17">
        <f t="shared" si="42"/>
        <v>4318746</v>
      </c>
      <c r="AQ101" s="15">
        <v>3516293</v>
      </c>
      <c r="AR101" s="15">
        <v>0</v>
      </c>
      <c r="AS101" s="18">
        <f t="shared" si="47"/>
        <v>802453</v>
      </c>
      <c r="AT101" s="19">
        <v>0</v>
      </c>
      <c r="AU101" s="8">
        <v>8800</v>
      </c>
      <c r="AV101" s="13">
        <f t="shared" si="48"/>
        <v>2235464</v>
      </c>
      <c r="AW101" s="18">
        <f t="shared" si="49"/>
        <v>3783895</v>
      </c>
      <c r="AX101" s="15">
        <f t="shared" si="43"/>
        <v>3784000</v>
      </c>
      <c r="AY101" s="20">
        <v>7.0000000000000007E-2</v>
      </c>
      <c r="AZ101" s="13">
        <f t="shared" si="44"/>
        <v>264880</v>
      </c>
      <c r="BA101" s="15">
        <f t="shared" si="45"/>
        <v>264900</v>
      </c>
      <c r="BB101" s="21">
        <f t="shared" si="50"/>
        <v>1067353</v>
      </c>
      <c r="BC101" s="10">
        <f t="shared" si="51"/>
        <v>0</v>
      </c>
      <c r="BD101" s="10">
        <f t="shared" si="52"/>
        <v>0</v>
      </c>
      <c r="BE101" s="10">
        <v>52</v>
      </c>
      <c r="BF101" s="10">
        <v>23.6</v>
      </c>
      <c r="BG101" s="107">
        <v>46176</v>
      </c>
      <c r="BH101" s="107">
        <f t="shared" si="54"/>
        <v>46206</v>
      </c>
      <c r="BI101" s="23">
        <v>7</v>
      </c>
      <c r="BJ101" s="6"/>
      <c r="BK101" s="6"/>
      <c r="BL101" s="24">
        <f>VLOOKUP(A101,[2]Sheet1!$D$2:$H$933,5,0)</f>
        <v>0</v>
      </c>
      <c r="BM101" s="6" t="s">
        <v>3828</v>
      </c>
      <c r="BN101" s="6" t="s">
        <v>3829</v>
      </c>
      <c r="BO101" s="6" t="s">
        <v>3820</v>
      </c>
      <c r="BP101" s="6" t="s">
        <v>3821</v>
      </c>
      <c r="BQ101" s="6" t="s">
        <v>3830</v>
      </c>
      <c r="BR101" t="s">
        <v>3823</v>
      </c>
      <c r="BS101" t="s">
        <v>3824</v>
      </c>
      <c r="BT101" t="s">
        <v>3825</v>
      </c>
      <c r="BU101" t="s">
        <v>3826</v>
      </c>
      <c r="BV101" t="s">
        <v>3827</v>
      </c>
      <c r="BW101" t="s">
        <v>3835</v>
      </c>
      <c r="BX101">
        <v>0</v>
      </c>
      <c r="BY101" t="s">
        <v>3867</v>
      </c>
      <c r="BZ101" t="s">
        <v>3863</v>
      </c>
    </row>
    <row r="102" spans="1:78" x14ac:dyDescent="0.25">
      <c r="A102" s="7" t="s">
        <v>485</v>
      </c>
      <c r="B102" s="7" t="s">
        <v>181</v>
      </c>
      <c r="C102" s="7" t="s">
        <v>483</v>
      </c>
      <c r="D102" s="8" t="s">
        <v>484</v>
      </c>
      <c r="E102" s="7" t="s">
        <v>486</v>
      </c>
      <c r="F102" s="9">
        <v>44914</v>
      </c>
      <c r="G102" s="9" t="s">
        <v>404</v>
      </c>
      <c r="H102" s="9" t="s">
        <v>72</v>
      </c>
      <c r="I102" s="8" t="s">
        <v>78</v>
      </c>
      <c r="J102" s="10">
        <v>587.28</v>
      </c>
      <c r="K102" s="10">
        <v>587.28</v>
      </c>
      <c r="L102" s="10">
        <f t="shared" si="28"/>
        <v>0</v>
      </c>
      <c r="M102" s="10">
        <v>265.87</v>
      </c>
      <c r="N102" s="10">
        <v>265.87</v>
      </c>
      <c r="O102" s="10">
        <f t="shared" si="29"/>
        <v>0</v>
      </c>
      <c r="P102" s="11">
        <v>8124.2218362620897</v>
      </c>
      <c r="Q102" s="11">
        <v>17945.586188738856</v>
      </c>
      <c r="R102" s="11">
        <v>20000</v>
      </c>
      <c r="S102" s="11">
        <v>4771193</v>
      </c>
      <c r="T102" s="11">
        <v>572544</v>
      </c>
      <c r="U102" s="12">
        <f t="shared" si="30"/>
        <v>0.12000017605659632</v>
      </c>
      <c r="V102" s="13">
        <f t="shared" si="53"/>
        <v>0</v>
      </c>
      <c r="W102" s="10">
        <f t="shared" si="31"/>
        <v>0</v>
      </c>
      <c r="X102" s="10"/>
      <c r="Y102" s="10"/>
      <c r="Z102" s="11">
        <f t="shared" si="32"/>
        <v>4771193</v>
      </c>
      <c r="AA102" s="14"/>
      <c r="AB102" s="14"/>
      <c r="AC102" s="11">
        <f t="shared" si="33"/>
        <v>4771193</v>
      </c>
      <c r="AD102" s="10">
        <f t="shared" si="34"/>
        <v>300</v>
      </c>
      <c r="AE102" s="15">
        <v>79761</v>
      </c>
      <c r="AF102" s="16">
        <v>14356</v>
      </c>
      <c r="AG102" s="15">
        <f t="shared" si="35"/>
        <v>0</v>
      </c>
      <c r="AH102" s="15">
        <f t="shared" si="36"/>
        <v>0</v>
      </c>
      <c r="AI102" s="15">
        <f t="shared" si="37"/>
        <v>79761</v>
      </c>
      <c r="AJ102" s="15">
        <f t="shared" si="38"/>
        <v>14357</v>
      </c>
      <c r="AK102" s="10">
        <v>79761</v>
      </c>
      <c r="AL102" s="15">
        <f t="shared" si="39"/>
        <v>79761</v>
      </c>
      <c r="AM102" s="15">
        <f t="shared" si="40"/>
        <v>4850954</v>
      </c>
      <c r="AN102" s="15">
        <f t="shared" si="41"/>
        <v>586901</v>
      </c>
      <c r="AO102" s="15">
        <f t="shared" si="46"/>
        <v>666662</v>
      </c>
      <c r="AP102" s="17">
        <f t="shared" si="42"/>
        <v>5517616</v>
      </c>
      <c r="AQ102" s="15">
        <v>4470161</v>
      </c>
      <c r="AR102" s="15">
        <v>0</v>
      </c>
      <c r="AS102" s="18">
        <f t="shared" si="47"/>
        <v>1047455</v>
      </c>
      <c r="AT102" s="19">
        <v>0</v>
      </c>
      <c r="AU102" s="8">
        <v>8800</v>
      </c>
      <c r="AV102" s="13">
        <f t="shared" si="48"/>
        <v>2339656</v>
      </c>
      <c r="AW102" s="18">
        <f t="shared" si="49"/>
        <v>4850954</v>
      </c>
      <c r="AX102" s="15">
        <f t="shared" si="43"/>
        <v>4851000</v>
      </c>
      <c r="AY102" s="20">
        <v>0.06</v>
      </c>
      <c r="AZ102" s="13">
        <f t="shared" si="44"/>
        <v>291060</v>
      </c>
      <c r="BA102" s="15">
        <f t="shared" si="45"/>
        <v>291100</v>
      </c>
      <c r="BB102" s="21">
        <f t="shared" si="50"/>
        <v>1338555</v>
      </c>
      <c r="BC102" s="10">
        <f t="shared" si="51"/>
        <v>0</v>
      </c>
      <c r="BD102" s="10">
        <f t="shared" si="52"/>
        <v>0</v>
      </c>
      <c r="BE102" s="10">
        <v>54.56</v>
      </c>
      <c r="BF102" s="10">
        <v>24.7</v>
      </c>
      <c r="BG102" s="107">
        <v>46176</v>
      </c>
      <c r="BH102" s="107">
        <f t="shared" si="54"/>
        <v>46206</v>
      </c>
      <c r="BI102" s="23">
        <v>6</v>
      </c>
      <c r="BJ102" s="6"/>
      <c r="BK102" s="6"/>
      <c r="BL102" s="24">
        <f>VLOOKUP(A102,[2]Sheet1!$D$2:$H$933,5,0)</f>
        <v>0</v>
      </c>
      <c r="BM102" s="6" t="s">
        <v>3828</v>
      </c>
      <c r="BN102" s="6" t="s">
        <v>3829</v>
      </c>
      <c r="BO102" s="6" t="s">
        <v>3820</v>
      </c>
      <c r="BP102" s="6" t="s">
        <v>3821</v>
      </c>
      <c r="BQ102" s="6" t="s">
        <v>3830</v>
      </c>
      <c r="BR102" t="s">
        <v>3823</v>
      </c>
      <c r="BS102" t="s">
        <v>3824</v>
      </c>
      <c r="BT102" t="s">
        <v>3825</v>
      </c>
      <c r="BU102" t="s">
        <v>3826</v>
      </c>
      <c r="BV102" t="s">
        <v>3827</v>
      </c>
      <c r="BW102" t="s">
        <v>3835</v>
      </c>
      <c r="BX102">
        <v>0</v>
      </c>
      <c r="BY102" t="s">
        <v>3868</v>
      </c>
      <c r="BZ102" t="s">
        <v>3863</v>
      </c>
    </row>
    <row r="103" spans="1:78" x14ac:dyDescent="0.25">
      <c r="A103" s="7" t="s">
        <v>489</v>
      </c>
      <c r="B103" s="7" t="s">
        <v>181</v>
      </c>
      <c r="C103" s="7" t="s">
        <v>487</v>
      </c>
      <c r="D103" s="8" t="s">
        <v>488</v>
      </c>
      <c r="E103" s="7" t="s">
        <v>490</v>
      </c>
      <c r="F103" s="9">
        <v>44956</v>
      </c>
      <c r="G103" s="9" t="s">
        <v>404</v>
      </c>
      <c r="H103" s="9" t="s">
        <v>72</v>
      </c>
      <c r="I103" s="8" t="s">
        <v>78</v>
      </c>
      <c r="J103" s="10">
        <v>614.84</v>
      </c>
      <c r="K103" s="10">
        <v>614.84</v>
      </c>
      <c r="L103" s="10">
        <f t="shared" si="28"/>
        <v>0</v>
      </c>
      <c r="M103" s="10">
        <v>279.86</v>
      </c>
      <c r="N103" s="10">
        <v>279.86</v>
      </c>
      <c r="O103" s="10">
        <f t="shared" si="29"/>
        <v>0</v>
      </c>
      <c r="P103" s="11">
        <v>11429.99967471212</v>
      </c>
      <c r="Q103" s="11">
        <v>25111.20202958622</v>
      </c>
      <c r="R103" s="11">
        <v>20000</v>
      </c>
      <c r="S103" s="11">
        <v>7027621</v>
      </c>
      <c r="T103" s="11">
        <v>843316</v>
      </c>
      <c r="U103" s="12">
        <f t="shared" si="30"/>
        <v>0.12000021059758345</v>
      </c>
      <c r="V103" s="13">
        <f t="shared" si="53"/>
        <v>0</v>
      </c>
      <c r="W103" s="10">
        <f t="shared" si="31"/>
        <v>0</v>
      </c>
      <c r="X103" s="10"/>
      <c r="Y103" s="10"/>
      <c r="Z103" s="11">
        <f t="shared" si="32"/>
        <v>7027621</v>
      </c>
      <c r="AA103" s="14">
        <v>830316</v>
      </c>
      <c r="AB103" s="14">
        <v>99638</v>
      </c>
      <c r="AC103" s="11">
        <f t="shared" si="33"/>
        <v>6197305</v>
      </c>
      <c r="AD103" s="10">
        <f t="shared" si="34"/>
        <v>300</v>
      </c>
      <c r="AE103" s="15">
        <v>83958</v>
      </c>
      <c r="AF103" s="16">
        <v>15112</v>
      </c>
      <c r="AG103" s="15">
        <f t="shared" si="35"/>
        <v>0</v>
      </c>
      <c r="AH103" s="15">
        <f t="shared" si="36"/>
        <v>0</v>
      </c>
      <c r="AI103" s="15">
        <f t="shared" si="37"/>
        <v>83958</v>
      </c>
      <c r="AJ103" s="15">
        <f t="shared" si="38"/>
        <v>15113</v>
      </c>
      <c r="AK103" s="10">
        <v>83958</v>
      </c>
      <c r="AL103" s="15">
        <f t="shared" si="39"/>
        <v>83958</v>
      </c>
      <c r="AM103" s="15">
        <f t="shared" si="40"/>
        <v>6281263</v>
      </c>
      <c r="AN103" s="15">
        <f t="shared" si="41"/>
        <v>758791</v>
      </c>
      <c r="AO103" s="15">
        <f t="shared" si="46"/>
        <v>842749</v>
      </c>
      <c r="AP103" s="17">
        <f t="shared" si="42"/>
        <v>7124012</v>
      </c>
      <c r="AQ103" s="15">
        <v>6153889.0700000003</v>
      </c>
      <c r="AR103" s="15">
        <v>0</v>
      </c>
      <c r="AS103" s="18">
        <f t="shared" si="47"/>
        <v>970123</v>
      </c>
      <c r="AT103" s="19">
        <v>0</v>
      </c>
      <c r="AU103" s="8">
        <v>8800</v>
      </c>
      <c r="AV103" s="13">
        <f t="shared" si="48"/>
        <v>2462768</v>
      </c>
      <c r="AW103" s="18">
        <f t="shared" si="49"/>
        <v>6281263</v>
      </c>
      <c r="AX103" s="15">
        <f t="shared" si="43"/>
        <v>6282000</v>
      </c>
      <c r="AY103" s="20">
        <v>7.0000000000000007E-2</v>
      </c>
      <c r="AZ103" s="13">
        <f t="shared" si="44"/>
        <v>439740.00000000006</v>
      </c>
      <c r="BA103" s="15">
        <f t="shared" si="45"/>
        <v>439800</v>
      </c>
      <c r="BB103" s="21">
        <f t="shared" si="50"/>
        <v>1409923</v>
      </c>
      <c r="BC103" s="10">
        <f t="shared" si="51"/>
        <v>0</v>
      </c>
      <c r="BD103" s="10">
        <f t="shared" si="52"/>
        <v>0</v>
      </c>
      <c r="BE103" s="10">
        <v>57.12</v>
      </c>
      <c r="BF103" s="10">
        <v>26</v>
      </c>
      <c r="BG103" s="107">
        <v>46176</v>
      </c>
      <c r="BH103" s="107">
        <f t="shared" si="54"/>
        <v>46206</v>
      </c>
      <c r="BI103" s="23">
        <v>7</v>
      </c>
      <c r="BJ103" s="6"/>
      <c r="BK103" s="6"/>
      <c r="BL103" s="24">
        <f>VLOOKUP(A103,[2]Sheet1!$D$2:$H$933,5,0)</f>
        <v>0</v>
      </c>
      <c r="BM103" s="6" t="s">
        <v>3828</v>
      </c>
      <c r="BN103" s="6" t="s">
        <v>3829</v>
      </c>
      <c r="BO103" s="6" t="s">
        <v>3820</v>
      </c>
      <c r="BP103" s="6" t="s">
        <v>3821</v>
      </c>
      <c r="BQ103" s="6" t="s">
        <v>3830</v>
      </c>
      <c r="BR103" t="s">
        <v>3823</v>
      </c>
      <c r="BS103" t="s">
        <v>3824</v>
      </c>
      <c r="BT103" t="s">
        <v>3825</v>
      </c>
      <c r="BU103" t="s">
        <v>3826</v>
      </c>
      <c r="BV103" t="s">
        <v>3827</v>
      </c>
      <c r="BW103" t="s">
        <v>3835</v>
      </c>
      <c r="BX103">
        <v>0</v>
      </c>
      <c r="BY103" t="s">
        <v>3867</v>
      </c>
      <c r="BZ103" t="s">
        <v>3863</v>
      </c>
    </row>
    <row r="104" spans="1:78" x14ac:dyDescent="0.25">
      <c r="A104" s="7" t="s">
        <v>493</v>
      </c>
      <c r="B104" s="7" t="s">
        <v>181</v>
      </c>
      <c r="C104" s="7" t="s">
        <v>491</v>
      </c>
      <c r="D104" s="8" t="s">
        <v>492</v>
      </c>
      <c r="E104" s="7" t="s">
        <v>494</v>
      </c>
      <c r="F104" s="9">
        <v>44873</v>
      </c>
      <c r="G104" s="9" t="s">
        <v>404</v>
      </c>
      <c r="H104" s="9" t="s">
        <v>190</v>
      </c>
      <c r="I104" s="8" t="s">
        <v>78</v>
      </c>
      <c r="J104" s="10">
        <v>1336.89</v>
      </c>
      <c r="K104" s="10">
        <v>1336.89</v>
      </c>
      <c r="L104" s="10">
        <f t="shared" si="28"/>
        <v>0</v>
      </c>
      <c r="M104" s="10">
        <v>621.08000000000004</v>
      </c>
      <c r="N104" s="10">
        <v>621.08000000000004</v>
      </c>
      <c r="O104" s="10">
        <f t="shared" si="29"/>
        <v>0</v>
      </c>
      <c r="P104" s="11">
        <v>12000</v>
      </c>
      <c r="Q104" s="11">
        <v>25830.295614091581</v>
      </c>
      <c r="R104" s="11">
        <v>60000</v>
      </c>
      <c r="S104" s="11">
        <v>16042680</v>
      </c>
      <c r="T104" s="11">
        <v>1925122</v>
      </c>
      <c r="U104" s="12">
        <f t="shared" si="30"/>
        <v>0.12000002493348992</v>
      </c>
      <c r="V104" s="13">
        <f t="shared" si="53"/>
        <v>0</v>
      </c>
      <c r="W104" s="10">
        <f t="shared" si="31"/>
        <v>0</v>
      </c>
      <c r="X104" s="10"/>
      <c r="Y104" s="10"/>
      <c r="Z104" s="11">
        <f t="shared" si="32"/>
        <v>16042680</v>
      </c>
      <c r="AA104" s="14"/>
      <c r="AB104" s="14"/>
      <c r="AC104" s="11">
        <f t="shared" si="33"/>
        <v>16042680</v>
      </c>
      <c r="AD104" s="10">
        <f t="shared" si="34"/>
        <v>300</v>
      </c>
      <c r="AE104" s="15">
        <v>186324</v>
      </c>
      <c r="AF104" s="16">
        <v>33538</v>
      </c>
      <c r="AG104" s="15">
        <f t="shared" si="35"/>
        <v>0</v>
      </c>
      <c r="AH104" s="15">
        <f t="shared" si="36"/>
        <v>0</v>
      </c>
      <c r="AI104" s="15">
        <f t="shared" si="37"/>
        <v>186324</v>
      </c>
      <c r="AJ104" s="15">
        <f t="shared" si="38"/>
        <v>33539</v>
      </c>
      <c r="AK104" s="10">
        <v>186324</v>
      </c>
      <c r="AL104" s="15">
        <f t="shared" si="39"/>
        <v>186324</v>
      </c>
      <c r="AM104" s="15">
        <f t="shared" si="40"/>
        <v>16229004</v>
      </c>
      <c r="AN104" s="15">
        <f t="shared" si="41"/>
        <v>1958661</v>
      </c>
      <c r="AO104" s="15">
        <f t="shared" si="46"/>
        <v>2144985</v>
      </c>
      <c r="AP104" s="17">
        <f t="shared" si="42"/>
        <v>18373989</v>
      </c>
      <c r="AQ104" s="15">
        <v>18188076</v>
      </c>
      <c r="AR104" s="15">
        <v>0</v>
      </c>
      <c r="AS104" s="18">
        <f t="shared" si="47"/>
        <v>185913</v>
      </c>
      <c r="AT104" s="19">
        <v>0</v>
      </c>
      <c r="AU104" s="8">
        <v>8800</v>
      </c>
      <c r="AV104" s="13">
        <f t="shared" si="48"/>
        <v>5465504</v>
      </c>
      <c r="AW104" s="18">
        <f t="shared" si="49"/>
        <v>16229004</v>
      </c>
      <c r="AX104" s="15">
        <f t="shared" si="43"/>
        <v>16230000</v>
      </c>
      <c r="AY104" s="20">
        <v>6.3399999999999998E-2</v>
      </c>
      <c r="AZ104" s="13">
        <f t="shared" si="44"/>
        <v>1028982</v>
      </c>
      <c r="BA104" s="15">
        <f t="shared" si="45"/>
        <v>1029000</v>
      </c>
      <c r="BB104" s="21">
        <f t="shared" si="50"/>
        <v>1214913</v>
      </c>
      <c r="BC104" s="10">
        <f t="shared" si="51"/>
        <v>0</v>
      </c>
      <c r="BD104" s="10">
        <f t="shared" si="52"/>
        <v>0</v>
      </c>
      <c r="BE104" s="10">
        <v>124.2</v>
      </c>
      <c r="BF104" s="10">
        <v>57.7</v>
      </c>
      <c r="BG104" s="107">
        <v>46176</v>
      </c>
      <c r="BH104" s="107">
        <f t="shared" si="54"/>
        <v>46206</v>
      </c>
      <c r="BI104" s="23">
        <v>6.34</v>
      </c>
      <c r="BJ104" s="6"/>
      <c r="BK104" s="6"/>
      <c r="BL104" s="24">
        <f>VLOOKUP(A104,[2]Sheet1!$D$2:$H$933,5,0)</f>
        <v>0</v>
      </c>
      <c r="BM104" s="6" t="s">
        <v>3828</v>
      </c>
      <c r="BN104" s="6" t="s">
        <v>3829</v>
      </c>
      <c r="BO104" s="6" t="s">
        <v>3820</v>
      </c>
      <c r="BP104" s="6" t="s">
        <v>3821</v>
      </c>
      <c r="BQ104" s="6" t="s">
        <v>3830</v>
      </c>
      <c r="BR104" t="s">
        <v>3823</v>
      </c>
      <c r="BS104" t="s">
        <v>3824</v>
      </c>
      <c r="BT104" t="s">
        <v>3825</v>
      </c>
      <c r="BU104" t="s">
        <v>3826</v>
      </c>
      <c r="BV104" t="s">
        <v>3827</v>
      </c>
      <c r="BW104" t="s">
        <v>3835</v>
      </c>
      <c r="BX104">
        <v>0</v>
      </c>
      <c r="BY104" t="s">
        <v>3862</v>
      </c>
      <c r="BZ104" t="s">
        <v>3863</v>
      </c>
    </row>
    <row r="105" spans="1:78" x14ac:dyDescent="0.25">
      <c r="A105" s="7" t="s">
        <v>497</v>
      </c>
      <c r="B105" s="7" t="s">
        <v>181</v>
      </c>
      <c r="C105" s="7" t="s">
        <v>495</v>
      </c>
      <c r="D105" s="8" t="s">
        <v>496</v>
      </c>
      <c r="E105" s="7" t="s">
        <v>498</v>
      </c>
      <c r="F105" s="9">
        <v>44991</v>
      </c>
      <c r="G105" s="9" t="s">
        <v>404</v>
      </c>
      <c r="H105" s="9" t="s">
        <v>87</v>
      </c>
      <c r="I105" s="8" t="s">
        <v>78</v>
      </c>
      <c r="J105" s="10">
        <v>880.5</v>
      </c>
      <c r="K105" s="10">
        <v>880.5</v>
      </c>
      <c r="L105" s="10">
        <f t="shared" si="28"/>
        <v>0</v>
      </c>
      <c r="M105" s="10">
        <v>402.57</v>
      </c>
      <c r="N105" s="10">
        <v>402.57</v>
      </c>
      <c r="O105" s="10">
        <f t="shared" si="29"/>
        <v>0</v>
      </c>
      <c r="P105" s="11">
        <v>22300</v>
      </c>
      <c r="Q105" s="11">
        <v>48774.498844921378</v>
      </c>
      <c r="R105" s="11">
        <v>40000</v>
      </c>
      <c r="S105" s="11">
        <v>19635150</v>
      </c>
      <c r="T105" s="11">
        <v>2356220</v>
      </c>
      <c r="U105" s="12">
        <f t="shared" si="30"/>
        <v>0.12000010185814725</v>
      </c>
      <c r="V105" s="13">
        <f t="shared" si="53"/>
        <v>0</v>
      </c>
      <c r="W105" s="10">
        <f t="shared" si="31"/>
        <v>0</v>
      </c>
      <c r="X105" s="10"/>
      <c r="Y105" s="10"/>
      <c r="Z105" s="11">
        <f t="shared" si="32"/>
        <v>19635150</v>
      </c>
      <c r="AA105" s="14"/>
      <c r="AB105" s="14"/>
      <c r="AC105" s="11">
        <f t="shared" si="33"/>
        <v>19635150</v>
      </c>
      <c r="AD105" s="10">
        <f t="shared" si="34"/>
        <v>300</v>
      </c>
      <c r="AE105" s="15">
        <v>120771</v>
      </c>
      <c r="AF105" s="16">
        <v>21738</v>
      </c>
      <c r="AG105" s="15">
        <f t="shared" si="35"/>
        <v>0</v>
      </c>
      <c r="AH105" s="15">
        <f t="shared" si="36"/>
        <v>0</v>
      </c>
      <c r="AI105" s="15">
        <f t="shared" si="37"/>
        <v>120771</v>
      </c>
      <c r="AJ105" s="15">
        <f t="shared" si="38"/>
        <v>21739</v>
      </c>
      <c r="AK105" s="10">
        <v>120771</v>
      </c>
      <c r="AL105" s="15">
        <f t="shared" si="39"/>
        <v>120771</v>
      </c>
      <c r="AM105" s="15">
        <f t="shared" si="40"/>
        <v>19755921</v>
      </c>
      <c r="AN105" s="15">
        <f t="shared" si="41"/>
        <v>2377959</v>
      </c>
      <c r="AO105" s="15">
        <f t="shared" si="46"/>
        <v>2498730</v>
      </c>
      <c r="AP105" s="17">
        <f t="shared" si="42"/>
        <v>22254651</v>
      </c>
      <c r="AQ105" s="15">
        <v>19792125</v>
      </c>
      <c r="AR105" s="15">
        <v>0</v>
      </c>
      <c r="AS105" s="18">
        <f t="shared" si="47"/>
        <v>2462526</v>
      </c>
      <c r="AT105" s="19">
        <v>0</v>
      </c>
      <c r="AU105" s="8">
        <v>8800</v>
      </c>
      <c r="AV105" s="13">
        <f t="shared" si="48"/>
        <v>3542616</v>
      </c>
      <c r="AW105" s="18">
        <f t="shared" si="49"/>
        <v>19755921</v>
      </c>
      <c r="AX105" s="15">
        <f t="shared" si="43"/>
        <v>19756000</v>
      </c>
      <c r="AY105" s="20">
        <v>0.05</v>
      </c>
      <c r="AZ105" s="13">
        <f t="shared" si="44"/>
        <v>987800</v>
      </c>
      <c r="BA105" s="15">
        <f t="shared" si="45"/>
        <v>987800</v>
      </c>
      <c r="BB105" s="21">
        <f t="shared" si="50"/>
        <v>3450326</v>
      </c>
      <c r="BC105" s="10">
        <f t="shared" si="51"/>
        <v>0</v>
      </c>
      <c r="BD105" s="10">
        <f t="shared" si="52"/>
        <v>0</v>
      </c>
      <c r="BE105" s="10">
        <v>81.8</v>
      </c>
      <c r="BF105" s="10">
        <v>37.4</v>
      </c>
      <c r="BG105" s="107">
        <v>46176</v>
      </c>
      <c r="BH105" s="107">
        <f t="shared" si="54"/>
        <v>46206</v>
      </c>
      <c r="BI105" s="23">
        <v>5</v>
      </c>
      <c r="BJ105" s="6"/>
      <c r="BK105" s="6"/>
      <c r="BL105" s="24">
        <f>VLOOKUP(A105,[2]Sheet1!$D$2:$H$933,5,0)</f>
        <v>0</v>
      </c>
      <c r="BM105" s="6" t="s">
        <v>3828</v>
      </c>
      <c r="BN105" s="6" t="s">
        <v>3829</v>
      </c>
      <c r="BO105" s="6" t="s">
        <v>3820</v>
      </c>
      <c r="BP105" s="6" t="s">
        <v>3821</v>
      </c>
      <c r="BQ105" s="6" t="s">
        <v>3830</v>
      </c>
      <c r="BR105" t="s">
        <v>3823</v>
      </c>
      <c r="BS105" t="s">
        <v>3824</v>
      </c>
      <c r="BT105" t="s">
        <v>3825</v>
      </c>
      <c r="BU105" t="s">
        <v>3826</v>
      </c>
      <c r="BV105" t="s">
        <v>3827</v>
      </c>
      <c r="BW105" t="s">
        <v>3835</v>
      </c>
      <c r="BX105">
        <v>0</v>
      </c>
      <c r="BY105" t="s">
        <v>3861</v>
      </c>
      <c r="BZ105" t="s">
        <v>3863</v>
      </c>
    </row>
    <row r="106" spans="1:78" x14ac:dyDescent="0.25">
      <c r="A106" s="7" t="s">
        <v>501</v>
      </c>
      <c r="B106" s="7" t="s">
        <v>181</v>
      </c>
      <c r="C106" s="7" t="s">
        <v>499</v>
      </c>
      <c r="D106" s="8" t="s">
        <v>500</v>
      </c>
      <c r="E106" s="7" t="s">
        <v>502</v>
      </c>
      <c r="F106" s="9">
        <v>44953</v>
      </c>
      <c r="G106" s="9" t="s">
        <v>404</v>
      </c>
      <c r="H106" s="9" t="s">
        <v>87</v>
      </c>
      <c r="I106" s="8" t="s">
        <v>78</v>
      </c>
      <c r="J106" s="10">
        <v>875.11</v>
      </c>
      <c r="K106" s="10">
        <v>875.11</v>
      </c>
      <c r="L106" s="10">
        <f t="shared" si="28"/>
        <v>0</v>
      </c>
      <c r="M106" s="10">
        <v>404.73</v>
      </c>
      <c r="N106" s="10">
        <v>404.73</v>
      </c>
      <c r="O106" s="10">
        <f t="shared" si="29"/>
        <v>0</v>
      </c>
      <c r="P106" s="11">
        <v>16579.55571299608</v>
      </c>
      <c r="Q106" s="11">
        <v>35848.429817409138</v>
      </c>
      <c r="R106" s="11">
        <v>40000</v>
      </c>
      <c r="S106" s="11">
        <v>14508935</v>
      </c>
      <c r="T106" s="11">
        <v>1741072</v>
      </c>
      <c r="U106" s="12">
        <f t="shared" si="30"/>
        <v>0.11999998621539072</v>
      </c>
      <c r="V106" s="13">
        <f t="shared" si="53"/>
        <v>0</v>
      </c>
      <c r="W106" s="10">
        <f t="shared" si="31"/>
        <v>0</v>
      </c>
      <c r="X106" s="10"/>
      <c r="Y106" s="10"/>
      <c r="Z106" s="11">
        <f t="shared" si="32"/>
        <v>14508935</v>
      </c>
      <c r="AA106" s="14"/>
      <c r="AB106" s="14"/>
      <c r="AC106" s="11">
        <f t="shared" si="33"/>
        <v>14508935</v>
      </c>
      <c r="AD106" s="10">
        <f t="shared" si="34"/>
        <v>300</v>
      </c>
      <c r="AE106" s="15">
        <v>121419</v>
      </c>
      <c r="AF106" s="16">
        <v>21856</v>
      </c>
      <c r="AG106" s="15">
        <f t="shared" si="35"/>
        <v>0</v>
      </c>
      <c r="AH106" s="15">
        <f t="shared" si="36"/>
        <v>0</v>
      </c>
      <c r="AI106" s="15">
        <f t="shared" si="37"/>
        <v>121419</v>
      </c>
      <c r="AJ106" s="15">
        <f t="shared" si="38"/>
        <v>21856</v>
      </c>
      <c r="AK106" s="10">
        <v>121419</v>
      </c>
      <c r="AL106" s="15">
        <f t="shared" si="39"/>
        <v>121419</v>
      </c>
      <c r="AM106" s="15">
        <f t="shared" si="40"/>
        <v>14630354</v>
      </c>
      <c r="AN106" s="15">
        <f t="shared" si="41"/>
        <v>1762928</v>
      </c>
      <c r="AO106" s="15">
        <f t="shared" si="46"/>
        <v>1884347</v>
      </c>
      <c r="AP106" s="17">
        <f t="shared" si="42"/>
        <v>16514701</v>
      </c>
      <c r="AQ106" s="15">
        <v>3334431.72</v>
      </c>
      <c r="AR106" s="15">
        <v>0</v>
      </c>
      <c r="AS106" s="18">
        <f t="shared" si="47"/>
        <v>13180269</v>
      </c>
      <c r="AT106" s="19">
        <v>0</v>
      </c>
      <c r="AU106" s="8">
        <v>8800</v>
      </c>
      <c r="AV106" s="13">
        <f t="shared" si="48"/>
        <v>3561624</v>
      </c>
      <c r="AW106" s="18">
        <f t="shared" si="49"/>
        <v>14630354</v>
      </c>
      <c r="AX106" s="15">
        <f t="shared" si="43"/>
        <v>14631000</v>
      </c>
      <c r="AY106" s="20">
        <v>7.0000000000000007E-2</v>
      </c>
      <c r="AZ106" s="13">
        <f t="shared" si="44"/>
        <v>1024170.0000000001</v>
      </c>
      <c r="BA106" s="15">
        <f t="shared" si="45"/>
        <v>1024200</v>
      </c>
      <c r="BB106" s="21">
        <f t="shared" si="50"/>
        <v>14204469</v>
      </c>
      <c r="BC106" s="10">
        <f t="shared" si="51"/>
        <v>0</v>
      </c>
      <c r="BD106" s="10">
        <f t="shared" si="52"/>
        <v>0</v>
      </c>
      <c r="BE106" s="10">
        <v>81.3</v>
      </c>
      <c r="BF106" s="10">
        <v>37.6</v>
      </c>
      <c r="BG106" s="107">
        <v>46176</v>
      </c>
      <c r="BH106" s="107">
        <f t="shared" si="54"/>
        <v>46206</v>
      </c>
      <c r="BI106" s="23">
        <v>7</v>
      </c>
      <c r="BJ106" s="6"/>
      <c r="BK106" s="6"/>
      <c r="BL106" s="24">
        <f>VLOOKUP(A106,[2]Sheet1!$D$2:$H$933,5,0)</f>
        <v>0</v>
      </c>
      <c r="BM106" s="6" t="s">
        <v>3828</v>
      </c>
      <c r="BN106" s="6" t="s">
        <v>3829</v>
      </c>
      <c r="BO106" s="6" t="s">
        <v>3820</v>
      </c>
      <c r="BP106" s="6" t="s">
        <v>3821</v>
      </c>
      <c r="BQ106" s="6" t="s">
        <v>3830</v>
      </c>
      <c r="BR106" t="s">
        <v>3823</v>
      </c>
      <c r="BS106" t="s">
        <v>3824</v>
      </c>
      <c r="BT106" t="s">
        <v>3825</v>
      </c>
      <c r="BU106" t="s">
        <v>3826</v>
      </c>
      <c r="BV106" t="s">
        <v>3827</v>
      </c>
      <c r="BW106" t="s">
        <v>3835</v>
      </c>
      <c r="BX106">
        <v>0</v>
      </c>
      <c r="BY106" t="s">
        <v>3864</v>
      </c>
      <c r="BZ106" t="s">
        <v>3863</v>
      </c>
    </row>
    <row r="107" spans="1:78" x14ac:dyDescent="0.25">
      <c r="A107" s="65" t="s">
        <v>505</v>
      </c>
      <c r="B107" s="7" t="s">
        <v>181</v>
      </c>
      <c r="C107" s="7" t="s">
        <v>503</v>
      </c>
      <c r="D107" s="8" t="s">
        <v>504</v>
      </c>
      <c r="E107" s="7" t="s">
        <v>506</v>
      </c>
      <c r="F107" s="9">
        <v>44896</v>
      </c>
      <c r="G107" s="9" t="s">
        <v>404</v>
      </c>
      <c r="H107" s="9" t="s">
        <v>87</v>
      </c>
      <c r="I107" s="8" t="s">
        <v>78</v>
      </c>
      <c r="J107" s="10">
        <v>719.04</v>
      </c>
      <c r="K107" s="10">
        <v>719.04</v>
      </c>
      <c r="L107" s="10">
        <f t="shared" si="28"/>
        <v>0</v>
      </c>
      <c r="M107" s="10">
        <v>331.53</v>
      </c>
      <c r="N107" s="10">
        <v>331.53</v>
      </c>
      <c r="O107" s="10">
        <f t="shared" si="29"/>
        <v>0</v>
      </c>
      <c r="P107" s="11">
        <v>28959.999443702716</v>
      </c>
      <c r="Q107" s="11">
        <v>62809.996078786236</v>
      </c>
      <c r="R107" s="11">
        <v>40000</v>
      </c>
      <c r="S107" s="11">
        <v>20823398</v>
      </c>
      <c r="T107" s="11">
        <v>2498808</v>
      </c>
      <c r="U107" s="12">
        <f t="shared" si="30"/>
        <v>0.12000001152549647</v>
      </c>
      <c r="V107" s="13">
        <f t="shared" si="53"/>
        <v>0</v>
      </c>
      <c r="W107" s="10">
        <f t="shared" si="31"/>
        <v>0</v>
      </c>
      <c r="X107" s="10"/>
      <c r="Y107" s="10"/>
      <c r="Z107" s="11">
        <f t="shared" si="32"/>
        <v>20823398</v>
      </c>
      <c r="AA107" s="14">
        <v>4819862</v>
      </c>
      <c r="AB107" s="14">
        <v>578384</v>
      </c>
      <c r="AC107" s="11">
        <f t="shared" si="33"/>
        <v>16003536</v>
      </c>
      <c r="AD107" s="10">
        <f t="shared" si="34"/>
        <v>300</v>
      </c>
      <c r="AE107" s="15">
        <v>99459</v>
      </c>
      <c r="AF107" s="16">
        <v>17902</v>
      </c>
      <c r="AG107" s="15">
        <f t="shared" si="35"/>
        <v>0</v>
      </c>
      <c r="AH107" s="15">
        <f t="shared" si="36"/>
        <v>0</v>
      </c>
      <c r="AI107" s="15">
        <f t="shared" si="37"/>
        <v>99458.999999999985</v>
      </c>
      <c r="AJ107" s="15">
        <f t="shared" si="38"/>
        <v>17903</v>
      </c>
      <c r="AK107" s="10">
        <v>99459</v>
      </c>
      <c r="AL107" s="15">
        <f t="shared" si="39"/>
        <v>99458.999999999985</v>
      </c>
      <c r="AM107" s="15">
        <f t="shared" si="40"/>
        <v>16102995</v>
      </c>
      <c r="AN107" s="15">
        <f t="shared" si="41"/>
        <v>1938327</v>
      </c>
      <c r="AO107" s="15">
        <f t="shared" si="46"/>
        <v>2037786</v>
      </c>
      <c r="AP107" s="17">
        <f t="shared" si="42"/>
        <v>18140781</v>
      </c>
      <c r="AQ107" s="15">
        <v>15591739</v>
      </c>
      <c r="AR107" s="15">
        <v>0</v>
      </c>
      <c r="AS107" s="18">
        <f t="shared" si="47"/>
        <v>2549042</v>
      </c>
      <c r="AT107" s="19">
        <v>0</v>
      </c>
      <c r="AU107" s="8">
        <v>8800</v>
      </c>
      <c r="AV107" s="13">
        <f t="shared" si="48"/>
        <v>2917463.9999999995</v>
      </c>
      <c r="AW107" s="18">
        <f t="shared" si="49"/>
        <v>16102995</v>
      </c>
      <c r="AX107" s="15">
        <f t="shared" si="43"/>
        <v>16103000</v>
      </c>
      <c r="AY107" s="20">
        <v>0.05</v>
      </c>
      <c r="AZ107" s="13">
        <f t="shared" si="44"/>
        <v>805150</v>
      </c>
      <c r="BA107" s="15">
        <f t="shared" si="45"/>
        <v>805200</v>
      </c>
      <c r="BB107" s="21">
        <f t="shared" si="50"/>
        <v>3354242</v>
      </c>
      <c r="BC107" s="10">
        <f t="shared" si="51"/>
        <v>0</v>
      </c>
      <c r="BD107" s="10">
        <f t="shared" si="52"/>
        <v>0</v>
      </c>
      <c r="BE107" s="10">
        <v>66.8</v>
      </c>
      <c r="BF107" s="10">
        <v>30.8</v>
      </c>
      <c r="BG107" s="107">
        <v>46176</v>
      </c>
      <c r="BH107" s="107">
        <f t="shared" si="54"/>
        <v>46206</v>
      </c>
      <c r="BI107" s="23">
        <v>5</v>
      </c>
      <c r="BJ107" s="6"/>
      <c r="BK107" s="6"/>
      <c r="BL107" s="24">
        <f>VLOOKUP(A107,[2]Sheet1!$D$2:$H$933,5,0)</f>
        <v>0</v>
      </c>
      <c r="BM107" s="6" t="s">
        <v>3828</v>
      </c>
      <c r="BN107" s="6" t="s">
        <v>3829</v>
      </c>
      <c r="BO107" s="6" t="s">
        <v>3820</v>
      </c>
      <c r="BP107" s="6" t="s">
        <v>3821</v>
      </c>
      <c r="BQ107" s="6" t="s">
        <v>3830</v>
      </c>
      <c r="BR107" t="s">
        <v>3823</v>
      </c>
      <c r="BS107" t="s">
        <v>3824</v>
      </c>
      <c r="BT107" t="s">
        <v>3825</v>
      </c>
      <c r="BU107" t="s">
        <v>3826</v>
      </c>
      <c r="BV107" t="s">
        <v>3827</v>
      </c>
      <c r="BW107" t="s">
        <v>3835</v>
      </c>
      <c r="BX107" s="101">
        <v>2113977.6</v>
      </c>
      <c r="BY107" t="s">
        <v>3868</v>
      </c>
      <c r="BZ107" t="s">
        <v>3863</v>
      </c>
    </row>
    <row r="108" spans="1:78" x14ac:dyDescent="0.25">
      <c r="A108" s="65" t="s">
        <v>509</v>
      </c>
      <c r="B108" s="7" t="s">
        <v>181</v>
      </c>
      <c r="C108" s="7" t="s">
        <v>507</v>
      </c>
      <c r="D108" s="8" t="s">
        <v>508</v>
      </c>
      <c r="E108" s="7" t="s">
        <v>510</v>
      </c>
      <c r="F108" s="9">
        <v>44866</v>
      </c>
      <c r="G108" s="9" t="s">
        <v>404</v>
      </c>
      <c r="H108" s="9" t="s">
        <v>87</v>
      </c>
      <c r="I108" s="8" t="s">
        <v>78</v>
      </c>
      <c r="J108" s="10">
        <v>361.24</v>
      </c>
      <c r="K108" s="10">
        <v>361.24</v>
      </c>
      <c r="L108" s="10">
        <f t="shared" si="28"/>
        <v>0</v>
      </c>
      <c r="M108" s="10">
        <v>154.13999999999999</v>
      </c>
      <c r="N108" s="10">
        <v>154.13999999999999</v>
      </c>
      <c r="O108" s="10">
        <f t="shared" si="29"/>
        <v>0</v>
      </c>
      <c r="P108" s="11">
        <v>23784.002325323883</v>
      </c>
      <c r="Q108" s="11">
        <v>55739.801479174785</v>
      </c>
      <c r="R108" s="11">
        <v>40000</v>
      </c>
      <c r="S108" s="11">
        <v>8591733</v>
      </c>
      <c r="T108" s="11">
        <v>1031008</v>
      </c>
      <c r="U108" s="12">
        <f t="shared" si="30"/>
        <v>0.12000000465563816</v>
      </c>
      <c r="V108" s="13">
        <f t="shared" si="53"/>
        <v>0</v>
      </c>
      <c r="W108" s="10">
        <f t="shared" si="31"/>
        <v>0</v>
      </c>
      <c r="X108" s="10"/>
      <c r="Y108" s="10"/>
      <c r="Z108" s="11">
        <f t="shared" si="32"/>
        <v>8591733</v>
      </c>
      <c r="AA108" s="14">
        <v>2508162</v>
      </c>
      <c r="AB108" s="14">
        <v>300980</v>
      </c>
      <c r="AC108" s="11">
        <f t="shared" si="33"/>
        <v>6083571</v>
      </c>
      <c r="AD108" s="10">
        <f t="shared" si="34"/>
        <v>300</v>
      </c>
      <c r="AE108" s="15">
        <v>46242</v>
      </c>
      <c r="AF108" s="16">
        <v>8324</v>
      </c>
      <c r="AG108" s="15">
        <f t="shared" si="35"/>
        <v>0</v>
      </c>
      <c r="AH108" s="15">
        <f t="shared" si="36"/>
        <v>0</v>
      </c>
      <c r="AI108" s="15">
        <f t="shared" si="37"/>
        <v>46241.999999999993</v>
      </c>
      <c r="AJ108" s="15">
        <f t="shared" si="38"/>
        <v>8324</v>
      </c>
      <c r="AK108" s="10">
        <v>46242</v>
      </c>
      <c r="AL108" s="15">
        <f t="shared" si="39"/>
        <v>46241.999999999993</v>
      </c>
      <c r="AM108" s="15">
        <f t="shared" si="40"/>
        <v>6129813</v>
      </c>
      <c r="AN108" s="15">
        <f t="shared" si="41"/>
        <v>738352</v>
      </c>
      <c r="AO108" s="15">
        <f t="shared" si="46"/>
        <v>784594</v>
      </c>
      <c r="AP108" s="17">
        <f t="shared" si="42"/>
        <v>6914407</v>
      </c>
      <c r="AQ108" s="15">
        <v>5959485</v>
      </c>
      <c r="AR108" s="15">
        <v>0</v>
      </c>
      <c r="AS108" s="18">
        <f t="shared" si="47"/>
        <v>954922</v>
      </c>
      <c r="AT108" s="19">
        <v>0</v>
      </c>
      <c r="AU108" s="8">
        <v>8800</v>
      </c>
      <c r="AV108" s="13">
        <f t="shared" si="48"/>
        <v>1356431.9999999998</v>
      </c>
      <c r="AW108" s="18">
        <f t="shared" si="49"/>
        <v>6129813</v>
      </c>
      <c r="AX108" s="15">
        <f t="shared" si="43"/>
        <v>6130000</v>
      </c>
      <c r="AY108" s="20">
        <v>6.3399999999999998E-2</v>
      </c>
      <c r="AZ108" s="13">
        <f t="shared" si="44"/>
        <v>388642</v>
      </c>
      <c r="BA108" s="15">
        <f t="shared" si="45"/>
        <v>388700</v>
      </c>
      <c r="BB108" s="21">
        <f t="shared" si="50"/>
        <v>1343622</v>
      </c>
      <c r="BC108" s="10">
        <f t="shared" si="51"/>
        <v>0</v>
      </c>
      <c r="BD108" s="10">
        <f t="shared" si="52"/>
        <v>0</v>
      </c>
      <c r="BE108" s="10">
        <v>33.56</v>
      </c>
      <c r="BF108" s="10">
        <v>14.32</v>
      </c>
      <c r="BG108" s="107">
        <v>46176</v>
      </c>
      <c r="BH108" s="107">
        <f t="shared" si="54"/>
        <v>46206</v>
      </c>
      <c r="BI108" s="23">
        <v>6.34</v>
      </c>
      <c r="BJ108" s="6"/>
      <c r="BK108" s="6"/>
      <c r="BL108" s="24">
        <f>VLOOKUP(A108,[2]Sheet1!$D$2:$H$933,5,0)</f>
        <v>0</v>
      </c>
      <c r="BM108" s="6" t="s">
        <v>3828</v>
      </c>
      <c r="BN108" s="6" t="s">
        <v>3829</v>
      </c>
      <c r="BO108" s="6" t="s">
        <v>3820</v>
      </c>
      <c r="BP108" s="6" t="s">
        <v>3821</v>
      </c>
      <c r="BQ108" s="6" t="s">
        <v>3830</v>
      </c>
      <c r="BR108" t="s">
        <v>3823</v>
      </c>
      <c r="BS108" t="s">
        <v>3824</v>
      </c>
      <c r="BT108" t="s">
        <v>3825</v>
      </c>
      <c r="BU108" t="s">
        <v>3826</v>
      </c>
      <c r="BV108" t="s">
        <v>3827</v>
      </c>
      <c r="BW108" t="s">
        <v>3835</v>
      </c>
      <c r="BX108">
        <v>0</v>
      </c>
      <c r="BY108" t="s">
        <v>3862</v>
      </c>
      <c r="BZ108" t="s">
        <v>3863</v>
      </c>
    </row>
    <row r="109" spans="1:78" x14ac:dyDescent="0.25">
      <c r="A109" s="7" t="s">
        <v>513</v>
      </c>
      <c r="B109" s="7" t="s">
        <v>181</v>
      </c>
      <c r="C109" s="7" t="s">
        <v>511</v>
      </c>
      <c r="D109" s="8" t="s">
        <v>512</v>
      </c>
      <c r="E109" s="7" t="s">
        <v>514</v>
      </c>
      <c r="F109" s="9">
        <v>45010</v>
      </c>
      <c r="G109" s="9" t="s">
        <v>404</v>
      </c>
      <c r="H109" s="9" t="s">
        <v>92</v>
      </c>
      <c r="I109" s="8" t="s">
        <v>78</v>
      </c>
      <c r="J109" s="10">
        <v>933.24</v>
      </c>
      <c r="K109" s="10">
        <v>933.24</v>
      </c>
      <c r="L109" s="10">
        <f t="shared" si="28"/>
        <v>0</v>
      </c>
      <c r="M109" s="10">
        <v>427.33</v>
      </c>
      <c r="N109" s="10">
        <v>427.33</v>
      </c>
      <c r="O109" s="10">
        <f t="shared" si="29"/>
        <v>0</v>
      </c>
      <c r="P109" s="11">
        <v>17500</v>
      </c>
      <c r="Q109" s="11">
        <v>38218.004820630427</v>
      </c>
      <c r="R109" s="11">
        <v>28000</v>
      </c>
      <c r="S109" s="11">
        <v>16331700</v>
      </c>
      <c r="T109" s="11">
        <v>1959804</v>
      </c>
      <c r="U109" s="12">
        <f t="shared" si="30"/>
        <v>0.12</v>
      </c>
      <c r="V109" s="13">
        <f t="shared" si="53"/>
        <v>0</v>
      </c>
      <c r="W109" s="10">
        <f t="shared" si="31"/>
        <v>0</v>
      </c>
      <c r="X109" s="10"/>
      <c r="Y109" s="10"/>
      <c r="Z109" s="11">
        <f t="shared" si="32"/>
        <v>16331700</v>
      </c>
      <c r="AA109" s="14"/>
      <c r="AB109" s="14"/>
      <c r="AC109" s="11">
        <f t="shared" si="33"/>
        <v>16331700</v>
      </c>
      <c r="AD109" s="10">
        <f t="shared" si="34"/>
        <v>300</v>
      </c>
      <c r="AE109" s="15">
        <v>128199</v>
      </c>
      <c r="AF109" s="16">
        <v>23076</v>
      </c>
      <c r="AG109" s="15">
        <f t="shared" si="35"/>
        <v>0</v>
      </c>
      <c r="AH109" s="15">
        <f t="shared" si="36"/>
        <v>0</v>
      </c>
      <c r="AI109" s="15">
        <f t="shared" si="37"/>
        <v>128199</v>
      </c>
      <c r="AJ109" s="15">
        <f t="shared" si="38"/>
        <v>23076</v>
      </c>
      <c r="AK109" s="10">
        <v>128199</v>
      </c>
      <c r="AL109" s="15">
        <f t="shared" si="39"/>
        <v>128199</v>
      </c>
      <c r="AM109" s="15">
        <f t="shared" si="40"/>
        <v>16459899</v>
      </c>
      <c r="AN109" s="15">
        <f t="shared" si="41"/>
        <v>1982880</v>
      </c>
      <c r="AO109" s="15">
        <f t="shared" si="46"/>
        <v>2111079</v>
      </c>
      <c r="AP109" s="17">
        <f t="shared" si="42"/>
        <v>18570978</v>
      </c>
      <c r="AQ109" s="15">
        <v>16462354</v>
      </c>
      <c r="AR109" s="15">
        <v>0</v>
      </c>
      <c r="AS109" s="18">
        <f t="shared" si="47"/>
        <v>2108624</v>
      </c>
      <c r="AT109" s="19">
        <v>16459899</v>
      </c>
      <c r="AU109" s="8">
        <v>8800</v>
      </c>
      <c r="AV109" s="13">
        <f t="shared" si="48"/>
        <v>3760504</v>
      </c>
      <c r="AW109" s="18">
        <f t="shared" si="49"/>
        <v>16459899</v>
      </c>
      <c r="AX109" s="15">
        <f t="shared" si="43"/>
        <v>16460000</v>
      </c>
      <c r="AY109" s="20">
        <v>7.0000000000000007E-2</v>
      </c>
      <c r="AZ109" s="13">
        <f t="shared" si="44"/>
        <v>1152200</v>
      </c>
      <c r="BA109" s="15">
        <f t="shared" si="45"/>
        <v>1152200</v>
      </c>
      <c r="BB109" s="21">
        <f t="shared" si="50"/>
        <v>3260824</v>
      </c>
      <c r="BC109" s="10">
        <f t="shared" si="51"/>
        <v>0</v>
      </c>
      <c r="BD109" s="10">
        <f t="shared" si="52"/>
        <v>0</v>
      </c>
      <c r="BE109" s="10">
        <v>86.7</v>
      </c>
      <c r="BF109" s="10">
        <v>39.700000000000003</v>
      </c>
      <c r="BG109" s="107">
        <v>46176</v>
      </c>
      <c r="BH109" s="107">
        <f t="shared" si="54"/>
        <v>46206</v>
      </c>
      <c r="BI109" s="23">
        <v>7</v>
      </c>
      <c r="BJ109" s="6"/>
      <c r="BK109" s="6"/>
      <c r="BL109" s="24">
        <f>VLOOKUP(A109,[2]Sheet1!$D$2:$H$933,5,0)</f>
        <v>0</v>
      </c>
      <c r="BM109" s="6" t="s">
        <v>3828</v>
      </c>
      <c r="BN109" s="6" t="s">
        <v>3829</v>
      </c>
      <c r="BO109" s="6" t="s">
        <v>3820</v>
      </c>
      <c r="BP109" s="6" t="s">
        <v>3821</v>
      </c>
      <c r="BQ109" s="6" t="s">
        <v>3830</v>
      </c>
      <c r="BR109" t="s">
        <v>3823</v>
      </c>
      <c r="BS109" t="s">
        <v>3824</v>
      </c>
      <c r="BT109" t="s">
        <v>3825</v>
      </c>
      <c r="BU109" t="s">
        <v>3826</v>
      </c>
      <c r="BV109" t="s">
        <v>3827</v>
      </c>
      <c r="BW109" t="s">
        <v>3835</v>
      </c>
      <c r="BX109">
        <v>0</v>
      </c>
      <c r="BY109" t="s">
        <v>3865</v>
      </c>
      <c r="BZ109" t="s">
        <v>3863</v>
      </c>
    </row>
    <row r="110" spans="1:78" x14ac:dyDescent="0.25">
      <c r="A110" s="7" t="s">
        <v>517</v>
      </c>
      <c r="B110" s="7" t="s">
        <v>181</v>
      </c>
      <c r="C110" s="7" t="s">
        <v>515</v>
      </c>
      <c r="D110" s="8" t="s">
        <v>516</v>
      </c>
      <c r="E110" s="7" t="s">
        <v>518</v>
      </c>
      <c r="F110" s="9">
        <v>44996</v>
      </c>
      <c r="G110" s="9" t="s">
        <v>404</v>
      </c>
      <c r="H110" s="9" t="s">
        <v>92</v>
      </c>
      <c r="I110" s="8" t="s">
        <v>78</v>
      </c>
      <c r="J110" s="10">
        <v>789</v>
      </c>
      <c r="K110" s="10">
        <v>789</v>
      </c>
      <c r="L110" s="10">
        <f t="shared" si="28"/>
        <v>0</v>
      </c>
      <c r="M110" s="10">
        <v>367.05</v>
      </c>
      <c r="N110" s="10">
        <v>367.05</v>
      </c>
      <c r="O110" s="10">
        <f t="shared" si="29"/>
        <v>0</v>
      </c>
      <c r="P110" s="11">
        <v>11045.874524714829</v>
      </c>
      <c r="Q110" s="11">
        <v>23743.890478136494</v>
      </c>
      <c r="R110" s="11">
        <v>28000</v>
      </c>
      <c r="S110" s="11">
        <v>8715195</v>
      </c>
      <c r="T110" s="11">
        <v>1045824</v>
      </c>
      <c r="U110" s="12">
        <f t="shared" si="30"/>
        <v>0.12000006884527541</v>
      </c>
      <c r="V110" s="13">
        <f t="shared" si="53"/>
        <v>0</v>
      </c>
      <c r="W110" s="10">
        <f t="shared" si="31"/>
        <v>0</v>
      </c>
      <c r="X110" s="10"/>
      <c r="Y110" s="10"/>
      <c r="Z110" s="11">
        <f t="shared" si="32"/>
        <v>8715195</v>
      </c>
      <c r="AA110" s="14"/>
      <c r="AB110" s="14"/>
      <c r="AC110" s="11">
        <f t="shared" si="33"/>
        <v>8715195</v>
      </c>
      <c r="AD110" s="10">
        <f t="shared" si="34"/>
        <v>300</v>
      </c>
      <c r="AE110" s="15">
        <v>110115</v>
      </c>
      <c r="AF110" s="16">
        <v>19820</v>
      </c>
      <c r="AG110" s="15">
        <f t="shared" si="35"/>
        <v>0</v>
      </c>
      <c r="AH110" s="15">
        <f t="shared" si="36"/>
        <v>0</v>
      </c>
      <c r="AI110" s="15">
        <f t="shared" si="37"/>
        <v>110115</v>
      </c>
      <c r="AJ110" s="15">
        <f t="shared" si="38"/>
        <v>19821</v>
      </c>
      <c r="AK110" s="10">
        <v>110115</v>
      </c>
      <c r="AL110" s="15">
        <f t="shared" si="39"/>
        <v>110115</v>
      </c>
      <c r="AM110" s="15">
        <f t="shared" si="40"/>
        <v>8825310</v>
      </c>
      <c r="AN110" s="15">
        <f t="shared" si="41"/>
        <v>1065645</v>
      </c>
      <c r="AO110" s="15">
        <f t="shared" si="46"/>
        <v>1175760</v>
      </c>
      <c r="AP110" s="17">
        <f t="shared" si="42"/>
        <v>10001070</v>
      </c>
      <c r="AQ110" s="15">
        <v>8784919</v>
      </c>
      <c r="AR110" s="15">
        <v>0</v>
      </c>
      <c r="AS110" s="18">
        <f t="shared" si="47"/>
        <v>1216151</v>
      </c>
      <c r="AT110" s="19">
        <v>11220416</v>
      </c>
      <c r="AU110" s="8">
        <v>8800</v>
      </c>
      <c r="AV110" s="13">
        <f t="shared" si="48"/>
        <v>3230040</v>
      </c>
      <c r="AW110" s="18">
        <f t="shared" si="49"/>
        <v>11220416</v>
      </c>
      <c r="AX110" s="15">
        <f t="shared" si="43"/>
        <v>11221000</v>
      </c>
      <c r="AY110" s="20">
        <v>0.05</v>
      </c>
      <c r="AZ110" s="13">
        <f t="shared" si="44"/>
        <v>561050</v>
      </c>
      <c r="BA110" s="15">
        <f t="shared" si="45"/>
        <v>561100</v>
      </c>
      <c r="BB110" s="21">
        <f t="shared" si="50"/>
        <v>1777251</v>
      </c>
      <c r="BC110" s="10">
        <f t="shared" si="51"/>
        <v>0</v>
      </c>
      <c r="BD110" s="10">
        <f t="shared" si="52"/>
        <v>0</v>
      </c>
      <c r="BE110" s="10">
        <v>73.3</v>
      </c>
      <c r="BF110" s="10">
        <v>34.1</v>
      </c>
      <c r="BG110" s="107">
        <v>46176</v>
      </c>
      <c r="BH110" s="107">
        <f t="shared" si="54"/>
        <v>46206</v>
      </c>
      <c r="BI110" s="23">
        <v>5</v>
      </c>
      <c r="BJ110" s="6"/>
      <c r="BK110" s="6"/>
      <c r="BL110" s="24">
        <f>VLOOKUP(A110,[2]Sheet1!$D$2:$H$933,5,0)</f>
        <v>0</v>
      </c>
      <c r="BM110" s="6" t="s">
        <v>3828</v>
      </c>
      <c r="BN110" s="6" t="s">
        <v>3829</v>
      </c>
      <c r="BO110" s="6" t="s">
        <v>3820</v>
      </c>
      <c r="BP110" s="6" t="s">
        <v>3821</v>
      </c>
      <c r="BQ110" s="6" t="s">
        <v>3830</v>
      </c>
      <c r="BR110" t="s">
        <v>3823</v>
      </c>
      <c r="BS110" t="s">
        <v>3824</v>
      </c>
      <c r="BT110" t="s">
        <v>3825</v>
      </c>
      <c r="BU110" t="s">
        <v>3826</v>
      </c>
      <c r="BV110" t="s">
        <v>3827</v>
      </c>
      <c r="BW110" t="s">
        <v>3835</v>
      </c>
      <c r="BX110">
        <v>0</v>
      </c>
      <c r="BY110" t="s">
        <v>3861</v>
      </c>
      <c r="BZ110" t="s">
        <v>3863</v>
      </c>
    </row>
    <row r="111" spans="1:78" x14ac:dyDescent="0.25">
      <c r="A111" s="31" t="s">
        <v>521</v>
      </c>
      <c r="B111" s="31" t="s">
        <v>181</v>
      </c>
      <c r="C111" s="31" t="s">
        <v>519</v>
      </c>
      <c r="D111" s="32" t="s">
        <v>520</v>
      </c>
      <c r="E111" s="31" t="s">
        <v>522</v>
      </c>
      <c r="F111" s="33">
        <v>44931</v>
      </c>
      <c r="G111" s="33" t="s">
        <v>404</v>
      </c>
      <c r="H111" s="33" t="s">
        <v>92</v>
      </c>
      <c r="I111" s="32" t="s">
        <v>78</v>
      </c>
      <c r="J111" s="34">
        <v>613.54999999999995</v>
      </c>
      <c r="K111" s="34">
        <v>613.54999999999995</v>
      </c>
      <c r="L111" s="34">
        <f t="shared" si="28"/>
        <v>0</v>
      </c>
      <c r="M111" s="34">
        <v>274.48</v>
      </c>
      <c r="N111" s="34">
        <v>274.48</v>
      </c>
      <c r="O111" s="34">
        <f t="shared" si="29"/>
        <v>0</v>
      </c>
      <c r="P111" s="35">
        <v>17600</v>
      </c>
      <c r="Q111" s="35">
        <v>39341.591372777613</v>
      </c>
      <c r="R111" s="35">
        <v>28000</v>
      </c>
      <c r="S111" s="35">
        <v>10798480</v>
      </c>
      <c r="T111" s="35">
        <v>1295820</v>
      </c>
      <c r="U111" s="36">
        <f t="shared" si="30"/>
        <v>0.12000022225350235</v>
      </c>
      <c r="V111" s="37">
        <f t="shared" si="53"/>
        <v>0</v>
      </c>
      <c r="W111" s="34">
        <f t="shared" si="31"/>
        <v>0</v>
      </c>
      <c r="X111" s="34"/>
      <c r="Y111" s="34"/>
      <c r="Z111" s="35">
        <f t="shared" si="32"/>
        <v>10798480</v>
      </c>
      <c r="AA111" s="38">
        <v>257232</v>
      </c>
      <c r="AB111" s="38">
        <v>30868</v>
      </c>
      <c r="AC111" s="35">
        <f t="shared" si="33"/>
        <v>10541248</v>
      </c>
      <c r="AD111" s="34">
        <f t="shared" si="34"/>
        <v>300</v>
      </c>
      <c r="AE111" s="39">
        <v>82344</v>
      </c>
      <c r="AF111" s="40">
        <v>14822</v>
      </c>
      <c r="AG111" s="39">
        <f t="shared" si="35"/>
        <v>0</v>
      </c>
      <c r="AH111" s="39">
        <f t="shared" si="36"/>
        <v>0</v>
      </c>
      <c r="AI111" s="39">
        <f t="shared" si="37"/>
        <v>82344</v>
      </c>
      <c r="AJ111" s="39">
        <f t="shared" si="38"/>
        <v>14822</v>
      </c>
      <c r="AK111" s="34">
        <v>82344</v>
      </c>
      <c r="AL111" s="39">
        <f t="shared" si="39"/>
        <v>82344</v>
      </c>
      <c r="AM111" s="39">
        <f t="shared" si="40"/>
        <v>10623592</v>
      </c>
      <c r="AN111" s="39">
        <f t="shared" si="41"/>
        <v>1279774</v>
      </c>
      <c r="AO111" s="39">
        <f t="shared" si="46"/>
        <v>1362118</v>
      </c>
      <c r="AP111" s="41">
        <f t="shared" si="42"/>
        <v>11985710</v>
      </c>
      <c r="AQ111" s="39">
        <v>10884869.880000001</v>
      </c>
      <c r="AR111" s="15">
        <v>0</v>
      </c>
      <c r="AS111" s="42">
        <f t="shared" si="47"/>
        <v>1100840</v>
      </c>
      <c r="AT111" s="43">
        <v>0</v>
      </c>
      <c r="AU111" s="32">
        <v>8800</v>
      </c>
      <c r="AV111" s="37">
        <f t="shared" si="48"/>
        <v>2415424</v>
      </c>
      <c r="AW111" s="42">
        <f t="shared" si="49"/>
        <v>10623592</v>
      </c>
      <c r="AX111" s="39">
        <f t="shared" si="43"/>
        <v>10624000</v>
      </c>
      <c r="AY111" s="44">
        <v>0.05</v>
      </c>
      <c r="AZ111" s="37">
        <f t="shared" si="44"/>
        <v>531200</v>
      </c>
      <c r="BA111" s="39">
        <f t="shared" si="45"/>
        <v>531200</v>
      </c>
      <c r="BB111" s="45">
        <f t="shared" si="50"/>
        <v>1632040</v>
      </c>
      <c r="BC111" s="34">
        <f t="shared" si="51"/>
        <v>0</v>
      </c>
      <c r="BD111" s="34">
        <f t="shared" si="52"/>
        <v>0</v>
      </c>
      <c r="BE111" s="34">
        <v>57</v>
      </c>
      <c r="BF111" s="34">
        <v>25.5</v>
      </c>
      <c r="BG111" s="107">
        <v>46176</v>
      </c>
      <c r="BH111" s="108">
        <f t="shared" si="54"/>
        <v>46206</v>
      </c>
      <c r="BI111" s="46">
        <v>5</v>
      </c>
      <c r="BJ111" s="47" t="s">
        <v>208</v>
      </c>
      <c r="BK111" s="47"/>
      <c r="BL111" s="24">
        <f>VLOOKUP(A111,[2]Sheet1!$D$2:$H$933,5,0)</f>
        <v>0</v>
      </c>
      <c r="BM111" s="6" t="s">
        <v>3828</v>
      </c>
      <c r="BN111" s="6" t="s">
        <v>3829</v>
      </c>
      <c r="BO111" s="6" t="s">
        <v>3820</v>
      </c>
      <c r="BP111" s="6" t="s">
        <v>3821</v>
      </c>
      <c r="BQ111" s="6" t="s">
        <v>3830</v>
      </c>
      <c r="BR111" t="s">
        <v>3823</v>
      </c>
      <c r="BS111" t="s">
        <v>3824</v>
      </c>
      <c r="BT111" t="s">
        <v>3825</v>
      </c>
      <c r="BU111" t="s">
        <v>3826</v>
      </c>
      <c r="BV111" t="s">
        <v>3827</v>
      </c>
      <c r="BW111" t="s">
        <v>3835</v>
      </c>
      <c r="BX111" s="101"/>
      <c r="BY111" t="s">
        <v>3869</v>
      </c>
      <c r="BZ111" t="s">
        <v>3863</v>
      </c>
    </row>
    <row r="112" spans="1:78" x14ac:dyDescent="0.25">
      <c r="A112" s="7" t="s">
        <v>525</v>
      </c>
      <c r="B112" s="7" t="s">
        <v>181</v>
      </c>
      <c r="C112" s="7" t="s">
        <v>523</v>
      </c>
      <c r="D112" s="8" t="s">
        <v>524</v>
      </c>
      <c r="E112" s="7" t="s">
        <v>526</v>
      </c>
      <c r="F112" s="9">
        <v>44937</v>
      </c>
      <c r="G112" s="9" t="s">
        <v>527</v>
      </c>
      <c r="H112" s="9" t="s">
        <v>66</v>
      </c>
      <c r="I112" s="8" t="s">
        <v>78</v>
      </c>
      <c r="J112" s="10">
        <v>775.01</v>
      </c>
      <c r="K112" s="10">
        <v>775.01</v>
      </c>
      <c r="L112" s="10">
        <f t="shared" si="28"/>
        <v>0</v>
      </c>
      <c r="M112" s="10">
        <v>363.82</v>
      </c>
      <c r="N112" s="10">
        <v>363.82</v>
      </c>
      <c r="O112" s="10">
        <f t="shared" si="29"/>
        <v>0</v>
      </c>
      <c r="P112" s="11">
        <v>12000</v>
      </c>
      <c r="Q112" s="11">
        <v>25562.420977406411</v>
      </c>
      <c r="R112" s="11">
        <v>22000</v>
      </c>
      <c r="S112" s="11">
        <v>9300120</v>
      </c>
      <c r="T112" s="11">
        <v>1116016</v>
      </c>
      <c r="U112" s="12">
        <f t="shared" si="30"/>
        <v>0.12000017204079087</v>
      </c>
      <c r="V112" s="13">
        <f t="shared" si="53"/>
        <v>0</v>
      </c>
      <c r="W112" s="10">
        <f t="shared" si="31"/>
        <v>0</v>
      </c>
      <c r="X112" s="10"/>
      <c r="Y112" s="10"/>
      <c r="Z112" s="11">
        <f t="shared" si="32"/>
        <v>9300120</v>
      </c>
      <c r="AA112" s="14"/>
      <c r="AB112" s="14"/>
      <c r="AC112" s="11">
        <f t="shared" si="33"/>
        <v>9300120</v>
      </c>
      <c r="AD112" s="10">
        <f t="shared" si="34"/>
        <v>300</v>
      </c>
      <c r="AE112" s="15">
        <v>109146</v>
      </c>
      <c r="AF112" s="16">
        <v>19646</v>
      </c>
      <c r="AG112" s="15">
        <f t="shared" si="35"/>
        <v>0</v>
      </c>
      <c r="AH112" s="15">
        <f t="shared" si="36"/>
        <v>0</v>
      </c>
      <c r="AI112" s="15">
        <f t="shared" si="37"/>
        <v>109146</v>
      </c>
      <c r="AJ112" s="15">
        <f t="shared" si="38"/>
        <v>19647</v>
      </c>
      <c r="AK112" s="10">
        <v>109146</v>
      </c>
      <c r="AL112" s="15">
        <f t="shared" si="39"/>
        <v>109146</v>
      </c>
      <c r="AM112" s="15">
        <f t="shared" si="40"/>
        <v>9409266</v>
      </c>
      <c r="AN112" s="15">
        <f t="shared" si="41"/>
        <v>1135663</v>
      </c>
      <c r="AO112" s="15">
        <f t="shared" si="46"/>
        <v>1244809</v>
      </c>
      <c r="AP112" s="17">
        <f t="shared" si="42"/>
        <v>10654075</v>
      </c>
      <c r="AQ112" s="15">
        <v>9374522</v>
      </c>
      <c r="AR112" s="15">
        <v>0</v>
      </c>
      <c r="AS112" s="18">
        <f t="shared" si="47"/>
        <v>1279553</v>
      </c>
      <c r="AT112" s="19">
        <v>0</v>
      </c>
      <c r="AU112" s="8">
        <v>8800</v>
      </c>
      <c r="AV112" s="13">
        <f t="shared" si="48"/>
        <v>3201616</v>
      </c>
      <c r="AW112" s="18">
        <f t="shared" si="49"/>
        <v>9409266</v>
      </c>
      <c r="AX112" s="15">
        <f t="shared" si="43"/>
        <v>9410000</v>
      </c>
      <c r="AY112" s="20">
        <v>7.0000000000000007E-2</v>
      </c>
      <c r="AZ112" s="13">
        <f t="shared" si="44"/>
        <v>658700.00000000012</v>
      </c>
      <c r="BA112" s="15">
        <f t="shared" si="45"/>
        <v>658700</v>
      </c>
      <c r="BB112" s="21">
        <f t="shared" si="50"/>
        <v>1938253</v>
      </c>
      <c r="BC112" s="10">
        <f t="shared" si="51"/>
        <v>0</v>
      </c>
      <c r="BD112" s="10">
        <f t="shared" si="52"/>
        <v>0</v>
      </c>
      <c r="BE112" s="10">
        <v>72</v>
      </c>
      <c r="BF112" s="10">
        <v>33.799999999999997</v>
      </c>
      <c r="BG112" s="107">
        <v>46176</v>
      </c>
      <c r="BH112" s="107">
        <f t="shared" si="54"/>
        <v>46206</v>
      </c>
      <c r="BI112" s="23">
        <v>7</v>
      </c>
      <c r="BJ112" s="6"/>
      <c r="BK112" s="6"/>
      <c r="BL112" s="24">
        <f>VLOOKUP(A112,[2]Sheet1!$D$2:$H$933,5,0)</f>
        <v>0</v>
      </c>
      <c r="BM112" s="6" t="s">
        <v>3828</v>
      </c>
      <c r="BN112" s="6" t="s">
        <v>3829</v>
      </c>
      <c r="BO112" s="6" t="s">
        <v>3820</v>
      </c>
      <c r="BP112" s="6" t="s">
        <v>3821</v>
      </c>
      <c r="BQ112" s="6" t="s">
        <v>3830</v>
      </c>
      <c r="BR112" t="s">
        <v>3823</v>
      </c>
      <c r="BS112" t="s">
        <v>3824</v>
      </c>
      <c r="BT112" t="s">
        <v>3825</v>
      </c>
      <c r="BU112" t="s">
        <v>3826</v>
      </c>
      <c r="BV112" t="s">
        <v>3827</v>
      </c>
      <c r="BW112" t="s">
        <v>3835</v>
      </c>
      <c r="BX112">
        <v>0</v>
      </c>
      <c r="BY112" t="s">
        <v>3867</v>
      </c>
      <c r="BZ112" t="s">
        <v>3871</v>
      </c>
    </row>
    <row r="113" spans="1:78" x14ac:dyDescent="0.25">
      <c r="A113" s="7" t="s">
        <v>530</v>
      </c>
      <c r="B113" s="7" t="s">
        <v>181</v>
      </c>
      <c r="C113" s="7" t="s">
        <v>528</v>
      </c>
      <c r="D113" s="8" t="s">
        <v>529</v>
      </c>
      <c r="E113" s="7" t="s">
        <v>531</v>
      </c>
      <c r="F113" s="9">
        <v>44896</v>
      </c>
      <c r="G113" s="9" t="s">
        <v>527</v>
      </c>
      <c r="H113" s="9" t="s">
        <v>66</v>
      </c>
      <c r="I113" s="8" t="s">
        <v>78</v>
      </c>
      <c r="J113" s="10">
        <v>644.76</v>
      </c>
      <c r="K113" s="10">
        <v>644.76</v>
      </c>
      <c r="L113" s="10">
        <f t="shared" si="28"/>
        <v>0</v>
      </c>
      <c r="M113" s="10">
        <v>301.39</v>
      </c>
      <c r="N113" s="10">
        <v>301.39</v>
      </c>
      <c r="O113" s="10">
        <f t="shared" si="29"/>
        <v>0</v>
      </c>
      <c r="P113" s="11">
        <v>13672.690613561635</v>
      </c>
      <c r="Q113" s="11">
        <v>29249.822489133683</v>
      </c>
      <c r="R113" s="11">
        <v>22000</v>
      </c>
      <c r="S113" s="11">
        <v>8815604</v>
      </c>
      <c r="T113" s="11">
        <v>1057872</v>
      </c>
      <c r="U113" s="12">
        <f t="shared" si="30"/>
        <v>0.11999994555109326</v>
      </c>
      <c r="V113" s="13">
        <f t="shared" si="53"/>
        <v>0</v>
      </c>
      <c r="W113" s="10">
        <f t="shared" si="31"/>
        <v>0</v>
      </c>
      <c r="X113" s="10"/>
      <c r="Y113" s="10"/>
      <c r="Z113" s="11">
        <f t="shared" si="32"/>
        <v>8815604</v>
      </c>
      <c r="AA113" s="14">
        <v>470653</v>
      </c>
      <c r="AB113" s="14">
        <v>56478</v>
      </c>
      <c r="AC113" s="11">
        <f t="shared" si="33"/>
        <v>8344951</v>
      </c>
      <c r="AD113" s="10">
        <f t="shared" si="34"/>
        <v>300</v>
      </c>
      <c r="AE113" s="15">
        <v>90417</v>
      </c>
      <c r="AF113" s="16">
        <v>16276</v>
      </c>
      <c r="AG113" s="15">
        <f t="shared" si="35"/>
        <v>0</v>
      </c>
      <c r="AH113" s="15">
        <f t="shared" si="36"/>
        <v>0</v>
      </c>
      <c r="AI113" s="15">
        <f t="shared" si="37"/>
        <v>90417</v>
      </c>
      <c r="AJ113" s="15">
        <f t="shared" si="38"/>
        <v>16276</v>
      </c>
      <c r="AK113" s="10">
        <v>90417</v>
      </c>
      <c r="AL113" s="15">
        <f t="shared" si="39"/>
        <v>90417</v>
      </c>
      <c r="AM113" s="15">
        <f t="shared" si="40"/>
        <v>8435368</v>
      </c>
      <c r="AN113" s="15">
        <f t="shared" si="41"/>
        <v>1017670</v>
      </c>
      <c r="AO113" s="15">
        <f t="shared" si="46"/>
        <v>1108087</v>
      </c>
      <c r="AP113" s="17">
        <f t="shared" si="42"/>
        <v>9543455</v>
      </c>
      <c r="AQ113" s="15">
        <v>8530510</v>
      </c>
      <c r="AR113" s="15">
        <v>0</v>
      </c>
      <c r="AS113" s="18">
        <f t="shared" si="47"/>
        <v>1012945</v>
      </c>
      <c r="AT113" s="19">
        <v>0</v>
      </c>
      <c r="AU113" s="8">
        <v>8800</v>
      </c>
      <c r="AV113" s="13">
        <f t="shared" si="48"/>
        <v>2652232</v>
      </c>
      <c r="AW113" s="18">
        <f t="shared" si="49"/>
        <v>8435368</v>
      </c>
      <c r="AX113" s="15">
        <f t="shared" si="43"/>
        <v>8436000</v>
      </c>
      <c r="AY113" s="20">
        <v>0.05</v>
      </c>
      <c r="AZ113" s="13">
        <f t="shared" si="44"/>
        <v>421800</v>
      </c>
      <c r="BA113" s="15">
        <f t="shared" si="45"/>
        <v>421800</v>
      </c>
      <c r="BB113" s="21">
        <f t="shared" si="50"/>
        <v>1434745</v>
      </c>
      <c r="BC113" s="10">
        <f t="shared" si="51"/>
        <v>0</v>
      </c>
      <c r="BD113" s="10">
        <f t="shared" si="52"/>
        <v>0</v>
      </c>
      <c r="BE113" s="10">
        <v>59.9</v>
      </c>
      <c r="BF113" s="10">
        <v>28</v>
      </c>
      <c r="BG113" s="107">
        <v>46176</v>
      </c>
      <c r="BH113" s="107">
        <f t="shared" si="54"/>
        <v>46206</v>
      </c>
      <c r="BI113" s="23">
        <v>5</v>
      </c>
      <c r="BJ113" s="6"/>
      <c r="BK113" s="6"/>
      <c r="BL113" s="24">
        <f>VLOOKUP(A113,[2]Sheet1!$D$2:$H$933,5,0)</f>
        <v>0</v>
      </c>
      <c r="BM113" s="6" t="s">
        <v>3828</v>
      </c>
      <c r="BN113" s="6" t="s">
        <v>3829</v>
      </c>
      <c r="BO113" s="6" t="s">
        <v>3820</v>
      </c>
      <c r="BP113" s="6" t="s">
        <v>3821</v>
      </c>
      <c r="BQ113" s="6" t="s">
        <v>3830</v>
      </c>
      <c r="BR113" t="s">
        <v>3823</v>
      </c>
      <c r="BS113" t="s">
        <v>3824</v>
      </c>
      <c r="BT113" t="s">
        <v>3825</v>
      </c>
      <c r="BU113" t="s">
        <v>3826</v>
      </c>
      <c r="BV113" t="s">
        <v>3827</v>
      </c>
      <c r="BW113" t="s">
        <v>3835</v>
      </c>
      <c r="BX113">
        <v>0</v>
      </c>
      <c r="BY113" t="s">
        <v>3867</v>
      </c>
      <c r="BZ113" t="s">
        <v>3871</v>
      </c>
    </row>
    <row r="114" spans="1:78" x14ac:dyDescent="0.25">
      <c r="A114" s="7" t="s">
        <v>534</v>
      </c>
      <c r="B114" s="7" t="s">
        <v>181</v>
      </c>
      <c r="C114" s="7" t="s">
        <v>532</v>
      </c>
      <c r="D114" s="8" t="s">
        <v>533</v>
      </c>
      <c r="E114" s="7" t="s">
        <v>535</v>
      </c>
      <c r="F114" s="9">
        <v>44896</v>
      </c>
      <c r="G114" s="9" t="s">
        <v>527</v>
      </c>
      <c r="H114" s="9" t="s">
        <v>66</v>
      </c>
      <c r="I114" s="8" t="s">
        <v>78</v>
      </c>
      <c r="J114" s="10">
        <v>706.76</v>
      </c>
      <c r="K114" s="10">
        <v>706.76</v>
      </c>
      <c r="L114" s="10">
        <f t="shared" si="28"/>
        <v>0</v>
      </c>
      <c r="M114" s="10">
        <v>312.69</v>
      </c>
      <c r="N114" s="10">
        <v>312.69</v>
      </c>
      <c r="O114" s="10">
        <f t="shared" si="29"/>
        <v>0</v>
      </c>
      <c r="P114" s="11">
        <v>15525</v>
      </c>
      <c r="Q114" s="11">
        <v>35090.501774920849</v>
      </c>
      <c r="R114" s="11">
        <v>22000</v>
      </c>
      <c r="S114" s="11">
        <v>10972449</v>
      </c>
      <c r="T114" s="11">
        <v>1316694</v>
      </c>
      <c r="U114" s="12">
        <f t="shared" si="30"/>
        <v>0.12000001093648283</v>
      </c>
      <c r="V114" s="13">
        <f t="shared" si="53"/>
        <v>0</v>
      </c>
      <c r="W114" s="10">
        <f t="shared" si="31"/>
        <v>0</v>
      </c>
      <c r="X114" s="10"/>
      <c r="Y114" s="10"/>
      <c r="Z114" s="11">
        <f t="shared" si="32"/>
        <v>10972449</v>
      </c>
      <c r="AA114" s="14">
        <v>3315847</v>
      </c>
      <c r="AB114" s="14">
        <v>397902</v>
      </c>
      <c r="AC114" s="11">
        <f t="shared" si="33"/>
        <v>7656602</v>
      </c>
      <c r="AD114" s="10">
        <f t="shared" si="34"/>
        <v>300</v>
      </c>
      <c r="AE114" s="15">
        <v>93807</v>
      </c>
      <c r="AF114" s="16">
        <v>16886</v>
      </c>
      <c r="AG114" s="15">
        <f t="shared" si="35"/>
        <v>0</v>
      </c>
      <c r="AH114" s="15">
        <f t="shared" si="36"/>
        <v>0</v>
      </c>
      <c r="AI114" s="15">
        <f t="shared" si="37"/>
        <v>93807</v>
      </c>
      <c r="AJ114" s="15">
        <f t="shared" si="38"/>
        <v>16886</v>
      </c>
      <c r="AK114" s="10">
        <v>93807</v>
      </c>
      <c r="AL114" s="15">
        <f t="shared" si="39"/>
        <v>93807</v>
      </c>
      <c r="AM114" s="15">
        <f t="shared" si="40"/>
        <v>7750409</v>
      </c>
      <c r="AN114" s="15">
        <f t="shared" si="41"/>
        <v>935678</v>
      </c>
      <c r="AO114" s="15">
        <f t="shared" si="46"/>
        <v>1029485</v>
      </c>
      <c r="AP114" s="17">
        <f t="shared" si="42"/>
        <v>8779894</v>
      </c>
      <c r="AQ114" s="15">
        <v>7346548</v>
      </c>
      <c r="AR114" s="15">
        <v>0</v>
      </c>
      <c r="AS114" s="18">
        <f t="shared" si="47"/>
        <v>1433346</v>
      </c>
      <c r="AT114" s="19">
        <v>0</v>
      </c>
      <c r="AU114" s="8">
        <v>8800</v>
      </c>
      <c r="AV114" s="13">
        <f t="shared" si="48"/>
        <v>2751672</v>
      </c>
      <c r="AW114" s="18">
        <f t="shared" si="49"/>
        <v>7750409</v>
      </c>
      <c r="AX114" s="15">
        <f t="shared" si="43"/>
        <v>7751000</v>
      </c>
      <c r="AY114" s="20">
        <v>0.05</v>
      </c>
      <c r="AZ114" s="13">
        <f t="shared" si="44"/>
        <v>387550</v>
      </c>
      <c r="BA114" s="15">
        <f t="shared" si="45"/>
        <v>387600</v>
      </c>
      <c r="BB114" s="21">
        <f t="shared" si="50"/>
        <v>1820946</v>
      </c>
      <c r="BC114" s="10">
        <f t="shared" si="51"/>
        <v>0</v>
      </c>
      <c r="BD114" s="10">
        <f t="shared" si="52"/>
        <v>0</v>
      </c>
      <c r="BE114" s="10">
        <v>65.66</v>
      </c>
      <c r="BF114" s="10">
        <v>29.05</v>
      </c>
      <c r="BG114" s="107">
        <v>46176</v>
      </c>
      <c r="BH114" s="107">
        <f t="shared" si="54"/>
        <v>46206</v>
      </c>
      <c r="BI114" s="23">
        <v>5</v>
      </c>
      <c r="BJ114" s="6"/>
      <c r="BK114" s="6"/>
      <c r="BL114" s="24">
        <f>VLOOKUP(A114,[2]Sheet1!$D$2:$H$933,5,0)</f>
        <v>0</v>
      </c>
      <c r="BM114" s="6" t="s">
        <v>3828</v>
      </c>
      <c r="BN114" s="6" t="s">
        <v>3829</v>
      </c>
      <c r="BO114" s="6" t="s">
        <v>3820</v>
      </c>
      <c r="BP114" s="6" t="s">
        <v>3821</v>
      </c>
      <c r="BQ114" s="6" t="s">
        <v>3830</v>
      </c>
      <c r="BR114" t="s">
        <v>3823</v>
      </c>
      <c r="BS114" t="s">
        <v>3824</v>
      </c>
      <c r="BT114" t="s">
        <v>3825</v>
      </c>
      <c r="BU114" t="s">
        <v>3826</v>
      </c>
      <c r="BV114" t="s">
        <v>3827</v>
      </c>
      <c r="BW114" t="s">
        <v>3835</v>
      </c>
      <c r="BX114">
        <v>0</v>
      </c>
      <c r="BY114" t="s">
        <v>3869</v>
      </c>
      <c r="BZ114" t="s">
        <v>3871</v>
      </c>
    </row>
    <row r="115" spans="1:78" x14ac:dyDescent="0.25">
      <c r="A115" s="7" t="s">
        <v>538</v>
      </c>
      <c r="B115" s="7" t="s">
        <v>181</v>
      </c>
      <c r="C115" s="7" t="s">
        <v>536</v>
      </c>
      <c r="D115" s="8" t="s">
        <v>537</v>
      </c>
      <c r="E115" s="7" t="s">
        <v>539</v>
      </c>
      <c r="F115" s="9">
        <v>44999</v>
      </c>
      <c r="G115" s="9" t="s">
        <v>527</v>
      </c>
      <c r="H115" s="9" t="s">
        <v>66</v>
      </c>
      <c r="I115" s="8" t="s">
        <v>78</v>
      </c>
      <c r="J115" s="10">
        <v>1130.22</v>
      </c>
      <c r="K115" s="10">
        <v>1130.22</v>
      </c>
      <c r="L115" s="10">
        <f t="shared" si="28"/>
        <v>0</v>
      </c>
      <c r="M115" s="10">
        <v>522.04999999999995</v>
      </c>
      <c r="N115" s="10">
        <v>522.04999999999995</v>
      </c>
      <c r="O115" s="10">
        <f t="shared" si="29"/>
        <v>0</v>
      </c>
      <c r="P115" s="11">
        <v>15350</v>
      </c>
      <c r="Q115" s="11">
        <v>33232.213389522076</v>
      </c>
      <c r="R115" s="11">
        <v>22000</v>
      </c>
      <c r="S115" s="11">
        <v>17348877</v>
      </c>
      <c r="T115" s="11">
        <v>2081864</v>
      </c>
      <c r="U115" s="12">
        <f t="shared" si="30"/>
        <v>0.1199999285256331</v>
      </c>
      <c r="V115" s="13">
        <f t="shared" si="53"/>
        <v>0</v>
      </c>
      <c r="W115" s="10">
        <f t="shared" si="31"/>
        <v>0</v>
      </c>
      <c r="X115" s="10"/>
      <c r="Y115" s="10"/>
      <c r="Z115" s="11">
        <f t="shared" si="32"/>
        <v>17348877</v>
      </c>
      <c r="AA115" s="14"/>
      <c r="AB115" s="14"/>
      <c r="AC115" s="11">
        <f t="shared" si="33"/>
        <v>17348877</v>
      </c>
      <c r="AD115" s="10">
        <f t="shared" si="34"/>
        <v>300</v>
      </c>
      <c r="AE115" s="15">
        <v>156615</v>
      </c>
      <c r="AF115" s="16">
        <v>28190</v>
      </c>
      <c r="AG115" s="15">
        <f t="shared" si="35"/>
        <v>0</v>
      </c>
      <c r="AH115" s="15">
        <f t="shared" si="36"/>
        <v>0</v>
      </c>
      <c r="AI115" s="15">
        <f t="shared" si="37"/>
        <v>156615</v>
      </c>
      <c r="AJ115" s="15">
        <f t="shared" si="38"/>
        <v>28191</v>
      </c>
      <c r="AK115" s="10">
        <v>156615</v>
      </c>
      <c r="AL115" s="15">
        <f t="shared" si="39"/>
        <v>156615</v>
      </c>
      <c r="AM115" s="15">
        <f t="shared" si="40"/>
        <v>17505492</v>
      </c>
      <c r="AN115" s="15">
        <f t="shared" si="41"/>
        <v>2110055</v>
      </c>
      <c r="AO115" s="15">
        <f t="shared" si="46"/>
        <v>2266670</v>
      </c>
      <c r="AP115" s="17">
        <f t="shared" si="42"/>
        <v>19772162</v>
      </c>
      <c r="AQ115" s="15">
        <v>17487667</v>
      </c>
      <c r="AR115" s="15">
        <v>0</v>
      </c>
      <c r="AS115" s="18">
        <f t="shared" si="47"/>
        <v>2284495</v>
      </c>
      <c r="AT115" s="19">
        <v>19275902</v>
      </c>
      <c r="AU115" s="8">
        <v>8800</v>
      </c>
      <c r="AV115" s="13">
        <f t="shared" si="48"/>
        <v>4594040</v>
      </c>
      <c r="AW115" s="18">
        <f t="shared" si="49"/>
        <v>19275902</v>
      </c>
      <c r="AX115" s="15">
        <f t="shared" si="43"/>
        <v>19276000</v>
      </c>
      <c r="AY115" s="20">
        <v>7.0000000000000007E-2</v>
      </c>
      <c r="AZ115" s="13">
        <f t="shared" si="44"/>
        <v>1349320.0000000002</v>
      </c>
      <c r="BA115" s="15">
        <f t="shared" si="45"/>
        <v>1349400</v>
      </c>
      <c r="BB115" s="21">
        <f t="shared" si="50"/>
        <v>3633895</v>
      </c>
      <c r="BC115" s="10">
        <f t="shared" si="51"/>
        <v>0</v>
      </c>
      <c r="BD115" s="10">
        <f t="shared" si="52"/>
        <v>0</v>
      </c>
      <c r="BE115" s="10">
        <v>105</v>
      </c>
      <c r="BF115" s="10">
        <v>48.5</v>
      </c>
      <c r="BG115" s="107">
        <v>46176</v>
      </c>
      <c r="BH115" s="107">
        <f t="shared" si="54"/>
        <v>46206</v>
      </c>
      <c r="BI115" s="23">
        <v>7</v>
      </c>
      <c r="BJ115" s="6"/>
      <c r="BK115" s="6"/>
      <c r="BL115" s="24">
        <f>VLOOKUP(A115,[2]Sheet1!$D$2:$H$933,5,0)</f>
        <v>0</v>
      </c>
      <c r="BM115" s="6" t="s">
        <v>3828</v>
      </c>
      <c r="BN115" s="6" t="s">
        <v>3829</v>
      </c>
      <c r="BO115" s="6" t="s">
        <v>3820</v>
      </c>
      <c r="BP115" s="6" t="s">
        <v>3821</v>
      </c>
      <c r="BQ115" s="6" t="s">
        <v>3830</v>
      </c>
      <c r="BR115" t="s">
        <v>3823</v>
      </c>
      <c r="BS115" t="s">
        <v>3824</v>
      </c>
      <c r="BT115" t="s">
        <v>3825</v>
      </c>
      <c r="BU115" t="s">
        <v>3826</v>
      </c>
      <c r="BV115" t="s">
        <v>3827</v>
      </c>
      <c r="BW115" t="s">
        <v>3835</v>
      </c>
      <c r="BX115">
        <v>0</v>
      </c>
      <c r="BY115" t="s">
        <v>3865</v>
      </c>
      <c r="BZ115" t="s">
        <v>3871</v>
      </c>
    </row>
    <row r="116" spans="1:78" x14ac:dyDescent="0.25">
      <c r="A116" s="7" t="s">
        <v>542</v>
      </c>
      <c r="B116" s="7" t="s">
        <v>181</v>
      </c>
      <c r="C116" s="7" t="s">
        <v>540</v>
      </c>
      <c r="D116" s="8" t="s">
        <v>541</v>
      </c>
      <c r="E116" s="7" t="s">
        <v>543</v>
      </c>
      <c r="F116" s="9">
        <v>44997</v>
      </c>
      <c r="G116" s="9" t="s">
        <v>527</v>
      </c>
      <c r="H116" s="9" t="s">
        <v>66</v>
      </c>
      <c r="I116" s="8" t="s">
        <v>78</v>
      </c>
      <c r="J116" s="10">
        <v>775.01</v>
      </c>
      <c r="K116" s="10">
        <v>775.01</v>
      </c>
      <c r="L116" s="10">
        <f t="shared" si="28"/>
        <v>0</v>
      </c>
      <c r="M116" s="10">
        <v>358.44</v>
      </c>
      <c r="N116" s="10">
        <v>358.44</v>
      </c>
      <c r="O116" s="10">
        <f t="shared" si="29"/>
        <v>0</v>
      </c>
      <c r="P116" s="11">
        <v>12000</v>
      </c>
      <c r="Q116" s="11">
        <v>25946.099765651154</v>
      </c>
      <c r="R116" s="11">
        <v>22000</v>
      </c>
      <c r="S116" s="11">
        <v>9300120</v>
      </c>
      <c r="T116" s="11">
        <v>1116016</v>
      </c>
      <c r="U116" s="12">
        <f t="shared" si="30"/>
        <v>0.12000017204079087</v>
      </c>
      <c r="V116" s="13">
        <f t="shared" si="53"/>
        <v>0</v>
      </c>
      <c r="W116" s="10">
        <f t="shared" si="31"/>
        <v>0</v>
      </c>
      <c r="X116" s="10"/>
      <c r="Y116" s="10"/>
      <c r="Z116" s="11">
        <f t="shared" si="32"/>
        <v>9300120</v>
      </c>
      <c r="AA116" s="14"/>
      <c r="AB116" s="14"/>
      <c r="AC116" s="11">
        <f t="shared" si="33"/>
        <v>9300120</v>
      </c>
      <c r="AD116" s="10">
        <f t="shared" si="34"/>
        <v>300</v>
      </c>
      <c r="AE116" s="15">
        <v>107532</v>
      </c>
      <c r="AF116" s="16">
        <v>19356</v>
      </c>
      <c r="AG116" s="15">
        <f t="shared" si="35"/>
        <v>0</v>
      </c>
      <c r="AH116" s="15">
        <f t="shared" si="36"/>
        <v>0</v>
      </c>
      <c r="AI116" s="15">
        <f t="shared" si="37"/>
        <v>107532</v>
      </c>
      <c r="AJ116" s="15">
        <f t="shared" si="38"/>
        <v>19356</v>
      </c>
      <c r="AK116" s="10">
        <v>107532</v>
      </c>
      <c r="AL116" s="15">
        <f t="shared" si="39"/>
        <v>107532</v>
      </c>
      <c r="AM116" s="15">
        <f t="shared" si="40"/>
        <v>9407652</v>
      </c>
      <c r="AN116" s="15">
        <f t="shared" si="41"/>
        <v>1135372</v>
      </c>
      <c r="AO116" s="15">
        <f t="shared" si="46"/>
        <v>1242904</v>
      </c>
      <c r="AP116" s="17">
        <f t="shared" si="42"/>
        <v>10650556</v>
      </c>
      <c r="AQ116" s="15">
        <v>9374522</v>
      </c>
      <c r="AR116" s="15">
        <v>0</v>
      </c>
      <c r="AS116" s="18">
        <f t="shared" si="47"/>
        <v>1276034</v>
      </c>
      <c r="AT116" s="19">
        <v>9407652</v>
      </c>
      <c r="AU116" s="8">
        <v>8800</v>
      </c>
      <c r="AV116" s="13">
        <f t="shared" si="48"/>
        <v>3154272</v>
      </c>
      <c r="AW116" s="18">
        <f t="shared" si="49"/>
        <v>9407652</v>
      </c>
      <c r="AX116" s="15">
        <f t="shared" si="43"/>
        <v>9408000</v>
      </c>
      <c r="AY116" s="20">
        <v>0.05</v>
      </c>
      <c r="AZ116" s="13">
        <f t="shared" si="44"/>
        <v>470400</v>
      </c>
      <c r="BA116" s="15">
        <f t="shared" si="45"/>
        <v>470400</v>
      </c>
      <c r="BB116" s="21">
        <f t="shared" si="50"/>
        <v>1746434</v>
      </c>
      <c r="BC116" s="10">
        <f t="shared" si="51"/>
        <v>0</v>
      </c>
      <c r="BD116" s="10">
        <f t="shared" si="52"/>
        <v>0</v>
      </c>
      <c r="BE116" s="10">
        <v>72</v>
      </c>
      <c r="BF116" s="10">
        <v>33.299999999999997</v>
      </c>
      <c r="BG116" s="107">
        <v>46176</v>
      </c>
      <c r="BH116" s="107">
        <f t="shared" si="54"/>
        <v>46206</v>
      </c>
      <c r="BI116" s="23">
        <v>5</v>
      </c>
      <c r="BJ116" s="6"/>
      <c r="BK116" s="6"/>
      <c r="BL116" s="24">
        <f>VLOOKUP(A116,[2]Sheet1!$D$2:$H$933,5,0)</f>
        <v>0</v>
      </c>
      <c r="BM116" s="6" t="s">
        <v>3828</v>
      </c>
      <c r="BN116" s="6" t="s">
        <v>3829</v>
      </c>
      <c r="BO116" s="6" t="s">
        <v>3820</v>
      </c>
      <c r="BP116" s="6" t="s">
        <v>3821</v>
      </c>
      <c r="BQ116" s="6" t="s">
        <v>3830</v>
      </c>
      <c r="BR116" t="s">
        <v>3823</v>
      </c>
      <c r="BS116" t="s">
        <v>3824</v>
      </c>
      <c r="BT116" t="s">
        <v>3825</v>
      </c>
      <c r="BU116" t="s">
        <v>3826</v>
      </c>
      <c r="BV116" t="s">
        <v>3827</v>
      </c>
      <c r="BW116" t="s">
        <v>3835</v>
      </c>
      <c r="BX116">
        <v>0</v>
      </c>
      <c r="BY116" t="s">
        <v>3866</v>
      </c>
      <c r="BZ116" t="s">
        <v>3871</v>
      </c>
    </row>
    <row r="117" spans="1:78" x14ac:dyDescent="0.25">
      <c r="A117" s="7" t="s">
        <v>546</v>
      </c>
      <c r="B117" s="7" t="s">
        <v>181</v>
      </c>
      <c r="C117" s="7" t="s">
        <v>544</v>
      </c>
      <c r="D117" s="8" t="s">
        <v>545</v>
      </c>
      <c r="E117" s="7" t="s">
        <v>547</v>
      </c>
      <c r="F117" s="9">
        <v>44875</v>
      </c>
      <c r="G117" s="9" t="s">
        <v>527</v>
      </c>
      <c r="H117" s="9" t="s">
        <v>66</v>
      </c>
      <c r="I117" s="8" t="s">
        <v>78</v>
      </c>
      <c r="J117" s="10">
        <v>784.7</v>
      </c>
      <c r="K117" s="10">
        <v>784.7</v>
      </c>
      <c r="L117" s="10">
        <f t="shared" si="28"/>
        <v>0</v>
      </c>
      <c r="M117" s="10">
        <v>358.44</v>
      </c>
      <c r="N117" s="10">
        <v>358.44</v>
      </c>
      <c r="O117" s="10">
        <f t="shared" si="29"/>
        <v>0</v>
      </c>
      <c r="P117" s="11">
        <v>19709.39977061297</v>
      </c>
      <c r="Q117" s="11">
        <v>43147.991295614331</v>
      </c>
      <c r="R117" s="11">
        <v>22000</v>
      </c>
      <c r="S117" s="11">
        <v>15465966</v>
      </c>
      <c r="T117" s="11">
        <v>1855916</v>
      </c>
      <c r="U117" s="12">
        <f t="shared" si="30"/>
        <v>0.12000000517264812</v>
      </c>
      <c r="V117" s="13">
        <f t="shared" si="53"/>
        <v>0</v>
      </c>
      <c r="W117" s="10">
        <f t="shared" si="31"/>
        <v>0</v>
      </c>
      <c r="X117" s="10"/>
      <c r="Y117" s="10"/>
      <c r="Z117" s="11">
        <f t="shared" si="32"/>
        <v>15465966</v>
      </c>
      <c r="AA117" s="14">
        <v>1638639</v>
      </c>
      <c r="AB117" s="14">
        <v>196636</v>
      </c>
      <c r="AC117" s="11">
        <f t="shared" si="33"/>
        <v>13827327</v>
      </c>
      <c r="AD117" s="10">
        <f t="shared" si="34"/>
        <v>300</v>
      </c>
      <c r="AE117" s="15">
        <v>107532</v>
      </c>
      <c r="AF117" s="16">
        <v>19356</v>
      </c>
      <c r="AG117" s="15">
        <f t="shared" si="35"/>
        <v>0</v>
      </c>
      <c r="AH117" s="15">
        <f t="shared" si="36"/>
        <v>0</v>
      </c>
      <c r="AI117" s="15">
        <f t="shared" si="37"/>
        <v>107532</v>
      </c>
      <c r="AJ117" s="15">
        <f t="shared" si="38"/>
        <v>19356</v>
      </c>
      <c r="AK117" s="10">
        <v>107532</v>
      </c>
      <c r="AL117" s="15">
        <f t="shared" si="39"/>
        <v>107532</v>
      </c>
      <c r="AM117" s="15">
        <f t="shared" si="40"/>
        <v>13934859</v>
      </c>
      <c r="AN117" s="15">
        <f t="shared" si="41"/>
        <v>1678636</v>
      </c>
      <c r="AO117" s="15">
        <f t="shared" si="46"/>
        <v>1786168</v>
      </c>
      <c r="AP117" s="17">
        <f t="shared" si="42"/>
        <v>15721027</v>
      </c>
      <c r="AQ117" s="15">
        <v>13754421</v>
      </c>
      <c r="AR117" s="15">
        <v>0</v>
      </c>
      <c r="AS117" s="18">
        <f t="shared" si="47"/>
        <v>1966606</v>
      </c>
      <c r="AT117" s="19">
        <v>0</v>
      </c>
      <c r="AU117" s="8">
        <v>8800</v>
      </c>
      <c r="AV117" s="13">
        <f t="shared" si="48"/>
        <v>3154272</v>
      </c>
      <c r="AW117" s="18">
        <f t="shared" si="49"/>
        <v>13934859</v>
      </c>
      <c r="AX117" s="15">
        <f t="shared" si="43"/>
        <v>13935000</v>
      </c>
      <c r="AY117" s="20">
        <v>0.06</v>
      </c>
      <c r="AZ117" s="13">
        <f t="shared" si="44"/>
        <v>836100</v>
      </c>
      <c r="BA117" s="15">
        <f t="shared" si="45"/>
        <v>836100</v>
      </c>
      <c r="BB117" s="21">
        <f t="shared" si="50"/>
        <v>2802706</v>
      </c>
      <c r="BC117" s="10">
        <f t="shared" si="51"/>
        <v>0</v>
      </c>
      <c r="BD117" s="10">
        <f t="shared" si="52"/>
        <v>0</v>
      </c>
      <c r="BE117" s="10">
        <v>72.900000000000006</v>
      </c>
      <c r="BF117" s="10">
        <v>33.299999999999997</v>
      </c>
      <c r="BG117" s="107">
        <v>46176</v>
      </c>
      <c r="BH117" s="107">
        <f t="shared" si="54"/>
        <v>46206</v>
      </c>
      <c r="BI117" s="23">
        <v>6</v>
      </c>
      <c r="BJ117" s="6"/>
      <c r="BK117" s="6"/>
      <c r="BL117" s="24">
        <f>VLOOKUP(A117,[2]Sheet1!$D$2:$H$933,5,0)</f>
        <v>0</v>
      </c>
      <c r="BM117" s="6" t="s">
        <v>3828</v>
      </c>
      <c r="BN117" s="6" t="s">
        <v>3829</v>
      </c>
      <c r="BO117" s="6" t="s">
        <v>3820</v>
      </c>
      <c r="BP117" s="6" t="s">
        <v>3821</v>
      </c>
      <c r="BQ117" s="6" t="s">
        <v>3830</v>
      </c>
      <c r="BR117" t="s">
        <v>3823</v>
      </c>
      <c r="BS117" t="s">
        <v>3824</v>
      </c>
      <c r="BT117" t="s">
        <v>3825</v>
      </c>
      <c r="BU117" t="s">
        <v>3826</v>
      </c>
      <c r="BV117" t="s">
        <v>3827</v>
      </c>
      <c r="BW117" t="s">
        <v>3835</v>
      </c>
      <c r="BX117">
        <v>0</v>
      </c>
      <c r="BY117" t="s">
        <v>3862</v>
      </c>
      <c r="BZ117" t="s">
        <v>3871</v>
      </c>
    </row>
    <row r="118" spans="1:78" x14ac:dyDescent="0.25">
      <c r="A118" s="7" t="s">
        <v>550</v>
      </c>
      <c r="B118" s="7" t="s">
        <v>181</v>
      </c>
      <c r="C118" s="7" t="s">
        <v>548</v>
      </c>
      <c r="D118" s="8" t="s">
        <v>549</v>
      </c>
      <c r="E118" s="7" t="s">
        <v>551</v>
      </c>
      <c r="F118" s="9">
        <v>45104</v>
      </c>
      <c r="G118" s="9" t="s">
        <v>527</v>
      </c>
      <c r="H118" s="9" t="s">
        <v>66</v>
      </c>
      <c r="I118" s="8" t="s">
        <v>78</v>
      </c>
      <c r="J118" s="10">
        <v>1419.77</v>
      </c>
      <c r="K118" s="10">
        <v>1419.77</v>
      </c>
      <c r="L118" s="10">
        <f t="shared" si="28"/>
        <v>0</v>
      </c>
      <c r="M118" s="10">
        <v>664.14</v>
      </c>
      <c r="N118" s="10">
        <v>664.14</v>
      </c>
      <c r="O118" s="10">
        <f t="shared" si="29"/>
        <v>0</v>
      </c>
      <c r="P118" s="11">
        <v>11349.998239151411</v>
      </c>
      <c r="Q118" s="11">
        <v>24263.53931400006</v>
      </c>
      <c r="R118" s="11">
        <v>22000</v>
      </c>
      <c r="S118" s="11">
        <v>16114387</v>
      </c>
      <c r="T118" s="11">
        <v>1933726</v>
      </c>
      <c r="U118" s="12">
        <f t="shared" si="30"/>
        <v>0.11999997269520708</v>
      </c>
      <c r="V118" s="13">
        <f t="shared" si="53"/>
        <v>0</v>
      </c>
      <c r="W118" s="10">
        <f t="shared" si="31"/>
        <v>0</v>
      </c>
      <c r="X118" s="10"/>
      <c r="Y118" s="10"/>
      <c r="Z118" s="11">
        <f t="shared" si="32"/>
        <v>16114387</v>
      </c>
      <c r="AA118" s="14"/>
      <c r="AB118" s="14"/>
      <c r="AC118" s="11">
        <f t="shared" si="33"/>
        <v>16114387</v>
      </c>
      <c r="AD118" s="10">
        <f t="shared" si="34"/>
        <v>300</v>
      </c>
      <c r="AE118" s="15">
        <v>199242</v>
      </c>
      <c r="AF118" s="16">
        <v>35864</v>
      </c>
      <c r="AG118" s="15">
        <f t="shared" si="35"/>
        <v>0</v>
      </c>
      <c r="AH118" s="15">
        <f t="shared" si="36"/>
        <v>0</v>
      </c>
      <c r="AI118" s="15">
        <f t="shared" si="37"/>
        <v>199242</v>
      </c>
      <c r="AJ118" s="15">
        <f t="shared" si="38"/>
        <v>35864</v>
      </c>
      <c r="AK118" s="10">
        <v>199242</v>
      </c>
      <c r="AL118" s="15">
        <f t="shared" si="39"/>
        <v>199242</v>
      </c>
      <c r="AM118" s="15">
        <f t="shared" si="40"/>
        <v>16313629</v>
      </c>
      <c r="AN118" s="15">
        <f t="shared" si="41"/>
        <v>1969590</v>
      </c>
      <c r="AO118" s="15">
        <f t="shared" si="46"/>
        <v>2168832</v>
      </c>
      <c r="AP118" s="17">
        <f t="shared" si="42"/>
        <v>18482461</v>
      </c>
      <c r="AQ118" s="15">
        <v>16243315.880000001</v>
      </c>
      <c r="AR118" s="15">
        <v>0</v>
      </c>
      <c r="AS118" s="18">
        <f t="shared" si="47"/>
        <v>2239145</v>
      </c>
      <c r="AT118" s="19">
        <v>18100000</v>
      </c>
      <c r="AU118" s="8">
        <v>8800</v>
      </c>
      <c r="AV118" s="13">
        <f t="shared" si="48"/>
        <v>5844432</v>
      </c>
      <c r="AW118" s="18">
        <f t="shared" si="49"/>
        <v>18100000</v>
      </c>
      <c r="AX118" s="15">
        <f t="shared" si="43"/>
        <v>18100000</v>
      </c>
      <c r="AY118" s="20">
        <v>0.06</v>
      </c>
      <c r="AZ118" s="13">
        <f t="shared" si="44"/>
        <v>1086000</v>
      </c>
      <c r="BA118" s="15">
        <f t="shared" si="45"/>
        <v>1086000</v>
      </c>
      <c r="BB118" s="21">
        <f t="shared" si="50"/>
        <v>3325145</v>
      </c>
      <c r="BC118" s="10">
        <f t="shared" si="51"/>
        <v>0</v>
      </c>
      <c r="BD118" s="10">
        <f t="shared" si="52"/>
        <v>0</v>
      </c>
      <c r="BE118" s="10">
        <v>131.9</v>
      </c>
      <c r="BF118" s="10">
        <v>61.7</v>
      </c>
      <c r="BG118" s="107">
        <v>46176</v>
      </c>
      <c r="BH118" s="107">
        <f t="shared" si="54"/>
        <v>46206</v>
      </c>
      <c r="BI118" s="23">
        <v>6</v>
      </c>
      <c r="BJ118" s="6"/>
      <c r="BK118" s="6"/>
      <c r="BL118" s="24">
        <f>VLOOKUP(A118,[2]Sheet1!$D$2:$H$933,5,0)</f>
        <v>0</v>
      </c>
      <c r="BM118" s="6" t="s">
        <v>3828</v>
      </c>
      <c r="BN118" s="6" t="s">
        <v>3829</v>
      </c>
      <c r="BO118" s="6" t="s">
        <v>3820</v>
      </c>
      <c r="BP118" s="6" t="s">
        <v>3821</v>
      </c>
      <c r="BQ118" s="6" t="s">
        <v>3830</v>
      </c>
      <c r="BR118" t="s">
        <v>3823</v>
      </c>
      <c r="BS118" t="s">
        <v>3824</v>
      </c>
      <c r="BT118" t="s">
        <v>3825</v>
      </c>
      <c r="BU118" t="s">
        <v>3826</v>
      </c>
      <c r="BV118" t="s">
        <v>3827</v>
      </c>
      <c r="BW118" t="s">
        <v>3835</v>
      </c>
      <c r="BX118">
        <v>0</v>
      </c>
      <c r="BY118" t="s">
        <v>3865</v>
      </c>
      <c r="BZ118" t="s">
        <v>3871</v>
      </c>
    </row>
    <row r="119" spans="1:78" x14ac:dyDescent="0.25">
      <c r="A119" s="7" t="s">
        <v>554</v>
      </c>
      <c r="B119" s="7" t="s">
        <v>181</v>
      </c>
      <c r="C119" s="7" t="s">
        <v>552</v>
      </c>
      <c r="D119" s="8" t="s">
        <v>553</v>
      </c>
      <c r="E119" s="7" t="s">
        <v>555</v>
      </c>
      <c r="F119" s="9">
        <v>45005</v>
      </c>
      <c r="G119" s="9" t="s">
        <v>527</v>
      </c>
      <c r="H119" s="9" t="s">
        <v>66</v>
      </c>
      <c r="I119" s="8" t="s">
        <v>78</v>
      </c>
      <c r="J119" s="10">
        <v>679.42</v>
      </c>
      <c r="K119" s="10">
        <v>679.42</v>
      </c>
      <c r="L119" s="10">
        <f t="shared" si="28"/>
        <v>0</v>
      </c>
      <c r="M119" s="10">
        <v>314.31</v>
      </c>
      <c r="N119" s="10">
        <v>314.31</v>
      </c>
      <c r="O119" s="10">
        <f t="shared" si="29"/>
        <v>0</v>
      </c>
      <c r="P119" s="11">
        <v>10500.919902269583</v>
      </c>
      <c r="Q119" s="11">
        <v>22699.03916515542</v>
      </c>
      <c r="R119" s="11">
        <v>22000</v>
      </c>
      <c r="S119" s="11">
        <v>7134535</v>
      </c>
      <c r="T119" s="11">
        <v>856146</v>
      </c>
      <c r="U119" s="12">
        <f t="shared" si="30"/>
        <v>0.12000025229394767</v>
      </c>
      <c r="V119" s="13">
        <f t="shared" si="53"/>
        <v>0</v>
      </c>
      <c r="W119" s="10">
        <f t="shared" si="31"/>
        <v>0</v>
      </c>
      <c r="X119" s="10"/>
      <c r="Y119" s="10"/>
      <c r="Z119" s="11">
        <f t="shared" si="32"/>
        <v>7134535</v>
      </c>
      <c r="AA119" s="14">
        <v>1556010</v>
      </c>
      <c r="AB119" s="14">
        <v>186722</v>
      </c>
      <c r="AC119" s="11">
        <f t="shared" si="33"/>
        <v>5578525</v>
      </c>
      <c r="AD119" s="10">
        <f t="shared" si="34"/>
        <v>300</v>
      </c>
      <c r="AE119" s="15">
        <v>94293</v>
      </c>
      <c r="AF119" s="16">
        <v>16972</v>
      </c>
      <c r="AG119" s="15">
        <f t="shared" si="35"/>
        <v>0</v>
      </c>
      <c r="AH119" s="15">
        <f t="shared" si="36"/>
        <v>0</v>
      </c>
      <c r="AI119" s="15">
        <f t="shared" si="37"/>
        <v>94293</v>
      </c>
      <c r="AJ119" s="15">
        <f t="shared" si="38"/>
        <v>16973</v>
      </c>
      <c r="AK119" s="10">
        <v>94293</v>
      </c>
      <c r="AL119" s="15">
        <f t="shared" si="39"/>
        <v>94293</v>
      </c>
      <c r="AM119" s="15">
        <f t="shared" si="40"/>
        <v>5672818</v>
      </c>
      <c r="AN119" s="15">
        <f t="shared" si="41"/>
        <v>686397</v>
      </c>
      <c r="AO119" s="15">
        <f t="shared" si="46"/>
        <v>780690</v>
      </c>
      <c r="AP119" s="17">
        <f t="shared" si="42"/>
        <v>6453508</v>
      </c>
      <c r="AQ119" s="15">
        <v>5040081</v>
      </c>
      <c r="AR119" s="15">
        <v>0</v>
      </c>
      <c r="AS119" s="18">
        <f t="shared" si="47"/>
        <v>1413427</v>
      </c>
      <c r="AT119" s="19">
        <v>0</v>
      </c>
      <c r="AU119" s="8">
        <v>8800</v>
      </c>
      <c r="AV119" s="13">
        <f t="shared" si="48"/>
        <v>2765928</v>
      </c>
      <c r="AW119" s="18">
        <f t="shared" si="49"/>
        <v>5672818</v>
      </c>
      <c r="AX119" s="15">
        <f t="shared" si="43"/>
        <v>5673000</v>
      </c>
      <c r="AY119" s="20">
        <v>0.05</v>
      </c>
      <c r="AZ119" s="13">
        <f t="shared" si="44"/>
        <v>283650</v>
      </c>
      <c r="BA119" s="15">
        <f t="shared" si="45"/>
        <v>283700</v>
      </c>
      <c r="BB119" s="21">
        <f t="shared" si="50"/>
        <v>1697127</v>
      </c>
      <c r="BC119" s="10">
        <f t="shared" si="51"/>
        <v>0</v>
      </c>
      <c r="BD119" s="10">
        <f t="shared" si="52"/>
        <v>0</v>
      </c>
      <c r="BE119" s="10">
        <v>63.12</v>
      </c>
      <c r="BF119" s="10">
        <v>29.2</v>
      </c>
      <c r="BG119" s="107">
        <v>46176</v>
      </c>
      <c r="BH119" s="107">
        <f t="shared" si="54"/>
        <v>46206</v>
      </c>
      <c r="BI119" s="23">
        <v>5</v>
      </c>
      <c r="BJ119" s="6"/>
      <c r="BK119" s="6"/>
      <c r="BL119" s="24">
        <f>VLOOKUP(A119,[2]Sheet1!$D$2:$H$933,5,0)</f>
        <v>0</v>
      </c>
      <c r="BM119" s="6" t="s">
        <v>3828</v>
      </c>
      <c r="BN119" s="6" t="s">
        <v>3829</v>
      </c>
      <c r="BO119" s="6" t="s">
        <v>3820</v>
      </c>
      <c r="BP119" s="6" t="s">
        <v>3821</v>
      </c>
      <c r="BQ119" s="6" t="s">
        <v>3830</v>
      </c>
      <c r="BR119" t="s">
        <v>3823</v>
      </c>
      <c r="BS119" t="s">
        <v>3824</v>
      </c>
      <c r="BT119" t="s">
        <v>3825</v>
      </c>
      <c r="BU119" t="s">
        <v>3826</v>
      </c>
      <c r="BV119" t="s">
        <v>3827</v>
      </c>
      <c r="BW119" t="s">
        <v>3835</v>
      </c>
      <c r="BX119">
        <v>0</v>
      </c>
      <c r="BY119" t="s">
        <v>3866</v>
      </c>
      <c r="BZ119" t="s">
        <v>3871</v>
      </c>
    </row>
    <row r="120" spans="1:78" x14ac:dyDescent="0.25">
      <c r="A120" s="7" t="s">
        <v>558</v>
      </c>
      <c r="B120" s="7" t="s">
        <v>181</v>
      </c>
      <c r="C120" s="7" t="s">
        <v>556</v>
      </c>
      <c r="D120" s="8" t="s">
        <v>557</v>
      </c>
      <c r="E120" s="7" t="s">
        <v>559</v>
      </c>
      <c r="F120" s="9">
        <v>44970</v>
      </c>
      <c r="G120" s="9" t="s">
        <v>527</v>
      </c>
      <c r="H120" s="9" t="s">
        <v>66</v>
      </c>
      <c r="I120" s="8" t="s">
        <v>78</v>
      </c>
      <c r="J120" s="10">
        <v>725.49</v>
      </c>
      <c r="K120" s="10">
        <v>725.49</v>
      </c>
      <c r="L120" s="10">
        <f t="shared" si="28"/>
        <v>0</v>
      </c>
      <c r="M120" s="10">
        <v>321.31</v>
      </c>
      <c r="N120" s="10">
        <v>321.31</v>
      </c>
      <c r="O120" s="10">
        <f t="shared" si="29"/>
        <v>0</v>
      </c>
      <c r="P120" s="11">
        <v>10237.839253470069</v>
      </c>
      <c r="Q120" s="11">
        <v>23116.149512931435</v>
      </c>
      <c r="R120" s="11">
        <v>22000</v>
      </c>
      <c r="S120" s="11">
        <v>7427450</v>
      </c>
      <c r="T120" s="11">
        <v>891294</v>
      </c>
      <c r="U120" s="12">
        <f t="shared" si="30"/>
        <v>0.12</v>
      </c>
      <c r="V120" s="13">
        <f t="shared" si="53"/>
        <v>0</v>
      </c>
      <c r="W120" s="10">
        <f t="shared" si="31"/>
        <v>0</v>
      </c>
      <c r="X120" s="10"/>
      <c r="Y120" s="10"/>
      <c r="Z120" s="11">
        <f t="shared" si="32"/>
        <v>7427450</v>
      </c>
      <c r="AA120" s="14"/>
      <c r="AB120" s="14"/>
      <c r="AC120" s="11">
        <f t="shared" si="33"/>
        <v>7427450</v>
      </c>
      <c r="AD120" s="10">
        <f t="shared" si="34"/>
        <v>300</v>
      </c>
      <c r="AE120" s="15">
        <v>96393</v>
      </c>
      <c r="AF120" s="16">
        <v>17350</v>
      </c>
      <c r="AG120" s="15">
        <f t="shared" si="35"/>
        <v>0</v>
      </c>
      <c r="AH120" s="15">
        <f t="shared" si="36"/>
        <v>0</v>
      </c>
      <c r="AI120" s="15">
        <f t="shared" si="37"/>
        <v>96393</v>
      </c>
      <c r="AJ120" s="15">
        <f t="shared" si="38"/>
        <v>17351</v>
      </c>
      <c r="AK120" s="10">
        <v>96393</v>
      </c>
      <c r="AL120" s="15">
        <f t="shared" si="39"/>
        <v>96393</v>
      </c>
      <c r="AM120" s="15">
        <f t="shared" si="40"/>
        <v>7523843</v>
      </c>
      <c r="AN120" s="15">
        <f t="shared" si="41"/>
        <v>908645</v>
      </c>
      <c r="AO120" s="15">
        <f t="shared" si="46"/>
        <v>1005038</v>
      </c>
      <c r="AP120" s="17">
        <f t="shared" si="42"/>
        <v>8528881</v>
      </c>
      <c r="AQ120" s="15">
        <v>7198746</v>
      </c>
      <c r="AR120" s="15">
        <v>0</v>
      </c>
      <c r="AS120" s="18">
        <f t="shared" si="47"/>
        <v>1330135</v>
      </c>
      <c r="AT120" s="19">
        <v>0</v>
      </c>
      <c r="AU120" s="8">
        <v>8800</v>
      </c>
      <c r="AV120" s="13">
        <f t="shared" si="48"/>
        <v>2827528</v>
      </c>
      <c r="AW120" s="18">
        <f t="shared" si="49"/>
        <v>7523843</v>
      </c>
      <c r="AX120" s="15">
        <f t="shared" si="43"/>
        <v>7524000</v>
      </c>
      <c r="AY120" s="20">
        <v>0.06</v>
      </c>
      <c r="AZ120" s="13">
        <f t="shared" si="44"/>
        <v>451440</v>
      </c>
      <c r="BA120" s="15">
        <f t="shared" si="45"/>
        <v>451500</v>
      </c>
      <c r="BB120" s="21">
        <f t="shared" si="50"/>
        <v>1781635</v>
      </c>
      <c r="BC120" s="10">
        <f t="shared" si="51"/>
        <v>0</v>
      </c>
      <c r="BD120" s="10">
        <f t="shared" si="52"/>
        <v>0</v>
      </c>
      <c r="BE120" s="10">
        <v>67.400000000000006</v>
      </c>
      <c r="BF120" s="10">
        <v>29.85</v>
      </c>
      <c r="BG120" s="107">
        <v>46176</v>
      </c>
      <c r="BH120" s="107">
        <f t="shared" si="54"/>
        <v>46206</v>
      </c>
      <c r="BI120" s="23">
        <v>6</v>
      </c>
      <c r="BJ120" s="6"/>
      <c r="BK120" s="6"/>
      <c r="BL120" s="24">
        <f>VLOOKUP(A120,[2]Sheet1!$D$2:$H$933,5,0)</f>
        <v>0</v>
      </c>
      <c r="BM120" s="6" t="s">
        <v>3828</v>
      </c>
      <c r="BN120" s="6" t="s">
        <v>3829</v>
      </c>
      <c r="BO120" s="6" t="s">
        <v>3820</v>
      </c>
      <c r="BP120" s="6" t="s">
        <v>3821</v>
      </c>
      <c r="BQ120" s="6" t="s">
        <v>3830</v>
      </c>
      <c r="BR120" t="s">
        <v>3823</v>
      </c>
      <c r="BS120" t="s">
        <v>3824</v>
      </c>
      <c r="BT120" t="s">
        <v>3825</v>
      </c>
      <c r="BU120" t="s">
        <v>3826</v>
      </c>
      <c r="BV120" t="s">
        <v>3827</v>
      </c>
      <c r="BW120" t="s">
        <v>3835</v>
      </c>
      <c r="BX120">
        <v>0</v>
      </c>
      <c r="BY120" t="s">
        <v>3867</v>
      </c>
      <c r="BZ120" t="s">
        <v>3871</v>
      </c>
    </row>
    <row r="121" spans="1:78" x14ac:dyDescent="0.25">
      <c r="A121" s="65" t="s">
        <v>562</v>
      </c>
      <c r="B121" s="7" t="s">
        <v>181</v>
      </c>
      <c r="C121" s="65" t="s">
        <v>560</v>
      </c>
      <c r="D121" s="66" t="s">
        <v>561</v>
      </c>
      <c r="E121" s="7" t="s">
        <v>563</v>
      </c>
      <c r="F121" s="67">
        <v>44955</v>
      </c>
      <c r="G121" s="9" t="s">
        <v>527</v>
      </c>
      <c r="H121" s="9" t="s">
        <v>66</v>
      </c>
      <c r="I121" s="66" t="s">
        <v>78</v>
      </c>
      <c r="J121" s="68">
        <v>677.06</v>
      </c>
      <c r="K121" s="10">
        <v>677.06</v>
      </c>
      <c r="L121" s="10">
        <f t="shared" ref="L121:L183" si="55">K121-J121</f>
        <v>0</v>
      </c>
      <c r="M121" s="68">
        <v>315.39</v>
      </c>
      <c r="N121" s="10">
        <v>315.39</v>
      </c>
      <c r="O121" s="10">
        <f t="shared" ref="O121:O183" si="56">N121-M121</f>
        <v>0</v>
      </c>
      <c r="P121" s="69">
        <v>13499.615986766314</v>
      </c>
      <c r="Q121" s="69">
        <v>28980.151558388028</v>
      </c>
      <c r="R121" s="11">
        <v>22000</v>
      </c>
      <c r="S121" s="69">
        <v>9140050</v>
      </c>
      <c r="T121" s="69">
        <v>1096806</v>
      </c>
      <c r="U121" s="70">
        <f t="shared" ref="U121:U183" si="57">T121/S121</f>
        <v>0.12</v>
      </c>
      <c r="V121" s="13">
        <f t="shared" si="53"/>
        <v>0</v>
      </c>
      <c r="W121" s="10">
        <f t="shared" ref="W121:W183" si="58">V121*U121</f>
        <v>0</v>
      </c>
      <c r="X121" s="68"/>
      <c r="Y121" s="68"/>
      <c r="Z121" s="11">
        <f t="shared" ref="Z121:Z183" si="59">S121+V121+X121</f>
        <v>9140050</v>
      </c>
      <c r="AA121" s="14">
        <v>120096</v>
      </c>
      <c r="AB121" s="14">
        <v>14412</v>
      </c>
      <c r="AC121" s="11">
        <f t="shared" ref="AC121:AC183" si="60">Z121-AA121</f>
        <v>9019954</v>
      </c>
      <c r="AD121" s="10">
        <f t="shared" ref="AD121:AD183" si="61">AE121/M121</f>
        <v>300</v>
      </c>
      <c r="AE121" s="71">
        <v>94617</v>
      </c>
      <c r="AF121" s="16">
        <v>17032</v>
      </c>
      <c r="AG121" s="15">
        <f t="shared" ref="AG121:AG183" si="62">(AD121*O121)</f>
        <v>0</v>
      </c>
      <c r="AH121" s="71">
        <f t="shared" ref="AH121:AH183" si="63">AG121*18%</f>
        <v>0</v>
      </c>
      <c r="AI121" s="15">
        <f t="shared" ref="AI121:AI183" si="64">AD121*N121</f>
        <v>94617</v>
      </c>
      <c r="AJ121" s="15">
        <f t="shared" ref="AJ121:AJ183" si="65">ROUNDUP(AI121*18%,0)</f>
        <v>17032</v>
      </c>
      <c r="AK121" s="68">
        <v>94617</v>
      </c>
      <c r="AL121" s="15">
        <f t="shared" ref="AL121:AL183" si="66">N121*300</f>
        <v>94617</v>
      </c>
      <c r="AM121" s="15">
        <f t="shared" ref="AM121:AM183" si="67">ROUND(AI121+AC121,0)</f>
        <v>9114571</v>
      </c>
      <c r="AN121" s="15">
        <f t="shared" ref="AN121:AN183" si="68">ROUNDUP(AJ121+W121+T121+Y121-AB121,0)</f>
        <v>1099426</v>
      </c>
      <c r="AO121" s="15">
        <f t="shared" si="46"/>
        <v>1194043</v>
      </c>
      <c r="AP121" s="17">
        <f t="shared" ref="AP121:AP183" si="69">AM121+AO121</f>
        <v>10308614</v>
      </c>
      <c r="AQ121" s="15">
        <v>8840028.3399999999</v>
      </c>
      <c r="AR121" s="15">
        <v>0</v>
      </c>
      <c r="AS121" s="18">
        <f t="shared" si="47"/>
        <v>1468586</v>
      </c>
      <c r="AT121" s="19">
        <v>0</v>
      </c>
      <c r="AU121" s="8">
        <v>8800</v>
      </c>
      <c r="AV121" s="13">
        <f t="shared" si="48"/>
        <v>2775432</v>
      </c>
      <c r="AW121" s="18">
        <f t="shared" si="49"/>
        <v>9114571</v>
      </c>
      <c r="AX121" s="15">
        <f t="shared" ref="AX121:AX183" si="70">CEILING((AW121),1000)</f>
        <v>9115000</v>
      </c>
      <c r="AY121" s="20">
        <v>0.05</v>
      </c>
      <c r="AZ121" s="13">
        <f t="shared" ref="AZ121:AZ183" si="71">AY121*AX121</f>
        <v>455750</v>
      </c>
      <c r="BA121" s="15">
        <f t="shared" ref="BA121:BA183" si="72">CEILING(AZ121,100)</f>
        <v>455800</v>
      </c>
      <c r="BB121" s="21">
        <f t="shared" si="50"/>
        <v>1924386</v>
      </c>
      <c r="BC121" s="10">
        <f t="shared" si="51"/>
        <v>0</v>
      </c>
      <c r="BD121" s="10">
        <f t="shared" si="52"/>
        <v>0</v>
      </c>
      <c r="BE121" s="10">
        <v>62.9</v>
      </c>
      <c r="BF121" s="10">
        <v>29.3</v>
      </c>
      <c r="BG121" s="107">
        <v>46176</v>
      </c>
      <c r="BH121" s="107">
        <f t="shared" si="54"/>
        <v>46206</v>
      </c>
      <c r="BI121" s="23">
        <v>5</v>
      </c>
      <c r="BJ121" s="6"/>
      <c r="BK121" s="6"/>
      <c r="BL121" s="24">
        <f>VLOOKUP(A121,[2]Sheet1!$D$2:$H$933,5,0)</f>
        <v>0</v>
      </c>
      <c r="BM121" s="6" t="s">
        <v>3828</v>
      </c>
      <c r="BN121" s="6" t="s">
        <v>3829</v>
      </c>
      <c r="BO121" s="6" t="s">
        <v>3820</v>
      </c>
      <c r="BP121" s="6" t="s">
        <v>3821</v>
      </c>
      <c r="BQ121" s="6" t="s">
        <v>3830</v>
      </c>
      <c r="BR121" t="s">
        <v>3823</v>
      </c>
      <c r="BS121" t="s">
        <v>3824</v>
      </c>
      <c r="BT121" t="s">
        <v>3825</v>
      </c>
      <c r="BU121" t="s">
        <v>3826</v>
      </c>
      <c r="BV121" t="s">
        <v>3827</v>
      </c>
      <c r="BW121" t="s">
        <v>3835</v>
      </c>
      <c r="BX121">
        <v>0</v>
      </c>
      <c r="BY121" t="s">
        <v>3867</v>
      </c>
      <c r="BZ121" t="s">
        <v>3871</v>
      </c>
    </row>
    <row r="122" spans="1:78" x14ac:dyDescent="0.25">
      <c r="A122" s="7" t="s">
        <v>566</v>
      </c>
      <c r="B122" s="7" t="s">
        <v>181</v>
      </c>
      <c r="C122" s="7" t="s">
        <v>564</v>
      </c>
      <c r="D122" s="8" t="s">
        <v>565</v>
      </c>
      <c r="E122" s="7" t="s">
        <v>567</v>
      </c>
      <c r="F122" s="9">
        <v>45002</v>
      </c>
      <c r="G122" s="9" t="s">
        <v>527</v>
      </c>
      <c r="H122" s="9" t="s">
        <v>66</v>
      </c>
      <c r="I122" s="8" t="s">
        <v>78</v>
      </c>
      <c r="J122" s="10">
        <v>815.91</v>
      </c>
      <c r="K122" s="10">
        <v>815.91</v>
      </c>
      <c r="L122" s="10">
        <f t="shared" si="55"/>
        <v>0</v>
      </c>
      <c r="M122" s="10">
        <v>375.66</v>
      </c>
      <c r="N122" s="10">
        <v>375.66</v>
      </c>
      <c r="O122" s="10">
        <f t="shared" si="56"/>
        <v>0</v>
      </c>
      <c r="P122" s="11">
        <v>15400.740277726711</v>
      </c>
      <c r="Q122" s="11">
        <v>33449.443645849969</v>
      </c>
      <c r="R122" s="11">
        <v>22000</v>
      </c>
      <c r="S122" s="11">
        <v>12565618</v>
      </c>
      <c r="T122" s="11">
        <v>1507874</v>
      </c>
      <c r="U122" s="12">
        <f t="shared" si="57"/>
        <v>0.11999998726684195</v>
      </c>
      <c r="V122" s="13">
        <f t="shared" si="53"/>
        <v>0</v>
      </c>
      <c r="W122" s="10">
        <f t="shared" si="58"/>
        <v>0</v>
      </c>
      <c r="X122" s="10"/>
      <c r="Y122" s="10"/>
      <c r="Z122" s="11">
        <f t="shared" si="59"/>
        <v>12565618</v>
      </c>
      <c r="AA122" s="14"/>
      <c r="AB122" s="14"/>
      <c r="AC122" s="11">
        <f t="shared" si="60"/>
        <v>12565618</v>
      </c>
      <c r="AD122" s="10">
        <f t="shared" si="61"/>
        <v>300</v>
      </c>
      <c r="AE122" s="15">
        <v>112698</v>
      </c>
      <c r="AF122" s="16">
        <v>20286</v>
      </c>
      <c r="AG122" s="15">
        <f t="shared" si="62"/>
        <v>0</v>
      </c>
      <c r="AH122" s="15">
        <f t="shared" si="63"/>
        <v>0</v>
      </c>
      <c r="AI122" s="15">
        <f t="shared" si="64"/>
        <v>112698.00000000001</v>
      </c>
      <c r="AJ122" s="15">
        <f t="shared" si="65"/>
        <v>20286</v>
      </c>
      <c r="AK122" s="10">
        <v>112698</v>
      </c>
      <c r="AL122" s="15">
        <f t="shared" si="66"/>
        <v>112698.00000000001</v>
      </c>
      <c r="AM122" s="15">
        <f t="shared" si="67"/>
        <v>12678316</v>
      </c>
      <c r="AN122" s="15">
        <f t="shared" si="68"/>
        <v>1528160</v>
      </c>
      <c r="AO122" s="15">
        <f t="shared" si="46"/>
        <v>1640858</v>
      </c>
      <c r="AP122" s="17">
        <f t="shared" si="69"/>
        <v>14319174</v>
      </c>
      <c r="AQ122" s="15">
        <v>12666142</v>
      </c>
      <c r="AR122" s="15">
        <v>0</v>
      </c>
      <c r="AS122" s="18">
        <f t="shared" si="47"/>
        <v>1653032</v>
      </c>
      <c r="AT122" s="19">
        <v>0</v>
      </c>
      <c r="AU122" s="8">
        <v>8800</v>
      </c>
      <c r="AV122" s="13">
        <f t="shared" si="48"/>
        <v>3305808</v>
      </c>
      <c r="AW122" s="18">
        <f t="shared" si="49"/>
        <v>12678316</v>
      </c>
      <c r="AX122" s="15">
        <f t="shared" si="70"/>
        <v>12679000</v>
      </c>
      <c r="AY122" s="20">
        <v>0.06</v>
      </c>
      <c r="AZ122" s="13">
        <f t="shared" si="71"/>
        <v>760740</v>
      </c>
      <c r="BA122" s="15">
        <f t="shared" si="72"/>
        <v>760800</v>
      </c>
      <c r="BB122" s="21">
        <f t="shared" si="50"/>
        <v>2413832</v>
      </c>
      <c r="BC122" s="10">
        <f t="shared" si="51"/>
        <v>0</v>
      </c>
      <c r="BD122" s="10">
        <f t="shared" si="52"/>
        <v>0</v>
      </c>
      <c r="BE122" s="10">
        <v>75.8</v>
      </c>
      <c r="BF122" s="10">
        <v>34.9</v>
      </c>
      <c r="BG122" s="107">
        <v>46176</v>
      </c>
      <c r="BH122" s="107">
        <f t="shared" si="54"/>
        <v>46206</v>
      </c>
      <c r="BI122" s="23">
        <v>6</v>
      </c>
      <c r="BJ122" s="6"/>
      <c r="BK122" s="6"/>
      <c r="BL122" s="24">
        <f>VLOOKUP(A122,[2]Sheet1!$D$2:$H$933,5,0)</f>
        <v>0</v>
      </c>
      <c r="BM122" s="6" t="s">
        <v>3828</v>
      </c>
      <c r="BN122" s="6" t="s">
        <v>3829</v>
      </c>
      <c r="BO122" s="6" t="s">
        <v>3820</v>
      </c>
      <c r="BP122" s="6" t="s">
        <v>3821</v>
      </c>
      <c r="BQ122" s="6" t="s">
        <v>3830</v>
      </c>
      <c r="BR122" t="s">
        <v>3823</v>
      </c>
      <c r="BS122" t="s">
        <v>3824</v>
      </c>
      <c r="BT122" t="s">
        <v>3825</v>
      </c>
      <c r="BU122" t="s">
        <v>3826</v>
      </c>
      <c r="BV122" t="s">
        <v>3827</v>
      </c>
      <c r="BW122" t="s">
        <v>3835</v>
      </c>
      <c r="BX122">
        <v>0</v>
      </c>
      <c r="BY122" t="s">
        <v>3866</v>
      </c>
      <c r="BZ122" t="s">
        <v>3871</v>
      </c>
    </row>
    <row r="123" spans="1:78" x14ac:dyDescent="0.25">
      <c r="A123" s="7" t="s">
        <v>570</v>
      </c>
      <c r="B123" s="7" t="s">
        <v>181</v>
      </c>
      <c r="C123" s="7" t="s">
        <v>568</v>
      </c>
      <c r="D123" s="8" t="s">
        <v>569</v>
      </c>
      <c r="E123" s="7" t="s">
        <v>571</v>
      </c>
      <c r="F123" s="9">
        <v>44953</v>
      </c>
      <c r="G123" s="9" t="s">
        <v>527</v>
      </c>
      <c r="H123" s="9" t="s">
        <v>66</v>
      </c>
      <c r="I123" s="8" t="s">
        <v>78</v>
      </c>
      <c r="J123" s="10">
        <v>242.19</v>
      </c>
      <c r="K123" s="10">
        <v>231.3</v>
      </c>
      <c r="L123" s="10">
        <f t="shared" si="55"/>
        <v>-10.889999999999986</v>
      </c>
      <c r="M123" s="10">
        <v>96.34</v>
      </c>
      <c r="N123" s="10">
        <v>92</v>
      </c>
      <c r="O123" s="10">
        <f t="shared" si="56"/>
        <v>-4.3400000000000034</v>
      </c>
      <c r="P123" s="11">
        <v>13485.998596143523</v>
      </c>
      <c r="Q123" s="11">
        <v>33902.574216317211</v>
      </c>
      <c r="R123" s="11">
        <v>22000</v>
      </c>
      <c r="S123" s="11">
        <v>3266174</v>
      </c>
      <c r="T123" s="11">
        <v>391940</v>
      </c>
      <c r="U123" s="12">
        <f t="shared" si="57"/>
        <v>0.1199997305716107</v>
      </c>
      <c r="V123" s="13">
        <f t="shared" si="53"/>
        <v>-146862.52471200278</v>
      </c>
      <c r="W123" s="10">
        <f t="shared" si="58"/>
        <v>-17623.463396506853</v>
      </c>
      <c r="X123" s="15"/>
      <c r="Y123" s="15"/>
      <c r="Z123" s="11">
        <f t="shared" si="59"/>
        <v>3119311.4752879972</v>
      </c>
      <c r="AA123" s="14">
        <v>209108</v>
      </c>
      <c r="AB123" s="14">
        <v>25092</v>
      </c>
      <c r="AC123" s="11">
        <f t="shared" si="60"/>
        <v>2910203.4752879972</v>
      </c>
      <c r="AD123" s="10">
        <f t="shared" si="61"/>
        <v>300</v>
      </c>
      <c r="AE123" s="15">
        <v>28902</v>
      </c>
      <c r="AF123" s="16">
        <v>5202</v>
      </c>
      <c r="AG123" s="15">
        <f t="shared" si="62"/>
        <v>-1302.0000000000009</v>
      </c>
      <c r="AH123" s="15">
        <f t="shared" si="63"/>
        <v>-234.36000000000016</v>
      </c>
      <c r="AI123" s="15">
        <f t="shared" si="64"/>
        <v>27600</v>
      </c>
      <c r="AJ123" s="15">
        <f t="shared" si="65"/>
        <v>4968</v>
      </c>
      <c r="AK123" s="10">
        <v>28902</v>
      </c>
      <c r="AL123" s="15">
        <f t="shared" si="66"/>
        <v>27600</v>
      </c>
      <c r="AM123" s="15">
        <f t="shared" si="67"/>
        <v>2937803</v>
      </c>
      <c r="AN123" s="15">
        <f t="shared" si="68"/>
        <v>354193</v>
      </c>
      <c r="AO123" s="15">
        <f t="shared" si="46"/>
        <v>381793</v>
      </c>
      <c r="AP123" s="17">
        <f t="shared" si="69"/>
        <v>3319596</v>
      </c>
      <c r="AQ123" s="15">
        <v>3058099</v>
      </c>
      <c r="AR123" s="15">
        <v>0</v>
      </c>
      <c r="AS123" s="18">
        <f t="shared" si="47"/>
        <v>261497</v>
      </c>
      <c r="AT123" s="19">
        <v>0</v>
      </c>
      <c r="AU123" s="8">
        <v>8800</v>
      </c>
      <c r="AV123" s="13">
        <f t="shared" si="48"/>
        <v>809600</v>
      </c>
      <c r="AW123" s="18">
        <f t="shared" si="49"/>
        <v>2937803</v>
      </c>
      <c r="AX123" s="15">
        <f t="shared" si="70"/>
        <v>2938000</v>
      </c>
      <c r="AY123" s="20">
        <v>0.05</v>
      </c>
      <c r="AZ123" s="13">
        <f t="shared" si="71"/>
        <v>146900</v>
      </c>
      <c r="BA123" s="15">
        <f t="shared" si="72"/>
        <v>146900</v>
      </c>
      <c r="BB123" s="21">
        <f t="shared" si="50"/>
        <v>408397</v>
      </c>
      <c r="BC123" s="10">
        <f t="shared" si="51"/>
        <v>-4.4964697138610124</v>
      </c>
      <c r="BD123" s="10">
        <f t="shared" si="52"/>
        <v>-4.5048785551172967</v>
      </c>
      <c r="BE123" s="10">
        <v>21.49</v>
      </c>
      <c r="BF123" s="10">
        <v>8.5500000000000007</v>
      </c>
      <c r="BG123" s="107">
        <v>46176</v>
      </c>
      <c r="BH123" s="107">
        <f t="shared" si="54"/>
        <v>46206</v>
      </c>
      <c r="BI123" s="23">
        <v>5</v>
      </c>
      <c r="BJ123" s="6"/>
      <c r="BK123" s="6"/>
      <c r="BL123" s="24">
        <f>VLOOKUP(A123,[2]Sheet1!$D$2:$H$933,5,0)</f>
        <v>0</v>
      </c>
      <c r="BM123" s="6" t="s">
        <v>3828</v>
      </c>
      <c r="BN123" s="6" t="s">
        <v>3829</v>
      </c>
      <c r="BO123" s="6" t="s">
        <v>3820</v>
      </c>
      <c r="BP123" s="6" t="s">
        <v>3821</v>
      </c>
      <c r="BQ123" s="6" t="s">
        <v>3830</v>
      </c>
      <c r="BR123" t="s">
        <v>3823</v>
      </c>
      <c r="BS123" t="s">
        <v>3824</v>
      </c>
      <c r="BT123" t="s">
        <v>3825</v>
      </c>
      <c r="BU123" t="s">
        <v>3826</v>
      </c>
      <c r="BV123" t="s">
        <v>3827</v>
      </c>
      <c r="BW123" t="s">
        <v>3835</v>
      </c>
      <c r="BX123">
        <v>0</v>
      </c>
      <c r="BY123" t="s">
        <v>3866</v>
      </c>
      <c r="BZ123" t="s">
        <v>3871</v>
      </c>
    </row>
    <row r="124" spans="1:78" x14ac:dyDescent="0.25">
      <c r="A124" s="7" t="s">
        <v>574</v>
      </c>
      <c r="B124" s="7" t="s">
        <v>181</v>
      </c>
      <c r="C124" s="7" t="s">
        <v>572</v>
      </c>
      <c r="D124" s="8" t="s">
        <v>573</v>
      </c>
      <c r="E124" s="7" t="s">
        <v>575</v>
      </c>
      <c r="F124" s="9">
        <v>44943</v>
      </c>
      <c r="G124" s="9" t="s">
        <v>527</v>
      </c>
      <c r="H124" s="9" t="s">
        <v>66</v>
      </c>
      <c r="I124" s="8" t="s">
        <v>67</v>
      </c>
      <c r="J124" s="10">
        <v>399.46</v>
      </c>
      <c r="K124" s="10">
        <v>399.46</v>
      </c>
      <c r="L124" s="10">
        <f t="shared" si="55"/>
        <v>0</v>
      </c>
      <c r="M124" s="10">
        <v>162.54</v>
      </c>
      <c r="N124" s="10">
        <v>162.54</v>
      </c>
      <c r="O124" s="10">
        <f t="shared" si="56"/>
        <v>0</v>
      </c>
      <c r="P124" s="11">
        <v>11489.998998648176</v>
      </c>
      <c r="Q124" s="11">
        <v>28237.941429801896</v>
      </c>
      <c r="R124" s="11">
        <v>22000</v>
      </c>
      <c r="S124" s="11">
        <v>4589795</v>
      </c>
      <c r="T124" s="11">
        <v>550778</v>
      </c>
      <c r="U124" s="12">
        <f t="shared" si="57"/>
        <v>0.12000056647410179</v>
      </c>
      <c r="V124" s="13">
        <f t="shared" si="53"/>
        <v>0</v>
      </c>
      <c r="W124" s="10">
        <f t="shared" si="58"/>
        <v>0</v>
      </c>
      <c r="X124" s="10"/>
      <c r="Y124" s="10"/>
      <c r="Z124" s="11">
        <f t="shared" si="59"/>
        <v>4589795</v>
      </c>
      <c r="AA124" s="14"/>
      <c r="AB124" s="14"/>
      <c r="AC124" s="11">
        <f t="shared" si="60"/>
        <v>4589795</v>
      </c>
      <c r="AD124" s="10">
        <f t="shared" si="61"/>
        <v>300</v>
      </c>
      <c r="AE124" s="15">
        <v>48762</v>
      </c>
      <c r="AF124" s="16">
        <v>8778</v>
      </c>
      <c r="AG124" s="15">
        <f t="shared" si="62"/>
        <v>0</v>
      </c>
      <c r="AH124" s="15">
        <f t="shared" si="63"/>
        <v>0</v>
      </c>
      <c r="AI124" s="15">
        <f t="shared" si="64"/>
        <v>48762</v>
      </c>
      <c r="AJ124" s="15">
        <f t="shared" si="65"/>
        <v>8778</v>
      </c>
      <c r="AK124" s="10">
        <v>48762</v>
      </c>
      <c r="AL124" s="15">
        <f t="shared" si="66"/>
        <v>48762</v>
      </c>
      <c r="AM124" s="15">
        <f t="shared" si="67"/>
        <v>4638557</v>
      </c>
      <c r="AN124" s="15">
        <f t="shared" si="68"/>
        <v>559556</v>
      </c>
      <c r="AO124" s="15">
        <f t="shared" si="46"/>
        <v>608318</v>
      </c>
      <c r="AP124" s="17">
        <f t="shared" si="69"/>
        <v>5246875</v>
      </c>
      <c r="AQ124" s="15">
        <v>4626685</v>
      </c>
      <c r="AR124" s="15">
        <v>0</v>
      </c>
      <c r="AS124" s="18">
        <f t="shared" si="47"/>
        <v>620190</v>
      </c>
      <c r="AT124" s="19">
        <v>0</v>
      </c>
      <c r="AU124" s="8">
        <v>8800</v>
      </c>
      <c r="AV124" s="13">
        <f t="shared" si="48"/>
        <v>1430352</v>
      </c>
      <c r="AW124" s="18">
        <f t="shared" si="49"/>
        <v>4638557</v>
      </c>
      <c r="AX124" s="15">
        <f t="shared" si="70"/>
        <v>4639000</v>
      </c>
      <c r="AY124" s="20">
        <v>0.05</v>
      </c>
      <c r="AZ124" s="13">
        <f t="shared" si="71"/>
        <v>231950</v>
      </c>
      <c r="BA124" s="15">
        <f t="shared" si="72"/>
        <v>232000</v>
      </c>
      <c r="BB124" s="21">
        <f t="shared" si="50"/>
        <v>852190</v>
      </c>
      <c r="BC124" s="10">
        <f t="shared" si="51"/>
        <v>0</v>
      </c>
      <c r="BD124" s="10">
        <f t="shared" si="52"/>
        <v>0</v>
      </c>
      <c r="BE124" s="10">
        <v>37.11</v>
      </c>
      <c r="BF124" s="10">
        <v>15.1</v>
      </c>
      <c r="BG124" s="107">
        <v>46176</v>
      </c>
      <c r="BH124" s="107">
        <f t="shared" si="54"/>
        <v>46206</v>
      </c>
      <c r="BI124" s="23">
        <v>5</v>
      </c>
      <c r="BJ124" s="6"/>
      <c r="BK124" s="6"/>
      <c r="BL124" s="24">
        <f>VLOOKUP(A124,[2]Sheet1!$D$2:$H$933,5,0)</f>
        <v>0</v>
      </c>
      <c r="BM124" s="6" t="s">
        <v>3828</v>
      </c>
      <c r="BN124" s="6" t="s">
        <v>3829</v>
      </c>
      <c r="BO124" s="6" t="s">
        <v>3820</v>
      </c>
      <c r="BP124" s="6" t="s">
        <v>3821</v>
      </c>
      <c r="BQ124" s="6" t="s">
        <v>3830</v>
      </c>
      <c r="BR124" t="s">
        <v>3823</v>
      </c>
      <c r="BS124" t="s">
        <v>3824</v>
      </c>
      <c r="BT124" t="s">
        <v>3825</v>
      </c>
      <c r="BU124" t="s">
        <v>3826</v>
      </c>
      <c r="BV124" t="s">
        <v>3827</v>
      </c>
      <c r="BW124" t="s">
        <v>3835</v>
      </c>
      <c r="BX124">
        <v>0</v>
      </c>
      <c r="BY124" t="s">
        <v>3867</v>
      </c>
      <c r="BZ124" t="s">
        <v>3871</v>
      </c>
    </row>
    <row r="125" spans="1:78" x14ac:dyDescent="0.25">
      <c r="A125" s="7" t="s">
        <v>578</v>
      </c>
      <c r="B125" s="7" t="s">
        <v>181</v>
      </c>
      <c r="C125" s="7" t="s">
        <v>576</v>
      </c>
      <c r="D125" s="8" t="s">
        <v>577</v>
      </c>
      <c r="E125" s="7" t="s">
        <v>579</v>
      </c>
      <c r="F125" s="9">
        <v>45008</v>
      </c>
      <c r="G125" s="9" t="s">
        <v>527</v>
      </c>
      <c r="H125" s="9" t="s">
        <v>66</v>
      </c>
      <c r="I125" s="8" t="s">
        <v>67</v>
      </c>
      <c r="J125" s="10">
        <v>412.62</v>
      </c>
      <c r="K125" s="10">
        <v>412.62</v>
      </c>
      <c r="L125" s="10">
        <f t="shared" si="55"/>
        <v>0</v>
      </c>
      <c r="M125" s="10">
        <v>166.84</v>
      </c>
      <c r="N125" s="10">
        <v>166.84</v>
      </c>
      <c r="O125" s="10">
        <f t="shared" si="56"/>
        <v>0</v>
      </c>
      <c r="P125" s="11">
        <v>23095.000242353741</v>
      </c>
      <c r="Q125" s="11">
        <v>57117.351953967875</v>
      </c>
      <c r="R125" s="11">
        <v>22000</v>
      </c>
      <c r="S125" s="11">
        <v>9529459</v>
      </c>
      <c r="T125" s="11">
        <v>1143536</v>
      </c>
      <c r="U125" s="12">
        <f t="shared" si="57"/>
        <v>0.12000009654273133</v>
      </c>
      <c r="V125" s="13">
        <f t="shared" si="53"/>
        <v>0</v>
      </c>
      <c r="W125" s="10">
        <f t="shared" si="58"/>
        <v>0</v>
      </c>
      <c r="X125" s="10"/>
      <c r="Y125" s="10"/>
      <c r="Z125" s="11">
        <f t="shared" si="59"/>
        <v>9529459</v>
      </c>
      <c r="AA125" s="14">
        <v>1245108</v>
      </c>
      <c r="AB125" s="14">
        <v>149412</v>
      </c>
      <c r="AC125" s="11">
        <f t="shared" si="60"/>
        <v>8284351</v>
      </c>
      <c r="AD125" s="10">
        <f t="shared" si="61"/>
        <v>300</v>
      </c>
      <c r="AE125" s="15">
        <v>50052</v>
      </c>
      <c r="AF125" s="16">
        <v>9010</v>
      </c>
      <c r="AG125" s="15">
        <f t="shared" si="62"/>
        <v>0</v>
      </c>
      <c r="AH125" s="15">
        <f t="shared" si="63"/>
        <v>0</v>
      </c>
      <c r="AI125" s="15">
        <f t="shared" si="64"/>
        <v>50052</v>
      </c>
      <c r="AJ125" s="15">
        <f t="shared" si="65"/>
        <v>9010</v>
      </c>
      <c r="AK125" s="10">
        <v>50052</v>
      </c>
      <c r="AL125" s="15">
        <f t="shared" si="66"/>
        <v>50052</v>
      </c>
      <c r="AM125" s="15">
        <f t="shared" si="67"/>
        <v>8334403</v>
      </c>
      <c r="AN125" s="15">
        <f t="shared" si="68"/>
        <v>1003134</v>
      </c>
      <c r="AO125" s="15">
        <f t="shared" si="46"/>
        <v>1053186</v>
      </c>
      <c r="AP125" s="17">
        <f t="shared" si="69"/>
        <v>9387589</v>
      </c>
      <c r="AQ125" s="15">
        <v>8211174.8399999999</v>
      </c>
      <c r="AR125" s="15">
        <v>0</v>
      </c>
      <c r="AS125" s="18">
        <f t="shared" si="47"/>
        <v>1176414</v>
      </c>
      <c r="AT125" s="19">
        <v>0</v>
      </c>
      <c r="AU125" s="8">
        <v>8800</v>
      </c>
      <c r="AV125" s="13">
        <f t="shared" si="48"/>
        <v>1468192</v>
      </c>
      <c r="AW125" s="18">
        <f t="shared" si="49"/>
        <v>8334403</v>
      </c>
      <c r="AX125" s="15">
        <f t="shared" si="70"/>
        <v>8335000</v>
      </c>
      <c r="AY125" s="20">
        <v>0.05</v>
      </c>
      <c r="AZ125" s="13">
        <f t="shared" si="71"/>
        <v>416750</v>
      </c>
      <c r="BA125" s="15">
        <f t="shared" si="72"/>
        <v>416800</v>
      </c>
      <c r="BB125" s="21">
        <f t="shared" si="50"/>
        <v>1593214</v>
      </c>
      <c r="BC125" s="10">
        <f t="shared" si="51"/>
        <v>0</v>
      </c>
      <c r="BD125" s="10">
        <f t="shared" si="52"/>
        <v>0</v>
      </c>
      <c r="BE125" s="10">
        <v>38.33</v>
      </c>
      <c r="BF125" s="10">
        <v>15.5</v>
      </c>
      <c r="BG125" s="107">
        <v>46176</v>
      </c>
      <c r="BH125" s="107">
        <f t="shared" si="54"/>
        <v>46206</v>
      </c>
      <c r="BI125" s="23">
        <v>5</v>
      </c>
      <c r="BJ125" s="6"/>
      <c r="BK125" s="6"/>
      <c r="BL125" s="24">
        <f>VLOOKUP(A125,[2]Sheet1!$D$2:$H$933,5,0)</f>
        <v>0</v>
      </c>
      <c r="BM125" s="6" t="s">
        <v>3828</v>
      </c>
      <c r="BN125" s="6" t="s">
        <v>3829</v>
      </c>
      <c r="BO125" s="6" t="s">
        <v>3820</v>
      </c>
      <c r="BP125" s="6" t="s">
        <v>3821</v>
      </c>
      <c r="BQ125" s="6" t="s">
        <v>3830</v>
      </c>
      <c r="BR125" t="s">
        <v>3823</v>
      </c>
      <c r="BS125" t="s">
        <v>3824</v>
      </c>
      <c r="BT125" t="s">
        <v>3825</v>
      </c>
      <c r="BU125" t="s">
        <v>3826</v>
      </c>
      <c r="BV125" t="s">
        <v>3827</v>
      </c>
      <c r="BW125" t="s">
        <v>3835</v>
      </c>
      <c r="BX125">
        <v>0</v>
      </c>
      <c r="BY125" t="s">
        <v>3866</v>
      </c>
      <c r="BZ125" t="s">
        <v>3871</v>
      </c>
    </row>
    <row r="126" spans="1:78" x14ac:dyDescent="0.25">
      <c r="A126" s="7" t="s">
        <v>582</v>
      </c>
      <c r="B126" s="7" t="s">
        <v>181</v>
      </c>
      <c r="C126" s="7" t="s">
        <v>580</v>
      </c>
      <c r="D126" s="8" t="s">
        <v>581</v>
      </c>
      <c r="E126" s="7" t="s">
        <v>583</v>
      </c>
      <c r="F126" s="9">
        <v>45045</v>
      </c>
      <c r="G126" s="9" t="s">
        <v>527</v>
      </c>
      <c r="H126" s="9" t="s">
        <v>66</v>
      </c>
      <c r="I126" s="8" t="s">
        <v>67</v>
      </c>
      <c r="J126" s="10">
        <v>430.56</v>
      </c>
      <c r="K126" s="10">
        <v>430.56</v>
      </c>
      <c r="L126" s="10">
        <f t="shared" si="55"/>
        <v>0</v>
      </c>
      <c r="M126" s="10">
        <v>166.84</v>
      </c>
      <c r="N126" s="10">
        <v>166.84</v>
      </c>
      <c r="O126" s="10">
        <f t="shared" si="56"/>
        <v>0</v>
      </c>
      <c r="P126" s="11">
        <v>12410.000929022668</v>
      </c>
      <c r="Q126" s="11">
        <v>32026.192759530088</v>
      </c>
      <c r="R126" s="11">
        <v>22000</v>
      </c>
      <c r="S126" s="11">
        <v>5343250</v>
      </c>
      <c r="T126" s="11">
        <v>641190</v>
      </c>
      <c r="U126" s="12">
        <f t="shared" si="57"/>
        <v>0.12</v>
      </c>
      <c r="V126" s="13">
        <f t="shared" si="53"/>
        <v>0</v>
      </c>
      <c r="W126" s="10">
        <f t="shared" si="58"/>
        <v>0</v>
      </c>
      <c r="X126" s="10"/>
      <c r="Y126" s="10"/>
      <c r="Z126" s="11">
        <f t="shared" si="59"/>
        <v>5343250</v>
      </c>
      <c r="AA126" s="14"/>
      <c r="AB126" s="14"/>
      <c r="AC126" s="11">
        <f t="shared" si="60"/>
        <v>5343250</v>
      </c>
      <c r="AD126" s="10">
        <f t="shared" si="61"/>
        <v>300</v>
      </c>
      <c r="AE126" s="15">
        <v>50052</v>
      </c>
      <c r="AF126" s="16">
        <v>9010</v>
      </c>
      <c r="AG126" s="15">
        <f t="shared" si="62"/>
        <v>0</v>
      </c>
      <c r="AH126" s="15">
        <f t="shared" si="63"/>
        <v>0</v>
      </c>
      <c r="AI126" s="15">
        <f t="shared" si="64"/>
        <v>50052</v>
      </c>
      <c r="AJ126" s="15">
        <f t="shared" si="65"/>
        <v>9010</v>
      </c>
      <c r="AK126" s="10">
        <v>50052</v>
      </c>
      <c r="AL126" s="15">
        <f t="shared" si="66"/>
        <v>50052</v>
      </c>
      <c r="AM126" s="15">
        <f t="shared" si="67"/>
        <v>5393302</v>
      </c>
      <c r="AN126" s="15">
        <f t="shared" si="68"/>
        <v>650200</v>
      </c>
      <c r="AO126" s="15">
        <f t="shared" si="46"/>
        <v>700252</v>
      </c>
      <c r="AP126" s="17">
        <f t="shared" si="69"/>
        <v>6093554</v>
      </c>
      <c r="AQ126" s="15">
        <v>4979086</v>
      </c>
      <c r="AR126" s="15">
        <v>0</v>
      </c>
      <c r="AS126" s="18">
        <f t="shared" si="47"/>
        <v>1114468</v>
      </c>
      <c r="AT126" s="19">
        <v>0</v>
      </c>
      <c r="AU126" s="8">
        <v>8800</v>
      </c>
      <c r="AV126" s="13">
        <f t="shared" si="48"/>
        <v>1468192</v>
      </c>
      <c r="AW126" s="18">
        <f t="shared" si="49"/>
        <v>5393302</v>
      </c>
      <c r="AX126" s="15">
        <f t="shared" si="70"/>
        <v>5394000</v>
      </c>
      <c r="AY126" s="20">
        <v>0.05</v>
      </c>
      <c r="AZ126" s="13">
        <f t="shared" si="71"/>
        <v>269700</v>
      </c>
      <c r="BA126" s="15">
        <f t="shared" si="72"/>
        <v>269700</v>
      </c>
      <c r="BB126" s="21">
        <f t="shared" si="50"/>
        <v>1384168</v>
      </c>
      <c r="BC126" s="10">
        <f t="shared" si="51"/>
        <v>0</v>
      </c>
      <c r="BD126" s="10">
        <f t="shared" si="52"/>
        <v>0</v>
      </c>
      <c r="BE126" s="10">
        <v>40</v>
      </c>
      <c r="BF126" s="10">
        <v>15.5</v>
      </c>
      <c r="BG126" s="107">
        <v>46176</v>
      </c>
      <c r="BH126" s="107">
        <f t="shared" si="54"/>
        <v>46206</v>
      </c>
      <c r="BI126" s="23">
        <v>5</v>
      </c>
      <c r="BJ126" s="6"/>
      <c r="BK126" s="6"/>
      <c r="BL126" s="24">
        <f>VLOOKUP(A126,[2]Sheet1!$D$2:$H$933,5,0)</f>
        <v>0</v>
      </c>
      <c r="BM126" s="6" t="s">
        <v>3828</v>
      </c>
      <c r="BN126" s="6" t="s">
        <v>3829</v>
      </c>
      <c r="BO126" s="6" t="s">
        <v>3820</v>
      </c>
      <c r="BP126" s="6" t="s">
        <v>3821</v>
      </c>
      <c r="BQ126" s="6" t="s">
        <v>3830</v>
      </c>
      <c r="BR126" t="s">
        <v>3823</v>
      </c>
      <c r="BS126" t="s">
        <v>3824</v>
      </c>
      <c r="BT126" t="s">
        <v>3825</v>
      </c>
      <c r="BU126" t="s">
        <v>3826</v>
      </c>
      <c r="BV126" t="s">
        <v>3827</v>
      </c>
      <c r="BW126" t="s">
        <v>3835</v>
      </c>
      <c r="BX126">
        <v>0</v>
      </c>
      <c r="BY126" t="s">
        <v>3861</v>
      </c>
      <c r="BZ126" t="s">
        <v>3871</v>
      </c>
    </row>
    <row r="127" spans="1:78" x14ac:dyDescent="0.25">
      <c r="A127" s="7" t="s">
        <v>586</v>
      </c>
      <c r="B127" s="7" t="s">
        <v>181</v>
      </c>
      <c r="C127" s="7" t="s">
        <v>584</v>
      </c>
      <c r="D127" s="8" t="s">
        <v>585</v>
      </c>
      <c r="E127" s="7" t="s">
        <v>587</v>
      </c>
      <c r="F127" s="9">
        <v>45231</v>
      </c>
      <c r="G127" s="9" t="s">
        <v>527</v>
      </c>
      <c r="H127" s="9" t="s">
        <v>66</v>
      </c>
      <c r="I127" s="8" t="s">
        <v>67</v>
      </c>
      <c r="J127" s="10">
        <v>321.72000000000003</v>
      </c>
      <c r="K127" s="10">
        <v>321.72000000000003</v>
      </c>
      <c r="L127" s="10">
        <f t="shared" si="55"/>
        <v>0</v>
      </c>
      <c r="M127" s="10">
        <v>127.02</v>
      </c>
      <c r="N127" s="10">
        <v>127.02</v>
      </c>
      <c r="O127" s="10">
        <f t="shared" si="56"/>
        <v>0</v>
      </c>
      <c r="P127" s="11">
        <v>16654.811637448711</v>
      </c>
      <c r="Q127" s="11">
        <v>42183.797827113842</v>
      </c>
      <c r="R127" s="11">
        <v>22000</v>
      </c>
      <c r="S127" s="11">
        <v>5358186</v>
      </c>
      <c r="T127" s="11">
        <v>642982</v>
      </c>
      <c r="U127" s="12">
        <f t="shared" si="57"/>
        <v>0.11999994027829568</v>
      </c>
      <c r="V127" s="13">
        <f t="shared" si="53"/>
        <v>0</v>
      </c>
      <c r="W127" s="10">
        <f t="shared" si="58"/>
        <v>0</v>
      </c>
      <c r="X127" s="10"/>
      <c r="Y127" s="10"/>
      <c r="Z127" s="11">
        <f t="shared" si="59"/>
        <v>5358186</v>
      </c>
      <c r="AA127" s="14"/>
      <c r="AB127" s="14"/>
      <c r="AC127" s="11">
        <f t="shared" si="60"/>
        <v>5358186</v>
      </c>
      <c r="AD127" s="10">
        <f t="shared" si="61"/>
        <v>300</v>
      </c>
      <c r="AE127" s="15">
        <v>38106</v>
      </c>
      <c r="AF127" s="16">
        <v>6860</v>
      </c>
      <c r="AG127" s="15">
        <f t="shared" si="62"/>
        <v>0</v>
      </c>
      <c r="AH127" s="15">
        <f t="shared" si="63"/>
        <v>0</v>
      </c>
      <c r="AI127" s="15">
        <f t="shared" si="64"/>
        <v>38106</v>
      </c>
      <c r="AJ127" s="15">
        <f t="shared" si="65"/>
        <v>6860</v>
      </c>
      <c r="AK127" s="10">
        <v>38106</v>
      </c>
      <c r="AL127" s="15">
        <f t="shared" si="66"/>
        <v>38106</v>
      </c>
      <c r="AM127" s="15">
        <f t="shared" si="67"/>
        <v>5396292</v>
      </c>
      <c r="AN127" s="15">
        <f t="shared" si="68"/>
        <v>649842</v>
      </c>
      <c r="AO127" s="15">
        <f t="shared" si="46"/>
        <v>687948</v>
      </c>
      <c r="AP127" s="17">
        <f t="shared" si="69"/>
        <v>6084240</v>
      </c>
      <c r="AQ127" s="15">
        <v>5268587</v>
      </c>
      <c r="AR127" s="15">
        <v>0</v>
      </c>
      <c r="AS127" s="18">
        <f t="shared" si="47"/>
        <v>815653</v>
      </c>
      <c r="AT127" s="19">
        <v>0</v>
      </c>
      <c r="AU127" s="8">
        <v>8800</v>
      </c>
      <c r="AV127" s="13">
        <f t="shared" si="48"/>
        <v>1117776</v>
      </c>
      <c r="AW127" s="18">
        <f t="shared" si="49"/>
        <v>5396292</v>
      </c>
      <c r="AX127" s="15">
        <f t="shared" si="70"/>
        <v>5397000</v>
      </c>
      <c r="AY127" s="20">
        <v>0.06</v>
      </c>
      <c r="AZ127" s="13">
        <f t="shared" si="71"/>
        <v>323820</v>
      </c>
      <c r="BA127" s="15">
        <f t="shared" si="72"/>
        <v>323900</v>
      </c>
      <c r="BB127" s="21">
        <f t="shared" si="50"/>
        <v>1139553</v>
      </c>
      <c r="BC127" s="10">
        <f t="shared" si="51"/>
        <v>0</v>
      </c>
      <c r="BD127" s="10">
        <f t="shared" si="52"/>
        <v>0</v>
      </c>
      <c r="BE127" s="10">
        <v>29.89</v>
      </c>
      <c r="BF127" s="10">
        <v>11.8</v>
      </c>
      <c r="BG127" s="107">
        <v>46176</v>
      </c>
      <c r="BH127" s="107">
        <f t="shared" si="54"/>
        <v>46206</v>
      </c>
      <c r="BI127" s="23">
        <v>6</v>
      </c>
      <c r="BJ127" s="6"/>
      <c r="BK127" s="6"/>
      <c r="BL127" s="24">
        <f>VLOOKUP(A127,[2]Sheet1!$D$2:$H$933,5,0)</f>
        <v>0</v>
      </c>
      <c r="BM127" s="6" t="s">
        <v>3828</v>
      </c>
      <c r="BN127" s="6" t="s">
        <v>3829</v>
      </c>
      <c r="BO127" s="6" t="s">
        <v>3820</v>
      </c>
      <c r="BP127" s="6" t="s">
        <v>3821</v>
      </c>
      <c r="BQ127" s="6" t="s">
        <v>3830</v>
      </c>
      <c r="BR127" t="s">
        <v>3823</v>
      </c>
      <c r="BS127" t="s">
        <v>3824</v>
      </c>
      <c r="BT127" t="s">
        <v>3825</v>
      </c>
      <c r="BU127" t="s">
        <v>3826</v>
      </c>
      <c r="BV127" t="s">
        <v>3827</v>
      </c>
      <c r="BW127" t="s">
        <v>3835</v>
      </c>
      <c r="BX127">
        <v>0</v>
      </c>
      <c r="BY127" t="s">
        <v>3867</v>
      </c>
      <c r="BZ127" t="s">
        <v>3871</v>
      </c>
    </row>
    <row r="128" spans="1:78" x14ac:dyDescent="0.25">
      <c r="A128" s="7" t="s">
        <v>590</v>
      </c>
      <c r="B128" s="7" t="s">
        <v>181</v>
      </c>
      <c r="C128" s="7" t="s">
        <v>588</v>
      </c>
      <c r="D128" s="8" t="s">
        <v>589</v>
      </c>
      <c r="E128" s="7" t="s">
        <v>591</v>
      </c>
      <c r="F128" s="9">
        <v>44901</v>
      </c>
      <c r="G128" s="9" t="s">
        <v>527</v>
      </c>
      <c r="H128" s="9" t="s">
        <v>66</v>
      </c>
      <c r="I128" s="8" t="s">
        <v>67</v>
      </c>
      <c r="J128" s="10">
        <v>224.85</v>
      </c>
      <c r="K128" s="10">
        <v>224.85</v>
      </c>
      <c r="L128" s="10">
        <f t="shared" si="55"/>
        <v>0</v>
      </c>
      <c r="M128" s="10">
        <v>89.34</v>
      </c>
      <c r="N128" s="10">
        <v>89.34</v>
      </c>
      <c r="O128" s="10">
        <f t="shared" si="56"/>
        <v>0</v>
      </c>
      <c r="P128" s="11">
        <v>17728.000889481878</v>
      </c>
      <c r="Q128" s="11">
        <v>44617.651667785984</v>
      </c>
      <c r="R128" s="11">
        <v>22000</v>
      </c>
      <c r="S128" s="11">
        <v>3986141</v>
      </c>
      <c r="T128" s="11">
        <v>478336</v>
      </c>
      <c r="U128" s="12">
        <f t="shared" si="57"/>
        <v>0.11999976920033686</v>
      </c>
      <c r="V128" s="13">
        <f t="shared" si="53"/>
        <v>0</v>
      </c>
      <c r="W128" s="10">
        <f t="shared" si="58"/>
        <v>0</v>
      </c>
      <c r="X128" s="10"/>
      <c r="Y128" s="10"/>
      <c r="Z128" s="11">
        <f t="shared" si="59"/>
        <v>3986141</v>
      </c>
      <c r="AA128" s="14"/>
      <c r="AB128" s="14"/>
      <c r="AC128" s="11">
        <f t="shared" si="60"/>
        <v>3986141</v>
      </c>
      <c r="AD128" s="10">
        <f t="shared" si="61"/>
        <v>300</v>
      </c>
      <c r="AE128" s="15">
        <v>26802</v>
      </c>
      <c r="AF128" s="16">
        <v>4824</v>
      </c>
      <c r="AG128" s="15">
        <f t="shared" si="62"/>
        <v>0</v>
      </c>
      <c r="AH128" s="15">
        <f t="shared" si="63"/>
        <v>0</v>
      </c>
      <c r="AI128" s="15">
        <f t="shared" si="64"/>
        <v>26802</v>
      </c>
      <c r="AJ128" s="15">
        <f t="shared" si="65"/>
        <v>4825</v>
      </c>
      <c r="AK128" s="10">
        <v>26802</v>
      </c>
      <c r="AL128" s="15">
        <f t="shared" si="66"/>
        <v>26802</v>
      </c>
      <c r="AM128" s="15">
        <f t="shared" si="67"/>
        <v>4012943</v>
      </c>
      <c r="AN128" s="15">
        <f t="shared" si="68"/>
        <v>483161</v>
      </c>
      <c r="AO128" s="15">
        <f t="shared" ref="AO128:AO190" si="73">AN128+AL128+AR128</f>
        <v>509963</v>
      </c>
      <c r="AP128" s="17">
        <f t="shared" si="69"/>
        <v>4522906</v>
      </c>
      <c r="AQ128" s="15">
        <v>3958589</v>
      </c>
      <c r="AR128" s="15">
        <v>0</v>
      </c>
      <c r="AS128" s="18">
        <f t="shared" ref="AS128:AS190" si="74">ROUND(AP128-AQ128,0)</f>
        <v>564317</v>
      </c>
      <c r="AT128" s="19">
        <v>0</v>
      </c>
      <c r="AU128" s="8">
        <v>8800</v>
      </c>
      <c r="AV128" s="13">
        <f t="shared" ref="AV128:AV190" si="75">AU128*N128</f>
        <v>786192</v>
      </c>
      <c r="AW128" s="18">
        <f t="shared" ref="AW128:AW190" si="76">MAX(AM128,AT128,AV128)</f>
        <v>4012943</v>
      </c>
      <c r="AX128" s="15">
        <f t="shared" si="70"/>
        <v>4013000</v>
      </c>
      <c r="AY128" s="20">
        <v>7.0000000000000007E-2</v>
      </c>
      <c r="AZ128" s="13">
        <f t="shared" si="71"/>
        <v>280910</v>
      </c>
      <c r="BA128" s="15">
        <f t="shared" si="72"/>
        <v>281000</v>
      </c>
      <c r="BB128" s="21">
        <f t="shared" ref="BB128:BB190" si="77">BA128+AS128</f>
        <v>845317</v>
      </c>
      <c r="BC128" s="10">
        <f t="shared" ref="BC128:BC190" si="78">L128/J128%</f>
        <v>0</v>
      </c>
      <c r="BD128" s="10">
        <f t="shared" ref="BD128:BD190" si="79">O128/M128%</f>
        <v>0</v>
      </c>
      <c r="BE128" s="10">
        <v>20.89</v>
      </c>
      <c r="BF128" s="10">
        <v>8.3000000000000007</v>
      </c>
      <c r="BG128" s="107">
        <v>46176</v>
      </c>
      <c r="BH128" s="107">
        <f t="shared" si="54"/>
        <v>46206</v>
      </c>
      <c r="BI128" s="23">
        <v>7</v>
      </c>
      <c r="BJ128" s="6"/>
      <c r="BK128" s="6"/>
      <c r="BL128" s="24">
        <f>VLOOKUP(A128,[2]Sheet1!$D$2:$H$933,5,0)</f>
        <v>0</v>
      </c>
      <c r="BM128" s="6" t="s">
        <v>3828</v>
      </c>
      <c r="BN128" s="6" t="s">
        <v>3829</v>
      </c>
      <c r="BO128" s="6" t="s">
        <v>3820</v>
      </c>
      <c r="BP128" s="6" t="s">
        <v>3821</v>
      </c>
      <c r="BQ128" s="6" t="s">
        <v>3830</v>
      </c>
      <c r="BR128" t="s">
        <v>3823</v>
      </c>
      <c r="BS128" t="s">
        <v>3824</v>
      </c>
      <c r="BT128" t="s">
        <v>3825</v>
      </c>
      <c r="BU128" t="s">
        <v>3826</v>
      </c>
      <c r="BV128" t="s">
        <v>3827</v>
      </c>
      <c r="BW128" t="s">
        <v>3835</v>
      </c>
      <c r="BX128">
        <v>0</v>
      </c>
      <c r="BY128" t="s">
        <v>3867</v>
      </c>
      <c r="BZ128" t="s">
        <v>3871</v>
      </c>
    </row>
    <row r="129" spans="1:78" x14ac:dyDescent="0.25">
      <c r="A129" s="7" t="s">
        <v>594</v>
      </c>
      <c r="B129" s="7" t="s">
        <v>181</v>
      </c>
      <c r="C129" s="7" t="s">
        <v>592</v>
      </c>
      <c r="D129" s="8" t="s">
        <v>593</v>
      </c>
      <c r="E129" s="7" t="s">
        <v>591</v>
      </c>
      <c r="F129" s="9">
        <v>44901</v>
      </c>
      <c r="G129" s="9" t="s">
        <v>527</v>
      </c>
      <c r="H129" s="9" t="s">
        <v>66</v>
      </c>
      <c r="I129" s="8" t="s">
        <v>67</v>
      </c>
      <c r="J129" s="10">
        <v>224.85</v>
      </c>
      <c r="K129" s="10">
        <v>224.85</v>
      </c>
      <c r="L129" s="10">
        <f t="shared" si="55"/>
        <v>0</v>
      </c>
      <c r="M129" s="10">
        <v>89.34</v>
      </c>
      <c r="N129" s="10">
        <v>89.34</v>
      </c>
      <c r="O129" s="10">
        <f t="shared" si="56"/>
        <v>0</v>
      </c>
      <c r="P129" s="11">
        <v>17728.000889481878</v>
      </c>
      <c r="Q129" s="11">
        <v>44617.651667785984</v>
      </c>
      <c r="R129" s="11">
        <v>22000</v>
      </c>
      <c r="S129" s="11">
        <v>3986141</v>
      </c>
      <c r="T129" s="11">
        <v>478336</v>
      </c>
      <c r="U129" s="12">
        <f t="shared" si="57"/>
        <v>0.11999976920033686</v>
      </c>
      <c r="V129" s="13">
        <f t="shared" si="53"/>
        <v>0</v>
      </c>
      <c r="W129" s="10">
        <f t="shared" si="58"/>
        <v>0</v>
      </c>
      <c r="X129" s="10"/>
      <c r="Y129" s="10"/>
      <c r="Z129" s="11">
        <f t="shared" si="59"/>
        <v>3986141</v>
      </c>
      <c r="AA129" s="14"/>
      <c r="AB129" s="14"/>
      <c r="AC129" s="11">
        <f t="shared" si="60"/>
        <v>3986141</v>
      </c>
      <c r="AD129" s="10">
        <f t="shared" si="61"/>
        <v>300</v>
      </c>
      <c r="AE129" s="15">
        <v>26802</v>
      </c>
      <c r="AF129" s="16">
        <v>4824</v>
      </c>
      <c r="AG129" s="15">
        <f t="shared" si="62"/>
        <v>0</v>
      </c>
      <c r="AH129" s="15">
        <f t="shared" si="63"/>
        <v>0</v>
      </c>
      <c r="AI129" s="15">
        <f t="shared" si="64"/>
        <v>26802</v>
      </c>
      <c r="AJ129" s="15">
        <f t="shared" si="65"/>
        <v>4825</v>
      </c>
      <c r="AK129" s="10">
        <v>26802</v>
      </c>
      <c r="AL129" s="15">
        <f t="shared" si="66"/>
        <v>26802</v>
      </c>
      <c r="AM129" s="15">
        <f t="shared" si="67"/>
        <v>4012943</v>
      </c>
      <c r="AN129" s="15">
        <f t="shared" si="68"/>
        <v>483161</v>
      </c>
      <c r="AO129" s="15">
        <f t="shared" si="73"/>
        <v>509963</v>
      </c>
      <c r="AP129" s="17">
        <f t="shared" si="69"/>
        <v>4522906</v>
      </c>
      <c r="AQ129" s="15">
        <v>3958589</v>
      </c>
      <c r="AR129" s="15">
        <v>0</v>
      </c>
      <c r="AS129" s="18">
        <f t="shared" si="74"/>
        <v>564317</v>
      </c>
      <c r="AT129" s="19">
        <v>0</v>
      </c>
      <c r="AU129" s="8">
        <v>8800</v>
      </c>
      <c r="AV129" s="13">
        <f t="shared" si="75"/>
        <v>786192</v>
      </c>
      <c r="AW129" s="18">
        <f t="shared" si="76"/>
        <v>4012943</v>
      </c>
      <c r="AX129" s="15">
        <f t="shared" si="70"/>
        <v>4013000</v>
      </c>
      <c r="AY129" s="20">
        <v>7.0000000000000007E-2</v>
      </c>
      <c r="AZ129" s="13">
        <f t="shared" si="71"/>
        <v>280910</v>
      </c>
      <c r="BA129" s="15">
        <f t="shared" si="72"/>
        <v>281000</v>
      </c>
      <c r="BB129" s="21">
        <f t="shared" si="77"/>
        <v>845317</v>
      </c>
      <c r="BC129" s="10">
        <f t="shared" si="78"/>
        <v>0</v>
      </c>
      <c r="BD129" s="10">
        <f t="shared" si="79"/>
        <v>0</v>
      </c>
      <c r="BE129" s="10">
        <v>20.89</v>
      </c>
      <c r="BF129" s="10">
        <v>8.3000000000000007</v>
      </c>
      <c r="BG129" s="107">
        <v>46176</v>
      </c>
      <c r="BH129" s="107">
        <f t="shared" si="54"/>
        <v>46206</v>
      </c>
      <c r="BI129" s="23">
        <v>7</v>
      </c>
      <c r="BJ129" s="6"/>
      <c r="BK129" s="6"/>
      <c r="BL129" s="24">
        <f>VLOOKUP(A129,[2]Sheet1!$D$2:$H$933,5,0)</f>
        <v>0</v>
      </c>
      <c r="BM129" s="6" t="s">
        <v>3828</v>
      </c>
      <c r="BN129" s="6" t="s">
        <v>3829</v>
      </c>
      <c r="BO129" s="6" t="s">
        <v>3820</v>
      </c>
      <c r="BP129" s="6" t="s">
        <v>3821</v>
      </c>
      <c r="BQ129" s="6" t="s">
        <v>3830</v>
      </c>
      <c r="BR129" t="s">
        <v>3823</v>
      </c>
      <c r="BS129" t="s">
        <v>3824</v>
      </c>
      <c r="BT129" t="s">
        <v>3825</v>
      </c>
      <c r="BU129" t="s">
        <v>3826</v>
      </c>
      <c r="BV129" t="s">
        <v>3827</v>
      </c>
      <c r="BW129" t="s">
        <v>3835</v>
      </c>
      <c r="BX129">
        <v>0</v>
      </c>
      <c r="BY129" t="s">
        <v>3867</v>
      </c>
      <c r="BZ129" t="s">
        <v>3871</v>
      </c>
    </row>
    <row r="130" spans="1:78" x14ac:dyDescent="0.25">
      <c r="A130" s="7" t="s">
        <v>597</v>
      </c>
      <c r="B130" s="7" t="s">
        <v>181</v>
      </c>
      <c r="C130" s="7" t="s">
        <v>595</v>
      </c>
      <c r="D130" s="8" t="s">
        <v>596</v>
      </c>
      <c r="E130" s="7" t="s">
        <v>598</v>
      </c>
      <c r="F130" s="9">
        <v>44897</v>
      </c>
      <c r="G130" s="9" t="s">
        <v>527</v>
      </c>
      <c r="H130" s="9" t="s">
        <v>66</v>
      </c>
      <c r="I130" s="8" t="s">
        <v>67</v>
      </c>
      <c r="J130" s="10">
        <v>224.85</v>
      </c>
      <c r="K130" s="10">
        <v>224.85</v>
      </c>
      <c r="L130" s="10">
        <f t="shared" si="55"/>
        <v>0</v>
      </c>
      <c r="M130" s="10">
        <v>89.34</v>
      </c>
      <c r="N130" s="10">
        <v>89.34</v>
      </c>
      <c r="O130" s="10">
        <f t="shared" si="56"/>
        <v>0</v>
      </c>
      <c r="P130" s="11">
        <v>15147.000222370469</v>
      </c>
      <c r="Q130" s="11">
        <v>38121.815536154019</v>
      </c>
      <c r="R130" s="11">
        <v>22000</v>
      </c>
      <c r="S130" s="11">
        <v>3405803</v>
      </c>
      <c r="T130" s="11">
        <v>408696</v>
      </c>
      <c r="U130" s="12">
        <f t="shared" si="57"/>
        <v>0.11999989429805541</v>
      </c>
      <c r="V130" s="13">
        <f t="shared" si="53"/>
        <v>0</v>
      </c>
      <c r="W130" s="10">
        <f t="shared" si="58"/>
        <v>0</v>
      </c>
      <c r="X130" s="10"/>
      <c r="Y130" s="10"/>
      <c r="Z130" s="11">
        <f t="shared" si="59"/>
        <v>3405803</v>
      </c>
      <c r="AA130" s="14">
        <v>329578</v>
      </c>
      <c r="AB130" s="14">
        <v>39550</v>
      </c>
      <c r="AC130" s="11">
        <f t="shared" si="60"/>
        <v>3076225</v>
      </c>
      <c r="AD130" s="10">
        <f t="shared" si="61"/>
        <v>300</v>
      </c>
      <c r="AE130" s="15">
        <v>26802</v>
      </c>
      <c r="AF130" s="16">
        <v>4824</v>
      </c>
      <c r="AG130" s="15">
        <f t="shared" si="62"/>
        <v>0</v>
      </c>
      <c r="AH130" s="15">
        <f t="shared" si="63"/>
        <v>0</v>
      </c>
      <c r="AI130" s="15">
        <f t="shared" si="64"/>
        <v>26802</v>
      </c>
      <c r="AJ130" s="15">
        <f t="shared" si="65"/>
        <v>4825</v>
      </c>
      <c r="AK130" s="10">
        <v>26802</v>
      </c>
      <c r="AL130" s="15">
        <f t="shared" si="66"/>
        <v>26802</v>
      </c>
      <c r="AM130" s="15">
        <f t="shared" si="67"/>
        <v>3103027</v>
      </c>
      <c r="AN130" s="15">
        <f t="shared" si="68"/>
        <v>373971</v>
      </c>
      <c r="AO130" s="15">
        <f t="shared" si="73"/>
        <v>400773</v>
      </c>
      <c r="AP130" s="17">
        <f t="shared" si="69"/>
        <v>3503800</v>
      </c>
      <c r="AQ130" s="15">
        <v>3063921</v>
      </c>
      <c r="AR130" s="15">
        <v>0</v>
      </c>
      <c r="AS130" s="18">
        <f t="shared" si="74"/>
        <v>439879</v>
      </c>
      <c r="AT130" s="19">
        <v>0</v>
      </c>
      <c r="AU130" s="8">
        <v>8800</v>
      </c>
      <c r="AV130" s="13">
        <f t="shared" si="75"/>
        <v>786192</v>
      </c>
      <c r="AW130" s="18">
        <f t="shared" si="76"/>
        <v>3103027</v>
      </c>
      <c r="AX130" s="15">
        <f t="shared" si="70"/>
        <v>3104000</v>
      </c>
      <c r="AY130" s="20">
        <v>7.0000000000000007E-2</v>
      </c>
      <c r="AZ130" s="13">
        <f t="shared" si="71"/>
        <v>217280.00000000003</v>
      </c>
      <c r="BA130" s="15">
        <f t="shared" si="72"/>
        <v>217300</v>
      </c>
      <c r="BB130" s="21">
        <f t="shared" si="77"/>
        <v>657179</v>
      </c>
      <c r="BC130" s="10">
        <f t="shared" si="78"/>
        <v>0</v>
      </c>
      <c r="BD130" s="10">
        <f t="shared" si="79"/>
        <v>0</v>
      </c>
      <c r="BE130" s="10">
        <v>20.89</v>
      </c>
      <c r="BF130" s="10">
        <v>8.3000000000000007</v>
      </c>
      <c r="BG130" s="107">
        <v>46176</v>
      </c>
      <c r="BH130" s="107">
        <f t="shared" si="54"/>
        <v>46206</v>
      </c>
      <c r="BI130" s="23">
        <v>7</v>
      </c>
      <c r="BJ130" s="6"/>
      <c r="BK130" s="6"/>
      <c r="BL130" s="24">
        <f>VLOOKUP(A130,[2]Sheet1!$D$2:$H$933,5,0)</f>
        <v>0</v>
      </c>
      <c r="BM130" s="6" t="s">
        <v>3828</v>
      </c>
      <c r="BN130" s="6" t="s">
        <v>3829</v>
      </c>
      <c r="BO130" s="6" t="s">
        <v>3820</v>
      </c>
      <c r="BP130" s="6" t="s">
        <v>3821</v>
      </c>
      <c r="BQ130" s="6" t="s">
        <v>3830</v>
      </c>
      <c r="BR130" t="s">
        <v>3823</v>
      </c>
      <c r="BS130" t="s">
        <v>3824</v>
      </c>
      <c r="BT130" t="s">
        <v>3825</v>
      </c>
      <c r="BU130" t="s">
        <v>3826</v>
      </c>
      <c r="BV130" t="s">
        <v>3827</v>
      </c>
      <c r="BW130" t="s">
        <v>3835</v>
      </c>
      <c r="BX130">
        <v>0</v>
      </c>
      <c r="BY130" t="s">
        <v>3866</v>
      </c>
      <c r="BZ130" t="s">
        <v>3871</v>
      </c>
    </row>
    <row r="131" spans="1:78" x14ac:dyDescent="0.25">
      <c r="A131" s="7" t="s">
        <v>601</v>
      </c>
      <c r="B131" s="7" t="s">
        <v>181</v>
      </c>
      <c r="C131" s="7" t="s">
        <v>599</v>
      </c>
      <c r="D131" s="8" t="s">
        <v>600</v>
      </c>
      <c r="E131" s="7" t="s">
        <v>602</v>
      </c>
      <c r="F131" s="9">
        <v>44896</v>
      </c>
      <c r="G131" s="9" t="s">
        <v>527</v>
      </c>
      <c r="H131" s="9" t="s">
        <v>66</v>
      </c>
      <c r="I131" s="8" t="s">
        <v>67</v>
      </c>
      <c r="J131" s="10">
        <v>224.85</v>
      </c>
      <c r="K131" s="10">
        <v>224.85</v>
      </c>
      <c r="L131" s="10">
        <f t="shared" si="55"/>
        <v>0</v>
      </c>
      <c r="M131" s="10">
        <v>89.34</v>
      </c>
      <c r="N131" s="10">
        <v>89.34</v>
      </c>
      <c r="O131" s="10">
        <f t="shared" si="56"/>
        <v>0</v>
      </c>
      <c r="P131" s="11">
        <v>13150.002223704692</v>
      </c>
      <c r="Q131" s="11">
        <v>33095.791358853814</v>
      </c>
      <c r="R131" s="11">
        <v>22000</v>
      </c>
      <c r="S131" s="11">
        <v>2956778</v>
      </c>
      <c r="T131" s="11">
        <v>354812</v>
      </c>
      <c r="U131" s="12">
        <f t="shared" si="57"/>
        <v>0.11999954003986772</v>
      </c>
      <c r="V131" s="13">
        <f t="shared" si="53"/>
        <v>0</v>
      </c>
      <c r="W131" s="10">
        <f t="shared" si="58"/>
        <v>0</v>
      </c>
      <c r="X131" s="10"/>
      <c r="Y131" s="10"/>
      <c r="Z131" s="11">
        <f t="shared" si="59"/>
        <v>2956778</v>
      </c>
      <c r="AA131" s="14">
        <v>377061</v>
      </c>
      <c r="AB131" s="14">
        <v>45248</v>
      </c>
      <c r="AC131" s="11">
        <f t="shared" si="60"/>
        <v>2579717</v>
      </c>
      <c r="AD131" s="10">
        <f t="shared" si="61"/>
        <v>300</v>
      </c>
      <c r="AE131" s="15">
        <v>26802</v>
      </c>
      <c r="AF131" s="16">
        <v>4824</v>
      </c>
      <c r="AG131" s="15">
        <f t="shared" si="62"/>
        <v>0</v>
      </c>
      <c r="AH131" s="15">
        <f t="shared" si="63"/>
        <v>0</v>
      </c>
      <c r="AI131" s="15">
        <f t="shared" si="64"/>
        <v>26802</v>
      </c>
      <c r="AJ131" s="15">
        <f t="shared" si="65"/>
        <v>4825</v>
      </c>
      <c r="AK131" s="10">
        <v>26802</v>
      </c>
      <c r="AL131" s="15">
        <f t="shared" si="66"/>
        <v>26802</v>
      </c>
      <c r="AM131" s="15">
        <f t="shared" si="67"/>
        <v>2606519</v>
      </c>
      <c r="AN131" s="15">
        <f t="shared" si="68"/>
        <v>314389</v>
      </c>
      <c r="AO131" s="15">
        <f t="shared" si="73"/>
        <v>341191</v>
      </c>
      <c r="AP131" s="17">
        <f t="shared" si="69"/>
        <v>2947710</v>
      </c>
      <c r="AQ131" s="15">
        <v>2558121</v>
      </c>
      <c r="AR131" s="15">
        <v>0</v>
      </c>
      <c r="AS131" s="18">
        <f t="shared" si="74"/>
        <v>389589</v>
      </c>
      <c r="AT131" s="19">
        <v>0</v>
      </c>
      <c r="AU131" s="8">
        <v>8800</v>
      </c>
      <c r="AV131" s="13">
        <f t="shared" si="75"/>
        <v>786192</v>
      </c>
      <c r="AW131" s="18">
        <f t="shared" si="76"/>
        <v>2606519</v>
      </c>
      <c r="AX131" s="15">
        <f t="shared" si="70"/>
        <v>2607000</v>
      </c>
      <c r="AY131" s="20">
        <v>0.05</v>
      </c>
      <c r="AZ131" s="13">
        <f t="shared" si="71"/>
        <v>130350</v>
      </c>
      <c r="BA131" s="15">
        <f t="shared" si="72"/>
        <v>130400</v>
      </c>
      <c r="BB131" s="21">
        <f t="shared" si="77"/>
        <v>519989</v>
      </c>
      <c r="BC131" s="10">
        <f t="shared" si="78"/>
        <v>0</v>
      </c>
      <c r="BD131" s="10">
        <f t="shared" si="79"/>
        <v>0</v>
      </c>
      <c r="BE131" s="10">
        <v>20.89</v>
      </c>
      <c r="BF131" s="10">
        <v>8.3000000000000007</v>
      </c>
      <c r="BG131" s="107">
        <v>46176</v>
      </c>
      <c r="BH131" s="107">
        <f t="shared" si="54"/>
        <v>46206</v>
      </c>
      <c r="BI131" s="23">
        <v>5</v>
      </c>
      <c r="BJ131" s="6"/>
      <c r="BK131" s="64"/>
      <c r="BL131" s="24">
        <f>VLOOKUP(A131,[2]Sheet1!$D$2:$H$933,5,0)</f>
        <v>0</v>
      </c>
      <c r="BM131" s="6" t="s">
        <v>3828</v>
      </c>
      <c r="BN131" s="6" t="s">
        <v>3829</v>
      </c>
      <c r="BO131" s="6" t="s">
        <v>3820</v>
      </c>
      <c r="BP131" s="6" t="s">
        <v>3821</v>
      </c>
      <c r="BQ131" s="6" t="s">
        <v>3830</v>
      </c>
      <c r="BR131" t="s">
        <v>3823</v>
      </c>
      <c r="BS131" t="s">
        <v>3824</v>
      </c>
      <c r="BT131" t="s">
        <v>3825</v>
      </c>
      <c r="BU131" t="s">
        <v>3826</v>
      </c>
      <c r="BV131" t="s">
        <v>3827</v>
      </c>
      <c r="BW131" t="s">
        <v>3835</v>
      </c>
      <c r="BX131">
        <v>0</v>
      </c>
      <c r="BY131" t="s">
        <v>3866</v>
      </c>
      <c r="BZ131" t="s">
        <v>3871</v>
      </c>
    </row>
    <row r="132" spans="1:78" x14ac:dyDescent="0.25">
      <c r="A132" s="7" t="s">
        <v>605</v>
      </c>
      <c r="B132" s="7" t="s">
        <v>181</v>
      </c>
      <c r="C132" s="7" t="s">
        <v>603</v>
      </c>
      <c r="D132" s="8" t="s">
        <v>604</v>
      </c>
      <c r="E132" s="7" t="s">
        <v>606</v>
      </c>
      <c r="F132" s="9">
        <v>44897</v>
      </c>
      <c r="G132" s="9" t="s">
        <v>527</v>
      </c>
      <c r="H132" s="9" t="s">
        <v>66</v>
      </c>
      <c r="I132" s="8" t="s">
        <v>67</v>
      </c>
      <c r="J132" s="10">
        <v>224.85</v>
      </c>
      <c r="K132" s="10">
        <v>224.85</v>
      </c>
      <c r="L132" s="10">
        <f t="shared" si="55"/>
        <v>0</v>
      </c>
      <c r="M132" s="10">
        <v>89.34</v>
      </c>
      <c r="N132" s="10">
        <v>89.34</v>
      </c>
      <c r="O132" s="10">
        <f t="shared" si="56"/>
        <v>0</v>
      </c>
      <c r="P132" s="11">
        <v>15147.000222370469</v>
      </c>
      <c r="Q132" s="11">
        <v>38121.815536154019</v>
      </c>
      <c r="R132" s="11">
        <v>22000</v>
      </c>
      <c r="S132" s="11">
        <v>3405803</v>
      </c>
      <c r="T132" s="11">
        <v>408696</v>
      </c>
      <c r="U132" s="12">
        <f t="shared" si="57"/>
        <v>0.11999989429805541</v>
      </c>
      <c r="V132" s="13">
        <f t="shared" si="53"/>
        <v>0</v>
      </c>
      <c r="W132" s="10">
        <f t="shared" si="58"/>
        <v>0</v>
      </c>
      <c r="X132" s="10"/>
      <c r="Y132" s="10"/>
      <c r="Z132" s="11">
        <f t="shared" si="59"/>
        <v>3405803</v>
      </c>
      <c r="AA132" s="14">
        <v>329578</v>
      </c>
      <c r="AB132" s="14">
        <v>39550</v>
      </c>
      <c r="AC132" s="11">
        <f t="shared" si="60"/>
        <v>3076225</v>
      </c>
      <c r="AD132" s="10">
        <f t="shared" si="61"/>
        <v>300</v>
      </c>
      <c r="AE132" s="15">
        <v>26802</v>
      </c>
      <c r="AF132" s="16">
        <v>4824</v>
      </c>
      <c r="AG132" s="15">
        <f t="shared" si="62"/>
        <v>0</v>
      </c>
      <c r="AH132" s="15">
        <f t="shared" si="63"/>
        <v>0</v>
      </c>
      <c r="AI132" s="15">
        <f t="shared" si="64"/>
        <v>26802</v>
      </c>
      <c r="AJ132" s="15">
        <f t="shared" si="65"/>
        <v>4825</v>
      </c>
      <c r="AK132" s="10">
        <v>26802</v>
      </c>
      <c r="AL132" s="15">
        <f t="shared" si="66"/>
        <v>26802</v>
      </c>
      <c r="AM132" s="15">
        <f t="shared" si="67"/>
        <v>3103027</v>
      </c>
      <c r="AN132" s="15">
        <f t="shared" si="68"/>
        <v>373971</v>
      </c>
      <c r="AO132" s="15">
        <f t="shared" si="73"/>
        <v>400773</v>
      </c>
      <c r="AP132" s="17">
        <f t="shared" si="69"/>
        <v>3503800</v>
      </c>
      <c r="AQ132" s="15">
        <v>3063921.29</v>
      </c>
      <c r="AR132" s="15">
        <v>0</v>
      </c>
      <c r="AS132" s="18">
        <f t="shared" si="74"/>
        <v>439879</v>
      </c>
      <c r="AT132" s="19">
        <v>0</v>
      </c>
      <c r="AU132" s="8">
        <v>8800</v>
      </c>
      <c r="AV132" s="13">
        <f t="shared" si="75"/>
        <v>786192</v>
      </c>
      <c r="AW132" s="18">
        <f t="shared" si="76"/>
        <v>3103027</v>
      </c>
      <c r="AX132" s="15">
        <f t="shared" si="70"/>
        <v>3104000</v>
      </c>
      <c r="AY132" s="20">
        <v>0.05</v>
      </c>
      <c r="AZ132" s="13">
        <f t="shared" si="71"/>
        <v>155200</v>
      </c>
      <c r="BA132" s="15">
        <f t="shared" si="72"/>
        <v>155200</v>
      </c>
      <c r="BB132" s="21">
        <f t="shared" si="77"/>
        <v>595079</v>
      </c>
      <c r="BC132" s="10">
        <f t="shared" si="78"/>
        <v>0</v>
      </c>
      <c r="BD132" s="10">
        <f t="shared" si="79"/>
        <v>0</v>
      </c>
      <c r="BE132" s="10">
        <v>20.89</v>
      </c>
      <c r="BF132" s="10">
        <v>8.3000000000000007</v>
      </c>
      <c r="BG132" s="107">
        <v>46176</v>
      </c>
      <c r="BH132" s="107">
        <f t="shared" si="54"/>
        <v>46206</v>
      </c>
      <c r="BI132" s="23">
        <v>5</v>
      </c>
      <c r="BJ132" s="6"/>
      <c r="BK132" s="6"/>
      <c r="BL132" s="24">
        <f>VLOOKUP(A132,[2]Sheet1!$D$2:$H$933,5,0)</f>
        <v>0</v>
      </c>
      <c r="BM132" s="6" t="s">
        <v>3828</v>
      </c>
      <c r="BN132" s="6" t="s">
        <v>3829</v>
      </c>
      <c r="BO132" s="6" t="s">
        <v>3820</v>
      </c>
      <c r="BP132" s="6" t="s">
        <v>3821</v>
      </c>
      <c r="BQ132" s="6" t="s">
        <v>3830</v>
      </c>
      <c r="BR132" t="s">
        <v>3823</v>
      </c>
      <c r="BS132" t="s">
        <v>3824</v>
      </c>
      <c r="BT132" t="s">
        <v>3825</v>
      </c>
      <c r="BU132" t="s">
        <v>3826</v>
      </c>
      <c r="BV132" t="s">
        <v>3827</v>
      </c>
      <c r="BW132" t="s">
        <v>3835</v>
      </c>
      <c r="BX132">
        <v>0</v>
      </c>
      <c r="BY132" t="s">
        <v>3867</v>
      </c>
      <c r="BZ132" t="s">
        <v>3871</v>
      </c>
    </row>
    <row r="133" spans="1:78" x14ac:dyDescent="0.25">
      <c r="A133" s="7" t="s">
        <v>609</v>
      </c>
      <c r="B133" s="7" t="s">
        <v>181</v>
      </c>
      <c r="C133" s="7" t="s">
        <v>607</v>
      </c>
      <c r="D133" s="8" t="s">
        <v>608</v>
      </c>
      <c r="E133" s="7" t="s">
        <v>610</v>
      </c>
      <c r="F133" s="9">
        <v>44999</v>
      </c>
      <c r="G133" s="9" t="s">
        <v>527</v>
      </c>
      <c r="H133" s="9" t="s">
        <v>66</v>
      </c>
      <c r="I133" s="8" t="s">
        <v>67</v>
      </c>
      <c r="J133" s="10">
        <v>371.24</v>
      </c>
      <c r="K133" s="10">
        <v>371.24</v>
      </c>
      <c r="L133" s="10">
        <f t="shared" si="55"/>
        <v>0</v>
      </c>
      <c r="M133" s="10">
        <v>148.54</v>
      </c>
      <c r="N133" s="10">
        <v>148.54</v>
      </c>
      <c r="O133" s="10">
        <f t="shared" si="56"/>
        <v>0</v>
      </c>
      <c r="P133" s="11">
        <v>14833.501239090614</v>
      </c>
      <c r="Q133" s="11">
        <v>37072.768277904943</v>
      </c>
      <c r="R133" s="11">
        <v>22000</v>
      </c>
      <c r="S133" s="11">
        <v>5506789</v>
      </c>
      <c r="T133" s="11">
        <v>660814</v>
      </c>
      <c r="U133" s="12">
        <f t="shared" si="57"/>
        <v>0.11999987651606045</v>
      </c>
      <c r="V133" s="13">
        <f t="shared" si="53"/>
        <v>0</v>
      </c>
      <c r="W133" s="10">
        <f t="shared" si="58"/>
        <v>0</v>
      </c>
      <c r="X133" s="10"/>
      <c r="Y133" s="10"/>
      <c r="Z133" s="11">
        <f t="shared" si="59"/>
        <v>5506789</v>
      </c>
      <c r="AA133" s="14"/>
      <c r="AB133" s="14"/>
      <c r="AC133" s="11">
        <f t="shared" si="60"/>
        <v>5506789</v>
      </c>
      <c r="AD133" s="10">
        <f t="shared" si="61"/>
        <v>300</v>
      </c>
      <c r="AE133" s="15">
        <v>44562</v>
      </c>
      <c r="AF133" s="16">
        <v>8022</v>
      </c>
      <c r="AG133" s="15">
        <f t="shared" si="62"/>
        <v>0</v>
      </c>
      <c r="AH133" s="15">
        <f t="shared" si="63"/>
        <v>0</v>
      </c>
      <c r="AI133" s="15">
        <f t="shared" si="64"/>
        <v>44562</v>
      </c>
      <c r="AJ133" s="15">
        <f t="shared" si="65"/>
        <v>8022</v>
      </c>
      <c r="AK133" s="10">
        <v>44562</v>
      </c>
      <c r="AL133" s="15">
        <f t="shared" si="66"/>
        <v>44562</v>
      </c>
      <c r="AM133" s="15">
        <f t="shared" si="67"/>
        <v>5551351</v>
      </c>
      <c r="AN133" s="15">
        <f t="shared" si="68"/>
        <v>668836</v>
      </c>
      <c r="AO133" s="15">
        <f t="shared" si="73"/>
        <v>713398</v>
      </c>
      <c r="AP133" s="17">
        <f t="shared" si="69"/>
        <v>6264749</v>
      </c>
      <c r="AQ133" s="15">
        <v>5458683</v>
      </c>
      <c r="AR133" s="15">
        <v>0</v>
      </c>
      <c r="AS133" s="18">
        <f t="shared" si="74"/>
        <v>806066</v>
      </c>
      <c r="AT133" s="19">
        <v>0</v>
      </c>
      <c r="AU133" s="8">
        <v>8800</v>
      </c>
      <c r="AV133" s="13">
        <f t="shared" si="75"/>
        <v>1307152</v>
      </c>
      <c r="AW133" s="18">
        <f t="shared" si="76"/>
        <v>5551351</v>
      </c>
      <c r="AX133" s="15">
        <f t="shared" si="70"/>
        <v>5552000</v>
      </c>
      <c r="AY133" s="20">
        <v>0.05</v>
      </c>
      <c r="AZ133" s="13">
        <f t="shared" si="71"/>
        <v>277600</v>
      </c>
      <c r="BA133" s="15">
        <f t="shared" si="72"/>
        <v>277600</v>
      </c>
      <c r="BB133" s="21">
        <f t="shared" si="77"/>
        <v>1083666</v>
      </c>
      <c r="BC133" s="10">
        <f t="shared" si="78"/>
        <v>0</v>
      </c>
      <c r="BD133" s="10">
        <f t="shared" si="79"/>
        <v>0</v>
      </c>
      <c r="BE133" s="10">
        <v>34.49</v>
      </c>
      <c r="BF133" s="10">
        <v>13.8</v>
      </c>
      <c r="BG133" s="107">
        <v>46176</v>
      </c>
      <c r="BH133" s="107">
        <f t="shared" si="54"/>
        <v>46206</v>
      </c>
      <c r="BI133" s="23">
        <v>5</v>
      </c>
      <c r="BJ133" s="6"/>
      <c r="BK133" s="6"/>
      <c r="BL133" s="24">
        <f>VLOOKUP(A133,[2]Sheet1!$D$2:$H$933,5,0)</f>
        <v>0</v>
      </c>
      <c r="BM133" s="6" t="s">
        <v>3828</v>
      </c>
      <c r="BN133" s="6" t="s">
        <v>3829</v>
      </c>
      <c r="BO133" s="6" t="s">
        <v>3820</v>
      </c>
      <c r="BP133" s="6" t="s">
        <v>3821</v>
      </c>
      <c r="BQ133" s="6" t="s">
        <v>3830</v>
      </c>
      <c r="BR133" t="s">
        <v>3823</v>
      </c>
      <c r="BS133" t="s">
        <v>3824</v>
      </c>
      <c r="BT133" t="s">
        <v>3825</v>
      </c>
      <c r="BU133" t="s">
        <v>3826</v>
      </c>
      <c r="BV133" t="s">
        <v>3827</v>
      </c>
      <c r="BW133" t="s">
        <v>3835</v>
      </c>
      <c r="BX133">
        <v>0</v>
      </c>
      <c r="BY133" t="s">
        <v>3866</v>
      </c>
      <c r="BZ133" t="s">
        <v>3871</v>
      </c>
    </row>
    <row r="134" spans="1:78" x14ac:dyDescent="0.25">
      <c r="A134" s="7" t="s">
        <v>613</v>
      </c>
      <c r="B134" s="7" t="s">
        <v>181</v>
      </c>
      <c r="C134" s="7" t="s">
        <v>611</v>
      </c>
      <c r="D134" s="8" t="s">
        <v>612</v>
      </c>
      <c r="E134" s="7" t="s">
        <v>614</v>
      </c>
      <c r="F134" s="9">
        <v>44894</v>
      </c>
      <c r="G134" s="9" t="s">
        <v>527</v>
      </c>
      <c r="H134" s="9" t="s">
        <v>72</v>
      </c>
      <c r="I134" s="8" t="s">
        <v>78</v>
      </c>
      <c r="J134" s="10">
        <v>598.48</v>
      </c>
      <c r="K134" s="10">
        <v>598.48</v>
      </c>
      <c r="L134" s="10">
        <f t="shared" si="55"/>
        <v>0</v>
      </c>
      <c r="M134" s="10">
        <v>254.03</v>
      </c>
      <c r="N134" s="10">
        <v>254.03</v>
      </c>
      <c r="O134" s="10">
        <f t="shared" si="56"/>
        <v>0</v>
      </c>
      <c r="P134" s="11">
        <v>6500</v>
      </c>
      <c r="Q134" s="11">
        <v>15313.62437507381</v>
      </c>
      <c r="R134" s="11">
        <v>20000</v>
      </c>
      <c r="S134" s="11">
        <v>3890120</v>
      </c>
      <c r="T134" s="11">
        <v>466816</v>
      </c>
      <c r="U134" s="12">
        <f t="shared" si="57"/>
        <v>0.12000041129836611</v>
      </c>
      <c r="V134" s="13">
        <f t="shared" ref="V134:V158" si="80">L134*P134</f>
        <v>0</v>
      </c>
      <c r="W134" s="10">
        <f t="shared" si="58"/>
        <v>0</v>
      </c>
      <c r="X134" s="10"/>
      <c r="Y134" s="10"/>
      <c r="Z134" s="11">
        <f t="shared" si="59"/>
        <v>3890120</v>
      </c>
      <c r="AA134" s="14">
        <v>679803</v>
      </c>
      <c r="AB134" s="14">
        <v>81576</v>
      </c>
      <c r="AC134" s="11">
        <f t="shared" si="60"/>
        <v>3210317</v>
      </c>
      <c r="AD134" s="10">
        <f t="shared" si="61"/>
        <v>300</v>
      </c>
      <c r="AE134" s="15">
        <v>76209</v>
      </c>
      <c r="AF134" s="16">
        <v>13718</v>
      </c>
      <c r="AG134" s="15">
        <f t="shared" si="62"/>
        <v>0</v>
      </c>
      <c r="AH134" s="15">
        <f t="shared" si="63"/>
        <v>0</v>
      </c>
      <c r="AI134" s="15">
        <f t="shared" si="64"/>
        <v>76209</v>
      </c>
      <c r="AJ134" s="15">
        <f t="shared" si="65"/>
        <v>13718</v>
      </c>
      <c r="AK134" s="10">
        <v>76209</v>
      </c>
      <c r="AL134" s="15">
        <f t="shared" si="66"/>
        <v>76209</v>
      </c>
      <c r="AM134" s="15">
        <f t="shared" si="67"/>
        <v>3286526</v>
      </c>
      <c r="AN134" s="15">
        <f t="shared" si="68"/>
        <v>398958</v>
      </c>
      <c r="AO134" s="15">
        <f t="shared" si="73"/>
        <v>475167</v>
      </c>
      <c r="AP134" s="17">
        <f t="shared" si="69"/>
        <v>3761693</v>
      </c>
      <c r="AQ134" s="15">
        <v>3159862</v>
      </c>
      <c r="AR134" s="15">
        <v>0</v>
      </c>
      <c r="AS134" s="18">
        <f t="shared" si="74"/>
        <v>601831</v>
      </c>
      <c r="AT134" s="19">
        <v>0</v>
      </c>
      <c r="AU134" s="8">
        <v>8800</v>
      </c>
      <c r="AV134" s="13">
        <f t="shared" si="75"/>
        <v>2235464</v>
      </c>
      <c r="AW134" s="18">
        <f t="shared" si="76"/>
        <v>3286526</v>
      </c>
      <c r="AX134" s="15">
        <f t="shared" si="70"/>
        <v>3287000</v>
      </c>
      <c r="AY134" s="20">
        <v>0.05</v>
      </c>
      <c r="AZ134" s="13">
        <f t="shared" si="71"/>
        <v>164350</v>
      </c>
      <c r="BA134" s="15">
        <f t="shared" si="72"/>
        <v>164400</v>
      </c>
      <c r="BB134" s="21">
        <f t="shared" si="77"/>
        <v>766231</v>
      </c>
      <c r="BC134" s="10">
        <f t="shared" si="78"/>
        <v>0</v>
      </c>
      <c r="BD134" s="10">
        <f t="shared" si="79"/>
        <v>0</v>
      </c>
      <c r="BE134" s="10">
        <v>55.6</v>
      </c>
      <c r="BF134" s="10">
        <v>23.6</v>
      </c>
      <c r="BG134" s="107">
        <v>46176</v>
      </c>
      <c r="BH134" s="107">
        <f t="shared" si="54"/>
        <v>46206</v>
      </c>
      <c r="BI134" s="23">
        <v>5</v>
      </c>
      <c r="BJ134" s="6"/>
      <c r="BK134" s="6"/>
      <c r="BL134" s="24">
        <f>VLOOKUP(A134,[2]Sheet1!$D$2:$H$933,5,0)</f>
        <v>0</v>
      </c>
      <c r="BM134" s="6" t="s">
        <v>3828</v>
      </c>
      <c r="BN134" s="6" t="s">
        <v>3829</v>
      </c>
      <c r="BO134" s="6" t="s">
        <v>3820</v>
      </c>
      <c r="BP134" s="6" t="s">
        <v>3821</v>
      </c>
      <c r="BQ134" s="6" t="s">
        <v>3830</v>
      </c>
      <c r="BR134" t="s">
        <v>3823</v>
      </c>
      <c r="BS134" t="s">
        <v>3824</v>
      </c>
      <c r="BT134" t="s">
        <v>3825</v>
      </c>
      <c r="BU134" t="s">
        <v>3826</v>
      </c>
      <c r="BV134" t="s">
        <v>3827</v>
      </c>
      <c r="BW134" t="s">
        <v>3835</v>
      </c>
      <c r="BX134">
        <v>0</v>
      </c>
      <c r="BY134" t="s">
        <v>3859</v>
      </c>
      <c r="BZ134" t="s">
        <v>3871</v>
      </c>
    </row>
    <row r="135" spans="1:78" x14ac:dyDescent="0.25">
      <c r="A135" s="7" t="s">
        <v>617</v>
      </c>
      <c r="B135" s="7" t="s">
        <v>181</v>
      </c>
      <c r="C135" s="7" t="s">
        <v>615</v>
      </c>
      <c r="D135" s="8" t="s">
        <v>616</v>
      </c>
      <c r="E135" s="7" t="s">
        <v>618</v>
      </c>
      <c r="F135" s="9">
        <v>44911</v>
      </c>
      <c r="G135" s="9" t="s">
        <v>527</v>
      </c>
      <c r="H135" s="9" t="s">
        <v>72</v>
      </c>
      <c r="I135" s="8" t="s">
        <v>78</v>
      </c>
      <c r="J135" s="10">
        <v>652.29999999999995</v>
      </c>
      <c r="K135" s="10">
        <v>652.29999999999995</v>
      </c>
      <c r="L135" s="10">
        <f t="shared" si="55"/>
        <v>0</v>
      </c>
      <c r="M135" s="10">
        <v>293.86</v>
      </c>
      <c r="N135" s="10">
        <v>293.86</v>
      </c>
      <c r="O135" s="10">
        <f t="shared" si="56"/>
        <v>0</v>
      </c>
      <c r="P135" s="11">
        <v>7499.369921815116</v>
      </c>
      <c r="Q135" s="11">
        <v>16646.835227659431</v>
      </c>
      <c r="R135" s="11">
        <v>20000</v>
      </c>
      <c r="S135" s="11">
        <v>4891839</v>
      </c>
      <c r="T135" s="11">
        <v>587022</v>
      </c>
      <c r="U135" s="12">
        <f t="shared" si="57"/>
        <v>0.12000026983717166</v>
      </c>
      <c r="V135" s="13">
        <f t="shared" si="80"/>
        <v>0</v>
      </c>
      <c r="W135" s="10">
        <f t="shared" si="58"/>
        <v>0</v>
      </c>
      <c r="X135" s="10"/>
      <c r="Y135" s="10"/>
      <c r="Z135" s="11">
        <f t="shared" si="59"/>
        <v>4891839</v>
      </c>
      <c r="AA135" s="14"/>
      <c r="AB135" s="14"/>
      <c r="AC135" s="11">
        <f t="shared" si="60"/>
        <v>4891839</v>
      </c>
      <c r="AD135" s="10">
        <f t="shared" si="61"/>
        <v>300</v>
      </c>
      <c r="AE135" s="15">
        <v>88158</v>
      </c>
      <c r="AF135" s="16">
        <v>15868</v>
      </c>
      <c r="AG135" s="15">
        <f t="shared" si="62"/>
        <v>0</v>
      </c>
      <c r="AH135" s="15">
        <f t="shared" si="63"/>
        <v>0</v>
      </c>
      <c r="AI135" s="15">
        <f t="shared" si="64"/>
        <v>88158</v>
      </c>
      <c r="AJ135" s="15">
        <f t="shared" si="65"/>
        <v>15869</v>
      </c>
      <c r="AK135" s="10">
        <v>88158</v>
      </c>
      <c r="AL135" s="15">
        <f t="shared" si="66"/>
        <v>88158</v>
      </c>
      <c r="AM135" s="15">
        <f t="shared" si="67"/>
        <v>4979997</v>
      </c>
      <c r="AN135" s="15">
        <f t="shared" si="68"/>
        <v>602891</v>
      </c>
      <c r="AO135" s="15">
        <f t="shared" si="73"/>
        <v>691049</v>
      </c>
      <c r="AP135" s="17">
        <f t="shared" si="69"/>
        <v>5671046</v>
      </c>
      <c r="AQ135" s="15">
        <v>4930975.12</v>
      </c>
      <c r="AR135" s="15">
        <v>0</v>
      </c>
      <c r="AS135" s="18">
        <f t="shared" si="74"/>
        <v>740071</v>
      </c>
      <c r="AT135" s="19">
        <v>0</v>
      </c>
      <c r="AU135" s="8">
        <v>8800</v>
      </c>
      <c r="AV135" s="13">
        <f t="shared" si="75"/>
        <v>2585968</v>
      </c>
      <c r="AW135" s="18">
        <f t="shared" si="76"/>
        <v>4979997</v>
      </c>
      <c r="AX135" s="15">
        <f t="shared" si="70"/>
        <v>4980000</v>
      </c>
      <c r="AY135" s="20">
        <v>0.05</v>
      </c>
      <c r="AZ135" s="13">
        <f t="shared" si="71"/>
        <v>249000</v>
      </c>
      <c r="BA135" s="15">
        <f t="shared" si="72"/>
        <v>249000</v>
      </c>
      <c r="BB135" s="21">
        <f t="shared" si="77"/>
        <v>989071</v>
      </c>
      <c r="BC135" s="10">
        <f t="shared" si="78"/>
        <v>0</v>
      </c>
      <c r="BD135" s="10">
        <f t="shared" si="79"/>
        <v>0</v>
      </c>
      <c r="BE135" s="10">
        <v>60.6</v>
      </c>
      <c r="BF135" s="10">
        <v>27.3</v>
      </c>
      <c r="BG135" s="107">
        <v>46176</v>
      </c>
      <c r="BH135" s="107">
        <f t="shared" si="54"/>
        <v>46206</v>
      </c>
      <c r="BI135" s="23">
        <v>5</v>
      </c>
      <c r="BJ135" s="6"/>
      <c r="BK135" s="6"/>
      <c r="BL135" s="24">
        <f>VLOOKUP(A135,[2]Sheet1!$D$2:$H$933,5,0)</f>
        <v>0</v>
      </c>
      <c r="BM135" s="6" t="s">
        <v>3828</v>
      </c>
      <c r="BN135" s="6" t="s">
        <v>3829</v>
      </c>
      <c r="BO135" s="6" t="s">
        <v>3820</v>
      </c>
      <c r="BP135" s="6" t="s">
        <v>3821</v>
      </c>
      <c r="BQ135" s="6" t="s">
        <v>3830</v>
      </c>
      <c r="BR135" t="s">
        <v>3823</v>
      </c>
      <c r="BS135" t="s">
        <v>3824</v>
      </c>
      <c r="BT135" t="s">
        <v>3825</v>
      </c>
      <c r="BU135" t="s">
        <v>3826</v>
      </c>
      <c r="BV135" t="s">
        <v>3827</v>
      </c>
      <c r="BW135" t="s">
        <v>3835</v>
      </c>
      <c r="BX135">
        <v>0</v>
      </c>
      <c r="BY135" t="s">
        <v>3859</v>
      </c>
      <c r="BZ135" t="s">
        <v>3871</v>
      </c>
    </row>
    <row r="136" spans="1:78" x14ac:dyDescent="0.25">
      <c r="A136" s="7" t="s">
        <v>621</v>
      </c>
      <c r="B136" s="7" t="s">
        <v>181</v>
      </c>
      <c r="C136" s="7" t="s">
        <v>619</v>
      </c>
      <c r="D136" s="8" t="s">
        <v>620</v>
      </c>
      <c r="E136" s="7" t="s">
        <v>622</v>
      </c>
      <c r="F136" s="9">
        <v>44886</v>
      </c>
      <c r="G136" s="9" t="s">
        <v>527</v>
      </c>
      <c r="H136" s="9" t="s">
        <v>72</v>
      </c>
      <c r="I136" s="8" t="s">
        <v>78</v>
      </c>
      <c r="J136" s="10">
        <v>683.51</v>
      </c>
      <c r="K136" s="10">
        <v>683.51</v>
      </c>
      <c r="L136" s="10">
        <f t="shared" si="55"/>
        <v>0</v>
      </c>
      <c r="M136" s="10">
        <v>312.16000000000003</v>
      </c>
      <c r="N136" s="10">
        <v>312.16000000000003</v>
      </c>
      <c r="O136" s="10">
        <f t="shared" si="56"/>
        <v>0</v>
      </c>
      <c r="P136" s="11">
        <v>6500</v>
      </c>
      <c r="Q136" s="11">
        <v>14232.492952332137</v>
      </c>
      <c r="R136" s="11">
        <v>20000</v>
      </c>
      <c r="S136" s="11">
        <v>4442815</v>
      </c>
      <c r="T136" s="11">
        <v>533138</v>
      </c>
      <c r="U136" s="12">
        <f t="shared" si="57"/>
        <v>0.12000004501650417</v>
      </c>
      <c r="V136" s="13">
        <f t="shared" si="80"/>
        <v>0</v>
      </c>
      <c r="W136" s="10">
        <f t="shared" si="58"/>
        <v>0</v>
      </c>
      <c r="X136" s="10"/>
      <c r="Y136" s="10"/>
      <c r="Z136" s="11">
        <f t="shared" si="59"/>
        <v>4442815</v>
      </c>
      <c r="AA136" s="14"/>
      <c r="AB136" s="14"/>
      <c r="AC136" s="11">
        <f t="shared" si="60"/>
        <v>4442815</v>
      </c>
      <c r="AD136" s="10">
        <f t="shared" si="61"/>
        <v>300</v>
      </c>
      <c r="AE136" s="15">
        <v>93648</v>
      </c>
      <c r="AF136" s="16">
        <v>16856</v>
      </c>
      <c r="AG136" s="15">
        <f t="shared" si="62"/>
        <v>0</v>
      </c>
      <c r="AH136" s="15">
        <f t="shared" si="63"/>
        <v>0</v>
      </c>
      <c r="AI136" s="15">
        <f t="shared" si="64"/>
        <v>93648.000000000015</v>
      </c>
      <c r="AJ136" s="15">
        <f t="shared" si="65"/>
        <v>16857</v>
      </c>
      <c r="AK136" s="10">
        <v>93648</v>
      </c>
      <c r="AL136" s="15">
        <f t="shared" si="66"/>
        <v>93648.000000000015</v>
      </c>
      <c r="AM136" s="15">
        <f t="shared" si="67"/>
        <v>4536463</v>
      </c>
      <c r="AN136" s="15">
        <f t="shared" si="68"/>
        <v>549995</v>
      </c>
      <c r="AO136" s="15">
        <f t="shared" si="73"/>
        <v>643643</v>
      </c>
      <c r="AP136" s="17">
        <f t="shared" si="69"/>
        <v>5180106</v>
      </c>
      <c r="AQ136" s="15">
        <v>4478356</v>
      </c>
      <c r="AR136" s="15">
        <v>0</v>
      </c>
      <c r="AS136" s="18">
        <f t="shared" si="74"/>
        <v>701750</v>
      </c>
      <c r="AT136" s="19">
        <v>4536463</v>
      </c>
      <c r="AU136" s="8">
        <v>8800</v>
      </c>
      <c r="AV136" s="13">
        <f t="shared" si="75"/>
        <v>2747008</v>
      </c>
      <c r="AW136" s="18">
        <f t="shared" si="76"/>
        <v>4536463</v>
      </c>
      <c r="AX136" s="15">
        <f t="shared" si="70"/>
        <v>4537000</v>
      </c>
      <c r="AY136" s="20">
        <v>0.05</v>
      </c>
      <c r="AZ136" s="13">
        <f t="shared" si="71"/>
        <v>226850</v>
      </c>
      <c r="BA136" s="15">
        <f t="shared" si="72"/>
        <v>226900</v>
      </c>
      <c r="BB136" s="21">
        <f t="shared" si="77"/>
        <v>928650</v>
      </c>
      <c r="BC136" s="10">
        <f t="shared" si="78"/>
        <v>0</v>
      </c>
      <c r="BD136" s="10">
        <f t="shared" si="79"/>
        <v>0</v>
      </c>
      <c r="BE136" s="10">
        <v>63.5</v>
      </c>
      <c r="BF136" s="10">
        <v>29</v>
      </c>
      <c r="BG136" s="107">
        <v>46176</v>
      </c>
      <c r="BH136" s="107">
        <f t="shared" si="54"/>
        <v>46206</v>
      </c>
      <c r="BI136" s="23">
        <v>5</v>
      </c>
      <c r="BJ136" s="6"/>
      <c r="BK136" s="6"/>
      <c r="BL136" s="24">
        <f>VLOOKUP(A136,[2]Sheet1!$D$2:$H$933,5,0)</f>
        <v>0</v>
      </c>
      <c r="BM136" s="6" t="s">
        <v>3828</v>
      </c>
      <c r="BN136" s="6" t="s">
        <v>3829</v>
      </c>
      <c r="BO136" s="6" t="s">
        <v>3820</v>
      </c>
      <c r="BP136" s="6" t="s">
        <v>3821</v>
      </c>
      <c r="BQ136" s="6" t="s">
        <v>3830</v>
      </c>
      <c r="BR136" t="s">
        <v>3823</v>
      </c>
      <c r="BS136" t="s">
        <v>3824</v>
      </c>
      <c r="BT136" t="s">
        <v>3825</v>
      </c>
      <c r="BU136" t="s">
        <v>3826</v>
      </c>
      <c r="BV136" t="s">
        <v>3827</v>
      </c>
      <c r="BW136" t="s">
        <v>3835</v>
      </c>
      <c r="BX136">
        <v>0</v>
      </c>
      <c r="BY136" t="s">
        <v>3862</v>
      </c>
      <c r="BZ136" t="s">
        <v>3871</v>
      </c>
    </row>
    <row r="137" spans="1:78" x14ac:dyDescent="0.25">
      <c r="A137" s="7" t="s">
        <v>629</v>
      </c>
      <c r="B137" s="7" t="s">
        <v>181</v>
      </c>
      <c r="C137" s="7" t="s">
        <v>627</v>
      </c>
      <c r="D137" s="8" t="s">
        <v>628</v>
      </c>
      <c r="E137" s="7" t="s">
        <v>630</v>
      </c>
      <c r="F137" s="9">
        <v>44978</v>
      </c>
      <c r="G137" s="9" t="s">
        <v>527</v>
      </c>
      <c r="H137" s="9" t="s">
        <v>190</v>
      </c>
      <c r="I137" s="8" t="s">
        <v>78</v>
      </c>
      <c r="J137" s="10">
        <v>816.99</v>
      </c>
      <c r="K137" s="10">
        <v>816.99</v>
      </c>
      <c r="L137" s="10">
        <f t="shared" si="55"/>
        <v>0</v>
      </c>
      <c r="M137" s="10">
        <v>373.19</v>
      </c>
      <c r="N137" s="10">
        <v>373.19</v>
      </c>
      <c r="O137" s="10">
        <f t="shared" si="56"/>
        <v>0</v>
      </c>
      <c r="P137" s="11">
        <v>25500</v>
      </c>
      <c r="Q137" s="11">
        <v>55824.767544682334</v>
      </c>
      <c r="R137" s="11">
        <v>60000</v>
      </c>
      <c r="S137" s="11">
        <v>20833245</v>
      </c>
      <c r="T137" s="11">
        <v>2499992</v>
      </c>
      <c r="U137" s="12">
        <f t="shared" si="57"/>
        <v>0.12000012480052916</v>
      </c>
      <c r="V137" s="13">
        <f t="shared" si="80"/>
        <v>0</v>
      </c>
      <c r="W137" s="10">
        <f t="shared" si="58"/>
        <v>0</v>
      </c>
      <c r="X137" s="10"/>
      <c r="Y137" s="10"/>
      <c r="Z137" s="11">
        <f t="shared" si="59"/>
        <v>20833245</v>
      </c>
      <c r="AA137" s="14"/>
      <c r="AB137" s="14"/>
      <c r="AC137" s="11">
        <f t="shared" si="60"/>
        <v>20833245</v>
      </c>
      <c r="AD137" s="10">
        <f t="shared" si="61"/>
        <v>300</v>
      </c>
      <c r="AE137" s="15">
        <v>111957</v>
      </c>
      <c r="AF137" s="16">
        <v>20152</v>
      </c>
      <c r="AG137" s="15">
        <f t="shared" si="62"/>
        <v>0</v>
      </c>
      <c r="AH137" s="15">
        <f t="shared" si="63"/>
        <v>0</v>
      </c>
      <c r="AI137" s="15">
        <f t="shared" si="64"/>
        <v>111957</v>
      </c>
      <c r="AJ137" s="15">
        <f t="shared" si="65"/>
        <v>20153</v>
      </c>
      <c r="AK137" s="10">
        <v>111957</v>
      </c>
      <c r="AL137" s="15">
        <f t="shared" si="66"/>
        <v>111957</v>
      </c>
      <c r="AM137" s="15">
        <f t="shared" si="67"/>
        <v>20945202</v>
      </c>
      <c r="AN137" s="15">
        <f t="shared" si="68"/>
        <v>2520145</v>
      </c>
      <c r="AO137" s="15">
        <f t="shared" si="73"/>
        <v>2632102</v>
      </c>
      <c r="AP137" s="17">
        <f t="shared" si="69"/>
        <v>23577304</v>
      </c>
      <c r="AQ137" s="15">
        <v>17499927.34</v>
      </c>
      <c r="AR137" s="15">
        <v>0</v>
      </c>
      <c r="AS137" s="18">
        <f t="shared" si="74"/>
        <v>6077377</v>
      </c>
      <c r="AT137" s="19">
        <v>20833245</v>
      </c>
      <c r="AU137" s="8">
        <v>8800</v>
      </c>
      <c r="AV137" s="13">
        <f t="shared" si="75"/>
        <v>3284072</v>
      </c>
      <c r="AW137" s="18">
        <f t="shared" si="76"/>
        <v>20945202</v>
      </c>
      <c r="AX137" s="15">
        <f t="shared" si="70"/>
        <v>20946000</v>
      </c>
      <c r="AY137" s="20">
        <v>0.05</v>
      </c>
      <c r="AZ137" s="13">
        <f t="shared" si="71"/>
        <v>1047300</v>
      </c>
      <c r="BA137" s="15">
        <f t="shared" si="72"/>
        <v>1047300</v>
      </c>
      <c r="BB137" s="21">
        <f t="shared" si="77"/>
        <v>7124677</v>
      </c>
      <c r="BC137" s="10">
        <f t="shared" si="78"/>
        <v>0</v>
      </c>
      <c r="BD137" s="10">
        <f t="shared" si="79"/>
        <v>0</v>
      </c>
      <c r="BE137" s="10">
        <v>75.900000000000006</v>
      </c>
      <c r="BF137" s="10">
        <v>34.67</v>
      </c>
      <c r="BG137" s="107">
        <v>46176</v>
      </c>
      <c r="BH137" s="107">
        <f t="shared" si="54"/>
        <v>46206</v>
      </c>
      <c r="BI137" s="23">
        <v>5</v>
      </c>
      <c r="BJ137" s="6"/>
      <c r="BK137" s="6"/>
      <c r="BL137" s="24">
        <f>VLOOKUP(A137,[2]Sheet1!$D$2:$H$933,5,0)</f>
        <v>0</v>
      </c>
      <c r="BM137" s="6" t="s">
        <v>3828</v>
      </c>
      <c r="BN137" s="6" t="s">
        <v>3829</v>
      </c>
      <c r="BO137" s="6" t="s">
        <v>3820</v>
      </c>
      <c r="BP137" s="6" t="s">
        <v>3821</v>
      </c>
      <c r="BQ137" s="6" t="s">
        <v>3830</v>
      </c>
      <c r="BR137" t="s">
        <v>3823</v>
      </c>
      <c r="BS137" t="s">
        <v>3824</v>
      </c>
      <c r="BT137" t="s">
        <v>3825</v>
      </c>
      <c r="BU137" t="s">
        <v>3826</v>
      </c>
      <c r="BV137" t="s">
        <v>3827</v>
      </c>
      <c r="BW137" t="s">
        <v>3835</v>
      </c>
      <c r="BX137">
        <v>0</v>
      </c>
      <c r="BY137" t="s">
        <v>3864</v>
      </c>
      <c r="BZ137" t="s">
        <v>3871</v>
      </c>
    </row>
    <row r="138" spans="1:78" x14ac:dyDescent="0.25">
      <c r="A138" s="7" t="s">
        <v>633</v>
      </c>
      <c r="B138" s="7" t="s">
        <v>181</v>
      </c>
      <c r="C138" s="7" t="s">
        <v>631</v>
      </c>
      <c r="D138" s="8" t="s">
        <v>632</v>
      </c>
      <c r="E138" s="7" t="s">
        <v>634</v>
      </c>
      <c r="F138" s="9">
        <v>44866</v>
      </c>
      <c r="G138" s="9" t="s">
        <v>527</v>
      </c>
      <c r="H138" s="9" t="s">
        <v>72</v>
      </c>
      <c r="I138" s="8" t="s">
        <v>635</v>
      </c>
      <c r="J138" s="10">
        <v>796.25</v>
      </c>
      <c r="K138" s="10">
        <v>796.25</v>
      </c>
      <c r="L138" s="10">
        <f t="shared" si="55"/>
        <v>0</v>
      </c>
      <c r="M138" s="10">
        <v>120.56</v>
      </c>
      <c r="N138" s="10">
        <v>120.56</v>
      </c>
      <c r="O138" s="10">
        <f t="shared" si="56"/>
        <v>0</v>
      </c>
      <c r="P138" s="11">
        <v>12938.230455259027</v>
      </c>
      <c r="Q138" s="11">
        <v>85451.775049767748</v>
      </c>
      <c r="R138" s="11">
        <v>20000</v>
      </c>
      <c r="S138" s="11">
        <v>10302066</v>
      </c>
      <c r="T138" s="11">
        <v>1236248</v>
      </c>
      <c r="U138" s="12">
        <f t="shared" si="57"/>
        <v>0.12000000776543268</v>
      </c>
      <c r="V138" s="13">
        <f t="shared" si="80"/>
        <v>0</v>
      </c>
      <c r="W138" s="10">
        <f t="shared" si="58"/>
        <v>0</v>
      </c>
      <c r="X138" s="10"/>
      <c r="Y138" s="10"/>
      <c r="Z138" s="11">
        <f t="shared" si="59"/>
        <v>10302066</v>
      </c>
      <c r="AA138" s="14">
        <v>2457689</v>
      </c>
      <c r="AB138" s="14">
        <v>294922</v>
      </c>
      <c r="AC138" s="11">
        <f t="shared" si="60"/>
        <v>7844377</v>
      </c>
      <c r="AD138" s="10">
        <f t="shared" si="61"/>
        <v>300</v>
      </c>
      <c r="AE138" s="15">
        <v>36168</v>
      </c>
      <c r="AF138" s="16">
        <v>6510</v>
      </c>
      <c r="AG138" s="15">
        <f t="shared" si="62"/>
        <v>0</v>
      </c>
      <c r="AH138" s="15">
        <f t="shared" si="63"/>
        <v>0</v>
      </c>
      <c r="AI138" s="15">
        <f t="shared" si="64"/>
        <v>36168</v>
      </c>
      <c r="AJ138" s="15">
        <f t="shared" si="65"/>
        <v>6511</v>
      </c>
      <c r="AK138" s="10">
        <v>36168</v>
      </c>
      <c r="AL138" s="15">
        <f t="shared" si="66"/>
        <v>36168</v>
      </c>
      <c r="AM138" s="15">
        <f t="shared" si="67"/>
        <v>7880545</v>
      </c>
      <c r="AN138" s="15">
        <f t="shared" si="68"/>
        <v>947837</v>
      </c>
      <c r="AO138" s="15">
        <f t="shared" si="73"/>
        <v>984005</v>
      </c>
      <c r="AP138" s="17">
        <f t="shared" si="69"/>
        <v>8864550</v>
      </c>
      <c r="AQ138" s="15">
        <v>7631870.9600000009</v>
      </c>
      <c r="AR138" s="15">
        <v>0</v>
      </c>
      <c r="AS138" s="18">
        <f t="shared" si="74"/>
        <v>1232679</v>
      </c>
      <c r="AT138" s="19">
        <v>0</v>
      </c>
      <c r="AU138" s="8">
        <v>8800</v>
      </c>
      <c r="AV138" s="13">
        <f t="shared" si="75"/>
        <v>1060928</v>
      </c>
      <c r="AW138" s="18">
        <f t="shared" si="76"/>
        <v>7880545</v>
      </c>
      <c r="AX138" s="15">
        <f t="shared" si="70"/>
        <v>7881000</v>
      </c>
      <c r="AY138" s="20">
        <v>0.06</v>
      </c>
      <c r="AZ138" s="13">
        <f t="shared" si="71"/>
        <v>472860</v>
      </c>
      <c r="BA138" s="15">
        <f t="shared" si="72"/>
        <v>472900</v>
      </c>
      <c r="BB138" s="21">
        <f t="shared" si="77"/>
        <v>1705579</v>
      </c>
      <c r="BC138" s="10">
        <f t="shared" si="78"/>
        <v>0</v>
      </c>
      <c r="BD138" s="10">
        <f t="shared" si="79"/>
        <v>0</v>
      </c>
      <c r="BE138" s="10">
        <v>73.97</v>
      </c>
      <c r="BF138" s="10">
        <v>11.2</v>
      </c>
      <c r="BG138" s="107">
        <v>46176</v>
      </c>
      <c r="BH138" s="107">
        <f t="shared" si="54"/>
        <v>46206</v>
      </c>
      <c r="BI138" s="23">
        <v>6</v>
      </c>
      <c r="BJ138" s="6"/>
      <c r="BK138" s="6"/>
      <c r="BL138" s="24">
        <f>VLOOKUP(A138,[2]Sheet1!$D$2:$H$933,5,0)</f>
        <v>0</v>
      </c>
      <c r="BM138" s="6" t="s">
        <v>3828</v>
      </c>
      <c r="BN138" s="6" t="s">
        <v>3829</v>
      </c>
      <c r="BO138" s="6" t="s">
        <v>3820</v>
      </c>
      <c r="BP138" s="6" t="s">
        <v>3821</v>
      </c>
      <c r="BQ138" s="6" t="s">
        <v>3830</v>
      </c>
      <c r="BR138" t="s">
        <v>3823</v>
      </c>
      <c r="BS138" t="s">
        <v>3824</v>
      </c>
      <c r="BT138" t="s">
        <v>3825</v>
      </c>
      <c r="BU138" t="s">
        <v>3826</v>
      </c>
      <c r="BV138" t="s">
        <v>3827</v>
      </c>
      <c r="BW138" t="s">
        <v>3835</v>
      </c>
      <c r="BX138">
        <v>0</v>
      </c>
      <c r="BY138" t="s">
        <v>3862</v>
      </c>
      <c r="BZ138" t="s">
        <v>3871</v>
      </c>
    </row>
    <row r="139" spans="1:78" x14ac:dyDescent="0.25">
      <c r="A139" s="7" t="s">
        <v>638</v>
      </c>
      <c r="B139" s="7" t="s">
        <v>181</v>
      </c>
      <c r="C139" s="7" t="s">
        <v>636</v>
      </c>
      <c r="D139" s="8" t="s">
        <v>637</v>
      </c>
      <c r="E139" s="7" t="s">
        <v>639</v>
      </c>
      <c r="F139" s="9">
        <v>44891</v>
      </c>
      <c r="G139" s="9" t="s">
        <v>527</v>
      </c>
      <c r="H139" s="9" t="s">
        <v>72</v>
      </c>
      <c r="I139" s="8" t="s">
        <v>635</v>
      </c>
      <c r="J139" s="10">
        <v>796.25</v>
      </c>
      <c r="K139" s="10">
        <v>796.25</v>
      </c>
      <c r="L139" s="10">
        <f t="shared" si="55"/>
        <v>0</v>
      </c>
      <c r="M139" s="10">
        <v>120.56</v>
      </c>
      <c r="N139" s="10">
        <v>120.56</v>
      </c>
      <c r="O139" s="10">
        <f t="shared" si="56"/>
        <v>0</v>
      </c>
      <c r="P139" s="11">
        <v>6500</v>
      </c>
      <c r="Q139" s="11">
        <v>42929.868944923692</v>
      </c>
      <c r="R139" s="11">
        <v>20000</v>
      </c>
      <c r="S139" s="11">
        <v>5175625</v>
      </c>
      <c r="T139" s="11">
        <v>621076</v>
      </c>
      <c r="U139" s="12">
        <f t="shared" si="57"/>
        <v>0.12000019321338003</v>
      </c>
      <c r="V139" s="13">
        <f t="shared" si="80"/>
        <v>0</v>
      </c>
      <c r="W139" s="10">
        <f t="shared" si="58"/>
        <v>0</v>
      </c>
      <c r="X139" s="10"/>
      <c r="Y139" s="10"/>
      <c r="Z139" s="11">
        <f t="shared" si="59"/>
        <v>5175625</v>
      </c>
      <c r="AA139" s="14">
        <v>1013497</v>
      </c>
      <c r="AB139" s="14">
        <v>121620</v>
      </c>
      <c r="AC139" s="11">
        <f t="shared" si="60"/>
        <v>4162128</v>
      </c>
      <c r="AD139" s="10">
        <f t="shared" si="61"/>
        <v>300</v>
      </c>
      <c r="AE139" s="15">
        <v>36168</v>
      </c>
      <c r="AF139" s="16">
        <v>6510</v>
      </c>
      <c r="AG139" s="15">
        <f t="shared" si="62"/>
        <v>0</v>
      </c>
      <c r="AH139" s="15">
        <f t="shared" si="63"/>
        <v>0</v>
      </c>
      <c r="AI139" s="15">
        <f t="shared" si="64"/>
        <v>36168</v>
      </c>
      <c r="AJ139" s="15">
        <f t="shared" si="65"/>
        <v>6511</v>
      </c>
      <c r="AK139" s="10">
        <v>36168</v>
      </c>
      <c r="AL139" s="15">
        <f t="shared" si="66"/>
        <v>36168</v>
      </c>
      <c r="AM139" s="15">
        <f t="shared" si="67"/>
        <v>4198296</v>
      </c>
      <c r="AN139" s="15">
        <f t="shared" si="68"/>
        <v>505967</v>
      </c>
      <c r="AO139" s="15">
        <f t="shared" si="73"/>
        <v>542135</v>
      </c>
      <c r="AP139" s="17">
        <f t="shared" si="69"/>
        <v>4740431</v>
      </c>
      <c r="AQ139" s="15">
        <v>4086670.66</v>
      </c>
      <c r="AR139" s="15">
        <v>0</v>
      </c>
      <c r="AS139" s="18">
        <f t="shared" si="74"/>
        <v>653760</v>
      </c>
      <c r="AT139" s="19">
        <v>0</v>
      </c>
      <c r="AU139" s="8">
        <v>8800</v>
      </c>
      <c r="AV139" s="13">
        <f t="shared" si="75"/>
        <v>1060928</v>
      </c>
      <c r="AW139" s="18">
        <f t="shared" si="76"/>
        <v>4198296</v>
      </c>
      <c r="AX139" s="15">
        <f t="shared" si="70"/>
        <v>4199000</v>
      </c>
      <c r="AY139" s="20">
        <v>0.06</v>
      </c>
      <c r="AZ139" s="13">
        <f t="shared" si="71"/>
        <v>251940</v>
      </c>
      <c r="BA139" s="15">
        <f t="shared" si="72"/>
        <v>252000</v>
      </c>
      <c r="BB139" s="21">
        <f t="shared" si="77"/>
        <v>905760</v>
      </c>
      <c r="BC139" s="10">
        <f t="shared" si="78"/>
        <v>0</v>
      </c>
      <c r="BD139" s="10">
        <f t="shared" si="79"/>
        <v>0</v>
      </c>
      <c r="BE139" s="10">
        <v>73.97</v>
      </c>
      <c r="BF139" s="10">
        <v>11.2</v>
      </c>
      <c r="BG139" s="107">
        <v>46176</v>
      </c>
      <c r="BH139" s="107">
        <f t="shared" si="54"/>
        <v>46206</v>
      </c>
      <c r="BI139" s="23">
        <v>6</v>
      </c>
      <c r="BJ139" s="6"/>
      <c r="BK139" s="6"/>
      <c r="BL139" s="24">
        <f>VLOOKUP(A139,[2]Sheet1!$D$2:$H$933,5,0)</f>
        <v>0</v>
      </c>
      <c r="BM139" s="6" t="s">
        <v>3828</v>
      </c>
      <c r="BN139" s="6" t="s">
        <v>3829</v>
      </c>
      <c r="BO139" s="6" t="s">
        <v>3820</v>
      </c>
      <c r="BP139" s="6" t="s">
        <v>3821</v>
      </c>
      <c r="BQ139" s="6" t="s">
        <v>3830</v>
      </c>
      <c r="BR139" t="s">
        <v>3823</v>
      </c>
      <c r="BS139" t="s">
        <v>3824</v>
      </c>
      <c r="BT139" t="s">
        <v>3825</v>
      </c>
      <c r="BU139" t="s">
        <v>3826</v>
      </c>
      <c r="BV139" t="s">
        <v>3827</v>
      </c>
      <c r="BW139" t="s">
        <v>3835</v>
      </c>
      <c r="BX139">
        <v>0</v>
      </c>
      <c r="BY139" t="s">
        <v>3859</v>
      </c>
      <c r="BZ139" t="s">
        <v>3871</v>
      </c>
    </row>
    <row r="140" spans="1:78" x14ac:dyDescent="0.25">
      <c r="A140" s="7" t="s">
        <v>642</v>
      </c>
      <c r="B140" s="7" t="s">
        <v>181</v>
      </c>
      <c r="C140" s="7" t="s">
        <v>640</v>
      </c>
      <c r="D140" s="8" t="s">
        <v>641</v>
      </c>
      <c r="E140" s="7" t="s">
        <v>643</v>
      </c>
      <c r="F140" s="9">
        <v>44896</v>
      </c>
      <c r="G140" s="9" t="s">
        <v>527</v>
      </c>
      <c r="H140" s="9" t="s">
        <v>72</v>
      </c>
      <c r="I140" s="8" t="s">
        <v>635</v>
      </c>
      <c r="J140" s="10">
        <v>796.25</v>
      </c>
      <c r="K140" s="10">
        <v>796.25</v>
      </c>
      <c r="L140" s="10">
        <f t="shared" si="55"/>
        <v>0</v>
      </c>
      <c r="M140" s="10">
        <v>120.56</v>
      </c>
      <c r="N140" s="10">
        <v>120.56</v>
      </c>
      <c r="O140" s="10">
        <f t="shared" si="56"/>
        <v>0</v>
      </c>
      <c r="P140" s="11">
        <v>11439.399686028257</v>
      </c>
      <c r="Q140" s="11">
        <v>75552.604512276041</v>
      </c>
      <c r="R140" s="11">
        <v>20000</v>
      </c>
      <c r="S140" s="11">
        <v>9108622</v>
      </c>
      <c r="T140" s="11">
        <v>1093036</v>
      </c>
      <c r="U140" s="12">
        <f t="shared" si="57"/>
        <v>0.12000014930908319</v>
      </c>
      <c r="V140" s="13">
        <f t="shared" si="80"/>
        <v>0</v>
      </c>
      <c r="W140" s="10">
        <f t="shared" si="58"/>
        <v>0</v>
      </c>
      <c r="X140" s="10"/>
      <c r="Y140" s="10"/>
      <c r="Z140" s="11">
        <f t="shared" si="59"/>
        <v>9108622</v>
      </c>
      <c r="AA140" s="14">
        <v>1627531</v>
      </c>
      <c r="AB140" s="14">
        <v>195304</v>
      </c>
      <c r="AC140" s="11">
        <f t="shared" si="60"/>
        <v>7481091</v>
      </c>
      <c r="AD140" s="10">
        <f t="shared" si="61"/>
        <v>300</v>
      </c>
      <c r="AE140" s="15">
        <v>36168</v>
      </c>
      <c r="AF140" s="16">
        <v>6510</v>
      </c>
      <c r="AG140" s="15">
        <f t="shared" si="62"/>
        <v>0</v>
      </c>
      <c r="AH140" s="15">
        <f t="shared" si="63"/>
        <v>0</v>
      </c>
      <c r="AI140" s="15">
        <f t="shared" si="64"/>
        <v>36168</v>
      </c>
      <c r="AJ140" s="15">
        <f t="shared" si="65"/>
        <v>6511</v>
      </c>
      <c r="AK140" s="10">
        <v>36168</v>
      </c>
      <c r="AL140" s="15">
        <f t="shared" si="66"/>
        <v>36168</v>
      </c>
      <c r="AM140" s="15">
        <f t="shared" si="67"/>
        <v>7517259</v>
      </c>
      <c r="AN140" s="15">
        <f>ROUNDUP(AJ140+W140+T140+Y140-AB140,0)</f>
        <v>904243</v>
      </c>
      <c r="AO140" s="15">
        <f t="shared" si="73"/>
        <v>940411</v>
      </c>
      <c r="AP140" s="17">
        <f t="shared" si="69"/>
        <v>8457670</v>
      </c>
      <c r="AQ140" s="15">
        <v>7358667</v>
      </c>
      <c r="AR140" s="15">
        <v>0</v>
      </c>
      <c r="AS140" s="18">
        <f t="shared" si="74"/>
        <v>1099003</v>
      </c>
      <c r="AT140" s="19">
        <v>0</v>
      </c>
      <c r="AU140" s="8">
        <v>8800</v>
      </c>
      <c r="AV140" s="13">
        <f t="shared" si="75"/>
        <v>1060928</v>
      </c>
      <c r="AW140" s="18">
        <f t="shared" si="76"/>
        <v>7517259</v>
      </c>
      <c r="AX140" s="15">
        <f t="shared" si="70"/>
        <v>7518000</v>
      </c>
      <c r="AY140" s="20">
        <v>0.06</v>
      </c>
      <c r="AZ140" s="13">
        <f t="shared" si="71"/>
        <v>451080</v>
      </c>
      <c r="BA140" s="15">
        <f t="shared" si="72"/>
        <v>451100</v>
      </c>
      <c r="BB140" s="21">
        <f t="shared" si="77"/>
        <v>1550103</v>
      </c>
      <c r="BC140" s="10">
        <f t="shared" si="78"/>
        <v>0</v>
      </c>
      <c r="BD140" s="10">
        <f t="shared" si="79"/>
        <v>0</v>
      </c>
      <c r="BE140" s="10">
        <v>73.97</v>
      </c>
      <c r="BF140" s="10">
        <v>11.2</v>
      </c>
      <c r="BG140" s="107">
        <v>46176</v>
      </c>
      <c r="BH140" s="107">
        <f t="shared" si="54"/>
        <v>46206</v>
      </c>
      <c r="BI140" s="23">
        <v>6</v>
      </c>
      <c r="BJ140" s="6"/>
      <c r="BK140" s="24"/>
      <c r="BL140" s="24">
        <f>VLOOKUP(A140,[2]Sheet1!$D$2:$H$933,5,0)</f>
        <v>0</v>
      </c>
      <c r="BM140" s="6" t="s">
        <v>3828</v>
      </c>
      <c r="BN140" s="6" t="s">
        <v>3829</v>
      </c>
      <c r="BO140" s="6" t="s">
        <v>3820</v>
      </c>
      <c r="BP140" s="6" t="s">
        <v>3821</v>
      </c>
      <c r="BQ140" s="6" t="s">
        <v>3830</v>
      </c>
      <c r="BR140" t="s">
        <v>3823</v>
      </c>
      <c r="BS140" t="s">
        <v>3824</v>
      </c>
      <c r="BT140" t="s">
        <v>3825</v>
      </c>
      <c r="BU140" t="s">
        <v>3826</v>
      </c>
      <c r="BV140" t="s">
        <v>3827</v>
      </c>
      <c r="BW140" t="s">
        <v>3835</v>
      </c>
      <c r="BX140">
        <v>0</v>
      </c>
      <c r="BY140" t="s">
        <v>3869</v>
      </c>
      <c r="BZ140" t="s">
        <v>3871</v>
      </c>
    </row>
    <row r="141" spans="1:78" x14ac:dyDescent="0.25">
      <c r="A141" s="7" t="s">
        <v>646</v>
      </c>
      <c r="B141" s="7" t="s">
        <v>181</v>
      </c>
      <c r="C141" s="7" t="s">
        <v>644</v>
      </c>
      <c r="D141" s="8" t="s">
        <v>645</v>
      </c>
      <c r="E141" s="7" t="s">
        <v>647</v>
      </c>
      <c r="F141" s="9">
        <v>45184</v>
      </c>
      <c r="G141" s="9" t="s">
        <v>527</v>
      </c>
      <c r="H141" s="9" t="s">
        <v>87</v>
      </c>
      <c r="I141" s="8" t="s">
        <v>78</v>
      </c>
      <c r="J141" s="10">
        <v>1159.93</v>
      </c>
      <c r="K141" s="10">
        <v>1159.93</v>
      </c>
      <c r="L141" s="10">
        <f t="shared" si="55"/>
        <v>0</v>
      </c>
      <c r="M141" s="10">
        <v>529.59</v>
      </c>
      <c r="N141" s="10">
        <v>529.59</v>
      </c>
      <c r="O141" s="10">
        <f t="shared" si="56"/>
        <v>0</v>
      </c>
      <c r="P141" s="11">
        <v>15200</v>
      </c>
      <c r="Q141" s="11">
        <v>33291.670915236311</v>
      </c>
      <c r="R141" s="11">
        <v>40000</v>
      </c>
      <c r="S141" s="11">
        <v>17630936</v>
      </c>
      <c r="T141" s="11">
        <v>2115712</v>
      </c>
      <c r="U141" s="12">
        <f t="shared" si="57"/>
        <v>0.11999998185008443</v>
      </c>
      <c r="V141" s="13">
        <f t="shared" si="80"/>
        <v>0</v>
      </c>
      <c r="W141" s="10">
        <f t="shared" si="58"/>
        <v>0</v>
      </c>
      <c r="X141" s="10"/>
      <c r="Y141" s="10"/>
      <c r="Z141" s="11">
        <f t="shared" si="59"/>
        <v>17630936</v>
      </c>
      <c r="AA141" s="14"/>
      <c r="AB141" s="14"/>
      <c r="AC141" s="11">
        <f t="shared" si="60"/>
        <v>17630936</v>
      </c>
      <c r="AD141" s="10">
        <f t="shared" si="61"/>
        <v>300</v>
      </c>
      <c r="AE141" s="15">
        <v>158877</v>
      </c>
      <c r="AF141" s="16">
        <v>28598</v>
      </c>
      <c r="AG141" s="15">
        <f t="shared" si="62"/>
        <v>0</v>
      </c>
      <c r="AH141" s="15">
        <f t="shared" si="63"/>
        <v>0</v>
      </c>
      <c r="AI141" s="15">
        <f t="shared" si="64"/>
        <v>158877</v>
      </c>
      <c r="AJ141" s="15">
        <f t="shared" si="65"/>
        <v>28598</v>
      </c>
      <c r="AK141" s="10">
        <v>158877</v>
      </c>
      <c r="AL141" s="15">
        <f t="shared" si="66"/>
        <v>158877</v>
      </c>
      <c r="AM141" s="15">
        <f t="shared" si="67"/>
        <v>17789813</v>
      </c>
      <c r="AN141" s="15">
        <f t="shared" si="68"/>
        <v>2144310</v>
      </c>
      <c r="AO141" s="15">
        <f t="shared" si="73"/>
        <v>2303187</v>
      </c>
      <c r="AP141" s="17">
        <f t="shared" si="69"/>
        <v>20093000</v>
      </c>
      <c r="AQ141" s="15">
        <v>6911329</v>
      </c>
      <c r="AR141" s="15">
        <v>0</v>
      </c>
      <c r="AS141" s="18">
        <f t="shared" si="74"/>
        <v>13181671</v>
      </c>
      <c r="AT141" s="19">
        <v>0</v>
      </c>
      <c r="AU141" s="8">
        <v>8800</v>
      </c>
      <c r="AV141" s="13">
        <f t="shared" si="75"/>
        <v>4660392</v>
      </c>
      <c r="AW141" s="18">
        <f t="shared" si="76"/>
        <v>17789813</v>
      </c>
      <c r="AX141" s="15">
        <f t="shared" si="70"/>
        <v>17790000</v>
      </c>
      <c r="AY141" s="20">
        <v>7.0000000000000007E-2</v>
      </c>
      <c r="AZ141" s="13">
        <f t="shared" si="71"/>
        <v>1245300.0000000002</v>
      </c>
      <c r="BA141" s="15">
        <f t="shared" si="72"/>
        <v>1245300</v>
      </c>
      <c r="BB141" s="21">
        <f t="shared" si="77"/>
        <v>14426971</v>
      </c>
      <c r="BC141" s="10">
        <f t="shared" si="78"/>
        <v>0</v>
      </c>
      <c r="BD141" s="10">
        <f t="shared" si="79"/>
        <v>0</v>
      </c>
      <c r="BE141" s="10">
        <v>107.76</v>
      </c>
      <c r="BF141" s="10">
        <v>49.2</v>
      </c>
      <c r="BG141" s="107">
        <v>46176</v>
      </c>
      <c r="BH141" s="107">
        <f t="shared" si="54"/>
        <v>46206</v>
      </c>
      <c r="BI141" s="23">
        <v>7</v>
      </c>
      <c r="BJ141" s="6"/>
      <c r="BK141" s="6"/>
      <c r="BL141" s="24">
        <f>VLOOKUP(A141,[2]Sheet1!$D$2:$H$933,5,0)</f>
        <v>0</v>
      </c>
      <c r="BM141" s="6" t="s">
        <v>3828</v>
      </c>
      <c r="BN141" s="6" t="s">
        <v>3829</v>
      </c>
      <c r="BO141" s="6" t="s">
        <v>3820</v>
      </c>
      <c r="BP141" s="6" t="s">
        <v>3821</v>
      </c>
      <c r="BQ141" s="6" t="s">
        <v>3830</v>
      </c>
      <c r="BR141" t="s">
        <v>3823</v>
      </c>
      <c r="BS141" t="s">
        <v>3824</v>
      </c>
      <c r="BT141" t="s">
        <v>3825</v>
      </c>
      <c r="BU141" t="s">
        <v>3826</v>
      </c>
      <c r="BV141" t="s">
        <v>3827</v>
      </c>
      <c r="BW141" t="s">
        <v>3835</v>
      </c>
      <c r="BX141">
        <v>0</v>
      </c>
      <c r="BY141" t="s">
        <v>3868</v>
      </c>
      <c r="BZ141" t="s">
        <v>3871</v>
      </c>
    </row>
    <row r="142" spans="1:78" x14ac:dyDescent="0.25">
      <c r="A142" s="7" t="s">
        <v>650</v>
      </c>
      <c r="B142" s="7" t="s">
        <v>181</v>
      </c>
      <c r="C142" s="7" t="s">
        <v>648</v>
      </c>
      <c r="D142" s="8" t="s">
        <v>649</v>
      </c>
      <c r="E142" s="7" t="s">
        <v>651</v>
      </c>
      <c r="F142" s="9">
        <v>45010</v>
      </c>
      <c r="G142" s="9" t="s">
        <v>527</v>
      </c>
      <c r="H142" s="9" t="s">
        <v>87</v>
      </c>
      <c r="I142" s="8" t="s">
        <v>78</v>
      </c>
      <c r="J142" s="10">
        <v>629.04999999999995</v>
      </c>
      <c r="K142" s="10">
        <v>629.04999999999995</v>
      </c>
      <c r="L142" s="10">
        <f t="shared" si="55"/>
        <v>0</v>
      </c>
      <c r="M142" s="10">
        <v>264.79000000000002</v>
      </c>
      <c r="N142" s="10">
        <v>264.79000000000002</v>
      </c>
      <c r="O142" s="10">
        <f t="shared" si="56"/>
        <v>0</v>
      </c>
      <c r="P142" s="11">
        <v>29043.217550274225</v>
      </c>
      <c r="Q142" s="11">
        <v>68996.699271120509</v>
      </c>
      <c r="R142" s="11">
        <v>40000</v>
      </c>
      <c r="S142" s="11">
        <v>18269636</v>
      </c>
      <c r="T142" s="11">
        <v>2192356</v>
      </c>
      <c r="U142" s="12">
        <f t="shared" si="57"/>
        <v>0.11999998248459903</v>
      </c>
      <c r="V142" s="13">
        <f t="shared" si="80"/>
        <v>0</v>
      </c>
      <c r="W142" s="10">
        <f t="shared" si="58"/>
        <v>0</v>
      </c>
      <c r="X142" s="10"/>
      <c r="Y142" s="10"/>
      <c r="Z142" s="11">
        <f t="shared" si="59"/>
        <v>18269636</v>
      </c>
      <c r="AA142" s="14">
        <v>2913250</v>
      </c>
      <c r="AB142" s="14">
        <v>349590</v>
      </c>
      <c r="AC142" s="11">
        <f t="shared" si="60"/>
        <v>15356386</v>
      </c>
      <c r="AD142" s="10">
        <f t="shared" si="61"/>
        <v>300</v>
      </c>
      <c r="AE142" s="15">
        <v>79437</v>
      </c>
      <c r="AF142" s="16">
        <v>14298</v>
      </c>
      <c r="AG142" s="15">
        <f t="shared" si="62"/>
        <v>0</v>
      </c>
      <c r="AH142" s="15">
        <f t="shared" si="63"/>
        <v>0</v>
      </c>
      <c r="AI142" s="15">
        <f t="shared" si="64"/>
        <v>79437</v>
      </c>
      <c r="AJ142" s="15">
        <f t="shared" si="65"/>
        <v>14299</v>
      </c>
      <c r="AK142" s="10">
        <v>79437</v>
      </c>
      <c r="AL142" s="15">
        <f t="shared" si="66"/>
        <v>79437</v>
      </c>
      <c r="AM142" s="15">
        <f t="shared" si="67"/>
        <v>15435823</v>
      </c>
      <c r="AN142" s="15">
        <f t="shared" si="68"/>
        <v>1857065</v>
      </c>
      <c r="AO142" s="15">
        <f t="shared" si="73"/>
        <v>1936502</v>
      </c>
      <c r="AP142" s="17">
        <f t="shared" si="69"/>
        <v>17372325</v>
      </c>
      <c r="AQ142" s="15">
        <v>15152952</v>
      </c>
      <c r="AR142" s="15">
        <v>0</v>
      </c>
      <c r="AS142" s="18">
        <f t="shared" si="74"/>
        <v>2219373</v>
      </c>
      <c r="AT142" s="19">
        <v>0</v>
      </c>
      <c r="AU142" s="8">
        <v>8800</v>
      </c>
      <c r="AV142" s="13">
        <f t="shared" si="75"/>
        <v>2330152</v>
      </c>
      <c r="AW142" s="18">
        <f t="shared" si="76"/>
        <v>15435823</v>
      </c>
      <c r="AX142" s="15">
        <f t="shared" si="70"/>
        <v>15436000</v>
      </c>
      <c r="AY142" s="20">
        <v>0.05</v>
      </c>
      <c r="AZ142" s="13">
        <f t="shared" si="71"/>
        <v>771800</v>
      </c>
      <c r="BA142" s="15">
        <f t="shared" si="72"/>
        <v>771800</v>
      </c>
      <c r="BB142" s="21">
        <f t="shared" si="77"/>
        <v>2991173</v>
      </c>
      <c r="BC142" s="10">
        <f t="shared" si="78"/>
        <v>0</v>
      </c>
      <c r="BD142" s="10">
        <f t="shared" si="79"/>
        <v>0</v>
      </c>
      <c r="BE142" s="10">
        <v>58.44</v>
      </c>
      <c r="BF142" s="10">
        <v>24.6</v>
      </c>
      <c r="BG142" s="107">
        <v>46176</v>
      </c>
      <c r="BH142" s="107">
        <f t="shared" si="54"/>
        <v>46206</v>
      </c>
      <c r="BI142" s="23">
        <v>5</v>
      </c>
      <c r="BJ142" s="6"/>
      <c r="BK142" s="6"/>
      <c r="BL142" s="24">
        <f>VLOOKUP(A142,[2]Sheet1!$D$2:$H$933,5,0)</f>
        <v>0</v>
      </c>
      <c r="BM142" s="6" t="s">
        <v>3828</v>
      </c>
      <c r="BN142" s="6" t="s">
        <v>3829</v>
      </c>
      <c r="BO142" s="6" t="s">
        <v>3820</v>
      </c>
      <c r="BP142" s="6" t="s">
        <v>3821</v>
      </c>
      <c r="BQ142" s="6" t="s">
        <v>3830</v>
      </c>
      <c r="BR142" t="s">
        <v>3823</v>
      </c>
      <c r="BS142" t="s">
        <v>3824</v>
      </c>
      <c r="BT142" t="s">
        <v>3825</v>
      </c>
      <c r="BU142" t="s">
        <v>3826</v>
      </c>
      <c r="BV142" t="s">
        <v>3827</v>
      </c>
      <c r="BW142" t="s">
        <v>3835</v>
      </c>
      <c r="BX142">
        <v>0</v>
      </c>
      <c r="BY142" t="s">
        <v>3866</v>
      </c>
      <c r="BZ142" t="s">
        <v>3871</v>
      </c>
    </row>
    <row r="143" spans="1:78" x14ac:dyDescent="0.25">
      <c r="A143" s="7" t="s">
        <v>654</v>
      </c>
      <c r="B143" s="7" t="s">
        <v>181</v>
      </c>
      <c r="C143" s="7" t="s">
        <v>652</v>
      </c>
      <c r="D143" s="8" t="s">
        <v>653</v>
      </c>
      <c r="E143" s="7" t="s">
        <v>655</v>
      </c>
      <c r="F143" s="9">
        <v>44924</v>
      </c>
      <c r="G143" s="9" t="s">
        <v>527</v>
      </c>
      <c r="H143" s="9" t="s">
        <v>87</v>
      </c>
      <c r="I143" s="8" t="s">
        <v>67</v>
      </c>
      <c r="J143" s="10">
        <v>270.3</v>
      </c>
      <c r="K143" s="10">
        <v>270.3</v>
      </c>
      <c r="L143" s="10">
        <f t="shared" si="55"/>
        <v>0</v>
      </c>
      <c r="M143" s="10">
        <v>107.64</v>
      </c>
      <c r="N143" s="10">
        <v>107.64</v>
      </c>
      <c r="O143" s="10">
        <f t="shared" si="56"/>
        <v>0</v>
      </c>
      <c r="P143" s="11">
        <v>22436.000739918607</v>
      </c>
      <c r="Q143" s="11">
        <v>56340.124489037531</v>
      </c>
      <c r="R143" s="11">
        <v>40000</v>
      </c>
      <c r="S143" s="11">
        <v>6064451</v>
      </c>
      <c r="T143" s="11">
        <v>727734</v>
      </c>
      <c r="U143" s="12">
        <f t="shared" si="57"/>
        <v>0.11999998021255345</v>
      </c>
      <c r="V143" s="13">
        <f t="shared" si="80"/>
        <v>0</v>
      </c>
      <c r="W143" s="10">
        <f t="shared" si="58"/>
        <v>0</v>
      </c>
      <c r="X143" s="10"/>
      <c r="Y143" s="10"/>
      <c r="Z143" s="11">
        <f t="shared" si="59"/>
        <v>6064451</v>
      </c>
      <c r="AA143" s="14"/>
      <c r="AB143" s="14"/>
      <c r="AC143" s="11">
        <f t="shared" si="60"/>
        <v>6064451</v>
      </c>
      <c r="AD143" s="10">
        <f t="shared" si="61"/>
        <v>300</v>
      </c>
      <c r="AE143" s="15">
        <v>32292</v>
      </c>
      <c r="AF143" s="16">
        <v>5812</v>
      </c>
      <c r="AG143" s="15">
        <f t="shared" si="62"/>
        <v>0</v>
      </c>
      <c r="AH143" s="15">
        <f t="shared" si="63"/>
        <v>0</v>
      </c>
      <c r="AI143" s="15">
        <f t="shared" si="64"/>
        <v>32292</v>
      </c>
      <c r="AJ143" s="15">
        <f t="shared" si="65"/>
        <v>5813</v>
      </c>
      <c r="AK143" s="10">
        <v>32292</v>
      </c>
      <c r="AL143" s="15">
        <f t="shared" si="66"/>
        <v>32292</v>
      </c>
      <c r="AM143" s="15">
        <f t="shared" si="67"/>
        <v>6096743</v>
      </c>
      <c r="AN143" s="15">
        <f t="shared" si="68"/>
        <v>733547</v>
      </c>
      <c r="AO143" s="15">
        <f t="shared" si="73"/>
        <v>765839</v>
      </c>
      <c r="AP143" s="17">
        <f t="shared" si="69"/>
        <v>6862582</v>
      </c>
      <c r="AQ143" s="15">
        <v>6072097.1500000004</v>
      </c>
      <c r="AR143" s="15">
        <v>0</v>
      </c>
      <c r="AS143" s="18">
        <f t="shared" si="74"/>
        <v>790485</v>
      </c>
      <c r="AT143" s="19">
        <v>0</v>
      </c>
      <c r="AU143" s="8">
        <v>8800</v>
      </c>
      <c r="AV143" s="13">
        <f t="shared" si="75"/>
        <v>947232</v>
      </c>
      <c r="AW143" s="18">
        <f t="shared" si="76"/>
        <v>6096743</v>
      </c>
      <c r="AX143" s="15">
        <f t="shared" si="70"/>
        <v>6097000</v>
      </c>
      <c r="AY143" s="20">
        <v>7.0000000000000007E-2</v>
      </c>
      <c r="AZ143" s="13">
        <f t="shared" si="71"/>
        <v>426790.00000000006</v>
      </c>
      <c r="BA143" s="15">
        <f t="shared" si="72"/>
        <v>426800</v>
      </c>
      <c r="BB143" s="21">
        <f t="shared" si="77"/>
        <v>1217285</v>
      </c>
      <c r="BC143" s="10">
        <f t="shared" si="78"/>
        <v>0</v>
      </c>
      <c r="BD143" s="10">
        <f t="shared" si="79"/>
        <v>0</v>
      </c>
      <c r="BE143" s="10">
        <v>25.11</v>
      </c>
      <c r="BF143" s="10">
        <v>10</v>
      </c>
      <c r="BG143" s="107">
        <v>46176</v>
      </c>
      <c r="BH143" s="107">
        <f t="shared" si="54"/>
        <v>46206</v>
      </c>
      <c r="BI143" s="23">
        <v>7</v>
      </c>
      <c r="BJ143" s="6"/>
      <c r="BK143" s="6"/>
      <c r="BL143" s="24">
        <f>VLOOKUP(A143,[2]Sheet1!$D$2:$H$933,5,0)</f>
        <v>0</v>
      </c>
      <c r="BM143" s="6" t="s">
        <v>3828</v>
      </c>
      <c r="BN143" s="6" t="s">
        <v>3829</v>
      </c>
      <c r="BO143" s="6" t="s">
        <v>3820</v>
      </c>
      <c r="BP143" s="6" t="s">
        <v>3821</v>
      </c>
      <c r="BQ143" s="6" t="s">
        <v>3830</v>
      </c>
      <c r="BR143" t="s">
        <v>3823</v>
      </c>
      <c r="BS143" t="s">
        <v>3824</v>
      </c>
      <c r="BT143" t="s">
        <v>3825</v>
      </c>
      <c r="BU143" t="s">
        <v>3826</v>
      </c>
      <c r="BV143" t="s">
        <v>3827</v>
      </c>
      <c r="BW143" t="s">
        <v>3835</v>
      </c>
      <c r="BX143">
        <v>0</v>
      </c>
      <c r="BY143" t="s">
        <v>3867</v>
      </c>
      <c r="BZ143" t="s">
        <v>3871</v>
      </c>
    </row>
    <row r="144" spans="1:78" x14ac:dyDescent="0.25">
      <c r="A144" s="7" t="s">
        <v>658</v>
      </c>
      <c r="B144" s="7" t="s">
        <v>181</v>
      </c>
      <c r="C144" s="7" t="s">
        <v>656</v>
      </c>
      <c r="D144" s="8" t="s">
        <v>657</v>
      </c>
      <c r="E144" s="7" t="s">
        <v>659</v>
      </c>
      <c r="F144" s="9">
        <v>45035</v>
      </c>
      <c r="G144" s="9" t="s">
        <v>527</v>
      </c>
      <c r="H144" s="9" t="s">
        <v>87</v>
      </c>
      <c r="I144" s="8" t="s">
        <v>67</v>
      </c>
      <c r="J144" s="10">
        <v>281.06</v>
      </c>
      <c r="K144" s="10">
        <v>281.06</v>
      </c>
      <c r="L144" s="10">
        <f t="shared" si="55"/>
        <v>0</v>
      </c>
      <c r="M144" s="10">
        <v>114.1</v>
      </c>
      <c r="N144" s="10">
        <v>114.1</v>
      </c>
      <c r="O144" s="10">
        <f t="shared" si="56"/>
        <v>0</v>
      </c>
      <c r="P144" s="11">
        <v>17508.998078702058</v>
      </c>
      <c r="Q144" s="11">
        <v>43129.526730937774</v>
      </c>
      <c r="R144" s="11">
        <v>40000</v>
      </c>
      <c r="S144" s="11">
        <v>4921079</v>
      </c>
      <c r="T144" s="11">
        <v>590530</v>
      </c>
      <c r="U144" s="12">
        <f t="shared" si="57"/>
        <v>0.12000010566788299</v>
      </c>
      <c r="V144" s="13">
        <f t="shared" si="80"/>
        <v>0</v>
      </c>
      <c r="W144" s="10">
        <f t="shared" si="58"/>
        <v>0</v>
      </c>
      <c r="X144" s="10"/>
      <c r="Y144" s="10"/>
      <c r="Z144" s="11">
        <f t="shared" si="59"/>
        <v>4921079</v>
      </c>
      <c r="AA144" s="14"/>
      <c r="AB144" s="14"/>
      <c r="AC144" s="11">
        <f t="shared" si="60"/>
        <v>4921079</v>
      </c>
      <c r="AD144" s="10">
        <f t="shared" si="61"/>
        <v>300</v>
      </c>
      <c r="AE144" s="15">
        <v>34230</v>
      </c>
      <c r="AF144" s="16">
        <v>6162</v>
      </c>
      <c r="AG144" s="15">
        <f t="shared" si="62"/>
        <v>0</v>
      </c>
      <c r="AH144" s="15">
        <f t="shared" si="63"/>
        <v>0</v>
      </c>
      <c r="AI144" s="15">
        <f t="shared" si="64"/>
        <v>34230</v>
      </c>
      <c r="AJ144" s="15">
        <f t="shared" si="65"/>
        <v>6162</v>
      </c>
      <c r="AK144" s="10">
        <v>34230</v>
      </c>
      <c r="AL144" s="15">
        <f t="shared" si="66"/>
        <v>34230</v>
      </c>
      <c r="AM144" s="15">
        <f t="shared" si="67"/>
        <v>4955309</v>
      </c>
      <c r="AN144" s="15">
        <f t="shared" si="68"/>
        <v>596692</v>
      </c>
      <c r="AO144" s="15">
        <f t="shared" si="73"/>
        <v>630922</v>
      </c>
      <c r="AP144" s="17">
        <f t="shared" si="69"/>
        <v>5586231</v>
      </c>
      <c r="AQ144" s="15">
        <v>4960450</v>
      </c>
      <c r="AR144" s="15">
        <v>0</v>
      </c>
      <c r="AS144" s="18">
        <f t="shared" si="74"/>
        <v>625781</v>
      </c>
      <c r="AT144" s="19">
        <v>0</v>
      </c>
      <c r="AU144" s="8">
        <v>8800</v>
      </c>
      <c r="AV144" s="13">
        <f t="shared" si="75"/>
        <v>1004080</v>
      </c>
      <c r="AW144" s="18">
        <f t="shared" si="76"/>
        <v>4955309</v>
      </c>
      <c r="AX144" s="15">
        <f t="shared" si="70"/>
        <v>4956000</v>
      </c>
      <c r="AY144" s="20">
        <v>7.0000000000000007E-2</v>
      </c>
      <c r="AZ144" s="13">
        <f t="shared" si="71"/>
        <v>346920.00000000006</v>
      </c>
      <c r="BA144" s="15">
        <f t="shared" si="72"/>
        <v>347000</v>
      </c>
      <c r="BB144" s="21">
        <f t="shared" si="77"/>
        <v>972781</v>
      </c>
      <c r="BC144" s="10">
        <f t="shared" si="78"/>
        <v>0</v>
      </c>
      <c r="BD144" s="10">
        <f t="shared" si="79"/>
        <v>0</v>
      </c>
      <c r="BE144" s="10">
        <v>26.11</v>
      </c>
      <c r="BF144" s="10">
        <v>10.6</v>
      </c>
      <c r="BG144" s="107">
        <v>46176</v>
      </c>
      <c r="BH144" s="107">
        <f t="shared" si="54"/>
        <v>46206</v>
      </c>
      <c r="BI144" s="23">
        <v>7</v>
      </c>
      <c r="BJ144" s="6"/>
      <c r="BK144" s="6"/>
      <c r="BL144" s="24">
        <f>VLOOKUP(A144,[2]Sheet1!$D$2:$H$933,5,0)</f>
        <v>0</v>
      </c>
      <c r="BM144" s="6" t="s">
        <v>3828</v>
      </c>
      <c r="BN144" s="6" t="s">
        <v>3829</v>
      </c>
      <c r="BO144" s="6" t="s">
        <v>3820</v>
      </c>
      <c r="BP144" s="6" t="s">
        <v>3821</v>
      </c>
      <c r="BQ144" s="6" t="s">
        <v>3830</v>
      </c>
      <c r="BR144" t="s">
        <v>3823</v>
      </c>
      <c r="BS144" t="s">
        <v>3824</v>
      </c>
      <c r="BT144" t="s">
        <v>3825</v>
      </c>
      <c r="BU144" t="s">
        <v>3826</v>
      </c>
      <c r="BV144" t="s">
        <v>3827</v>
      </c>
      <c r="BW144" t="s">
        <v>3835</v>
      </c>
      <c r="BX144">
        <v>0</v>
      </c>
      <c r="BY144" t="s">
        <v>3862</v>
      </c>
      <c r="BZ144" t="s">
        <v>3871</v>
      </c>
    </row>
    <row r="145" spans="1:78" x14ac:dyDescent="0.25">
      <c r="A145" s="7" t="s">
        <v>662</v>
      </c>
      <c r="B145" s="7" t="s">
        <v>181</v>
      </c>
      <c r="C145" s="7" t="s">
        <v>660</v>
      </c>
      <c r="D145" s="8" t="s">
        <v>661</v>
      </c>
      <c r="E145" s="7" t="s">
        <v>663</v>
      </c>
      <c r="F145" s="9">
        <v>45003</v>
      </c>
      <c r="G145" s="9" t="s">
        <v>527</v>
      </c>
      <c r="H145" s="9" t="s">
        <v>87</v>
      </c>
      <c r="I145" s="8" t="s">
        <v>67</v>
      </c>
      <c r="J145" s="10">
        <v>240.4</v>
      </c>
      <c r="K145" s="10">
        <v>240.4</v>
      </c>
      <c r="L145" s="10">
        <f t="shared" si="55"/>
        <v>0</v>
      </c>
      <c r="M145" s="10">
        <v>85.57</v>
      </c>
      <c r="N145" s="10">
        <v>85.57</v>
      </c>
      <c r="O145" s="10">
        <f t="shared" si="56"/>
        <v>0</v>
      </c>
      <c r="P145" s="11">
        <v>18260.399334442594</v>
      </c>
      <c r="Q145" s="11">
        <v>51300.689493981539</v>
      </c>
      <c r="R145" s="11">
        <v>40000</v>
      </c>
      <c r="S145" s="11">
        <v>4389800</v>
      </c>
      <c r="T145" s="11">
        <v>526776</v>
      </c>
      <c r="U145" s="12">
        <f t="shared" si="57"/>
        <v>0.12</v>
      </c>
      <c r="V145" s="13">
        <f t="shared" si="80"/>
        <v>0</v>
      </c>
      <c r="W145" s="10">
        <f t="shared" si="58"/>
        <v>0</v>
      </c>
      <c r="X145" s="10"/>
      <c r="Y145" s="10"/>
      <c r="Z145" s="11">
        <f t="shared" si="59"/>
        <v>4389800</v>
      </c>
      <c r="AA145" s="14"/>
      <c r="AB145" s="14"/>
      <c r="AC145" s="11">
        <f t="shared" si="60"/>
        <v>4389800</v>
      </c>
      <c r="AD145" s="10">
        <f t="shared" si="61"/>
        <v>300</v>
      </c>
      <c r="AE145" s="15">
        <v>25671</v>
      </c>
      <c r="AF145" s="16">
        <v>4620</v>
      </c>
      <c r="AG145" s="15">
        <f t="shared" si="62"/>
        <v>0</v>
      </c>
      <c r="AH145" s="15">
        <f t="shared" si="63"/>
        <v>0</v>
      </c>
      <c r="AI145" s="15">
        <f t="shared" si="64"/>
        <v>25670.999999999996</v>
      </c>
      <c r="AJ145" s="15">
        <f t="shared" si="65"/>
        <v>4621</v>
      </c>
      <c r="AK145" s="10">
        <v>25671</v>
      </c>
      <c r="AL145" s="15">
        <f t="shared" si="66"/>
        <v>25670.999999999996</v>
      </c>
      <c r="AM145" s="15">
        <f t="shared" si="67"/>
        <v>4415471</v>
      </c>
      <c r="AN145" s="15">
        <f t="shared" si="68"/>
        <v>531397</v>
      </c>
      <c r="AO145" s="15">
        <f t="shared" si="73"/>
        <v>557068</v>
      </c>
      <c r="AP145" s="17">
        <f t="shared" si="69"/>
        <v>4972539</v>
      </c>
      <c r="AQ145" s="15">
        <v>4424918</v>
      </c>
      <c r="AR145" s="15">
        <v>0</v>
      </c>
      <c r="AS145" s="18">
        <f t="shared" si="74"/>
        <v>547621</v>
      </c>
      <c r="AT145" s="19">
        <v>0</v>
      </c>
      <c r="AU145" s="8">
        <v>8800</v>
      </c>
      <c r="AV145" s="13">
        <f t="shared" si="75"/>
        <v>753015.99999999988</v>
      </c>
      <c r="AW145" s="18">
        <f t="shared" si="76"/>
        <v>4415471</v>
      </c>
      <c r="AX145" s="15">
        <f t="shared" si="70"/>
        <v>4416000</v>
      </c>
      <c r="AY145" s="20">
        <v>7.0000000000000007E-2</v>
      </c>
      <c r="AZ145" s="13">
        <f t="shared" si="71"/>
        <v>309120.00000000006</v>
      </c>
      <c r="BA145" s="15">
        <f t="shared" si="72"/>
        <v>309200</v>
      </c>
      <c r="BB145" s="21">
        <f t="shared" si="77"/>
        <v>856821</v>
      </c>
      <c r="BC145" s="10">
        <f t="shared" si="78"/>
        <v>0</v>
      </c>
      <c r="BD145" s="10">
        <f t="shared" si="79"/>
        <v>0</v>
      </c>
      <c r="BE145" s="10">
        <v>22.33</v>
      </c>
      <c r="BF145" s="10">
        <v>7.95</v>
      </c>
      <c r="BG145" s="107">
        <v>46176</v>
      </c>
      <c r="BH145" s="107">
        <f t="shared" si="54"/>
        <v>46206</v>
      </c>
      <c r="BI145" s="23">
        <v>7</v>
      </c>
      <c r="BJ145" s="6"/>
      <c r="BK145" s="6"/>
      <c r="BL145" s="24">
        <f>VLOOKUP(A145,[2]Sheet1!$D$2:$H$933,5,0)</f>
        <v>0</v>
      </c>
      <c r="BM145" s="6" t="s">
        <v>3828</v>
      </c>
      <c r="BN145" s="6" t="s">
        <v>3829</v>
      </c>
      <c r="BO145" s="6" t="s">
        <v>3820</v>
      </c>
      <c r="BP145" s="6" t="s">
        <v>3821</v>
      </c>
      <c r="BQ145" s="6" t="s">
        <v>3830</v>
      </c>
      <c r="BR145" t="s">
        <v>3823</v>
      </c>
      <c r="BS145" t="s">
        <v>3824</v>
      </c>
      <c r="BT145" t="s">
        <v>3825</v>
      </c>
      <c r="BU145" t="s">
        <v>3826</v>
      </c>
      <c r="BV145" t="s">
        <v>3827</v>
      </c>
      <c r="BW145" t="s">
        <v>3835</v>
      </c>
      <c r="BX145">
        <v>0</v>
      </c>
      <c r="BY145" t="s">
        <v>3866</v>
      </c>
      <c r="BZ145" t="s">
        <v>3871</v>
      </c>
    </row>
    <row r="146" spans="1:78" x14ac:dyDescent="0.25">
      <c r="A146" s="7" t="s">
        <v>667</v>
      </c>
      <c r="B146" s="7" t="s">
        <v>181</v>
      </c>
      <c r="C146" s="7" t="s">
        <v>665</v>
      </c>
      <c r="D146" s="8" t="s">
        <v>666</v>
      </c>
      <c r="E146" s="7" t="s">
        <v>668</v>
      </c>
      <c r="F146" s="9">
        <v>45262</v>
      </c>
      <c r="G146" s="9" t="s">
        <v>527</v>
      </c>
      <c r="H146" s="9" t="s">
        <v>87</v>
      </c>
      <c r="I146" s="8" t="s">
        <v>67</v>
      </c>
      <c r="J146" s="10">
        <v>371.24</v>
      </c>
      <c r="K146" s="10">
        <v>371.24</v>
      </c>
      <c r="L146" s="10">
        <f t="shared" si="55"/>
        <v>0</v>
      </c>
      <c r="M146" s="10">
        <v>148.54</v>
      </c>
      <c r="N146" s="10">
        <v>148.54</v>
      </c>
      <c r="O146" s="10">
        <f t="shared" si="56"/>
        <v>0</v>
      </c>
      <c r="P146" s="11">
        <v>10999.997306324749</v>
      </c>
      <c r="Q146" s="11">
        <v>27491.847313854854</v>
      </c>
      <c r="R146" s="11">
        <v>40000</v>
      </c>
      <c r="S146" s="11">
        <v>4083639</v>
      </c>
      <c r="T146" s="11">
        <v>490038</v>
      </c>
      <c r="U146" s="12">
        <f t="shared" si="57"/>
        <v>0.12000032324110922</v>
      </c>
      <c r="V146" s="13">
        <f t="shared" si="80"/>
        <v>0</v>
      </c>
      <c r="W146" s="10">
        <f t="shared" si="58"/>
        <v>0</v>
      </c>
      <c r="X146" s="10"/>
      <c r="Y146" s="10"/>
      <c r="Z146" s="11">
        <f t="shared" si="59"/>
        <v>4083639</v>
      </c>
      <c r="AA146" s="14"/>
      <c r="AB146" s="14"/>
      <c r="AC146" s="11">
        <f t="shared" si="60"/>
        <v>4083639</v>
      </c>
      <c r="AD146" s="10">
        <f t="shared" si="61"/>
        <v>300</v>
      </c>
      <c r="AE146" s="15">
        <v>44562</v>
      </c>
      <c r="AF146" s="16">
        <v>8022</v>
      </c>
      <c r="AG146" s="15">
        <f t="shared" si="62"/>
        <v>0</v>
      </c>
      <c r="AH146" s="15">
        <f t="shared" si="63"/>
        <v>0</v>
      </c>
      <c r="AI146" s="15">
        <f t="shared" si="64"/>
        <v>44562</v>
      </c>
      <c r="AJ146" s="15">
        <f t="shared" si="65"/>
        <v>8022</v>
      </c>
      <c r="AK146" s="10">
        <v>44562</v>
      </c>
      <c r="AL146" s="15">
        <f t="shared" si="66"/>
        <v>44562</v>
      </c>
      <c r="AM146" s="15">
        <f t="shared" si="67"/>
        <v>4128201</v>
      </c>
      <c r="AN146" s="15">
        <f t="shared" si="68"/>
        <v>498060</v>
      </c>
      <c r="AO146" s="15">
        <f t="shared" si="73"/>
        <v>542622</v>
      </c>
      <c r="AP146" s="17">
        <f t="shared" si="69"/>
        <v>4670823</v>
      </c>
      <c r="AQ146" s="15">
        <v>4158942</v>
      </c>
      <c r="AR146" s="15">
        <v>0</v>
      </c>
      <c r="AS146" s="18">
        <f t="shared" si="74"/>
        <v>511881</v>
      </c>
      <c r="AT146" s="19">
        <v>0</v>
      </c>
      <c r="AU146" s="8">
        <v>8800</v>
      </c>
      <c r="AV146" s="13">
        <f t="shared" si="75"/>
        <v>1307152</v>
      </c>
      <c r="AW146" s="18">
        <f t="shared" si="76"/>
        <v>4128201</v>
      </c>
      <c r="AX146" s="15">
        <f t="shared" si="70"/>
        <v>4129000</v>
      </c>
      <c r="AY146" s="20">
        <v>0.05</v>
      </c>
      <c r="AZ146" s="13">
        <f t="shared" si="71"/>
        <v>206450</v>
      </c>
      <c r="BA146" s="15">
        <f t="shared" si="72"/>
        <v>206500</v>
      </c>
      <c r="BB146" s="21">
        <f t="shared" si="77"/>
        <v>718381</v>
      </c>
      <c r="BC146" s="10">
        <f t="shared" si="78"/>
        <v>0</v>
      </c>
      <c r="BD146" s="10">
        <f t="shared" si="79"/>
        <v>0</v>
      </c>
      <c r="BE146" s="10">
        <v>34.49</v>
      </c>
      <c r="BF146" s="10">
        <v>13.8</v>
      </c>
      <c r="BG146" s="107">
        <v>46176</v>
      </c>
      <c r="BH146" s="107">
        <f t="shared" si="54"/>
        <v>46206</v>
      </c>
      <c r="BI146" s="23">
        <v>5</v>
      </c>
      <c r="BJ146" s="6"/>
      <c r="BK146" s="6"/>
      <c r="BL146" s="24">
        <f>VLOOKUP(A146,[2]Sheet1!$D$2:$H$933,5,0)</f>
        <v>0</v>
      </c>
      <c r="BM146" s="6" t="s">
        <v>3828</v>
      </c>
      <c r="BN146" s="6" t="s">
        <v>3829</v>
      </c>
      <c r="BO146" s="6" t="s">
        <v>3820</v>
      </c>
      <c r="BP146" s="6" t="s">
        <v>3821</v>
      </c>
      <c r="BQ146" s="6" t="s">
        <v>3830</v>
      </c>
      <c r="BR146" t="s">
        <v>3823</v>
      </c>
      <c r="BS146" t="s">
        <v>3824</v>
      </c>
      <c r="BT146" t="s">
        <v>3825</v>
      </c>
      <c r="BU146" t="s">
        <v>3826</v>
      </c>
      <c r="BV146" t="s">
        <v>3827</v>
      </c>
      <c r="BW146" t="s">
        <v>3835</v>
      </c>
      <c r="BX146">
        <v>0</v>
      </c>
      <c r="BY146" t="s">
        <v>3869</v>
      </c>
      <c r="BZ146" t="s">
        <v>3871</v>
      </c>
    </row>
    <row r="147" spans="1:78" x14ac:dyDescent="0.25">
      <c r="A147" s="7" t="s">
        <v>671</v>
      </c>
      <c r="B147" s="7" t="s">
        <v>181</v>
      </c>
      <c r="C147" s="7" t="s">
        <v>669</v>
      </c>
      <c r="D147" s="8" t="s">
        <v>670</v>
      </c>
      <c r="E147" s="7" t="s">
        <v>672</v>
      </c>
      <c r="F147" s="9">
        <v>45163</v>
      </c>
      <c r="G147" s="9" t="s">
        <v>527</v>
      </c>
      <c r="H147" s="9" t="s">
        <v>87</v>
      </c>
      <c r="I147" s="8" t="s">
        <v>67</v>
      </c>
      <c r="J147" s="10">
        <v>388.7</v>
      </c>
      <c r="K147" s="10">
        <v>388.7</v>
      </c>
      <c r="L147" s="10">
        <f t="shared" si="55"/>
        <v>0</v>
      </c>
      <c r="M147" s="10">
        <v>156.08000000000001</v>
      </c>
      <c r="N147" s="10">
        <v>156.08000000000001</v>
      </c>
      <c r="O147" s="10">
        <f t="shared" si="56"/>
        <v>0</v>
      </c>
      <c r="P147" s="11">
        <v>11577.000257267817</v>
      </c>
      <c r="Q147" s="11">
        <v>28831.240389543822</v>
      </c>
      <c r="R147" s="11">
        <v>40000</v>
      </c>
      <c r="S147" s="11">
        <v>4499980</v>
      </c>
      <c r="T147" s="11">
        <v>539998</v>
      </c>
      <c r="U147" s="12">
        <f t="shared" si="57"/>
        <v>0.12000008888928396</v>
      </c>
      <c r="V147" s="13">
        <f t="shared" si="80"/>
        <v>0</v>
      </c>
      <c r="W147" s="10">
        <f t="shared" si="58"/>
        <v>0</v>
      </c>
      <c r="X147" s="10"/>
      <c r="Y147" s="10"/>
      <c r="Z147" s="11">
        <f t="shared" si="59"/>
        <v>4499980</v>
      </c>
      <c r="AA147" s="14"/>
      <c r="AB147" s="14"/>
      <c r="AC147" s="11">
        <f t="shared" si="60"/>
        <v>4499980</v>
      </c>
      <c r="AD147" s="10">
        <f t="shared" si="61"/>
        <v>300</v>
      </c>
      <c r="AE147" s="15">
        <v>46824</v>
      </c>
      <c r="AF147" s="16">
        <v>8428</v>
      </c>
      <c r="AG147" s="15">
        <f t="shared" si="62"/>
        <v>0</v>
      </c>
      <c r="AH147" s="15">
        <f t="shared" si="63"/>
        <v>0</v>
      </c>
      <c r="AI147" s="15">
        <f t="shared" si="64"/>
        <v>46824.000000000007</v>
      </c>
      <c r="AJ147" s="15">
        <f t="shared" si="65"/>
        <v>8429</v>
      </c>
      <c r="AK147" s="10">
        <v>46824</v>
      </c>
      <c r="AL147" s="15">
        <f t="shared" si="66"/>
        <v>46824.000000000007</v>
      </c>
      <c r="AM147" s="15">
        <f t="shared" si="67"/>
        <v>4546804</v>
      </c>
      <c r="AN147" s="15">
        <f t="shared" si="68"/>
        <v>548427</v>
      </c>
      <c r="AO147" s="15">
        <f t="shared" si="73"/>
        <v>595251</v>
      </c>
      <c r="AP147" s="17">
        <f t="shared" si="69"/>
        <v>5142055</v>
      </c>
      <c r="AQ147" s="15">
        <v>4088000.76</v>
      </c>
      <c r="AR147" s="15">
        <v>0</v>
      </c>
      <c r="AS147" s="18">
        <f t="shared" si="74"/>
        <v>1054054</v>
      </c>
      <c r="AT147" s="19">
        <v>0</v>
      </c>
      <c r="AU147" s="8">
        <v>8800</v>
      </c>
      <c r="AV147" s="13">
        <f t="shared" si="75"/>
        <v>1373504</v>
      </c>
      <c r="AW147" s="18">
        <f t="shared" si="76"/>
        <v>4546804</v>
      </c>
      <c r="AX147" s="15">
        <f t="shared" si="70"/>
        <v>4547000</v>
      </c>
      <c r="AY147" s="20">
        <v>7.0000000000000007E-2</v>
      </c>
      <c r="AZ147" s="13">
        <f t="shared" si="71"/>
        <v>318290.00000000006</v>
      </c>
      <c r="BA147" s="15">
        <f t="shared" si="72"/>
        <v>318300</v>
      </c>
      <c r="BB147" s="21">
        <f t="shared" si="77"/>
        <v>1372354</v>
      </c>
      <c r="BC147" s="10">
        <f t="shared" si="78"/>
        <v>0</v>
      </c>
      <c r="BD147" s="10">
        <f t="shared" si="79"/>
        <v>0</v>
      </c>
      <c r="BE147" s="10">
        <v>36.11</v>
      </c>
      <c r="BF147" s="10">
        <v>14.5</v>
      </c>
      <c r="BG147" s="107">
        <v>46176</v>
      </c>
      <c r="BH147" s="107">
        <f t="shared" si="54"/>
        <v>46206</v>
      </c>
      <c r="BI147" s="23">
        <v>7</v>
      </c>
      <c r="BJ147" s="6"/>
      <c r="BK147" s="6"/>
      <c r="BL147" s="24">
        <f>VLOOKUP(A147,[2]Sheet1!$D$2:$H$933,5,0)</f>
        <v>0</v>
      </c>
      <c r="BM147" s="6" t="s">
        <v>3828</v>
      </c>
      <c r="BN147" s="6" t="s">
        <v>3829</v>
      </c>
      <c r="BO147" s="6" t="s">
        <v>3820</v>
      </c>
      <c r="BP147" s="6" t="s">
        <v>3821</v>
      </c>
      <c r="BQ147" s="6" t="s">
        <v>3830</v>
      </c>
      <c r="BR147" t="s">
        <v>3823</v>
      </c>
      <c r="BS147" t="s">
        <v>3824</v>
      </c>
      <c r="BT147" t="s">
        <v>3825</v>
      </c>
      <c r="BU147" t="s">
        <v>3826</v>
      </c>
      <c r="BV147" t="s">
        <v>3827</v>
      </c>
      <c r="BW147" t="s">
        <v>3835</v>
      </c>
      <c r="BX147">
        <v>0</v>
      </c>
      <c r="BY147" t="s">
        <v>3869</v>
      </c>
      <c r="BZ147" t="s">
        <v>3871</v>
      </c>
    </row>
    <row r="148" spans="1:78" x14ac:dyDescent="0.25">
      <c r="A148" s="7" t="s">
        <v>675</v>
      </c>
      <c r="B148" s="7" t="s">
        <v>181</v>
      </c>
      <c r="C148" s="7" t="s">
        <v>673</v>
      </c>
      <c r="D148" s="8" t="s">
        <v>674</v>
      </c>
      <c r="E148" s="7" t="s">
        <v>676</v>
      </c>
      <c r="F148" s="9">
        <v>45183</v>
      </c>
      <c r="G148" s="9" t="s">
        <v>527</v>
      </c>
      <c r="H148" s="9" t="s">
        <v>87</v>
      </c>
      <c r="I148" s="8" t="s">
        <v>67</v>
      </c>
      <c r="J148" s="10">
        <v>388.7</v>
      </c>
      <c r="K148" s="10">
        <v>388.7</v>
      </c>
      <c r="L148" s="10">
        <f t="shared" si="55"/>
        <v>0</v>
      </c>
      <c r="M148" s="10">
        <v>156.08000000000001</v>
      </c>
      <c r="N148" s="10">
        <v>156.08000000000001</v>
      </c>
      <c r="O148" s="10">
        <f t="shared" si="56"/>
        <v>0</v>
      </c>
      <c r="P148" s="11">
        <v>10000.002572678159</v>
      </c>
      <c r="Q148" s="11">
        <v>24903.901845207583</v>
      </c>
      <c r="R148" s="11">
        <v>40000</v>
      </c>
      <c r="S148" s="11">
        <v>3887001</v>
      </c>
      <c r="T148" s="11">
        <v>466440</v>
      </c>
      <c r="U148" s="12">
        <f t="shared" si="57"/>
        <v>0.11999996912787005</v>
      </c>
      <c r="V148" s="13">
        <f t="shared" si="80"/>
        <v>0</v>
      </c>
      <c r="W148" s="10">
        <f t="shared" si="58"/>
        <v>0</v>
      </c>
      <c r="X148" s="10"/>
      <c r="Y148" s="10"/>
      <c r="Z148" s="11">
        <f t="shared" si="59"/>
        <v>3887001</v>
      </c>
      <c r="AA148" s="14"/>
      <c r="AB148" s="14"/>
      <c r="AC148" s="11">
        <f t="shared" si="60"/>
        <v>3887001</v>
      </c>
      <c r="AD148" s="10">
        <f t="shared" si="61"/>
        <v>300</v>
      </c>
      <c r="AE148" s="15">
        <v>46824</v>
      </c>
      <c r="AF148" s="16">
        <v>8428</v>
      </c>
      <c r="AG148" s="15">
        <f t="shared" si="62"/>
        <v>0</v>
      </c>
      <c r="AH148" s="15">
        <f t="shared" si="63"/>
        <v>0</v>
      </c>
      <c r="AI148" s="15">
        <f t="shared" si="64"/>
        <v>46824.000000000007</v>
      </c>
      <c r="AJ148" s="15">
        <f t="shared" si="65"/>
        <v>8429</v>
      </c>
      <c r="AK148" s="10">
        <v>46824</v>
      </c>
      <c r="AL148" s="15">
        <f t="shared" si="66"/>
        <v>46824.000000000007</v>
      </c>
      <c r="AM148" s="15">
        <f t="shared" si="67"/>
        <v>3933825</v>
      </c>
      <c r="AN148" s="15">
        <f t="shared" si="68"/>
        <v>474869</v>
      </c>
      <c r="AO148" s="15">
        <f t="shared" si="73"/>
        <v>521693</v>
      </c>
      <c r="AP148" s="17">
        <f t="shared" si="69"/>
        <v>4455518</v>
      </c>
      <c r="AQ148" s="15">
        <v>3607491</v>
      </c>
      <c r="AR148" s="15">
        <v>0</v>
      </c>
      <c r="AS148" s="18">
        <f t="shared" si="74"/>
        <v>848027</v>
      </c>
      <c r="AT148" s="19">
        <v>0</v>
      </c>
      <c r="AU148" s="8">
        <v>8800</v>
      </c>
      <c r="AV148" s="13">
        <f t="shared" si="75"/>
        <v>1373504</v>
      </c>
      <c r="AW148" s="18">
        <f t="shared" si="76"/>
        <v>3933825</v>
      </c>
      <c r="AX148" s="15">
        <f t="shared" si="70"/>
        <v>3934000</v>
      </c>
      <c r="AY148" s="20">
        <v>0.05</v>
      </c>
      <c r="AZ148" s="13">
        <f t="shared" si="71"/>
        <v>196700</v>
      </c>
      <c r="BA148" s="15">
        <f t="shared" si="72"/>
        <v>196700</v>
      </c>
      <c r="BB148" s="21">
        <f t="shared" si="77"/>
        <v>1044727</v>
      </c>
      <c r="BC148" s="10">
        <f t="shared" si="78"/>
        <v>0</v>
      </c>
      <c r="BD148" s="10">
        <f t="shared" si="79"/>
        <v>0</v>
      </c>
      <c r="BE148" s="10">
        <v>36.11</v>
      </c>
      <c r="BF148" s="10">
        <v>14.5</v>
      </c>
      <c r="BG148" s="107">
        <v>46176</v>
      </c>
      <c r="BH148" s="107">
        <f t="shared" si="54"/>
        <v>46206</v>
      </c>
      <c r="BI148" s="23">
        <v>5</v>
      </c>
      <c r="BJ148" s="6"/>
      <c r="BK148" s="6"/>
      <c r="BL148" s="24">
        <f>VLOOKUP(A148,[2]Sheet1!$D$2:$H$933,5,0)</f>
        <v>0</v>
      </c>
      <c r="BM148" s="6" t="s">
        <v>3828</v>
      </c>
      <c r="BN148" s="6" t="s">
        <v>3829</v>
      </c>
      <c r="BO148" s="6" t="s">
        <v>3820</v>
      </c>
      <c r="BP148" s="6" t="s">
        <v>3821</v>
      </c>
      <c r="BQ148" s="6" t="s">
        <v>3830</v>
      </c>
      <c r="BR148" t="s">
        <v>3823</v>
      </c>
      <c r="BS148" t="s">
        <v>3824</v>
      </c>
      <c r="BT148" t="s">
        <v>3825</v>
      </c>
      <c r="BU148" t="s">
        <v>3826</v>
      </c>
      <c r="BV148" t="s">
        <v>3827</v>
      </c>
      <c r="BW148" t="s">
        <v>3835</v>
      </c>
      <c r="BX148">
        <v>0</v>
      </c>
      <c r="BY148" t="s">
        <v>3867</v>
      </c>
      <c r="BZ148" t="s">
        <v>3871</v>
      </c>
    </row>
    <row r="149" spans="1:78" x14ac:dyDescent="0.25">
      <c r="A149" s="7" t="s">
        <v>679</v>
      </c>
      <c r="B149" s="7" t="s">
        <v>181</v>
      </c>
      <c r="C149" s="7" t="s">
        <v>677</v>
      </c>
      <c r="D149" s="8" t="s">
        <v>678</v>
      </c>
      <c r="E149" s="7" t="s">
        <v>680</v>
      </c>
      <c r="F149" s="9">
        <v>44988</v>
      </c>
      <c r="G149" s="9" t="s">
        <v>527</v>
      </c>
      <c r="H149" s="9" t="s">
        <v>92</v>
      </c>
      <c r="I149" s="8" t="s">
        <v>78</v>
      </c>
      <c r="J149" s="10">
        <v>813.76</v>
      </c>
      <c r="K149" s="10">
        <v>813.76</v>
      </c>
      <c r="L149" s="10">
        <f t="shared" si="55"/>
        <v>0</v>
      </c>
      <c r="M149" s="10">
        <v>380.51</v>
      </c>
      <c r="N149" s="10">
        <v>380.51</v>
      </c>
      <c r="O149" s="10">
        <f t="shared" si="56"/>
        <v>0</v>
      </c>
      <c r="P149" s="11">
        <v>26000</v>
      </c>
      <c r="Q149" s="11">
        <v>55603.689784762559</v>
      </c>
      <c r="R149" s="11">
        <v>28000</v>
      </c>
      <c r="S149" s="11">
        <v>21157760</v>
      </c>
      <c r="T149" s="11">
        <v>2538932</v>
      </c>
      <c r="U149" s="12">
        <f t="shared" si="57"/>
        <v>0.12000003781118607</v>
      </c>
      <c r="V149" s="13">
        <f t="shared" si="80"/>
        <v>0</v>
      </c>
      <c r="W149" s="10">
        <f t="shared" si="58"/>
        <v>0</v>
      </c>
      <c r="X149" s="10"/>
      <c r="Y149" s="10"/>
      <c r="Z149" s="11">
        <f t="shared" si="59"/>
        <v>21157760</v>
      </c>
      <c r="AA149" s="14">
        <v>3034695</v>
      </c>
      <c r="AB149" s="14">
        <v>364164</v>
      </c>
      <c r="AC149" s="11">
        <f t="shared" si="60"/>
        <v>18123065</v>
      </c>
      <c r="AD149" s="10">
        <f t="shared" si="61"/>
        <v>300</v>
      </c>
      <c r="AE149" s="15">
        <v>114153</v>
      </c>
      <c r="AF149" s="16">
        <v>20548</v>
      </c>
      <c r="AG149" s="15">
        <f t="shared" si="62"/>
        <v>0</v>
      </c>
      <c r="AH149" s="15">
        <f t="shared" si="63"/>
        <v>0</v>
      </c>
      <c r="AI149" s="15">
        <f t="shared" si="64"/>
        <v>114153</v>
      </c>
      <c r="AJ149" s="15">
        <f t="shared" si="65"/>
        <v>20548</v>
      </c>
      <c r="AK149" s="10">
        <v>114153</v>
      </c>
      <c r="AL149" s="15">
        <f t="shared" si="66"/>
        <v>114153</v>
      </c>
      <c r="AM149" s="15">
        <f t="shared" si="67"/>
        <v>18237218</v>
      </c>
      <c r="AN149" s="15">
        <f t="shared" si="68"/>
        <v>2195316</v>
      </c>
      <c r="AO149" s="15">
        <f t="shared" si="73"/>
        <v>2309469</v>
      </c>
      <c r="AP149" s="17">
        <f t="shared" si="69"/>
        <v>20546687</v>
      </c>
      <c r="AQ149" s="15">
        <v>17795846</v>
      </c>
      <c r="AR149" s="15">
        <v>0</v>
      </c>
      <c r="AS149" s="18">
        <f t="shared" si="74"/>
        <v>2750841</v>
      </c>
      <c r="AT149" s="19">
        <v>0</v>
      </c>
      <c r="AU149" s="8">
        <v>8800</v>
      </c>
      <c r="AV149" s="13">
        <f t="shared" si="75"/>
        <v>3348488</v>
      </c>
      <c r="AW149" s="18">
        <f t="shared" si="76"/>
        <v>18237218</v>
      </c>
      <c r="AX149" s="15">
        <f t="shared" si="70"/>
        <v>18238000</v>
      </c>
      <c r="AY149" s="20">
        <v>0.05</v>
      </c>
      <c r="AZ149" s="13">
        <f t="shared" si="71"/>
        <v>911900</v>
      </c>
      <c r="BA149" s="15">
        <f t="shared" si="72"/>
        <v>911900</v>
      </c>
      <c r="BB149" s="21">
        <f t="shared" si="77"/>
        <v>3662741</v>
      </c>
      <c r="BC149" s="10">
        <f t="shared" si="78"/>
        <v>0</v>
      </c>
      <c r="BD149" s="10">
        <f t="shared" si="79"/>
        <v>0</v>
      </c>
      <c r="BE149" s="10">
        <v>75.599999999999994</v>
      </c>
      <c r="BF149" s="10">
        <v>35.35</v>
      </c>
      <c r="BG149" s="107">
        <v>46176</v>
      </c>
      <c r="BH149" s="107">
        <f t="shared" si="54"/>
        <v>46206</v>
      </c>
      <c r="BI149" s="23">
        <v>5</v>
      </c>
      <c r="BJ149" s="6"/>
      <c r="BK149" s="6"/>
      <c r="BL149" s="24">
        <f>VLOOKUP(A149,[2]Sheet1!$D$2:$H$933,5,0)</f>
        <v>0</v>
      </c>
      <c r="BM149" s="6" t="s">
        <v>3828</v>
      </c>
      <c r="BN149" s="6" t="s">
        <v>3829</v>
      </c>
      <c r="BO149" s="6" t="s">
        <v>3820</v>
      </c>
      <c r="BP149" s="6" t="s">
        <v>3821</v>
      </c>
      <c r="BQ149" s="6" t="s">
        <v>3830</v>
      </c>
      <c r="BR149" t="s">
        <v>3823</v>
      </c>
      <c r="BS149" t="s">
        <v>3824</v>
      </c>
      <c r="BT149" t="s">
        <v>3825</v>
      </c>
      <c r="BU149" t="s">
        <v>3826</v>
      </c>
      <c r="BV149" t="s">
        <v>3827</v>
      </c>
      <c r="BW149" t="s">
        <v>3835</v>
      </c>
      <c r="BX149">
        <v>0</v>
      </c>
      <c r="BY149" t="s">
        <v>3867</v>
      </c>
      <c r="BZ149" t="s">
        <v>3871</v>
      </c>
    </row>
    <row r="150" spans="1:78" x14ac:dyDescent="0.25">
      <c r="A150" s="7" t="s">
        <v>683</v>
      </c>
      <c r="B150" s="7" t="s">
        <v>181</v>
      </c>
      <c r="C150" s="7" t="s">
        <v>681</v>
      </c>
      <c r="D150" s="8" t="s">
        <v>682</v>
      </c>
      <c r="E150" s="7" t="s">
        <v>684</v>
      </c>
      <c r="F150" s="9">
        <v>44970</v>
      </c>
      <c r="G150" s="9" t="s">
        <v>527</v>
      </c>
      <c r="H150" s="9" t="s">
        <v>92</v>
      </c>
      <c r="I150" s="8" t="s">
        <v>78</v>
      </c>
      <c r="J150" s="10">
        <v>792.23</v>
      </c>
      <c r="K150" s="10">
        <v>792.23</v>
      </c>
      <c r="L150" s="10">
        <f t="shared" si="55"/>
        <v>0</v>
      </c>
      <c r="M150" s="10">
        <v>370.28</v>
      </c>
      <c r="N150" s="10">
        <v>370.28</v>
      </c>
      <c r="O150" s="10">
        <f t="shared" si="56"/>
        <v>0</v>
      </c>
      <c r="P150" s="11">
        <v>16569.417972053569</v>
      </c>
      <c r="Q150" s="11">
        <v>35450.983039861727</v>
      </c>
      <c r="R150" s="11">
        <v>28000</v>
      </c>
      <c r="S150" s="11">
        <v>13126790</v>
      </c>
      <c r="T150" s="11">
        <v>1575214</v>
      </c>
      <c r="U150" s="12">
        <f t="shared" si="57"/>
        <v>0.11999993905593066</v>
      </c>
      <c r="V150" s="13">
        <f t="shared" si="80"/>
        <v>0</v>
      </c>
      <c r="W150" s="10">
        <f t="shared" si="58"/>
        <v>0</v>
      </c>
      <c r="X150" s="10"/>
      <c r="Y150" s="10"/>
      <c r="Z150" s="11">
        <f t="shared" si="59"/>
        <v>13126790</v>
      </c>
      <c r="AA150" s="14"/>
      <c r="AB150" s="14"/>
      <c r="AC150" s="11">
        <f t="shared" si="60"/>
        <v>13126790</v>
      </c>
      <c r="AD150" s="10">
        <f t="shared" si="61"/>
        <v>300</v>
      </c>
      <c r="AE150" s="15">
        <v>111084</v>
      </c>
      <c r="AF150" s="16">
        <v>19996</v>
      </c>
      <c r="AG150" s="15">
        <f t="shared" si="62"/>
        <v>0</v>
      </c>
      <c r="AH150" s="15">
        <f t="shared" si="63"/>
        <v>0</v>
      </c>
      <c r="AI150" s="15">
        <f t="shared" si="64"/>
        <v>111083.99999999999</v>
      </c>
      <c r="AJ150" s="15">
        <f t="shared" si="65"/>
        <v>19996</v>
      </c>
      <c r="AK150" s="10">
        <v>111084</v>
      </c>
      <c r="AL150" s="15">
        <f t="shared" si="66"/>
        <v>111083.99999999999</v>
      </c>
      <c r="AM150" s="15">
        <f t="shared" si="67"/>
        <v>13237874</v>
      </c>
      <c r="AN150" s="15">
        <f t="shared" si="68"/>
        <v>1595210</v>
      </c>
      <c r="AO150" s="15">
        <f t="shared" si="73"/>
        <v>1706294</v>
      </c>
      <c r="AP150" s="17">
        <f t="shared" si="69"/>
        <v>14944168</v>
      </c>
      <c r="AQ150" s="15">
        <v>12674912.83</v>
      </c>
      <c r="AR150" s="15">
        <v>0</v>
      </c>
      <c r="AS150" s="18">
        <f t="shared" si="74"/>
        <v>2269255</v>
      </c>
      <c r="AT150" s="19">
        <v>0</v>
      </c>
      <c r="AU150" s="8">
        <v>8800</v>
      </c>
      <c r="AV150" s="13">
        <f t="shared" si="75"/>
        <v>3258463.9999999995</v>
      </c>
      <c r="AW150" s="18">
        <f t="shared" si="76"/>
        <v>13237874</v>
      </c>
      <c r="AX150" s="15">
        <f t="shared" si="70"/>
        <v>13238000</v>
      </c>
      <c r="AY150" s="20">
        <v>7.0000000000000007E-2</v>
      </c>
      <c r="AZ150" s="13">
        <f t="shared" si="71"/>
        <v>926660.00000000012</v>
      </c>
      <c r="BA150" s="15">
        <f t="shared" si="72"/>
        <v>926700</v>
      </c>
      <c r="BB150" s="21">
        <f t="shared" si="77"/>
        <v>3195955</v>
      </c>
      <c r="BC150" s="10">
        <f t="shared" si="78"/>
        <v>0</v>
      </c>
      <c r="BD150" s="10">
        <f t="shared" si="79"/>
        <v>0</v>
      </c>
      <c r="BE150" s="10">
        <v>73.599999999999994</v>
      </c>
      <c r="BF150" s="10">
        <v>34.4</v>
      </c>
      <c r="BG150" s="107">
        <v>46176</v>
      </c>
      <c r="BH150" s="107">
        <f t="shared" si="54"/>
        <v>46206</v>
      </c>
      <c r="BI150" s="23">
        <v>7</v>
      </c>
      <c r="BJ150" s="6"/>
      <c r="BK150" s="6"/>
      <c r="BL150" s="24">
        <f>VLOOKUP(A150,[2]Sheet1!$D$2:$H$933,5,0)</f>
        <v>0</v>
      </c>
      <c r="BM150" s="6" t="s">
        <v>3828</v>
      </c>
      <c r="BN150" s="6" t="s">
        <v>3829</v>
      </c>
      <c r="BO150" s="6" t="s">
        <v>3820</v>
      </c>
      <c r="BP150" s="6" t="s">
        <v>3821</v>
      </c>
      <c r="BQ150" s="6" t="s">
        <v>3830</v>
      </c>
      <c r="BR150" t="s">
        <v>3823</v>
      </c>
      <c r="BS150" t="s">
        <v>3824</v>
      </c>
      <c r="BT150" t="s">
        <v>3825</v>
      </c>
      <c r="BU150" t="s">
        <v>3826</v>
      </c>
      <c r="BV150" t="s">
        <v>3827</v>
      </c>
      <c r="BW150" t="s">
        <v>3835</v>
      </c>
      <c r="BX150">
        <v>0</v>
      </c>
      <c r="BY150" t="s">
        <v>3867</v>
      </c>
      <c r="BZ150" t="s">
        <v>3871</v>
      </c>
    </row>
    <row r="151" spans="1:78" x14ac:dyDescent="0.25">
      <c r="A151" s="7" t="s">
        <v>687</v>
      </c>
      <c r="B151" s="7" t="s">
        <v>181</v>
      </c>
      <c r="C151" s="7" t="s">
        <v>685</v>
      </c>
      <c r="D151" s="8" t="s">
        <v>686</v>
      </c>
      <c r="E151" s="7" t="s">
        <v>688</v>
      </c>
      <c r="F151" s="9">
        <v>44958</v>
      </c>
      <c r="G151" s="9" t="s">
        <v>527</v>
      </c>
      <c r="H151" s="9" t="s">
        <v>92</v>
      </c>
      <c r="I151" s="8" t="s">
        <v>67</v>
      </c>
      <c r="J151" s="10">
        <v>321.72000000000003</v>
      </c>
      <c r="K151" s="10">
        <v>321.72000000000003</v>
      </c>
      <c r="L151" s="10">
        <f t="shared" si="55"/>
        <v>0</v>
      </c>
      <c r="M151" s="10">
        <v>127.02</v>
      </c>
      <c r="N151" s="10">
        <v>127.02</v>
      </c>
      <c r="O151" s="10">
        <f t="shared" si="56"/>
        <v>0</v>
      </c>
      <c r="P151" s="11">
        <v>11149.999999999998</v>
      </c>
      <c r="Q151" s="11">
        <v>28241.048653755315</v>
      </c>
      <c r="R151" s="11">
        <v>28000</v>
      </c>
      <c r="S151" s="11">
        <v>3587178</v>
      </c>
      <c r="T151" s="11">
        <v>430462</v>
      </c>
      <c r="U151" s="12">
        <f t="shared" si="57"/>
        <v>0.12000017841322622</v>
      </c>
      <c r="V151" s="13">
        <f t="shared" si="80"/>
        <v>0</v>
      </c>
      <c r="W151" s="10">
        <f t="shared" si="58"/>
        <v>0</v>
      </c>
      <c r="X151" s="10"/>
      <c r="Y151" s="10"/>
      <c r="Z151" s="11">
        <f t="shared" si="59"/>
        <v>3587178</v>
      </c>
      <c r="AA151" s="14"/>
      <c r="AB151" s="14"/>
      <c r="AC151" s="11">
        <f t="shared" si="60"/>
        <v>3587178</v>
      </c>
      <c r="AD151" s="10">
        <f t="shared" si="61"/>
        <v>300</v>
      </c>
      <c r="AE151" s="15">
        <v>38106</v>
      </c>
      <c r="AF151" s="16">
        <v>6860</v>
      </c>
      <c r="AG151" s="15">
        <f t="shared" si="62"/>
        <v>0</v>
      </c>
      <c r="AH151" s="15">
        <f t="shared" si="63"/>
        <v>0</v>
      </c>
      <c r="AI151" s="15">
        <f t="shared" si="64"/>
        <v>38106</v>
      </c>
      <c r="AJ151" s="15">
        <f t="shared" si="65"/>
        <v>6860</v>
      </c>
      <c r="AK151" s="10">
        <v>38106</v>
      </c>
      <c r="AL151" s="15">
        <f t="shared" si="66"/>
        <v>38106</v>
      </c>
      <c r="AM151" s="15">
        <f t="shared" si="67"/>
        <v>3625284</v>
      </c>
      <c r="AN151" s="15">
        <f t="shared" si="68"/>
        <v>437322</v>
      </c>
      <c r="AO151" s="15">
        <f t="shared" si="73"/>
        <v>475428</v>
      </c>
      <c r="AP151" s="17">
        <f t="shared" si="69"/>
        <v>4100712</v>
      </c>
      <c r="AQ151" s="15">
        <v>3615876</v>
      </c>
      <c r="AR151" s="15">
        <v>0</v>
      </c>
      <c r="AS151" s="18">
        <f t="shared" si="74"/>
        <v>484836</v>
      </c>
      <c r="AT151" s="19">
        <v>0</v>
      </c>
      <c r="AU151" s="8">
        <v>8800</v>
      </c>
      <c r="AV151" s="13">
        <f t="shared" si="75"/>
        <v>1117776</v>
      </c>
      <c r="AW151" s="18">
        <f t="shared" si="76"/>
        <v>3625284</v>
      </c>
      <c r="AX151" s="15">
        <f t="shared" si="70"/>
        <v>3626000</v>
      </c>
      <c r="AY151" s="20">
        <v>0.05</v>
      </c>
      <c r="AZ151" s="13">
        <f t="shared" si="71"/>
        <v>181300</v>
      </c>
      <c r="BA151" s="15">
        <f t="shared" si="72"/>
        <v>181300</v>
      </c>
      <c r="BB151" s="21">
        <f t="shared" si="77"/>
        <v>666136</v>
      </c>
      <c r="BC151" s="10">
        <f t="shared" si="78"/>
        <v>0</v>
      </c>
      <c r="BD151" s="10">
        <f t="shared" si="79"/>
        <v>0</v>
      </c>
      <c r="BE151" s="10">
        <v>29.89</v>
      </c>
      <c r="BF151" s="10">
        <v>11.8</v>
      </c>
      <c r="BG151" s="107">
        <v>46176</v>
      </c>
      <c r="BH151" s="107">
        <f t="shared" si="54"/>
        <v>46206</v>
      </c>
      <c r="BI151" s="23">
        <v>5</v>
      </c>
      <c r="BJ151" s="6"/>
      <c r="BK151" s="6"/>
      <c r="BL151" s="24">
        <f>VLOOKUP(A151,[2]Sheet1!$D$2:$H$933,5,0)</f>
        <v>0</v>
      </c>
      <c r="BM151" s="6" t="s">
        <v>3828</v>
      </c>
      <c r="BN151" s="6" t="s">
        <v>3829</v>
      </c>
      <c r="BO151" s="6" t="s">
        <v>3820</v>
      </c>
      <c r="BP151" s="6" t="s">
        <v>3821</v>
      </c>
      <c r="BQ151" s="6" t="s">
        <v>3830</v>
      </c>
      <c r="BR151" t="s">
        <v>3823</v>
      </c>
      <c r="BS151" t="s">
        <v>3824</v>
      </c>
      <c r="BT151" t="s">
        <v>3825</v>
      </c>
      <c r="BU151" t="s">
        <v>3826</v>
      </c>
      <c r="BV151" t="s">
        <v>3827</v>
      </c>
      <c r="BW151" t="s">
        <v>3835</v>
      </c>
      <c r="BX151">
        <v>0</v>
      </c>
      <c r="BY151" t="s">
        <v>3867</v>
      </c>
      <c r="BZ151" t="s">
        <v>3871</v>
      </c>
    </row>
    <row r="152" spans="1:78" x14ac:dyDescent="0.25">
      <c r="A152" s="7" t="s">
        <v>691</v>
      </c>
      <c r="B152" s="7" t="s">
        <v>181</v>
      </c>
      <c r="C152" s="7" t="s">
        <v>689</v>
      </c>
      <c r="D152" s="8" t="s">
        <v>690</v>
      </c>
      <c r="E152" s="7" t="s">
        <v>692</v>
      </c>
      <c r="F152" s="9">
        <v>44930</v>
      </c>
      <c r="G152" s="9" t="s">
        <v>527</v>
      </c>
      <c r="H152" s="9" t="s">
        <v>92</v>
      </c>
      <c r="I152" s="8" t="s">
        <v>67</v>
      </c>
      <c r="J152" s="10">
        <v>224.85</v>
      </c>
      <c r="K152" s="10">
        <v>224.85</v>
      </c>
      <c r="L152" s="10">
        <f t="shared" si="55"/>
        <v>0</v>
      </c>
      <c r="M152" s="10">
        <v>89.34</v>
      </c>
      <c r="N152" s="10">
        <v>89.34</v>
      </c>
      <c r="O152" s="10">
        <f t="shared" si="56"/>
        <v>0</v>
      </c>
      <c r="P152" s="11">
        <v>20234.952190349122</v>
      </c>
      <c r="Q152" s="11">
        <v>50927.121110364897</v>
      </c>
      <c r="R152" s="11">
        <v>28000</v>
      </c>
      <c r="S152" s="11">
        <v>4549829</v>
      </c>
      <c r="T152" s="11">
        <v>545980</v>
      </c>
      <c r="U152" s="12">
        <f t="shared" si="57"/>
        <v>0.12000011429000958</v>
      </c>
      <c r="V152" s="13">
        <f t="shared" si="80"/>
        <v>0</v>
      </c>
      <c r="W152" s="10">
        <f t="shared" si="58"/>
        <v>0</v>
      </c>
      <c r="X152" s="10"/>
      <c r="Y152" s="10"/>
      <c r="Z152" s="11">
        <f t="shared" si="59"/>
        <v>4549829</v>
      </c>
      <c r="AA152" s="14">
        <v>1200270</v>
      </c>
      <c r="AB152" s="14">
        <v>144032</v>
      </c>
      <c r="AC152" s="11">
        <f t="shared" si="60"/>
        <v>3349559</v>
      </c>
      <c r="AD152" s="10">
        <f t="shared" si="61"/>
        <v>300</v>
      </c>
      <c r="AE152" s="15">
        <v>26802</v>
      </c>
      <c r="AF152" s="16">
        <v>4824</v>
      </c>
      <c r="AG152" s="15">
        <f t="shared" si="62"/>
        <v>0</v>
      </c>
      <c r="AH152" s="15">
        <f t="shared" si="63"/>
        <v>0</v>
      </c>
      <c r="AI152" s="15">
        <f t="shared" si="64"/>
        <v>26802</v>
      </c>
      <c r="AJ152" s="15">
        <f t="shared" si="65"/>
        <v>4825</v>
      </c>
      <c r="AK152" s="10">
        <v>26802</v>
      </c>
      <c r="AL152" s="15">
        <f t="shared" si="66"/>
        <v>26802</v>
      </c>
      <c r="AM152" s="15">
        <f t="shared" si="67"/>
        <v>3376361</v>
      </c>
      <c r="AN152" s="15">
        <f t="shared" si="68"/>
        <v>406773</v>
      </c>
      <c r="AO152" s="15">
        <f t="shared" si="73"/>
        <v>433575</v>
      </c>
      <c r="AP152" s="17">
        <f t="shared" si="69"/>
        <v>3809936</v>
      </c>
      <c r="AQ152" s="15">
        <v>3241927.04</v>
      </c>
      <c r="AR152" s="15">
        <v>0</v>
      </c>
      <c r="AS152" s="18">
        <f t="shared" si="74"/>
        <v>568009</v>
      </c>
      <c r="AT152" s="19">
        <v>0</v>
      </c>
      <c r="AU152" s="8">
        <v>8800</v>
      </c>
      <c r="AV152" s="13">
        <f t="shared" si="75"/>
        <v>786192</v>
      </c>
      <c r="AW152" s="18">
        <f t="shared" si="76"/>
        <v>3376361</v>
      </c>
      <c r="AX152" s="15">
        <f t="shared" si="70"/>
        <v>3377000</v>
      </c>
      <c r="AY152" s="20">
        <v>0.05</v>
      </c>
      <c r="AZ152" s="13">
        <f t="shared" si="71"/>
        <v>168850</v>
      </c>
      <c r="BA152" s="15">
        <f t="shared" si="72"/>
        <v>168900</v>
      </c>
      <c r="BB152" s="21">
        <f t="shared" si="77"/>
        <v>736909</v>
      </c>
      <c r="BC152" s="10">
        <f t="shared" si="78"/>
        <v>0</v>
      </c>
      <c r="BD152" s="10">
        <f t="shared" si="79"/>
        <v>0</v>
      </c>
      <c r="BE152" s="10">
        <v>20.89</v>
      </c>
      <c r="BF152" s="10">
        <v>8.3000000000000007</v>
      </c>
      <c r="BG152" s="107">
        <v>46176</v>
      </c>
      <c r="BH152" s="107">
        <f t="shared" si="54"/>
        <v>46206</v>
      </c>
      <c r="BI152" s="23">
        <v>5</v>
      </c>
      <c r="BJ152" s="6"/>
      <c r="BK152" s="6"/>
      <c r="BL152" s="24">
        <f>VLOOKUP(A152,[2]Sheet1!$D$2:$H$933,5,0)</f>
        <v>0</v>
      </c>
      <c r="BM152" s="6" t="s">
        <v>3828</v>
      </c>
      <c r="BN152" s="6" t="s">
        <v>3829</v>
      </c>
      <c r="BO152" s="6" t="s">
        <v>3820</v>
      </c>
      <c r="BP152" s="6" t="s">
        <v>3821</v>
      </c>
      <c r="BQ152" s="6" t="s">
        <v>3830</v>
      </c>
      <c r="BR152" t="s">
        <v>3823</v>
      </c>
      <c r="BS152" t="s">
        <v>3824</v>
      </c>
      <c r="BT152" t="s">
        <v>3825</v>
      </c>
      <c r="BU152" t="s">
        <v>3826</v>
      </c>
      <c r="BV152" t="s">
        <v>3827</v>
      </c>
      <c r="BW152" t="s">
        <v>3835</v>
      </c>
      <c r="BX152">
        <v>0</v>
      </c>
      <c r="BY152" t="s">
        <v>3867</v>
      </c>
      <c r="BZ152" t="s">
        <v>3871</v>
      </c>
    </row>
    <row r="153" spans="1:78" x14ac:dyDescent="0.25">
      <c r="A153" s="7" t="s">
        <v>695</v>
      </c>
      <c r="B153" s="7" t="s">
        <v>181</v>
      </c>
      <c r="C153" s="7" t="s">
        <v>693</v>
      </c>
      <c r="D153" s="8" t="s">
        <v>694</v>
      </c>
      <c r="E153" s="7" t="s">
        <v>696</v>
      </c>
      <c r="F153" s="9">
        <v>44989</v>
      </c>
      <c r="G153" s="9" t="s">
        <v>527</v>
      </c>
      <c r="H153" s="9" t="s">
        <v>92</v>
      </c>
      <c r="I153" s="8" t="s">
        <v>67</v>
      </c>
      <c r="J153" s="10">
        <v>224.85</v>
      </c>
      <c r="K153" s="10">
        <v>224.85</v>
      </c>
      <c r="L153" s="10">
        <f t="shared" si="55"/>
        <v>0</v>
      </c>
      <c r="M153" s="10">
        <v>89.34</v>
      </c>
      <c r="N153" s="10">
        <v>89.34</v>
      </c>
      <c r="O153" s="10">
        <f t="shared" si="56"/>
        <v>0</v>
      </c>
      <c r="P153" s="11">
        <v>21096.997998665778</v>
      </c>
      <c r="Q153" s="11">
        <v>53096.709200805904</v>
      </c>
      <c r="R153" s="11">
        <v>28000</v>
      </c>
      <c r="S153" s="11">
        <v>4743660</v>
      </c>
      <c r="T153" s="11">
        <v>569240</v>
      </c>
      <c r="U153" s="12">
        <f t="shared" si="57"/>
        <v>0.12000016864615086</v>
      </c>
      <c r="V153" s="13">
        <f t="shared" si="80"/>
        <v>0</v>
      </c>
      <c r="W153" s="10">
        <f t="shared" si="58"/>
        <v>0</v>
      </c>
      <c r="X153" s="10"/>
      <c r="Y153" s="10"/>
      <c r="Z153" s="11">
        <f t="shared" si="59"/>
        <v>4743660</v>
      </c>
      <c r="AA153" s="14"/>
      <c r="AB153" s="14"/>
      <c r="AC153" s="11">
        <f t="shared" si="60"/>
        <v>4743660</v>
      </c>
      <c r="AD153" s="10">
        <f t="shared" si="61"/>
        <v>300</v>
      </c>
      <c r="AE153" s="15">
        <v>26802</v>
      </c>
      <c r="AF153" s="16">
        <v>4824</v>
      </c>
      <c r="AG153" s="15">
        <f t="shared" si="62"/>
        <v>0</v>
      </c>
      <c r="AH153" s="15">
        <f t="shared" si="63"/>
        <v>0</v>
      </c>
      <c r="AI153" s="15">
        <f t="shared" si="64"/>
        <v>26802</v>
      </c>
      <c r="AJ153" s="15">
        <f t="shared" si="65"/>
        <v>4825</v>
      </c>
      <c r="AK153" s="10">
        <v>26802</v>
      </c>
      <c r="AL153" s="15">
        <f t="shared" si="66"/>
        <v>26802</v>
      </c>
      <c r="AM153" s="15">
        <f t="shared" si="67"/>
        <v>4770462</v>
      </c>
      <c r="AN153" s="15">
        <f t="shared" si="68"/>
        <v>574065</v>
      </c>
      <c r="AO153" s="15">
        <f t="shared" si="73"/>
        <v>600867</v>
      </c>
      <c r="AP153" s="17">
        <f t="shared" si="69"/>
        <v>5371329</v>
      </c>
      <c r="AQ153" s="15">
        <v>4702333</v>
      </c>
      <c r="AR153" s="15">
        <v>0</v>
      </c>
      <c r="AS153" s="18">
        <f t="shared" si="74"/>
        <v>668996</v>
      </c>
      <c r="AT153" s="19">
        <v>0</v>
      </c>
      <c r="AU153" s="8">
        <v>8800</v>
      </c>
      <c r="AV153" s="13">
        <f t="shared" si="75"/>
        <v>786192</v>
      </c>
      <c r="AW153" s="18">
        <f t="shared" si="76"/>
        <v>4770462</v>
      </c>
      <c r="AX153" s="15">
        <f t="shared" si="70"/>
        <v>4771000</v>
      </c>
      <c r="AY153" s="20">
        <v>0.05</v>
      </c>
      <c r="AZ153" s="13">
        <f t="shared" si="71"/>
        <v>238550</v>
      </c>
      <c r="BA153" s="15">
        <f t="shared" si="72"/>
        <v>238600</v>
      </c>
      <c r="BB153" s="21">
        <f t="shared" si="77"/>
        <v>907596</v>
      </c>
      <c r="BC153" s="10">
        <f t="shared" si="78"/>
        <v>0</v>
      </c>
      <c r="BD153" s="10">
        <f t="shared" si="79"/>
        <v>0</v>
      </c>
      <c r="BE153" s="10">
        <v>20.89</v>
      </c>
      <c r="BF153" s="10">
        <v>8.3000000000000007</v>
      </c>
      <c r="BG153" s="107">
        <v>46176</v>
      </c>
      <c r="BH153" s="107">
        <f t="shared" si="54"/>
        <v>46206</v>
      </c>
      <c r="BI153" s="23">
        <v>5</v>
      </c>
      <c r="BJ153" s="6"/>
      <c r="BK153" s="6"/>
      <c r="BL153" s="24">
        <f>VLOOKUP(A153,[2]Sheet1!$D$2:$H$933,5,0)</f>
        <v>0</v>
      </c>
      <c r="BM153" s="6" t="s">
        <v>3828</v>
      </c>
      <c r="BN153" s="6" t="s">
        <v>3829</v>
      </c>
      <c r="BO153" s="6" t="s">
        <v>3820</v>
      </c>
      <c r="BP153" s="6" t="s">
        <v>3821</v>
      </c>
      <c r="BQ153" s="6" t="s">
        <v>3830</v>
      </c>
      <c r="BR153" t="s">
        <v>3823</v>
      </c>
      <c r="BS153" t="s">
        <v>3824</v>
      </c>
      <c r="BT153" t="s">
        <v>3825</v>
      </c>
      <c r="BU153" t="s">
        <v>3826</v>
      </c>
      <c r="BV153" t="s">
        <v>3827</v>
      </c>
      <c r="BW153" t="s">
        <v>3835</v>
      </c>
      <c r="BX153">
        <v>0</v>
      </c>
      <c r="BY153" t="s">
        <v>3867</v>
      </c>
      <c r="BZ153" t="s">
        <v>3871</v>
      </c>
    </row>
    <row r="154" spans="1:78" x14ac:dyDescent="0.25">
      <c r="A154" s="7" t="s">
        <v>699</v>
      </c>
      <c r="B154" s="7" t="s">
        <v>181</v>
      </c>
      <c r="C154" s="7" t="s">
        <v>697</v>
      </c>
      <c r="D154" s="8" t="s">
        <v>698</v>
      </c>
      <c r="E154" s="7" t="s">
        <v>700</v>
      </c>
      <c r="F154" s="9">
        <v>45048</v>
      </c>
      <c r="G154" s="9" t="s">
        <v>527</v>
      </c>
      <c r="H154" s="9" t="s">
        <v>92</v>
      </c>
      <c r="I154" s="8" t="s">
        <v>67</v>
      </c>
      <c r="J154" s="10">
        <v>270.3</v>
      </c>
      <c r="K154" s="10">
        <v>270.3</v>
      </c>
      <c r="L154" s="10">
        <f t="shared" si="55"/>
        <v>0</v>
      </c>
      <c r="M154" s="10">
        <v>107.64</v>
      </c>
      <c r="N154" s="10">
        <v>107.64</v>
      </c>
      <c r="O154" s="10">
        <f t="shared" si="56"/>
        <v>0</v>
      </c>
      <c r="P154" s="11">
        <v>17130</v>
      </c>
      <c r="Q154" s="11">
        <v>43015.96989966555</v>
      </c>
      <c r="R154" s="11">
        <v>28000</v>
      </c>
      <c r="S154" s="11">
        <v>4630239</v>
      </c>
      <c r="T154" s="11">
        <v>555630</v>
      </c>
      <c r="U154" s="12">
        <f t="shared" si="57"/>
        <v>0.1200002850824763</v>
      </c>
      <c r="V154" s="13">
        <f t="shared" si="80"/>
        <v>0</v>
      </c>
      <c r="W154" s="10">
        <f t="shared" si="58"/>
        <v>0</v>
      </c>
      <c r="X154" s="10"/>
      <c r="Y154" s="10"/>
      <c r="Z154" s="11">
        <f t="shared" si="59"/>
        <v>4630239</v>
      </c>
      <c r="AA154" s="14">
        <v>194121</v>
      </c>
      <c r="AB154" s="14">
        <v>23294</v>
      </c>
      <c r="AC154" s="11">
        <f t="shared" si="60"/>
        <v>4436118</v>
      </c>
      <c r="AD154" s="10">
        <f t="shared" si="61"/>
        <v>300</v>
      </c>
      <c r="AE154" s="15">
        <v>32292</v>
      </c>
      <c r="AF154" s="16">
        <v>5812</v>
      </c>
      <c r="AG154" s="15">
        <f t="shared" si="62"/>
        <v>0</v>
      </c>
      <c r="AH154" s="15">
        <f t="shared" si="63"/>
        <v>0</v>
      </c>
      <c r="AI154" s="15">
        <f t="shared" si="64"/>
        <v>32292</v>
      </c>
      <c r="AJ154" s="15">
        <f t="shared" si="65"/>
        <v>5813</v>
      </c>
      <c r="AK154" s="10">
        <v>32292</v>
      </c>
      <c r="AL154" s="15">
        <f t="shared" si="66"/>
        <v>32292</v>
      </c>
      <c r="AM154" s="15">
        <f t="shared" si="67"/>
        <v>4468410</v>
      </c>
      <c r="AN154" s="15">
        <f t="shared" si="68"/>
        <v>538149</v>
      </c>
      <c r="AO154" s="15">
        <f t="shared" si="73"/>
        <v>570441</v>
      </c>
      <c r="AP154" s="17">
        <f t="shared" si="69"/>
        <v>5038851</v>
      </c>
      <c r="AQ154" s="15">
        <v>4449869.0999999996</v>
      </c>
      <c r="AR154" s="15">
        <v>0</v>
      </c>
      <c r="AS154" s="18">
        <f t="shared" si="74"/>
        <v>588982</v>
      </c>
      <c r="AT154" s="19">
        <v>0</v>
      </c>
      <c r="AU154" s="8">
        <v>8800</v>
      </c>
      <c r="AV154" s="13">
        <f t="shared" si="75"/>
        <v>947232</v>
      </c>
      <c r="AW154" s="18">
        <f t="shared" si="76"/>
        <v>4468410</v>
      </c>
      <c r="AX154" s="15">
        <f t="shared" si="70"/>
        <v>4469000</v>
      </c>
      <c r="AY154" s="20">
        <v>0.05</v>
      </c>
      <c r="AZ154" s="13">
        <f t="shared" si="71"/>
        <v>223450</v>
      </c>
      <c r="BA154" s="15">
        <f t="shared" si="72"/>
        <v>223500</v>
      </c>
      <c r="BB154" s="21">
        <f t="shared" si="77"/>
        <v>812482</v>
      </c>
      <c r="BC154" s="10">
        <f t="shared" si="78"/>
        <v>0</v>
      </c>
      <c r="BD154" s="10">
        <f t="shared" si="79"/>
        <v>0</v>
      </c>
      <c r="BE154" s="10">
        <v>25.11</v>
      </c>
      <c r="BF154" s="10">
        <v>10</v>
      </c>
      <c r="BG154" s="107">
        <v>46176</v>
      </c>
      <c r="BH154" s="107">
        <f t="shared" si="54"/>
        <v>46206</v>
      </c>
      <c r="BI154" s="23">
        <v>5</v>
      </c>
      <c r="BJ154" s="6"/>
      <c r="BK154" s="6"/>
      <c r="BL154" s="24">
        <f>VLOOKUP(A154,[2]Sheet1!$D$2:$H$933,5,0)</f>
        <v>0</v>
      </c>
      <c r="BM154" s="6" t="s">
        <v>3828</v>
      </c>
      <c r="BN154" s="6" t="s">
        <v>3829</v>
      </c>
      <c r="BO154" s="6" t="s">
        <v>3820</v>
      </c>
      <c r="BP154" s="6" t="s">
        <v>3821</v>
      </c>
      <c r="BQ154" s="6" t="s">
        <v>3830</v>
      </c>
      <c r="BR154" t="s">
        <v>3823</v>
      </c>
      <c r="BS154" t="s">
        <v>3824</v>
      </c>
      <c r="BT154" t="s">
        <v>3825</v>
      </c>
      <c r="BU154" t="s">
        <v>3826</v>
      </c>
      <c r="BV154" t="s">
        <v>3827</v>
      </c>
      <c r="BW154" t="s">
        <v>3835</v>
      </c>
      <c r="BX154">
        <v>0</v>
      </c>
      <c r="BY154" t="s">
        <v>3862</v>
      </c>
      <c r="BZ154" t="s">
        <v>3871</v>
      </c>
    </row>
    <row r="155" spans="1:78" x14ac:dyDescent="0.25">
      <c r="A155" s="7" t="s">
        <v>703</v>
      </c>
      <c r="B155" s="7" t="s">
        <v>181</v>
      </c>
      <c r="C155" s="7" t="s">
        <v>701</v>
      </c>
      <c r="D155" s="8" t="s">
        <v>702</v>
      </c>
      <c r="E155" s="7" t="s">
        <v>704</v>
      </c>
      <c r="F155" s="9">
        <v>45008</v>
      </c>
      <c r="G155" s="9" t="s">
        <v>527</v>
      </c>
      <c r="H155" s="9" t="s">
        <v>92</v>
      </c>
      <c r="I155" s="8" t="s">
        <v>67</v>
      </c>
      <c r="J155" s="10">
        <v>281.06</v>
      </c>
      <c r="K155" s="10">
        <v>281.06</v>
      </c>
      <c r="L155" s="10">
        <f t="shared" si="55"/>
        <v>0</v>
      </c>
      <c r="M155" s="10">
        <v>114.1</v>
      </c>
      <c r="N155" s="10">
        <v>114.1</v>
      </c>
      <c r="O155" s="10">
        <f t="shared" si="56"/>
        <v>0</v>
      </c>
      <c r="P155" s="11">
        <v>17147.97907920017</v>
      </c>
      <c r="Q155" s="11">
        <v>42240.236634531117</v>
      </c>
      <c r="R155" s="11">
        <v>28000</v>
      </c>
      <c r="S155" s="11">
        <v>4819611</v>
      </c>
      <c r="T155" s="11">
        <v>578354</v>
      </c>
      <c r="U155" s="12">
        <f t="shared" si="57"/>
        <v>0.12000014109022492</v>
      </c>
      <c r="V155" s="13">
        <f t="shared" si="80"/>
        <v>0</v>
      </c>
      <c r="W155" s="10">
        <f t="shared" si="58"/>
        <v>0</v>
      </c>
      <c r="X155" s="10"/>
      <c r="Y155" s="10"/>
      <c r="Z155" s="11">
        <f t="shared" si="59"/>
        <v>4819611</v>
      </c>
      <c r="AA155" s="14">
        <v>342894</v>
      </c>
      <c r="AB155" s="14">
        <v>41148</v>
      </c>
      <c r="AC155" s="11">
        <f t="shared" si="60"/>
        <v>4476717</v>
      </c>
      <c r="AD155" s="10">
        <f t="shared" si="61"/>
        <v>300</v>
      </c>
      <c r="AE155" s="15">
        <v>34230</v>
      </c>
      <c r="AF155" s="16">
        <v>6162</v>
      </c>
      <c r="AG155" s="15">
        <f t="shared" si="62"/>
        <v>0</v>
      </c>
      <c r="AH155" s="15">
        <f t="shared" si="63"/>
        <v>0</v>
      </c>
      <c r="AI155" s="15">
        <f t="shared" si="64"/>
        <v>34230</v>
      </c>
      <c r="AJ155" s="15">
        <f t="shared" si="65"/>
        <v>6162</v>
      </c>
      <c r="AK155" s="10">
        <v>34230</v>
      </c>
      <c r="AL155" s="15">
        <f t="shared" si="66"/>
        <v>34230</v>
      </c>
      <c r="AM155" s="15">
        <f t="shared" si="67"/>
        <v>4510947</v>
      </c>
      <c r="AN155" s="15">
        <f t="shared" si="68"/>
        <v>543368</v>
      </c>
      <c r="AO155" s="15">
        <f t="shared" si="73"/>
        <v>577598</v>
      </c>
      <c r="AP155" s="17">
        <f t="shared" si="69"/>
        <v>5088545</v>
      </c>
      <c r="AQ155" s="15">
        <v>4474126.0999999996</v>
      </c>
      <c r="AR155" s="15">
        <v>0</v>
      </c>
      <c r="AS155" s="18">
        <f t="shared" si="74"/>
        <v>614419</v>
      </c>
      <c r="AT155" s="19">
        <v>0</v>
      </c>
      <c r="AU155" s="8">
        <v>8800</v>
      </c>
      <c r="AV155" s="13">
        <f t="shared" si="75"/>
        <v>1004080</v>
      </c>
      <c r="AW155" s="18">
        <f t="shared" si="76"/>
        <v>4510947</v>
      </c>
      <c r="AX155" s="15">
        <f t="shared" si="70"/>
        <v>4511000</v>
      </c>
      <c r="AY155" s="20">
        <v>0.05</v>
      </c>
      <c r="AZ155" s="13">
        <f t="shared" si="71"/>
        <v>225550</v>
      </c>
      <c r="BA155" s="15">
        <f t="shared" si="72"/>
        <v>225600</v>
      </c>
      <c r="BB155" s="21">
        <f t="shared" si="77"/>
        <v>840019</v>
      </c>
      <c r="BC155" s="10">
        <f t="shared" si="78"/>
        <v>0</v>
      </c>
      <c r="BD155" s="10">
        <f t="shared" si="79"/>
        <v>0</v>
      </c>
      <c r="BE155" s="10">
        <v>26.11</v>
      </c>
      <c r="BF155" s="10">
        <v>10.6</v>
      </c>
      <c r="BG155" s="107">
        <v>46176</v>
      </c>
      <c r="BH155" s="107">
        <f t="shared" ref="BH155:BH168" si="81">BG155+30</f>
        <v>46206</v>
      </c>
      <c r="BI155" s="23">
        <v>5</v>
      </c>
      <c r="BJ155" s="6"/>
      <c r="BK155" s="6"/>
      <c r="BL155" s="24">
        <f>VLOOKUP(A155,[2]Sheet1!$D$2:$H$933,5,0)</f>
        <v>0</v>
      </c>
      <c r="BM155" s="6" t="s">
        <v>3828</v>
      </c>
      <c r="BN155" s="6" t="s">
        <v>3829</v>
      </c>
      <c r="BO155" s="6" t="s">
        <v>3820</v>
      </c>
      <c r="BP155" s="6" t="s">
        <v>3821</v>
      </c>
      <c r="BQ155" s="6" t="s">
        <v>3830</v>
      </c>
      <c r="BR155" t="s">
        <v>3823</v>
      </c>
      <c r="BS155" t="s">
        <v>3824</v>
      </c>
      <c r="BT155" t="s">
        <v>3825</v>
      </c>
      <c r="BU155" t="s">
        <v>3826</v>
      </c>
      <c r="BV155" t="s">
        <v>3827</v>
      </c>
      <c r="BW155" t="s">
        <v>3835</v>
      </c>
      <c r="BX155">
        <v>0</v>
      </c>
      <c r="BY155" t="s">
        <v>3866</v>
      </c>
      <c r="BZ155" t="s">
        <v>3871</v>
      </c>
    </row>
    <row r="156" spans="1:78" x14ac:dyDescent="0.25">
      <c r="A156" s="7" t="s">
        <v>707</v>
      </c>
      <c r="B156" s="7" t="s">
        <v>181</v>
      </c>
      <c r="C156" s="7" t="s">
        <v>705</v>
      </c>
      <c r="D156" s="8" t="s">
        <v>706</v>
      </c>
      <c r="E156" s="7" t="s">
        <v>708</v>
      </c>
      <c r="F156" s="9">
        <v>44958</v>
      </c>
      <c r="G156" s="9" t="s">
        <v>527</v>
      </c>
      <c r="H156" s="9" t="s">
        <v>92</v>
      </c>
      <c r="I156" s="8" t="s">
        <v>67</v>
      </c>
      <c r="J156" s="10">
        <v>224.85</v>
      </c>
      <c r="K156" s="10">
        <v>224.85</v>
      </c>
      <c r="L156" s="10">
        <f t="shared" si="55"/>
        <v>0</v>
      </c>
      <c r="M156" s="10">
        <v>89.34</v>
      </c>
      <c r="N156" s="10">
        <v>89.34</v>
      </c>
      <c r="O156" s="10">
        <f t="shared" si="56"/>
        <v>0</v>
      </c>
      <c r="P156" s="11">
        <v>22006.248610184568</v>
      </c>
      <c r="Q156" s="11">
        <v>55385.101858070288</v>
      </c>
      <c r="R156" s="11">
        <v>28000</v>
      </c>
      <c r="S156" s="11">
        <v>4948105</v>
      </c>
      <c r="T156" s="11">
        <v>593774</v>
      </c>
      <c r="U156" s="12">
        <f t="shared" si="57"/>
        <v>0.12000028293659896</v>
      </c>
      <c r="V156" s="13">
        <f t="shared" si="80"/>
        <v>0</v>
      </c>
      <c r="W156" s="10">
        <f t="shared" si="58"/>
        <v>0</v>
      </c>
      <c r="X156" s="10"/>
      <c r="Y156" s="10"/>
      <c r="Z156" s="11">
        <f t="shared" si="59"/>
        <v>4948105</v>
      </c>
      <c r="AA156" s="14">
        <v>522461</v>
      </c>
      <c r="AB156" s="14">
        <v>62696</v>
      </c>
      <c r="AC156" s="11">
        <f t="shared" si="60"/>
        <v>4425644</v>
      </c>
      <c r="AD156" s="10">
        <f t="shared" si="61"/>
        <v>300</v>
      </c>
      <c r="AE156" s="15">
        <v>26802</v>
      </c>
      <c r="AF156" s="16">
        <v>4824</v>
      </c>
      <c r="AG156" s="15">
        <f t="shared" si="62"/>
        <v>0</v>
      </c>
      <c r="AH156" s="15">
        <f t="shared" si="63"/>
        <v>0</v>
      </c>
      <c r="AI156" s="15">
        <f t="shared" si="64"/>
        <v>26802</v>
      </c>
      <c r="AJ156" s="15">
        <f t="shared" si="65"/>
        <v>4825</v>
      </c>
      <c r="AK156" s="10">
        <v>26802</v>
      </c>
      <c r="AL156" s="15">
        <f t="shared" si="66"/>
        <v>26802</v>
      </c>
      <c r="AM156" s="15">
        <f t="shared" si="67"/>
        <v>4452446</v>
      </c>
      <c r="AN156" s="15">
        <f t="shared" si="68"/>
        <v>535903</v>
      </c>
      <c r="AO156" s="15">
        <f t="shared" si="73"/>
        <v>562705</v>
      </c>
      <c r="AP156" s="17">
        <f t="shared" si="69"/>
        <v>5015151</v>
      </c>
      <c r="AQ156" s="15">
        <v>4402535</v>
      </c>
      <c r="AR156" s="15">
        <v>0</v>
      </c>
      <c r="AS156" s="18">
        <f t="shared" si="74"/>
        <v>612616</v>
      </c>
      <c r="AT156" s="19">
        <v>0</v>
      </c>
      <c r="AU156" s="8">
        <v>8800</v>
      </c>
      <c r="AV156" s="13">
        <f t="shared" si="75"/>
        <v>786192</v>
      </c>
      <c r="AW156" s="18">
        <f t="shared" si="76"/>
        <v>4452446</v>
      </c>
      <c r="AX156" s="15">
        <f t="shared" si="70"/>
        <v>4453000</v>
      </c>
      <c r="AY156" s="20">
        <v>0.06</v>
      </c>
      <c r="AZ156" s="13">
        <f t="shared" si="71"/>
        <v>267180</v>
      </c>
      <c r="BA156" s="15">
        <f t="shared" si="72"/>
        <v>267200</v>
      </c>
      <c r="BB156" s="21">
        <f t="shared" si="77"/>
        <v>879816</v>
      </c>
      <c r="BC156" s="10">
        <f t="shared" si="78"/>
        <v>0</v>
      </c>
      <c r="BD156" s="10">
        <f t="shared" si="79"/>
        <v>0</v>
      </c>
      <c r="BE156" s="10">
        <v>20.89</v>
      </c>
      <c r="BF156" s="10">
        <v>8.3000000000000007</v>
      </c>
      <c r="BG156" s="107">
        <v>46176</v>
      </c>
      <c r="BH156" s="107">
        <f t="shared" si="81"/>
        <v>46206</v>
      </c>
      <c r="BI156" s="23">
        <v>6</v>
      </c>
      <c r="BJ156" s="6"/>
      <c r="BK156" s="6"/>
      <c r="BL156" s="24">
        <f>VLOOKUP(A156,[2]Sheet1!$D$2:$H$933,5,0)</f>
        <v>0</v>
      </c>
      <c r="BM156" s="6" t="s">
        <v>3828</v>
      </c>
      <c r="BN156" s="6" t="s">
        <v>3829</v>
      </c>
      <c r="BO156" s="6" t="s">
        <v>3820</v>
      </c>
      <c r="BP156" s="6" t="s">
        <v>3821</v>
      </c>
      <c r="BQ156" s="6" t="s">
        <v>3830</v>
      </c>
      <c r="BR156" t="s">
        <v>3823</v>
      </c>
      <c r="BS156" t="s">
        <v>3824</v>
      </c>
      <c r="BT156" t="s">
        <v>3825</v>
      </c>
      <c r="BU156" t="s">
        <v>3826</v>
      </c>
      <c r="BV156" t="s">
        <v>3827</v>
      </c>
      <c r="BW156" t="s">
        <v>3835</v>
      </c>
      <c r="BX156">
        <v>0</v>
      </c>
      <c r="BY156" t="s">
        <v>3867</v>
      </c>
      <c r="BZ156" t="s">
        <v>3871</v>
      </c>
    </row>
    <row r="157" spans="1:78" x14ac:dyDescent="0.25">
      <c r="A157" s="48" t="s">
        <v>711</v>
      </c>
      <c r="B157" s="48" t="s">
        <v>181</v>
      </c>
      <c r="C157" s="48" t="s">
        <v>709</v>
      </c>
      <c r="D157" s="49" t="s">
        <v>710</v>
      </c>
      <c r="E157" s="48" t="s">
        <v>712</v>
      </c>
      <c r="F157" s="50">
        <v>44958</v>
      </c>
      <c r="G157" s="50" t="s">
        <v>527</v>
      </c>
      <c r="H157" s="50" t="s">
        <v>92</v>
      </c>
      <c r="I157" s="49" t="s">
        <v>67</v>
      </c>
      <c r="J157" s="51">
        <v>224.85</v>
      </c>
      <c r="K157" s="51">
        <v>224.85</v>
      </c>
      <c r="L157" s="51">
        <f t="shared" si="55"/>
        <v>0</v>
      </c>
      <c r="M157" s="51">
        <v>89.34</v>
      </c>
      <c r="N157" s="51">
        <v>89.34</v>
      </c>
      <c r="O157" s="51">
        <f t="shared" si="56"/>
        <v>0</v>
      </c>
      <c r="P157" s="52">
        <v>19000</v>
      </c>
      <c r="Q157" s="52">
        <v>47819.006044325048</v>
      </c>
      <c r="R157" s="52">
        <v>28000</v>
      </c>
      <c r="S157" s="52">
        <v>4272150</v>
      </c>
      <c r="T157" s="52">
        <v>512658</v>
      </c>
      <c r="U157" s="53">
        <f t="shared" si="57"/>
        <v>0.12</v>
      </c>
      <c r="V157" s="54">
        <f t="shared" si="80"/>
        <v>0</v>
      </c>
      <c r="W157" s="51">
        <f t="shared" si="58"/>
        <v>0</v>
      </c>
      <c r="X157" s="51"/>
      <c r="Y157" s="51"/>
      <c r="Z157" s="52">
        <f t="shared" si="59"/>
        <v>4272150</v>
      </c>
      <c r="AA157" s="56">
        <v>305154</v>
      </c>
      <c r="AB157" s="56">
        <v>36618</v>
      </c>
      <c r="AC157" s="52">
        <f t="shared" si="60"/>
        <v>3966996</v>
      </c>
      <c r="AD157" s="51">
        <f t="shared" si="61"/>
        <v>300</v>
      </c>
      <c r="AE157" s="55">
        <v>26802</v>
      </c>
      <c r="AF157" s="57">
        <v>4824</v>
      </c>
      <c r="AG157" s="55">
        <f t="shared" si="62"/>
        <v>0</v>
      </c>
      <c r="AH157" s="55">
        <f t="shared" si="63"/>
        <v>0</v>
      </c>
      <c r="AI157" s="55">
        <f t="shared" si="64"/>
        <v>26802</v>
      </c>
      <c r="AJ157" s="55">
        <f t="shared" si="65"/>
        <v>4825</v>
      </c>
      <c r="AK157" s="51">
        <v>26802</v>
      </c>
      <c r="AL157" s="55">
        <f t="shared" si="66"/>
        <v>26802</v>
      </c>
      <c r="AM157" s="15">
        <f t="shared" si="67"/>
        <v>3993798</v>
      </c>
      <c r="AN157" s="15">
        <f t="shared" si="68"/>
        <v>480865</v>
      </c>
      <c r="AO157" s="55">
        <f t="shared" si="73"/>
        <v>507667</v>
      </c>
      <c r="AP157" s="58">
        <f t="shared" si="69"/>
        <v>4501465</v>
      </c>
      <c r="AQ157" s="55">
        <v>4306327</v>
      </c>
      <c r="AR157" s="15">
        <v>0</v>
      </c>
      <c r="AS157" s="18">
        <f t="shared" si="74"/>
        <v>195138</v>
      </c>
      <c r="AT157" s="60">
        <v>0</v>
      </c>
      <c r="AU157" s="49">
        <v>8800</v>
      </c>
      <c r="AV157" s="54">
        <f t="shared" si="75"/>
        <v>786192</v>
      </c>
      <c r="AW157" s="59">
        <f t="shared" si="76"/>
        <v>3993798</v>
      </c>
      <c r="AX157" s="55">
        <f t="shared" si="70"/>
        <v>3994000</v>
      </c>
      <c r="AY157" s="61">
        <v>7.0000000000000007E-2</v>
      </c>
      <c r="AZ157" s="54">
        <f t="shared" si="71"/>
        <v>279580</v>
      </c>
      <c r="BA157" s="55">
        <f t="shared" si="72"/>
        <v>279600</v>
      </c>
      <c r="BB157" s="62">
        <f t="shared" si="77"/>
        <v>474738</v>
      </c>
      <c r="BC157" s="51">
        <f t="shared" si="78"/>
        <v>0</v>
      </c>
      <c r="BD157" s="51">
        <f t="shared" si="79"/>
        <v>0</v>
      </c>
      <c r="BE157" s="51">
        <v>20.89</v>
      </c>
      <c r="BF157" s="51">
        <v>8.3000000000000007</v>
      </c>
      <c r="BG157" s="107">
        <v>46176</v>
      </c>
      <c r="BH157" s="109">
        <f t="shared" si="81"/>
        <v>46206</v>
      </c>
      <c r="BI157" s="63">
        <v>7</v>
      </c>
      <c r="BJ157" s="24" t="s">
        <v>350</v>
      </c>
      <c r="BK157" s="6"/>
      <c r="BL157" s="24">
        <f>VLOOKUP(A157,[2]Sheet1!$D$2:$H$933,5,0)</f>
        <v>0</v>
      </c>
      <c r="BM157" s="6" t="s">
        <v>3828</v>
      </c>
      <c r="BN157" s="6" t="s">
        <v>3829</v>
      </c>
      <c r="BO157" s="6" t="s">
        <v>3820</v>
      </c>
      <c r="BP157" s="6" t="s">
        <v>3821</v>
      </c>
      <c r="BQ157" s="6" t="s">
        <v>3830</v>
      </c>
      <c r="BR157" t="s">
        <v>3823</v>
      </c>
      <c r="BS157" t="s">
        <v>3824</v>
      </c>
      <c r="BT157" t="s">
        <v>3825</v>
      </c>
      <c r="BU157" t="s">
        <v>3826</v>
      </c>
      <c r="BV157" t="s">
        <v>3827</v>
      </c>
      <c r="BW157" t="s">
        <v>3835</v>
      </c>
      <c r="BX157">
        <v>0</v>
      </c>
      <c r="BY157" t="s">
        <v>3867</v>
      </c>
      <c r="BZ157" t="s">
        <v>3871</v>
      </c>
    </row>
    <row r="158" spans="1:78" x14ac:dyDescent="0.25">
      <c r="A158" s="7" t="s">
        <v>715</v>
      </c>
      <c r="B158" s="7" t="s">
        <v>181</v>
      </c>
      <c r="C158" s="7" t="s">
        <v>713</v>
      </c>
      <c r="D158" s="8" t="s">
        <v>714</v>
      </c>
      <c r="E158" s="7" t="s">
        <v>716</v>
      </c>
      <c r="F158" s="9">
        <v>44860</v>
      </c>
      <c r="G158" s="9" t="s">
        <v>717</v>
      </c>
      <c r="H158" s="9" t="s">
        <v>66</v>
      </c>
      <c r="I158" s="8" t="s">
        <v>78</v>
      </c>
      <c r="J158" s="10">
        <v>406.88</v>
      </c>
      <c r="K158" s="10">
        <v>406.88</v>
      </c>
      <c r="L158" s="10">
        <f t="shared" si="55"/>
        <v>0</v>
      </c>
      <c r="M158" s="10">
        <v>175.45</v>
      </c>
      <c r="N158" s="10">
        <v>175.45</v>
      </c>
      <c r="O158" s="10">
        <f t="shared" si="56"/>
        <v>0</v>
      </c>
      <c r="P158" s="11">
        <v>15479.999016909163</v>
      </c>
      <c r="Q158" s="11">
        <v>35899.127956682816</v>
      </c>
      <c r="R158" s="11">
        <v>22000</v>
      </c>
      <c r="S158" s="11">
        <v>6298502</v>
      </c>
      <c r="T158" s="11">
        <v>755820</v>
      </c>
      <c r="U158" s="12">
        <f t="shared" si="57"/>
        <v>0.11999996189570154</v>
      </c>
      <c r="V158" s="13">
        <f t="shared" si="80"/>
        <v>0</v>
      </c>
      <c r="W158" s="10">
        <f t="shared" si="58"/>
        <v>0</v>
      </c>
      <c r="X158" s="10"/>
      <c r="Y158" s="10"/>
      <c r="Z158" s="11">
        <f t="shared" si="59"/>
        <v>6298502</v>
      </c>
      <c r="AA158" s="14"/>
      <c r="AB158" s="14"/>
      <c r="AC158" s="11">
        <f t="shared" si="60"/>
        <v>6298502</v>
      </c>
      <c r="AD158" s="10">
        <f t="shared" si="61"/>
        <v>300</v>
      </c>
      <c r="AE158" s="15">
        <v>52635</v>
      </c>
      <c r="AF158" s="16">
        <v>9474</v>
      </c>
      <c r="AG158" s="15">
        <f t="shared" si="62"/>
        <v>0</v>
      </c>
      <c r="AH158" s="15">
        <f t="shared" si="63"/>
        <v>0</v>
      </c>
      <c r="AI158" s="15">
        <f t="shared" si="64"/>
        <v>52635</v>
      </c>
      <c r="AJ158" s="15">
        <f t="shared" si="65"/>
        <v>9475</v>
      </c>
      <c r="AK158" s="10">
        <v>52635</v>
      </c>
      <c r="AL158" s="15">
        <f t="shared" si="66"/>
        <v>52635</v>
      </c>
      <c r="AM158" s="15">
        <f t="shared" si="67"/>
        <v>6351137</v>
      </c>
      <c r="AN158" s="15">
        <f t="shared" si="68"/>
        <v>765295</v>
      </c>
      <c r="AO158" s="15">
        <f t="shared" si="73"/>
        <v>817930</v>
      </c>
      <c r="AP158" s="17">
        <f t="shared" si="69"/>
        <v>7169067</v>
      </c>
      <c r="AQ158" s="15">
        <v>6348891</v>
      </c>
      <c r="AR158" s="15">
        <v>0</v>
      </c>
      <c r="AS158" s="18">
        <f t="shared" si="74"/>
        <v>820176</v>
      </c>
      <c r="AT158" s="19">
        <v>0</v>
      </c>
      <c r="AU158" s="8">
        <v>8800</v>
      </c>
      <c r="AV158" s="13">
        <f t="shared" si="75"/>
        <v>1543960</v>
      </c>
      <c r="AW158" s="18">
        <f t="shared" si="76"/>
        <v>6351137</v>
      </c>
      <c r="AX158" s="15">
        <f t="shared" si="70"/>
        <v>6352000</v>
      </c>
      <c r="AY158" s="20">
        <v>7.0000000000000007E-2</v>
      </c>
      <c r="AZ158" s="13">
        <f t="shared" si="71"/>
        <v>444640.00000000006</v>
      </c>
      <c r="BA158" s="15">
        <f t="shared" si="72"/>
        <v>444700</v>
      </c>
      <c r="BB158" s="21">
        <f t="shared" si="77"/>
        <v>1264876</v>
      </c>
      <c r="BC158" s="10">
        <f t="shared" si="78"/>
        <v>0</v>
      </c>
      <c r="BD158" s="10">
        <f t="shared" si="79"/>
        <v>0</v>
      </c>
      <c r="BE158" s="10">
        <v>37.799999999999997</v>
      </c>
      <c r="BF158" s="10">
        <v>16.3</v>
      </c>
      <c r="BG158" s="107">
        <v>46176</v>
      </c>
      <c r="BH158" s="107">
        <f t="shared" si="81"/>
        <v>46206</v>
      </c>
      <c r="BI158" s="23">
        <v>7</v>
      </c>
      <c r="BJ158" s="6"/>
      <c r="BK158" s="6"/>
      <c r="BL158" s="24">
        <f>VLOOKUP(A158,[2]Sheet1!$D$2:$H$933,5,0)</f>
        <v>0</v>
      </c>
      <c r="BM158" s="6" t="s">
        <v>3828</v>
      </c>
      <c r="BN158" s="6" t="s">
        <v>3829</v>
      </c>
      <c r="BO158" s="6" t="s">
        <v>3820</v>
      </c>
      <c r="BP158" s="6" t="s">
        <v>3821</v>
      </c>
      <c r="BQ158" s="6" t="s">
        <v>3830</v>
      </c>
      <c r="BR158" t="s">
        <v>3823</v>
      </c>
      <c r="BS158" t="s">
        <v>3824</v>
      </c>
      <c r="BT158" t="s">
        <v>3825</v>
      </c>
      <c r="BU158" t="s">
        <v>3826</v>
      </c>
      <c r="BV158" t="s">
        <v>3827</v>
      </c>
      <c r="BW158" t="s">
        <v>3835</v>
      </c>
      <c r="BX158">
        <v>0</v>
      </c>
      <c r="BY158" t="s">
        <v>3866</v>
      </c>
      <c r="BZ158" t="s">
        <v>3872</v>
      </c>
    </row>
    <row r="159" spans="1:78" x14ac:dyDescent="0.25">
      <c r="A159" s="7" t="s">
        <v>720</v>
      </c>
      <c r="B159" s="7" t="s">
        <v>181</v>
      </c>
      <c r="C159" s="7" t="s">
        <v>718</v>
      </c>
      <c r="D159" s="8" t="s">
        <v>719</v>
      </c>
      <c r="E159" s="7" t="s">
        <v>721</v>
      </c>
      <c r="F159" s="9">
        <v>44896</v>
      </c>
      <c r="G159" s="9" t="s">
        <v>717</v>
      </c>
      <c r="H159" s="9" t="s">
        <v>66</v>
      </c>
      <c r="I159" s="8" t="s">
        <v>78</v>
      </c>
      <c r="J159" s="10">
        <v>406.88</v>
      </c>
      <c r="K159" s="10">
        <v>412</v>
      </c>
      <c r="L159" s="10">
        <f t="shared" si="55"/>
        <v>5.1200000000000045</v>
      </c>
      <c r="M159" s="10">
        <v>175.45</v>
      </c>
      <c r="N159" s="10">
        <v>182</v>
      </c>
      <c r="O159" s="10">
        <f t="shared" si="56"/>
        <v>6.5500000000000114</v>
      </c>
      <c r="P159" s="11">
        <v>13625.680790405033</v>
      </c>
      <c r="Q159" s="11">
        <v>31598.842975206615</v>
      </c>
      <c r="R159" s="11">
        <v>22000</v>
      </c>
      <c r="S159" s="11">
        <v>5544017</v>
      </c>
      <c r="T159" s="11">
        <v>665282</v>
      </c>
      <c r="U159" s="12">
        <f t="shared" si="57"/>
        <v>0.11999999278501491</v>
      </c>
      <c r="V159" s="13">
        <f>L159*R159</f>
        <v>112640.0000000001</v>
      </c>
      <c r="W159" s="10">
        <f t="shared" si="58"/>
        <v>13516.799187304092</v>
      </c>
      <c r="X159" s="15"/>
      <c r="Y159" s="15"/>
      <c r="Z159" s="11">
        <f t="shared" si="59"/>
        <v>5656657</v>
      </c>
      <c r="AA159" s="14">
        <v>1713997</v>
      </c>
      <c r="AB159" s="14">
        <v>205680</v>
      </c>
      <c r="AC159" s="11">
        <f t="shared" si="60"/>
        <v>3942660</v>
      </c>
      <c r="AD159" s="10">
        <f t="shared" si="61"/>
        <v>300</v>
      </c>
      <c r="AE159" s="15">
        <v>52635</v>
      </c>
      <c r="AF159" s="16">
        <v>9474</v>
      </c>
      <c r="AG159" s="15">
        <f t="shared" si="62"/>
        <v>1965.0000000000034</v>
      </c>
      <c r="AH159" s="15">
        <f t="shared" si="63"/>
        <v>353.70000000000061</v>
      </c>
      <c r="AI159" s="15">
        <f t="shared" si="64"/>
        <v>54600</v>
      </c>
      <c r="AJ159" s="15">
        <f t="shared" si="65"/>
        <v>9828</v>
      </c>
      <c r="AK159" s="10">
        <v>52635</v>
      </c>
      <c r="AL159" s="15">
        <f t="shared" si="66"/>
        <v>54600</v>
      </c>
      <c r="AM159" s="15">
        <f t="shared" si="67"/>
        <v>3997260</v>
      </c>
      <c r="AN159" s="15">
        <f t="shared" si="68"/>
        <v>482947</v>
      </c>
      <c r="AO159" s="15">
        <f t="shared" si="73"/>
        <v>537547</v>
      </c>
      <c r="AP159" s="17">
        <f t="shared" si="69"/>
        <v>4534807</v>
      </c>
      <c r="AQ159" s="15">
        <v>3669870</v>
      </c>
      <c r="AR159" s="15">
        <v>0</v>
      </c>
      <c r="AS159" s="18">
        <f t="shared" si="74"/>
        <v>864937</v>
      </c>
      <c r="AT159" s="19">
        <v>0</v>
      </c>
      <c r="AU159" s="8">
        <v>8800</v>
      </c>
      <c r="AV159" s="13">
        <f t="shared" si="75"/>
        <v>1601600</v>
      </c>
      <c r="AW159" s="18">
        <f t="shared" si="76"/>
        <v>3997260</v>
      </c>
      <c r="AX159" s="15">
        <f t="shared" si="70"/>
        <v>3998000</v>
      </c>
      <c r="AY159" s="20">
        <v>0.05</v>
      </c>
      <c r="AZ159" s="13">
        <f t="shared" si="71"/>
        <v>199900</v>
      </c>
      <c r="BA159" s="15">
        <f t="shared" si="72"/>
        <v>199900</v>
      </c>
      <c r="BB159" s="21">
        <f t="shared" si="77"/>
        <v>1064837</v>
      </c>
      <c r="BC159" s="10">
        <f t="shared" si="78"/>
        <v>1.2583562721195451</v>
      </c>
      <c r="BD159" s="10">
        <f t="shared" si="79"/>
        <v>3.733257338273019</v>
      </c>
      <c r="BE159" s="10">
        <v>38.28</v>
      </c>
      <c r="BF159" s="10">
        <v>16.91</v>
      </c>
      <c r="BG159" s="107">
        <v>46176</v>
      </c>
      <c r="BH159" s="107">
        <f t="shared" si="81"/>
        <v>46206</v>
      </c>
      <c r="BI159" s="23">
        <v>5</v>
      </c>
      <c r="BJ159" s="6"/>
      <c r="BK159" s="6"/>
      <c r="BL159" s="24">
        <f>VLOOKUP(A159,[2]Sheet1!$D$2:$H$933,5,0)</f>
        <v>0</v>
      </c>
      <c r="BM159" s="6" t="s">
        <v>3828</v>
      </c>
      <c r="BN159" s="6" t="s">
        <v>3829</v>
      </c>
      <c r="BO159" s="6" t="s">
        <v>3820</v>
      </c>
      <c r="BP159" s="6" t="s">
        <v>3821</v>
      </c>
      <c r="BQ159" s="6" t="s">
        <v>3830</v>
      </c>
      <c r="BR159" t="s">
        <v>3823</v>
      </c>
      <c r="BS159" t="s">
        <v>3824</v>
      </c>
      <c r="BT159" t="s">
        <v>3825</v>
      </c>
      <c r="BU159" t="s">
        <v>3826</v>
      </c>
      <c r="BV159" t="s">
        <v>3827</v>
      </c>
      <c r="BW159" t="s">
        <v>3835</v>
      </c>
      <c r="BX159">
        <v>0</v>
      </c>
      <c r="BY159" t="s">
        <v>3869</v>
      </c>
      <c r="BZ159" t="s">
        <v>3872</v>
      </c>
    </row>
    <row r="160" spans="1:78" x14ac:dyDescent="0.25">
      <c r="A160" s="7" t="s">
        <v>724</v>
      </c>
      <c r="B160" s="7" t="s">
        <v>181</v>
      </c>
      <c r="C160" s="7" t="s">
        <v>722</v>
      </c>
      <c r="D160" s="8" t="s">
        <v>723</v>
      </c>
      <c r="E160" s="7" t="s">
        <v>725</v>
      </c>
      <c r="F160" s="9">
        <v>44879</v>
      </c>
      <c r="G160" s="9" t="s">
        <v>717</v>
      </c>
      <c r="H160" s="9" t="s">
        <v>72</v>
      </c>
      <c r="I160" s="8" t="s">
        <v>78</v>
      </c>
      <c r="J160" s="10">
        <v>596.33000000000004</v>
      </c>
      <c r="K160" s="10">
        <v>610</v>
      </c>
      <c r="L160" s="10">
        <f t="shared" si="55"/>
        <v>13.669999999999959</v>
      </c>
      <c r="M160" s="10">
        <v>266.95</v>
      </c>
      <c r="N160" s="10">
        <v>275</v>
      </c>
      <c r="O160" s="10">
        <f t="shared" si="56"/>
        <v>8.0500000000000114</v>
      </c>
      <c r="P160" s="11">
        <v>12975.000419230963</v>
      </c>
      <c r="Q160" s="11">
        <v>28984.386589248923</v>
      </c>
      <c r="R160" s="11">
        <v>20000</v>
      </c>
      <c r="S160" s="11">
        <v>7737382</v>
      </c>
      <c r="T160" s="11">
        <v>928486</v>
      </c>
      <c r="U160" s="12">
        <f t="shared" si="57"/>
        <v>0.12000002067882909</v>
      </c>
      <c r="V160" s="13">
        <f>L160*R160</f>
        <v>273399.99999999919</v>
      </c>
      <c r="W160" s="10">
        <f t="shared" si="58"/>
        <v>32808.005653591776</v>
      </c>
      <c r="X160" s="15"/>
      <c r="Y160" s="15"/>
      <c r="Z160" s="11">
        <f t="shared" si="59"/>
        <v>8010781.9999999991</v>
      </c>
      <c r="AA160" s="14"/>
      <c r="AB160" s="14"/>
      <c r="AC160" s="11">
        <f t="shared" si="60"/>
        <v>8010781.9999999991</v>
      </c>
      <c r="AD160" s="10">
        <f t="shared" si="61"/>
        <v>300</v>
      </c>
      <c r="AE160" s="15">
        <v>80085</v>
      </c>
      <c r="AF160" s="16">
        <v>14416</v>
      </c>
      <c r="AG160" s="15">
        <f t="shared" si="62"/>
        <v>2415.0000000000036</v>
      </c>
      <c r="AH160" s="15">
        <f t="shared" si="63"/>
        <v>434.70000000000061</v>
      </c>
      <c r="AI160" s="15">
        <f t="shared" si="64"/>
        <v>82500</v>
      </c>
      <c r="AJ160" s="15">
        <f t="shared" si="65"/>
        <v>14850</v>
      </c>
      <c r="AK160" s="10">
        <v>80085</v>
      </c>
      <c r="AL160" s="15">
        <f t="shared" si="66"/>
        <v>82500</v>
      </c>
      <c r="AM160" s="15">
        <f t="shared" si="67"/>
        <v>8093282</v>
      </c>
      <c r="AN160" s="15">
        <f t="shared" si="68"/>
        <v>976145</v>
      </c>
      <c r="AO160" s="15">
        <f t="shared" si="73"/>
        <v>1058645</v>
      </c>
      <c r="AP160" s="17">
        <f t="shared" si="69"/>
        <v>9151927</v>
      </c>
      <c r="AQ160" s="15">
        <v>7739281</v>
      </c>
      <c r="AR160" s="15">
        <v>0</v>
      </c>
      <c r="AS160" s="18">
        <f t="shared" si="74"/>
        <v>1412646</v>
      </c>
      <c r="AT160" s="19">
        <v>7831883</v>
      </c>
      <c r="AU160" s="8">
        <v>8800</v>
      </c>
      <c r="AV160" s="13">
        <f t="shared" si="75"/>
        <v>2420000</v>
      </c>
      <c r="AW160" s="18">
        <f t="shared" si="76"/>
        <v>8093282</v>
      </c>
      <c r="AX160" s="15">
        <f t="shared" si="70"/>
        <v>8094000</v>
      </c>
      <c r="AY160" s="20">
        <v>7.0000000000000007E-2</v>
      </c>
      <c r="AZ160" s="13">
        <f t="shared" si="71"/>
        <v>566580</v>
      </c>
      <c r="BA160" s="15">
        <f t="shared" si="72"/>
        <v>566600</v>
      </c>
      <c r="BB160" s="21">
        <f t="shared" si="77"/>
        <v>1979246</v>
      </c>
      <c r="BC160" s="10">
        <f t="shared" si="78"/>
        <v>2.2923549041637949</v>
      </c>
      <c r="BD160" s="10">
        <f t="shared" si="79"/>
        <v>3.0155459823937112</v>
      </c>
      <c r="BE160" s="10">
        <v>56.67</v>
      </c>
      <c r="BF160" s="10">
        <v>25.55</v>
      </c>
      <c r="BG160" s="107">
        <v>46176</v>
      </c>
      <c r="BH160" s="107">
        <f t="shared" si="81"/>
        <v>46206</v>
      </c>
      <c r="BI160" s="23">
        <v>7</v>
      </c>
      <c r="BJ160" s="6"/>
      <c r="BK160" s="6"/>
      <c r="BL160" s="24">
        <f>VLOOKUP(A160,[2]Sheet1!$D$2:$H$933,5,0)</f>
        <v>0</v>
      </c>
      <c r="BM160" s="6" t="s">
        <v>3828</v>
      </c>
      <c r="BN160" s="6" t="s">
        <v>3829</v>
      </c>
      <c r="BO160" s="6" t="s">
        <v>3820</v>
      </c>
      <c r="BP160" s="6" t="s">
        <v>3821</v>
      </c>
      <c r="BQ160" s="6" t="s">
        <v>3830</v>
      </c>
      <c r="BR160" t="s">
        <v>3823</v>
      </c>
      <c r="BS160" t="s">
        <v>3824</v>
      </c>
      <c r="BT160" t="s">
        <v>3825</v>
      </c>
      <c r="BU160" t="s">
        <v>3826</v>
      </c>
      <c r="BV160" t="s">
        <v>3827</v>
      </c>
      <c r="BW160" t="s">
        <v>3835</v>
      </c>
      <c r="BX160">
        <v>0</v>
      </c>
      <c r="BY160" t="s">
        <v>3866</v>
      </c>
      <c r="BZ160" t="s">
        <v>3872</v>
      </c>
    </row>
    <row r="161" spans="1:78" x14ac:dyDescent="0.25">
      <c r="A161" s="7" t="s">
        <v>728</v>
      </c>
      <c r="B161" s="7" t="s">
        <v>181</v>
      </c>
      <c r="C161" s="7" t="s">
        <v>726</v>
      </c>
      <c r="D161" s="8" t="s">
        <v>727</v>
      </c>
      <c r="E161" s="7" t="s">
        <v>729</v>
      </c>
      <c r="F161" s="9">
        <v>44896</v>
      </c>
      <c r="G161" s="9" t="s">
        <v>717</v>
      </c>
      <c r="H161" s="9" t="s">
        <v>72</v>
      </c>
      <c r="I161" s="8" t="s">
        <v>78</v>
      </c>
      <c r="J161" s="10">
        <v>596.33000000000004</v>
      </c>
      <c r="K161" s="10">
        <v>674</v>
      </c>
      <c r="L161" s="10">
        <f t="shared" si="55"/>
        <v>77.669999999999959</v>
      </c>
      <c r="M161" s="10">
        <v>266.95</v>
      </c>
      <c r="N161" s="10">
        <v>302</v>
      </c>
      <c r="O161" s="10">
        <f t="shared" si="56"/>
        <v>35.050000000000011</v>
      </c>
      <c r="P161" s="11">
        <v>9000</v>
      </c>
      <c r="Q161" s="11">
        <v>20104.776175313731</v>
      </c>
      <c r="R161" s="11">
        <v>20000</v>
      </c>
      <c r="S161" s="11">
        <v>5366970</v>
      </c>
      <c r="T161" s="11">
        <v>644036</v>
      </c>
      <c r="U161" s="12">
        <f t="shared" si="57"/>
        <v>0.11999992547005107</v>
      </c>
      <c r="V161" s="13">
        <f>L161*R161</f>
        <v>1553399.9999999991</v>
      </c>
      <c r="W161" s="10">
        <f t="shared" si="58"/>
        <v>186407.88422517723</v>
      </c>
      <c r="X161" s="15"/>
      <c r="Y161" s="15"/>
      <c r="Z161" s="11">
        <f t="shared" si="59"/>
        <v>6920369.9999999991</v>
      </c>
      <c r="AA161" s="14">
        <v>653505</v>
      </c>
      <c r="AB161" s="14">
        <v>78420</v>
      </c>
      <c r="AC161" s="11">
        <f t="shared" si="60"/>
        <v>6266864.9999999991</v>
      </c>
      <c r="AD161" s="10">
        <f t="shared" si="61"/>
        <v>300</v>
      </c>
      <c r="AE161" s="15">
        <v>80085</v>
      </c>
      <c r="AF161" s="16">
        <v>14416</v>
      </c>
      <c r="AG161" s="15">
        <f t="shared" si="62"/>
        <v>10515.000000000004</v>
      </c>
      <c r="AH161" s="15">
        <f t="shared" si="63"/>
        <v>1892.7000000000005</v>
      </c>
      <c r="AI161" s="15">
        <f t="shared" si="64"/>
        <v>90600</v>
      </c>
      <c r="AJ161" s="15">
        <f t="shared" si="65"/>
        <v>16308</v>
      </c>
      <c r="AK161" s="10">
        <v>80085</v>
      </c>
      <c r="AL161" s="15">
        <f t="shared" si="66"/>
        <v>90600</v>
      </c>
      <c r="AM161" s="15">
        <f t="shared" si="67"/>
        <v>6357465</v>
      </c>
      <c r="AN161" s="15">
        <f t="shared" si="68"/>
        <v>768332</v>
      </c>
      <c r="AO161" s="15">
        <f t="shared" si="73"/>
        <v>858932</v>
      </c>
      <c r="AP161" s="17">
        <f t="shared" si="69"/>
        <v>7216397</v>
      </c>
      <c r="AQ161" s="15">
        <v>4677979</v>
      </c>
      <c r="AR161" s="15">
        <v>0</v>
      </c>
      <c r="AS161" s="18">
        <f t="shared" si="74"/>
        <v>2538418</v>
      </c>
      <c r="AT161" s="19">
        <v>0</v>
      </c>
      <c r="AU161" s="8">
        <v>8800</v>
      </c>
      <c r="AV161" s="13">
        <f t="shared" si="75"/>
        <v>2657600</v>
      </c>
      <c r="AW161" s="18">
        <f t="shared" si="76"/>
        <v>6357465</v>
      </c>
      <c r="AX161" s="15">
        <f t="shared" si="70"/>
        <v>6358000</v>
      </c>
      <c r="AY161" s="20">
        <v>0.06</v>
      </c>
      <c r="AZ161" s="13">
        <f t="shared" si="71"/>
        <v>381480</v>
      </c>
      <c r="BA161" s="15">
        <f t="shared" si="72"/>
        <v>381500</v>
      </c>
      <c r="BB161" s="21">
        <f t="shared" si="77"/>
        <v>2919918</v>
      </c>
      <c r="BC161" s="10">
        <f t="shared" si="78"/>
        <v>13.024667549846553</v>
      </c>
      <c r="BD161" s="10">
        <f t="shared" si="79"/>
        <v>13.129799587937821</v>
      </c>
      <c r="BE161" s="10">
        <v>62.62</v>
      </c>
      <c r="BF161" s="10">
        <v>28.06</v>
      </c>
      <c r="BG161" s="107">
        <v>46176</v>
      </c>
      <c r="BH161" s="107">
        <f t="shared" si="81"/>
        <v>46206</v>
      </c>
      <c r="BI161" s="23">
        <v>6</v>
      </c>
      <c r="BJ161" s="6"/>
      <c r="BK161" s="6"/>
      <c r="BL161" s="24">
        <f>VLOOKUP(A161,[2]Sheet1!$D$2:$H$933,5,0)</f>
        <v>0</v>
      </c>
      <c r="BM161" s="6" t="s">
        <v>3828</v>
      </c>
      <c r="BN161" s="6" t="s">
        <v>3829</v>
      </c>
      <c r="BO161" s="6" t="s">
        <v>3820</v>
      </c>
      <c r="BP161" s="6" t="s">
        <v>3821</v>
      </c>
      <c r="BQ161" s="6" t="s">
        <v>3830</v>
      </c>
      <c r="BR161" t="s">
        <v>3823</v>
      </c>
      <c r="BS161" t="s">
        <v>3824</v>
      </c>
      <c r="BT161" t="s">
        <v>3825</v>
      </c>
      <c r="BU161" t="s">
        <v>3826</v>
      </c>
      <c r="BV161" t="s">
        <v>3827</v>
      </c>
      <c r="BW161" t="s">
        <v>3835</v>
      </c>
      <c r="BX161">
        <v>0</v>
      </c>
      <c r="BY161" t="s">
        <v>3869</v>
      </c>
      <c r="BZ161" t="s">
        <v>3872</v>
      </c>
    </row>
    <row r="162" spans="1:78" x14ac:dyDescent="0.25">
      <c r="A162" s="7" t="s">
        <v>732</v>
      </c>
      <c r="B162" s="7" t="s">
        <v>181</v>
      </c>
      <c r="C162" s="7" t="s">
        <v>730</v>
      </c>
      <c r="D162" s="8" t="s">
        <v>731</v>
      </c>
      <c r="E162" s="7" t="s">
        <v>733</v>
      </c>
      <c r="F162" s="9">
        <v>44902</v>
      </c>
      <c r="G162" s="9" t="s">
        <v>717</v>
      </c>
      <c r="H162" s="9" t="s">
        <v>72</v>
      </c>
      <c r="I162" s="8" t="s">
        <v>78</v>
      </c>
      <c r="J162" s="10">
        <v>540.35</v>
      </c>
      <c r="K162" s="10">
        <v>606</v>
      </c>
      <c r="L162" s="10">
        <f t="shared" si="55"/>
        <v>65.649999999999977</v>
      </c>
      <c r="M162" s="10">
        <v>231.43</v>
      </c>
      <c r="N162" s="10">
        <v>266</v>
      </c>
      <c r="O162" s="10">
        <f t="shared" si="56"/>
        <v>34.569999999999993</v>
      </c>
      <c r="P162" s="11">
        <v>11468.999722402146</v>
      </c>
      <c r="Q162" s="11">
        <v>26778.179147042301</v>
      </c>
      <c r="R162" s="11">
        <v>20000</v>
      </c>
      <c r="S162" s="11">
        <v>6197274</v>
      </c>
      <c r="T162" s="11">
        <v>743672</v>
      </c>
      <c r="U162" s="12">
        <f t="shared" si="57"/>
        <v>0.11999985800208285</v>
      </c>
      <c r="V162" s="13">
        <f>L162*R162</f>
        <v>1312999.9999999995</v>
      </c>
      <c r="W162" s="10">
        <f t="shared" si="58"/>
        <v>157559.81355673473</v>
      </c>
      <c r="X162" s="15"/>
      <c r="Y162" s="15"/>
      <c r="Z162" s="11">
        <f t="shared" si="59"/>
        <v>7510274</v>
      </c>
      <c r="AA162" s="14">
        <v>626828</v>
      </c>
      <c r="AB162" s="14">
        <v>75220</v>
      </c>
      <c r="AC162" s="11">
        <f t="shared" si="60"/>
        <v>6883446</v>
      </c>
      <c r="AD162" s="10">
        <f t="shared" si="61"/>
        <v>300</v>
      </c>
      <c r="AE162" s="15">
        <v>69429</v>
      </c>
      <c r="AF162" s="16">
        <v>12498</v>
      </c>
      <c r="AG162" s="15">
        <f t="shared" si="62"/>
        <v>10370.999999999998</v>
      </c>
      <c r="AH162" s="15">
        <f t="shared" si="63"/>
        <v>1866.7799999999995</v>
      </c>
      <c r="AI162" s="15">
        <f t="shared" si="64"/>
        <v>79800</v>
      </c>
      <c r="AJ162" s="15">
        <f t="shared" si="65"/>
        <v>14364</v>
      </c>
      <c r="AK162" s="10">
        <v>69429</v>
      </c>
      <c r="AL162" s="15">
        <f t="shared" si="66"/>
        <v>79800</v>
      </c>
      <c r="AM162" s="15">
        <f t="shared" si="67"/>
        <v>6963246</v>
      </c>
      <c r="AN162" s="15">
        <f t="shared" si="68"/>
        <v>840376</v>
      </c>
      <c r="AO162" s="15">
        <f t="shared" si="73"/>
        <v>920176</v>
      </c>
      <c r="AP162" s="17">
        <f t="shared" si="69"/>
        <v>7883422</v>
      </c>
      <c r="AQ162" s="15">
        <v>5457641</v>
      </c>
      <c r="AR162" s="15">
        <v>0</v>
      </c>
      <c r="AS162" s="18">
        <f t="shared" si="74"/>
        <v>2425781</v>
      </c>
      <c r="AT162" s="19">
        <v>7775757</v>
      </c>
      <c r="AU162" s="8">
        <v>8800</v>
      </c>
      <c r="AV162" s="13">
        <f t="shared" si="75"/>
        <v>2340800</v>
      </c>
      <c r="AW162" s="18">
        <f t="shared" si="76"/>
        <v>7775757</v>
      </c>
      <c r="AX162" s="15">
        <f t="shared" si="70"/>
        <v>7776000</v>
      </c>
      <c r="AY162" s="20">
        <v>0.05</v>
      </c>
      <c r="AZ162" s="13">
        <f t="shared" si="71"/>
        <v>388800</v>
      </c>
      <c r="BA162" s="15">
        <f t="shared" si="72"/>
        <v>388800</v>
      </c>
      <c r="BB162" s="21">
        <f t="shared" si="77"/>
        <v>2814581</v>
      </c>
      <c r="BC162" s="10">
        <f t="shared" si="78"/>
        <v>12.149532710280369</v>
      </c>
      <c r="BD162" s="10">
        <f t="shared" si="79"/>
        <v>14.937562113814108</v>
      </c>
      <c r="BE162" s="10">
        <v>56.3</v>
      </c>
      <c r="BF162" s="10">
        <v>24.71</v>
      </c>
      <c r="BG162" s="107">
        <v>46176</v>
      </c>
      <c r="BH162" s="107">
        <f t="shared" si="81"/>
        <v>46206</v>
      </c>
      <c r="BI162" s="23">
        <v>5</v>
      </c>
      <c r="BJ162" s="6"/>
      <c r="BK162" s="6"/>
      <c r="BL162" s="24">
        <f>VLOOKUP(A162,[2]Sheet1!$D$2:$H$933,5,0)</f>
        <v>0</v>
      </c>
      <c r="BM162" s="6" t="s">
        <v>3828</v>
      </c>
      <c r="BN162" s="6" t="s">
        <v>3829</v>
      </c>
      <c r="BO162" s="6" t="s">
        <v>3820</v>
      </c>
      <c r="BP162" s="6" t="s">
        <v>3821</v>
      </c>
      <c r="BQ162" s="6" t="s">
        <v>3830</v>
      </c>
      <c r="BR162" t="s">
        <v>3823</v>
      </c>
      <c r="BS162" t="s">
        <v>3824</v>
      </c>
      <c r="BT162" t="s">
        <v>3825</v>
      </c>
      <c r="BU162" t="s">
        <v>3826</v>
      </c>
      <c r="BV162" t="s">
        <v>3827</v>
      </c>
      <c r="BW162" t="s">
        <v>3835</v>
      </c>
      <c r="BX162">
        <v>0</v>
      </c>
      <c r="BY162" t="s">
        <v>3864</v>
      </c>
      <c r="BZ162" t="s">
        <v>3872</v>
      </c>
    </row>
    <row r="163" spans="1:78" x14ac:dyDescent="0.25">
      <c r="A163" s="7" t="s">
        <v>736</v>
      </c>
      <c r="B163" s="7" t="s">
        <v>181</v>
      </c>
      <c r="C163" s="7" t="s">
        <v>734</v>
      </c>
      <c r="D163" s="8" t="s">
        <v>735</v>
      </c>
      <c r="E163" s="7" t="s">
        <v>737</v>
      </c>
      <c r="F163" s="9">
        <v>45112</v>
      </c>
      <c r="G163" s="9" t="s">
        <v>717</v>
      </c>
      <c r="H163" s="9" t="s">
        <v>72</v>
      </c>
      <c r="I163" s="8" t="s">
        <v>78</v>
      </c>
      <c r="J163" s="10">
        <v>596.33000000000004</v>
      </c>
      <c r="K163" s="10">
        <v>679</v>
      </c>
      <c r="L163" s="10">
        <f t="shared" si="55"/>
        <v>82.669999999999959</v>
      </c>
      <c r="M163" s="10">
        <v>266.95</v>
      </c>
      <c r="N163" s="10">
        <v>305</v>
      </c>
      <c r="O163" s="10">
        <f t="shared" si="56"/>
        <v>38.050000000000011</v>
      </c>
      <c r="P163" s="11">
        <v>7787.998255999195</v>
      </c>
      <c r="Q163" s="11">
        <v>17397.329087844166</v>
      </c>
      <c r="R163" s="11">
        <v>20000</v>
      </c>
      <c r="S163" s="11">
        <v>4644217</v>
      </c>
      <c r="T163" s="11">
        <v>557306</v>
      </c>
      <c r="U163" s="12">
        <f t="shared" si="57"/>
        <v>0.11999999138713803</v>
      </c>
      <c r="V163" s="13">
        <f>L163*R163</f>
        <v>1653399.9999999991</v>
      </c>
      <c r="W163" s="10">
        <f t="shared" si="58"/>
        <v>198407.98575949389</v>
      </c>
      <c r="X163" s="15"/>
      <c r="Y163" s="15"/>
      <c r="Z163" s="11">
        <f t="shared" si="59"/>
        <v>6297616.9999999991</v>
      </c>
      <c r="AA163" s="14"/>
      <c r="AB163" s="14"/>
      <c r="AC163" s="11">
        <f t="shared" si="60"/>
        <v>6297616.9999999991</v>
      </c>
      <c r="AD163" s="10">
        <f t="shared" si="61"/>
        <v>300</v>
      </c>
      <c r="AE163" s="15">
        <v>80085</v>
      </c>
      <c r="AF163" s="16">
        <v>14416</v>
      </c>
      <c r="AG163" s="15">
        <f t="shared" si="62"/>
        <v>11415.000000000004</v>
      </c>
      <c r="AH163" s="15">
        <f t="shared" si="63"/>
        <v>2054.7000000000007</v>
      </c>
      <c r="AI163" s="15">
        <f t="shared" si="64"/>
        <v>91500</v>
      </c>
      <c r="AJ163" s="15">
        <f t="shared" si="65"/>
        <v>16470</v>
      </c>
      <c r="AK163" s="10">
        <v>80085</v>
      </c>
      <c r="AL163" s="15">
        <f t="shared" si="66"/>
        <v>91500</v>
      </c>
      <c r="AM163" s="15">
        <f t="shared" si="67"/>
        <v>6389117</v>
      </c>
      <c r="AN163" s="15">
        <f t="shared" si="68"/>
        <v>772184</v>
      </c>
      <c r="AO163" s="15">
        <f t="shared" si="73"/>
        <v>863684</v>
      </c>
      <c r="AP163" s="17">
        <f t="shared" si="69"/>
        <v>7252801</v>
      </c>
      <c r="AQ163" s="15">
        <v>4681372</v>
      </c>
      <c r="AR163" s="15">
        <v>0</v>
      </c>
      <c r="AS163" s="18">
        <f t="shared" si="74"/>
        <v>2571429</v>
      </c>
      <c r="AT163" s="19">
        <v>0</v>
      </c>
      <c r="AU163" s="8">
        <v>8800</v>
      </c>
      <c r="AV163" s="13">
        <f t="shared" si="75"/>
        <v>2684000</v>
      </c>
      <c r="AW163" s="18">
        <f t="shared" si="76"/>
        <v>6389117</v>
      </c>
      <c r="AX163" s="15">
        <f t="shared" si="70"/>
        <v>6390000</v>
      </c>
      <c r="AY163" s="20">
        <v>0.06</v>
      </c>
      <c r="AZ163" s="13">
        <f t="shared" si="71"/>
        <v>383400</v>
      </c>
      <c r="BA163" s="15">
        <f t="shared" si="72"/>
        <v>383400</v>
      </c>
      <c r="BB163" s="21">
        <f t="shared" si="77"/>
        <v>2954829</v>
      </c>
      <c r="BC163" s="10">
        <f t="shared" si="78"/>
        <v>13.863129475290519</v>
      </c>
      <c r="BD163" s="10">
        <f t="shared" si="79"/>
        <v>14.253605544109389</v>
      </c>
      <c r="BE163" s="10">
        <v>63.08</v>
      </c>
      <c r="BF163" s="10">
        <v>28.34</v>
      </c>
      <c r="BG163" s="107">
        <v>46176</v>
      </c>
      <c r="BH163" s="107">
        <f t="shared" si="81"/>
        <v>46206</v>
      </c>
      <c r="BI163" s="23">
        <v>6</v>
      </c>
      <c r="BJ163" s="6"/>
      <c r="BK163" s="6"/>
      <c r="BL163" s="24">
        <f>VLOOKUP(A163,[2]Sheet1!$D$2:$H$933,5,0)</f>
        <v>0</v>
      </c>
      <c r="BM163" s="6" t="s">
        <v>3828</v>
      </c>
      <c r="BN163" s="6" t="s">
        <v>3829</v>
      </c>
      <c r="BO163" s="6" t="s">
        <v>3820</v>
      </c>
      <c r="BP163" s="6" t="s">
        <v>3821</v>
      </c>
      <c r="BQ163" s="6" t="s">
        <v>3830</v>
      </c>
      <c r="BR163" t="s">
        <v>3823</v>
      </c>
      <c r="BS163" t="s">
        <v>3824</v>
      </c>
      <c r="BT163" t="s">
        <v>3825</v>
      </c>
      <c r="BU163" t="s">
        <v>3826</v>
      </c>
      <c r="BV163" t="s">
        <v>3827</v>
      </c>
      <c r="BW163" t="s">
        <v>3835</v>
      </c>
      <c r="BX163">
        <v>0</v>
      </c>
      <c r="BY163" t="s">
        <v>3868</v>
      </c>
      <c r="BZ163" t="s">
        <v>3872</v>
      </c>
    </row>
    <row r="164" spans="1:78" x14ac:dyDescent="0.25">
      <c r="A164" s="7" t="s">
        <v>740</v>
      </c>
      <c r="B164" s="7" t="s">
        <v>181</v>
      </c>
      <c r="C164" s="7" t="s">
        <v>738</v>
      </c>
      <c r="D164" s="8" t="s">
        <v>739</v>
      </c>
      <c r="E164" s="7" t="s">
        <v>741</v>
      </c>
      <c r="F164" s="9">
        <v>44995</v>
      </c>
      <c r="G164" s="9" t="s">
        <v>717</v>
      </c>
      <c r="H164" s="9" t="s">
        <v>87</v>
      </c>
      <c r="I164" s="8" t="s">
        <v>78</v>
      </c>
      <c r="J164" s="10">
        <v>832.49</v>
      </c>
      <c r="K164" s="10">
        <v>832.49</v>
      </c>
      <c r="L164" s="10">
        <f t="shared" si="55"/>
        <v>0</v>
      </c>
      <c r="M164" s="10">
        <v>388.58</v>
      </c>
      <c r="N164" s="10">
        <v>388.58</v>
      </c>
      <c r="O164" s="10">
        <f t="shared" si="56"/>
        <v>0</v>
      </c>
      <c r="P164" s="11">
        <v>9719.9389782459857</v>
      </c>
      <c r="Q164" s="11">
        <v>20823.902413917342</v>
      </c>
      <c r="R164" s="11">
        <v>40000</v>
      </c>
      <c r="S164" s="11">
        <v>8091752</v>
      </c>
      <c r="T164" s="11">
        <v>971012</v>
      </c>
      <c r="U164" s="12">
        <f t="shared" si="57"/>
        <v>0.12000021750543022</v>
      </c>
      <c r="V164" s="13">
        <f>L164*P164</f>
        <v>0</v>
      </c>
      <c r="W164" s="10">
        <f t="shared" si="58"/>
        <v>0</v>
      </c>
      <c r="X164" s="10"/>
      <c r="Y164" s="10"/>
      <c r="Z164" s="11">
        <f t="shared" si="59"/>
        <v>8091752</v>
      </c>
      <c r="AA164" s="14">
        <v>1096059</v>
      </c>
      <c r="AB164" s="14">
        <v>131528</v>
      </c>
      <c r="AC164" s="11">
        <f t="shared" si="60"/>
        <v>6995693</v>
      </c>
      <c r="AD164" s="10">
        <f t="shared" si="61"/>
        <v>300</v>
      </c>
      <c r="AE164" s="15">
        <v>116574</v>
      </c>
      <c r="AF164" s="16">
        <v>20984</v>
      </c>
      <c r="AG164" s="15">
        <f t="shared" si="62"/>
        <v>0</v>
      </c>
      <c r="AH164" s="15">
        <f t="shared" si="63"/>
        <v>0</v>
      </c>
      <c r="AI164" s="15">
        <f t="shared" si="64"/>
        <v>116574</v>
      </c>
      <c r="AJ164" s="15">
        <f t="shared" si="65"/>
        <v>20984</v>
      </c>
      <c r="AK164" s="10">
        <v>116574</v>
      </c>
      <c r="AL164" s="15">
        <f t="shared" si="66"/>
        <v>116574</v>
      </c>
      <c r="AM164" s="15">
        <f t="shared" si="67"/>
        <v>7112267</v>
      </c>
      <c r="AN164" s="15">
        <f t="shared" si="68"/>
        <v>860468</v>
      </c>
      <c r="AO164" s="15">
        <f t="shared" si="73"/>
        <v>977042</v>
      </c>
      <c r="AP164" s="17">
        <f t="shared" si="69"/>
        <v>8089309</v>
      </c>
      <c r="AQ164" s="15">
        <v>7057987</v>
      </c>
      <c r="AR164" s="15">
        <v>0</v>
      </c>
      <c r="AS164" s="18">
        <f t="shared" si="74"/>
        <v>1031322</v>
      </c>
      <c r="AT164" s="19">
        <v>0</v>
      </c>
      <c r="AU164" s="8">
        <v>8800</v>
      </c>
      <c r="AV164" s="13">
        <f t="shared" si="75"/>
        <v>3419504</v>
      </c>
      <c r="AW164" s="18">
        <f t="shared" si="76"/>
        <v>7112267</v>
      </c>
      <c r="AX164" s="15">
        <f t="shared" si="70"/>
        <v>7113000</v>
      </c>
      <c r="AY164" s="20">
        <v>7.0000000000000007E-2</v>
      </c>
      <c r="AZ164" s="13">
        <f t="shared" si="71"/>
        <v>497910.00000000006</v>
      </c>
      <c r="BA164" s="15">
        <f t="shared" si="72"/>
        <v>498000</v>
      </c>
      <c r="BB164" s="21">
        <f t="shared" si="77"/>
        <v>1529322</v>
      </c>
      <c r="BC164" s="10">
        <f t="shared" si="78"/>
        <v>0</v>
      </c>
      <c r="BD164" s="10">
        <f t="shared" si="79"/>
        <v>0</v>
      </c>
      <c r="BE164" s="10">
        <v>77.34</v>
      </c>
      <c r="BF164" s="10">
        <v>36.1</v>
      </c>
      <c r="BG164" s="107">
        <v>46176</v>
      </c>
      <c r="BH164" s="107">
        <f t="shared" si="81"/>
        <v>46206</v>
      </c>
      <c r="BI164" s="23">
        <v>7</v>
      </c>
      <c r="BJ164" s="6"/>
      <c r="BK164" s="6"/>
      <c r="BL164" s="24">
        <f>VLOOKUP(A164,[2]Sheet1!$D$2:$H$933,5,0)</f>
        <v>0</v>
      </c>
      <c r="BM164" s="6" t="s">
        <v>3828</v>
      </c>
      <c r="BN164" s="6" t="s">
        <v>3829</v>
      </c>
      <c r="BO164" s="6" t="s">
        <v>3820</v>
      </c>
      <c r="BP164" s="6" t="s">
        <v>3821</v>
      </c>
      <c r="BQ164" s="6" t="s">
        <v>3830</v>
      </c>
      <c r="BR164" t="s">
        <v>3823</v>
      </c>
      <c r="BS164" t="s">
        <v>3824</v>
      </c>
      <c r="BT164" t="s">
        <v>3825</v>
      </c>
      <c r="BU164" t="s">
        <v>3826</v>
      </c>
      <c r="BV164" t="s">
        <v>3827</v>
      </c>
      <c r="BW164" t="s">
        <v>3835</v>
      </c>
      <c r="BX164">
        <v>0</v>
      </c>
      <c r="BY164" t="s">
        <v>3866</v>
      </c>
      <c r="BZ164" t="s">
        <v>3872</v>
      </c>
    </row>
    <row r="165" spans="1:78" x14ac:dyDescent="0.25">
      <c r="A165" s="7" t="s">
        <v>744</v>
      </c>
      <c r="B165" s="7" t="s">
        <v>181</v>
      </c>
      <c r="C165" s="7" t="s">
        <v>742</v>
      </c>
      <c r="D165" s="8" t="s">
        <v>743</v>
      </c>
      <c r="E165" s="7" t="s">
        <v>745</v>
      </c>
      <c r="F165" s="9">
        <v>44860</v>
      </c>
      <c r="G165" s="9" t="s">
        <v>717</v>
      </c>
      <c r="H165" s="9" t="s">
        <v>87</v>
      </c>
      <c r="I165" s="8" t="s">
        <v>78</v>
      </c>
      <c r="J165" s="10">
        <v>602.78</v>
      </c>
      <c r="K165" s="10">
        <v>630</v>
      </c>
      <c r="L165" s="10">
        <f t="shared" si="55"/>
        <v>27.220000000000027</v>
      </c>
      <c r="M165" s="10">
        <v>258.33999999999997</v>
      </c>
      <c r="N165" s="10">
        <v>279</v>
      </c>
      <c r="O165" s="10">
        <f t="shared" si="56"/>
        <v>20.660000000000025</v>
      </c>
      <c r="P165" s="11">
        <v>29338.840041142706</v>
      </c>
      <c r="Q165" s="11">
        <v>68455.779205697923</v>
      </c>
      <c r="R165" s="11">
        <v>40000</v>
      </c>
      <c r="S165" s="11">
        <v>17684866</v>
      </c>
      <c r="T165" s="11">
        <v>2122184</v>
      </c>
      <c r="U165" s="12">
        <f t="shared" si="57"/>
        <v>0.12000000452364186</v>
      </c>
      <c r="V165" s="13">
        <f>L165*R165</f>
        <v>1088800.0000000012</v>
      </c>
      <c r="W165" s="10">
        <f t="shared" si="58"/>
        <v>130656.00492534139</v>
      </c>
      <c r="X165" s="15"/>
      <c r="Y165" s="15"/>
      <c r="Z165" s="11">
        <f t="shared" si="59"/>
        <v>18773666</v>
      </c>
      <c r="AA165" s="14">
        <v>3520031</v>
      </c>
      <c r="AB165" s="14">
        <v>422404</v>
      </c>
      <c r="AC165" s="11">
        <f t="shared" si="60"/>
        <v>15253635</v>
      </c>
      <c r="AD165" s="10">
        <f t="shared" si="61"/>
        <v>300.00000000000006</v>
      </c>
      <c r="AE165" s="15">
        <v>77502</v>
      </c>
      <c r="AF165" s="16">
        <v>13950</v>
      </c>
      <c r="AG165" s="15">
        <f t="shared" si="62"/>
        <v>6198.0000000000091</v>
      </c>
      <c r="AH165" s="15">
        <f t="shared" si="63"/>
        <v>1115.6400000000017</v>
      </c>
      <c r="AI165" s="15">
        <f t="shared" si="64"/>
        <v>83700.000000000015</v>
      </c>
      <c r="AJ165" s="15">
        <f t="shared" si="65"/>
        <v>15066</v>
      </c>
      <c r="AK165" s="10">
        <v>77502</v>
      </c>
      <c r="AL165" s="15">
        <f t="shared" si="66"/>
        <v>83700</v>
      </c>
      <c r="AM165" s="15">
        <f t="shared" si="67"/>
        <v>15337335</v>
      </c>
      <c r="AN165" s="15">
        <f t="shared" si="68"/>
        <v>1845503</v>
      </c>
      <c r="AO165" s="15">
        <f t="shared" si="73"/>
        <v>1929203</v>
      </c>
      <c r="AP165" s="17">
        <f t="shared" si="69"/>
        <v>17266538</v>
      </c>
      <c r="AQ165" s="15">
        <v>9941475</v>
      </c>
      <c r="AR165" s="15">
        <v>0</v>
      </c>
      <c r="AS165" s="18">
        <f t="shared" si="74"/>
        <v>7325063</v>
      </c>
      <c r="AT165" s="19">
        <v>0</v>
      </c>
      <c r="AU165" s="8">
        <v>8800</v>
      </c>
      <c r="AV165" s="13">
        <f t="shared" si="75"/>
        <v>2455200</v>
      </c>
      <c r="AW165" s="18">
        <f t="shared" si="76"/>
        <v>15337335</v>
      </c>
      <c r="AX165" s="15">
        <f t="shared" si="70"/>
        <v>15338000</v>
      </c>
      <c r="AY165" s="20">
        <v>7.0000000000000007E-2</v>
      </c>
      <c r="AZ165" s="13">
        <f t="shared" si="71"/>
        <v>1073660</v>
      </c>
      <c r="BA165" s="15">
        <f t="shared" si="72"/>
        <v>1073700</v>
      </c>
      <c r="BB165" s="21">
        <f t="shared" si="77"/>
        <v>8398763</v>
      </c>
      <c r="BC165" s="10">
        <f t="shared" si="78"/>
        <v>4.5157437207604811</v>
      </c>
      <c r="BD165" s="10">
        <f t="shared" si="79"/>
        <v>7.9972129751490391</v>
      </c>
      <c r="BE165" s="10">
        <v>58.53</v>
      </c>
      <c r="BF165" s="10">
        <v>25.92</v>
      </c>
      <c r="BG165" s="107">
        <v>46176</v>
      </c>
      <c r="BH165" s="107">
        <f t="shared" si="81"/>
        <v>46206</v>
      </c>
      <c r="BI165" s="23">
        <v>7</v>
      </c>
      <c r="BJ165" s="6"/>
      <c r="BK165" s="6"/>
      <c r="BL165" s="24">
        <f>VLOOKUP(A165,[2]Sheet1!$D$2:$H$933,5,0)</f>
        <v>0</v>
      </c>
      <c r="BM165" s="6" t="s">
        <v>3828</v>
      </c>
      <c r="BN165" s="6" t="s">
        <v>3829</v>
      </c>
      <c r="BO165" s="6" t="s">
        <v>3820</v>
      </c>
      <c r="BP165" s="6" t="s">
        <v>3821</v>
      </c>
      <c r="BQ165" s="6" t="s">
        <v>3830</v>
      </c>
      <c r="BR165" t="s">
        <v>3823</v>
      </c>
      <c r="BS165" t="s">
        <v>3824</v>
      </c>
      <c r="BT165" t="s">
        <v>3825</v>
      </c>
      <c r="BU165" t="s">
        <v>3826</v>
      </c>
      <c r="BV165" t="s">
        <v>3827</v>
      </c>
      <c r="BW165" t="s">
        <v>3835</v>
      </c>
      <c r="BX165">
        <v>0</v>
      </c>
      <c r="BY165" t="s">
        <v>3866</v>
      </c>
      <c r="BZ165" t="s">
        <v>3872</v>
      </c>
    </row>
    <row r="166" spans="1:78" x14ac:dyDescent="0.25">
      <c r="A166" s="7" t="s">
        <v>748</v>
      </c>
      <c r="B166" s="7" t="s">
        <v>181</v>
      </c>
      <c r="C166" s="7" t="s">
        <v>746</v>
      </c>
      <c r="D166" s="8" t="s">
        <v>747</v>
      </c>
      <c r="E166" s="7" t="s">
        <v>749</v>
      </c>
      <c r="F166" s="9">
        <v>44956</v>
      </c>
      <c r="G166" s="9" t="s">
        <v>717</v>
      </c>
      <c r="H166" s="9" t="s">
        <v>92</v>
      </c>
      <c r="I166" s="8" t="s">
        <v>78</v>
      </c>
      <c r="J166" s="10">
        <v>1064.1300000000001</v>
      </c>
      <c r="K166" s="10">
        <v>1096</v>
      </c>
      <c r="L166" s="10">
        <f t="shared" si="55"/>
        <v>31.869999999999891</v>
      </c>
      <c r="M166" s="10">
        <v>482.66</v>
      </c>
      <c r="N166" s="10">
        <v>503</v>
      </c>
      <c r="O166" s="10">
        <f t="shared" si="56"/>
        <v>20.339999999999975</v>
      </c>
      <c r="P166" s="11">
        <v>13701.857855713117</v>
      </c>
      <c r="Q166" s="11">
        <v>30208.755645796213</v>
      </c>
      <c r="R166" s="11">
        <v>28000</v>
      </c>
      <c r="S166" s="11">
        <v>14580558</v>
      </c>
      <c r="T166" s="11">
        <v>1749668</v>
      </c>
      <c r="U166" s="12">
        <f t="shared" si="57"/>
        <v>0.12000007132786002</v>
      </c>
      <c r="V166" s="13">
        <f>L166*R166</f>
        <v>892359.99999999697</v>
      </c>
      <c r="W166" s="10">
        <f t="shared" si="58"/>
        <v>107083.26365012881</v>
      </c>
      <c r="X166" s="15"/>
      <c r="Y166" s="15"/>
      <c r="Z166" s="11">
        <f t="shared" si="59"/>
        <v>15472917.999999996</v>
      </c>
      <c r="AA166" s="14"/>
      <c r="AB166" s="14"/>
      <c r="AC166" s="11">
        <f t="shared" si="60"/>
        <v>15472917.999999996</v>
      </c>
      <c r="AD166" s="10">
        <f t="shared" si="61"/>
        <v>300</v>
      </c>
      <c r="AE166" s="15">
        <v>144798</v>
      </c>
      <c r="AF166" s="16">
        <v>26064</v>
      </c>
      <c r="AG166" s="15">
        <f t="shared" si="62"/>
        <v>6101.9999999999927</v>
      </c>
      <c r="AH166" s="15">
        <f t="shared" si="63"/>
        <v>1098.3599999999988</v>
      </c>
      <c r="AI166" s="15">
        <f t="shared" si="64"/>
        <v>150900</v>
      </c>
      <c r="AJ166" s="15">
        <f t="shared" si="65"/>
        <v>27162</v>
      </c>
      <c r="AK166" s="10">
        <v>144798</v>
      </c>
      <c r="AL166" s="15">
        <f t="shared" si="66"/>
        <v>150900</v>
      </c>
      <c r="AM166" s="15">
        <f t="shared" si="67"/>
        <v>15623818</v>
      </c>
      <c r="AN166" s="15">
        <f t="shared" si="68"/>
        <v>1883914</v>
      </c>
      <c r="AO166" s="15">
        <f t="shared" si="73"/>
        <v>2034814</v>
      </c>
      <c r="AP166" s="17">
        <f t="shared" si="69"/>
        <v>17658632</v>
      </c>
      <c r="AQ166" s="15">
        <v>14697201</v>
      </c>
      <c r="AR166" s="15">
        <v>0</v>
      </c>
      <c r="AS166" s="18">
        <f t="shared" si="74"/>
        <v>2961431</v>
      </c>
      <c r="AT166" s="19">
        <v>0</v>
      </c>
      <c r="AU166" s="8">
        <v>8800</v>
      </c>
      <c r="AV166" s="13">
        <f t="shared" si="75"/>
        <v>4426400</v>
      </c>
      <c r="AW166" s="18">
        <f t="shared" si="76"/>
        <v>15623818</v>
      </c>
      <c r="AX166" s="15">
        <f t="shared" si="70"/>
        <v>15624000</v>
      </c>
      <c r="AY166" s="20">
        <v>0.06</v>
      </c>
      <c r="AZ166" s="13">
        <f t="shared" si="71"/>
        <v>937440</v>
      </c>
      <c r="BA166" s="15">
        <f t="shared" si="72"/>
        <v>937500</v>
      </c>
      <c r="BB166" s="21">
        <f t="shared" si="77"/>
        <v>3898931</v>
      </c>
      <c r="BC166" s="10">
        <f t="shared" si="78"/>
        <v>2.9949348293911351</v>
      </c>
      <c r="BD166" s="10">
        <f t="shared" si="79"/>
        <v>4.2141466042348599</v>
      </c>
      <c r="BE166" s="10">
        <v>101.82</v>
      </c>
      <c r="BF166" s="10">
        <v>46.73</v>
      </c>
      <c r="BG166" s="107">
        <v>46176</v>
      </c>
      <c r="BH166" s="107">
        <f t="shared" si="81"/>
        <v>46206</v>
      </c>
      <c r="BI166" s="23">
        <v>6</v>
      </c>
      <c r="BJ166" s="6"/>
      <c r="BK166" s="6"/>
      <c r="BL166" s="24">
        <f>VLOOKUP(A166,[2]Sheet1!$D$2:$H$933,5,0)</f>
        <v>0</v>
      </c>
      <c r="BM166" s="6" t="s">
        <v>3828</v>
      </c>
      <c r="BN166" s="6" t="s">
        <v>3829</v>
      </c>
      <c r="BO166" s="6" t="s">
        <v>3820</v>
      </c>
      <c r="BP166" s="6" t="s">
        <v>3821</v>
      </c>
      <c r="BQ166" s="6" t="s">
        <v>3830</v>
      </c>
      <c r="BR166" t="s">
        <v>3823</v>
      </c>
      <c r="BS166" t="s">
        <v>3824</v>
      </c>
      <c r="BT166" t="s">
        <v>3825</v>
      </c>
      <c r="BU166" t="s">
        <v>3826</v>
      </c>
      <c r="BV166" t="s">
        <v>3827</v>
      </c>
      <c r="BW166" t="s">
        <v>3835</v>
      </c>
      <c r="BX166">
        <v>0</v>
      </c>
      <c r="BY166" t="s">
        <v>3866</v>
      </c>
      <c r="BZ166" t="s">
        <v>3872</v>
      </c>
    </row>
    <row r="167" spans="1:78" x14ac:dyDescent="0.25">
      <c r="A167" s="31" t="s">
        <v>752</v>
      </c>
      <c r="B167" s="31" t="s">
        <v>181</v>
      </c>
      <c r="C167" s="31" t="s">
        <v>750</v>
      </c>
      <c r="D167" s="32" t="s">
        <v>751</v>
      </c>
      <c r="E167" s="31" t="s">
        <v>753</v>
      </c>
      <c r="F167" s="33">
        <v>44866</v>
      </c>
      <c r="G167" s="33" t="s">
        <v>717</v>
      </c>
      <c r="H167" s="33" t="s">
        <v>92</v>
      </c>
      <c r="I167" s="32" t="s">
        <v>78</v>
      </c>
      <c r="J167" s="34">
        <v>753.48</v>
      </c>
      <c r="K167" s="34">
        <v>775</v>
      </c>
      <c r="L167" s="34">
        <f t="shared" si="55"/>
        <v>21.519999999999982</v>
      </c>
      <c r="M167" s="34">
        <v>335.3</v>
      </c>
      <c r="N167" s="34">
        <v>350</v>
      </c>
      <c r="O167" s="34">
        <f t="shared" si="56"/>
        <v>14.699999999999989</v>
      </c>
      <c r="P167" s="35">
        <v>25926.420077507035</v>
      </c>
      <c r="Q167" s="35">
        <v>58261.374888159851</v>
      </c>
      <c r="R167" s="35">
        <v>28000</v>
      </c>
      <c r="S167" s="35">
        <v>19535039</v>
      </c>
      <c r="T167" s="35">
        <v>2344204</v>
      </c>
      <c r="U167" s="36">
        <f t="shared" si="57"/>
        <v>0.11999996519075289</v>
      </c>
      <c r="V167" s="37">
        <f>L167*R167</f>
        <v>602559.99999999953</v>
      </c>
      <c r="W167" s="34">
        <f t="shared" si="58"/>
        <v>72307.179025339996</v>
      </c>
      <c r="X167" s="39"/>
      <c r="Y167" s="39"/>
      <c r="Z167" s="35">
        <f t="shared" si="59"/>
        <v>20137599</v>
      </c>
      <c r="AA167" s="38">
        <v>6674368</v>
      </c>
      <c r="AB167" s="38">
        <v>800923</v>
      </c>
      <c r="AC167" s="35">
        <f t="shared" si="60"/>
        <v>13463231</v>
      </c>
      <c r="AD167" s="34">
        <f t="shared" si="61"/>
        <v>300</v>
      </c>
      <c r="AE167" s="39">
        <v>100590</v>
      </c>
      <c r="AF167" s="40">
        <v>18106</v>
      </c>
      <c r="AG167" s="39">
        <f t="shared" si="62"/>
        <v>4409.9999999999964</v>
      </c>
      <c r="AH167" s="39">
        <f t="shared" si="63"/>
        <v>793.79999999999927</v>
      </c>
      <c r="AI167" s="39">
        <f t="shared" si="64"/>
        <v>105000</v>
      </c>
      <c r="AJ167" s="39">
        <f t="shared" si="65"/>
        <v>18900</v>
      </c>
      <c r="AK167" s="34">
        <v>100590</v>
      </c>
      <c r="AL167" s="39">
        <f t="shared" si="66"/>
        <v>105000</v>
      </c>
      <c r="AM167" s="39">
        <f t="shared" si="67"/>
        <v>13568231</v>
      </c>
      <c r="AN167" s="39">
        <f t="shared" si="68"/>
        <v>1634489</v>
      </c>
      <c r="AO167" s="39">
        <f t="shared" si="73"/>
        <v>1739489</v>
      </c>
      <c r="AP167" s="41">
        <f t="shared" si="69"/>
        <v>15307720</v>
      </c>
      <c r="AQ167" s="39">
        <v>7628941.0500000007</v>
      </c>
      <c r="AR167" s="15">
        <v>0</v>
      </c>
      <c r="AS167" s="42">
        <f t="shared" si="74"/>
        <v>7678779</v>
      </c>
      <c r="AT167" s="43">
        <v>0</v>
      </c>
      <c r="AU167" s="32">
        <v>8800</v>
      </c>
      <c r="AV167" s="37">
        <f t="shared" si="75"/>
        <v>3080000</v>
      </c>
      <c r="AW167" s="42">
        <f t="shared" si="76"/>
        <v>13568231</v>
      </c>
      <c r="AX167" s="39">
        <f t="shared" si="70"/>
        <v>13569000</v>
      </c>
      <c r="AY167" s="44">
        <v>0.05</v>
      </c>
      <c r="AZ167" s="37">
        <f t="shared" si="71"/>
        <v>678450</v>
      </c>
      <c r="BA167" s="39">
        <f t="shared" si="72"/>
        <v>678500</v>
      </c>
      <c r="BB167" s="45">
        <f t="shared" si="77"/>
        <v>8357279</v>
      </c>
      <c r="BC167" s="34">
        <f t="shared" si="78"/>
        <v>2.8560811169506795</v>
      </c>
      <c r="BD167" s="34">
        <f t="shared" si="79"/>
        <v>4.384133611691019</v>
      </c>
      <c r="BE167" s="34">
        <v>72</v>
      </c>
      <c r="BF167" s="34">
        <v>32.520000000000003</v>
      </c>
      <c r="BG167" s="107">
        <v>46176</v>
      </c>
      <c r="BH167" s="108">
        <f t="shared" si="81"/>
        <v>46206</v>
      </c>
      <c r="BI167" s="46">
        <v>5</v>
      </c>
      <c r="BJ167" s="47" t="s">
        <v>754</v>
      </c>
      <c r="BK167" s="47"/>
      <c r="BL167" s="24">
        <f>VLOOKUP(A167,[2]Sheet1!$D$2:$H$933,5,0)</f>
        <v>0</v>
      </c>
      <c r="BM167" s="6" t="s">
        <v>3828</v>
      </c>
      <c r="BN167" s="6" t="s">
        <v>3829</v>
      </c>
      <c r="BO167" s="6" t="s">
        <v>3820</v>
      </c>
      <c r="BP167" s="6" t="s">
        <v>3821</v>
      </c>
      <c r="BQ167" s="6" t="s">
        <v>3830</v>
      </c>
      <c r="BR167" t="s">
        <v>3823</v>
      </c>
      <c r="BS167" t="s">
        <v>3824</v>
      </c>
      <c r="BT167" t="s">
        <v>3825</v>
      </c>
      <c r="BU167" t="s">
        <v>3826</v>
      </c>
      <c r="BV167" t="s">
        <v>3827</v>
      </c>
      <c r="BW167" t="s">
        <v>3835</v>
      </c>
      <c r="BX167" s="101"/>
      <c r="BY167" t="s">
        <v>3866</v>
      </c>
      <c r="BZ167" t="s">
        <v>3872</v>
      </c>
    </row>
    <row r="168" spans="1:78" x14ac:dyDescent="0.25">
      <c r="A168" s="7" t="s">
        <v>757</v>
      </c>
      <c r="B168" s="7" t="s">
        <v>181</v>
      </c>
      <c r="C168" s="7" t="s">
        <v>755</v>
      </c>
      <c r="D168" s="8" t="s">
        <v>756</v>
      </c>
      <c r="E168" s="7" t="s">
        <v>758</v>
      </c>
      <c r="F168" s="9">
        <v>44886</v>
      </c>
      <c r="G168" s="9" t="s">
        <v>717</v>
      </c>
      <c r="H168" s="9" t="s">
        <v>92</v>
      </c>
      <c r="I168" s="8" t="s">
        <v>78</v>
      </c>
      <c r="J168" s="10">
        <v>794.38</v>
      </c>
      <c r="K168" s="10">
        <v>794.38</v>
      </c>
      <c r="L168" s="10">
        <f t="shared" si="55"/>
        <v>0</v>
      </c>
      <c r="M168" s="10">
        <v>353.6</v>
      </c>
      <c r="N168" s="10">
        <v>353.6</v>
      </c>
      <c r="O168" s="10">
        <f t="shared" si="56"/>
        <v>0</v>
      </c>
      <c r="P168" s="11">
        <v>9601.5697776882607</v>
      </c>
      <c r="Q168" s="11">
        <v>21570.404411764706</v>
      </c>
      <c r="R168" s="11">
        <v>28000</v>
      </c>
      <c r="S168" s="11">
        <v>7627295</v>
      </c>
      <c r="T168" s="11">
        <v>915276</v>
      </c>
      <c r="U168" s="12">
        <f t="shared" si="57"/>
        <v>0.12000007866484776</v>
      </c>
      <c r="V168" s="13">
        <f>L168*P168</f>
        <v>0</v>
      </c>
      <c r="W168" s="10">
        <f t="shared" si="58"/>
        <v>0</v>
      </c>
      <c r="X168" s="10"/>
      <c r="Y168" s="10"/>
      <c r="Z168" s="11">
        <f t="shared" si="59"/>
        <v>7627295</v>
      </c>
      <c r="AA168" s="14">
        <v>1699699</v>
      </c>
      <c r="AB168" s="14">
        <v>203964</v>
      </c>
      <c r="AC168" s="11">
        <f t="shared" si="60"/>
        <v>5927596</v>
      </c>
      <c r="AD168" s="10">
        <f t="shared" si="61"/>
        <v>300</v>
      </c>
      <c r="AE168" s="15">
        <v>106080</v>
      </c>
      <c r="AF168" s="16">
        <v>19094</v>
      </c>
      <c r="AG168" s="15">
        <f t="shared" si="62"/>
        <v>0</v>
      </c>
      <c r="AH168" s="15">
        <f t="shared" si="63"/>
        <v>0</v>
      </c>
      <c r="AI168" s="15">
        <f t="shared" si="64"/>
        <v>106080</v>
      </c>
      <c r="AJ168" s="15">
        <f t="shared" si="65"/>
        <v>19095</v>
      </c>
      <c r="AK168" s="10">
        <v>106080</v>
      </c>
      <c r="AL168" s="15">
        <f t="shared" si="66"/>
        <v>106080</v>
      </c>
      <c r="AM168" s="15">
        <f t="shared" si="67"/>
        <v>6033676</v>
      </c>
      <c r="AN168" s="15">
        <f t="shared" si="68"/>
        <v>730407</v>
      </c>
      <c r="AO168" s="15">
        <f t="shared" si="73"/>
        <v>836487</v>
      </c>
      <c r="AP168" s="17">
        <f t="shared" si="69"/>
        <v>6870163</v>
      </c>
      <c r="AQ168" s="15">
        <v>5784650</v>
      </c>
      <c r="AR168" s="15">
        <v>0</v>
      </c>
      <c r="AS168" s="18">
        <f t="shared" si="74"/>
        <v>1085513</v>
      </c>
      <c r="AT168" s="19">
        <v>0</v>
      </c>
      <c r="AU168" s="8">
        <v>8800</v>
      </c>
      <c r="AV168" s="13">
        <f t="shared" si="75"/>
        <v>3111680</v>
      </c>
      <c r="AW168" s="18">
        <f t="shared" si="76"/>
        <v>6033676</v>
      </c>
      <c r="AX168" s="15">
        <f t="shared" si="70"/>
        <v>6034000</v>
      </c>
      <c r="AY168" s="20">
        <v>7.0000000000000007E-2</v>
      </c>
      <c r="AZ168" s="13">
        <f t="shared" si="71"/>
        <v>422380.00000000006</v>
      </c>
      <c r="BA168" s="15">
        <f t="shared" si="72"/>
        <v>422400</v>
      </c>
      <c r="BB168" s="21">
        <f t="shared" si="77"/>
        <v>1507913</v>
      </c>
      <c r="BC168" s="10">
        <f t="shared" si="78"/>
        <v>0</v>
      </c>
      <c r="BD168" s="10">
        <f t="shared" si="79"/>
        <v>0</v>
      </c>
      <c r="BE168" s="10">
        <v>73.8</v>
      </c>
      <c r="BF168" s="10">
        <v>32.85</v>
      </c>
      <c r="BG168" s="107">
        <v>46176</v>
      </c>
      <c r="BH168" s="107">
        <f t="shared" si="81"/>
        <v>46206</v>
      </c>
      <c r="BI168" s="23">
        <v>7</v>
      </c>
      <c r="BJ168" s="6"/>
      <c r="BK168" s="6"/>
      <c r="BL168" s="24">
        <f>VLOOKUP(A168,[2]Sheet1!$D$2:$H$933,5,0)</f>
        <v>0</v>
      </c>
      <c r="BM168" s="6" t="s">
        <v>3828</v>
      </c>
      <c r="BN168" s="6" t="s">
        <v>3829</v>
      </c>
      <c r="BO168" s="6" t="s">
        <v>3820</v>
      </c>
      <c r="BP168" s="6" t="s">
        <v>3821</v>
      </c>
      <c r="BQ168" s="6" t="s">
        <v>3830</v>
      </c>
      <c r="BR168" t="s">
        <v>3823</v>
      </c>
      <c r="BS168" t="s">
        <v>3824</v>
      </c>
      <c r="BT168" t="s">
        <v>3825</v>
      </c>
      <c r="BU168" t="s">
        <v>3826</v>
      </c>
      <c r="BV168" t="s">
        <v>3827</v>
      </c>
      <c r="BW168" t="s">
        <v>3835</v>
      </c>
      <c r="BX168">
        <v>0</v>
      </c>
      <c r="BY168" t="s">
        <v>3862</v>
      </c>
      <c r="BZ168" t="s">
        <v>3872</v>
      </c>
    </row>
    <row r="169" spans="1:78" x14ac:dyDescent="0.25">
      <c r="A169" s="7" t="s">
        <v>761</v>
      </c>
      <c r="B169" s="7" t="s">
        <v>181</v>
      </c>
      <c r="C169" s="72" t="s">
        <v>759</v>
      </c>
      <c r="D169" s="72" t="s">
        <v>760</v>
      </c>
      <c r="E169" s="7" t="s">
        <v>762</v>
      </c>
      <c r="F169" s="9">
        <v>45733</v>
      </c>
      <c r="G169" s="9" t="s">
        <v>527</v>
      </c>
      <c r="H169" s="9" t="s">
        <v>87</v>
      </c>
      <c r="I169" s="8" t="s">
        <v>67</v>
      </c>
      <c r="J169" s="73">
        <v>397.07</v>
      </c>
      <c r="K169" s="10">
        <v>420.3</v>
      </c>
      <c r="L169" s="10">
        <f t="shared" si="55"/>
        <v>23.230000000000018</v>
      </c>
      <c r="M169" s="73">
        <v>158.22999999999999</v>
      </c>
      <c r="N169" s="10">
        <v>167.49</v>
      </c>
      <c r="O169" s="10">
        <f t="shared" si="56"/>
        <v>9.2600000000000193</v>
      </c>
      <c r="P169" s="11">
        <v>31679.998488931422</v>
      </c>
      <c r="Q169" s="11">
        <v>79615.044303797462</v>
      </c>
      <c r="R169" s="11">
        <v>40000</v>
      </c>
      <c r="S169" s="14">
        <v>12579177</v>
      </c>
      <c r="T169" s="14">
        <v>1509502</v>
      </c>
      <c r="U169" s="12">
        <f t="shared" si="57"/>
        <v>0.12000006041730711</v>
      </c>
      <c r="V169" s="13">
        <f>L169*R169</f>
        <v>929200.0000000007</v>
      </c>
      <c r="W169" s="10">
        <f t="shared" si="58"/>
        <v>111504.05613976186</v>
      </c>
      <c r="X169" s="15"/>
      <c r="Y169" s="15"/>
      <c r="Z169" s="11">
        <f t="shared" si="59"/>
        <v>13508377</v>
      </c>
      <c r="AA169" s="14"/>
      <c r="AB169" s="14"/>
      <c r="AC169" s="11">
        <f t="shared" si="60"/>
        <v>13508377</v>
      </c>
      <c r="AD169" s="10">
        <f t="shared" si="61"/>
        <v>300</v>
      </c>
      <c r="AE169" s="73">
        <v>47469</v>
      </c>
      <c r="AF169" s="16">
        <v>8544</v>
      </c>
      <c r="AG169" s="15">
        <f t="shared" si="62"/>
        <v>2778.0000000000059</v>
      </c>
      <c r="AH169" s="15">
        <f t="shared" si="63"/>
        <v>500.04000000000104</v>
      </c>
      <c r="AI169" s="15">
        <f t="shared" si="64"/>
        <v>50247</v>
      </c>
      <c r="AJ169" s="15">
        <f t="shared" si="65"/>
        <v>9045</v>
      </c>
      <c r="AK169" s="73">
        <v>47469</v>
      </c>
      <c r="AL169" s="15">
        <f t="shared" si="66"/>
        <v>50247</v>
      </c>
      <c r="AM169" s="15">
        <f t="shared" si="67"/>
        <v>13558624</v>
      </c>
      <c r="AN169" s="15">
        <f t="shared" si="68"/>
        <v>1630052</v>
      </c>
      <c r="AO169" s="15">
        <f t="shared" si="73"/>
        <v>1680299</v>
      </c>
      <c r="AP169" s="17">
        <f t="shared" si="69"/>
        <v>15238923</v>
      </c>
      <c r="AQ169" s="15">
        <v>4400000</v>
      </c>
      <c r="AR169" s="15">
        <v>0</v>
      </c>
      <c r="AS169" s="18">
        <f t="shared" si="74"/>
        <v>10838923</v>
      </c>
      <c r="AT169" s="19">
        <v>0</v>
      </c>
      <c r="AU169" s="8">
        <v>8800</v>
      </c>
      <c r="AV169" s="13">
        <f t="shared" si="75"/>
        <v>1473912</v>
      </c>
      <c r="AW169" s="18">
        <f t="shared" si="76"/>
        <v>13558624</v>
      </c>
      <c r="AX169" s="15">
        <f t="shared" si="70"/>
        <v>13559000</v>
      </c>
      <c r="AY169" s="20">
        <v>7.0000000000000007E-2</v>
      </c>
      <c r="AZ169" s="13">
        <f t="shared" si="71"/>
        <v>949130.00000000012</v>
      </c>
      <c r="BA169" s="15">
        <f t="shared" si="72"/>
        <v>949200</v>
      </c>
      <c r="BB169" s="21">
        <f t="shared" si="77"/>
        <v>11788123</v>
      </c>
      <c r="BC169" s="10">
        <f t="shared" si="78"/>
        <v>5.850353841891863</v>
      </c>
      <c r="BD169" s="10">
        <f t="shared" si="79"/>
        <v>5.8522404095304434</v>
      </c>
      <c r="BE169" s="10">
        <v>39.049999999999997</v>
      </c>
      <c r="BF169" s="10">
        <v>15.56</v>
      </c>
      <c r="BG169" s="107">
        <v>46176</v>
      </c>
      <c r="BH169" s="107">
        <v>46230</v>
      </c>
      <c r="BI169" s="23">
        <v>7</v>
      </c>
      <c r="BJ169" s="6"/>
      <c r="BK169" s="6"/>
      <c r="BL169" s="24">
        <f>VLOOKUP(A169,[2]Sheet1!$D$2:$H$933,5,0)</f>
        <v>0</v>
      </c>
      <c r="BM169" s="6" t="s">
        <v>3828</v>
      </c>
      <c r="BN169" s="6" t="s">
        <v>3829</v>
      </c>
      <c r="BO169" s="6" t="s">
        <v>3820</v>
      </c>
      <c r="BP169" s="6" t="s">
        <v>3821</v>
      </c>
      <c r="BQ169" s="6" t="s">
        <v>3830</v>
      </c>
      <c r="BR169" t="s">
        <v>3823</v>
      </c>
      <c r="BS169" t="s">
        <v>3824</v>
      </c>
      <c r="BT169" t="s">
        <v>3825</v>
      </c>
      <c r="BU169" t="s">
        <v>3826</v>
      </c>
      <c r="BV169" t="s">
        <v>3827</v>
      </c>
      <c r="BW169" t="s">
        <v>3835</v>
      </c>
      <c r="BX169">
        <v>0</v>
      </c>
      <c r="BY169" t="s">
        <v>3864</v>
      </c>
      <c r="BZ169" t="s">
        <v>3871</v>
      </c>
    </row>
    <row r="170" spans="1:78" x14ac:dyDescent="0.25">
      <c r="A170" s="7" t="s">
        <v>765</v>
      </c>
      <c r="B170" s="7" t="s">
        <v>181</v>
      </c>
      <c r="C170" s="72" t="s">
        <v>763</v>
      </c>
      <c r="D170" s="72" t="s">
        <v>764</v>
      </c>
      <c r="E170" s="7" t="s">
        <v>766</v>
      </c>
      <c r="F170" s="9">
        <v>45736</v>
      </c>
      <c r="G170" s="9" t="s">
        <v>527</v>
      </c>
      <c r="H170" s="9" t="s">
        <v>66</v>
      </c>
      <c r="I170" s="8" t="s">
        <v>67</v>
      </c>
      <c r="J170" s="73">
        <v>399.46</v>
      </c>
      <c r="K170" s="10">
        <v>399.46</v>
      </c>
      <c r="L170" s="10">
        <f t="shared" si="55"/>
        <v>0</v>
      </c>
      <c r="M170" s="73">
        <v>162.54</v>
      </c>
      <c r="N170" s="10">
        <v>162.54</v>
      </c>
      <c r="O170" s="10">
        <f t="shared" si="56"/>
        <v>0</v>
      </c>
      <c r="P170" s="11">
        <v>11150.002503379563</v>
      </c>
      <c r="Q170" s="11">
        <v>27402.362495385754</v>
      </c>
      <c r="R170" s="11">
        <v>22000</v>
      </c>
      <c r="S170" s="14">
        <v>4453980</v>
      </c>
      <c r="T170" s="14">
        <v>534478</v>
      </c>
      <c r="U170" s="12">
        <f t="shared" si="57"/>
        <v>0.1200000898073184</v>
      </c>
      <c r="V170" s="13">
        <f t="shared" ref="V170:V202" si="82">L170*P170</f>
        <v>0</v>
      </c>
      <c r="W170" s="10">
        <f t="shared" si="58"/>
        <v>0</v>
      </c>
      <c r="X170" s="10"/>
      <c r="Y170" s="10"/>
      <c r="Z170" s="11">
        <f t="shared" si="59"/>
        <v>4453980</v>
      </c>
      <c r="AA170" s="14"/>
      <c r="AB170" s="14"/>
      <c r="AC170" s="11">
        <f t="shared" si="60"/>
        <v>4453980</v>
      </c>
      <c r="AD170" s="10">
        <f t="shared" si="61"/>
        <v>300</v>
      </c>
      <c r="AE170" s="73">
        <v>48762</v>
      </c>
      <c r="AF170" s="16">
        <v>8778</v>
      </c>
      <c r="AG170" s="15">
        <f t="shared" si="62"/>
        <v>0</v>
      </c>
      <c r="AH170" s="15">
        <f t="shared" si="63"/>
        <v>0</v>
      </c>
      <c r="AI170" s="15">
        <f t="shared" si="64"/>
        <v>48762</v>
      </c>
      <c r="AJ170" s="15">
        <f t="shared" si="65"/>
        <v>8778</v>
      </c>
      <c r="AK170" s="73">
        <v>48762</v>
      </c>
      <c r="AL170" s="15">
        <f t="shared" si="66"/>
        <v>48762</v>
      </c>
      <c r="AM170" s="15">
        <f t="shared" si="67"/>
        <v>4502742</v>
      </c>
      <c r="AN170" s="15">
        <f t="shared" si="68"/>
        <v>543256</v>
      </c>
      <c r="AO170" s="15">
        <f t="shared" si="73"/>
        <v>592018</v>
      </c>
      <c r="AP170" s="17">
        <f t="shared" si="69"/>
        <v>5094760</v>
      </c>
      <c r="AQ170" s="15">
        <v>1496537</v>
      </c>
      <c r="AR170" s="15">
        <v>0</v>
      </c>
      <c r="AS170" s="18">
        <f t="shared" si="74"/>
        <v>3598223</v>
      </c>
      <c r="AT170" s="19">
        <v>0</v>
      </c>
      <c r="AU170" s="8">
        <v>8800</v>
      </c>
      <c r="AV170" s="13">
        <f t="shared" si="75"/>
        <v>1430352</v>
      </c>
      <c r="AW170" s="18">
        <f t="shared" si="76"/>
        <v>4502742</v>
      </c>
      <c r="AX170" s="15">
        <f t="shared" si="70"/>
        <v>4503000</v>
      </c>
      <c r="AY170" s="20">
        <v>0.05</v>
      </c>
      <c r="AZ170" s="13">
        <f t="shared" si="71"/>
        <v>225150</v>
      </c>
      <c r="BA170" s="15">
        <f t="shared" si="72"/>
        <v>225200</v>
      </c>
      <c r="BB170" s="21">
        <f t="shared" si="77"/>
        <v>3823423</v>
      </c>
      <c r="BC170" s="10">
        <f t="shared" si="78"/>
        <v>0</v>
      </c>
      <c r="BD170" s="10">
        <f t="shared" si="79"/>
        <v>0</v>
      </c>
      <c r="BE170" s="10">
        <v>37.11</v>
      </c>
      <c r="BF170" s="10">
        <v>15.1</v>
      </c>
      <c r="BG170" s="107">
        <v>46176</v>
      </c>
      <c r="BH170" s="107">
        <f>BG170+30</f>
        <v>46206</v>
      </c>
      <c r="BI170" s="23">
        <v>5</v>
      </c>
      <c r="BJ170" s="6"/>
      <c r="BK170" s="6"/>
      <c r="BL170" s="24">
        <f>VLOOKUP(A170,[2]Sheet1!$D$2:$H$933,5,0)</f>
        <v>0</v>
      </c>
      <c r="BM170" s="6" t="s">
        <v>3828</v>
      </c>
      <c r="BN170" s="6" t="s">
        <v>3829</v>
      </c>
      <c r="BO170" s="6" t="s">
        <v>3820</v>
      </c>
      <c r="BP170" s="6" t="s">
        <v>3821</v>
      </c>
      <c r="BQ170" s="6" t="s">
        <v>3830</v>
      </c>
      <c r="BR170" t="s">
        <v>3823</v>
      </c>
      <c r="BS170" t="s">
        <v>3824</v>
      </c>
      <c r="BT170" t="s">
        <v>3825</v>
      </c>
      <c r="BU170" t="s">
        <v>3826</v>
      </c>
      <c r="BV170" t="s">
        <v>3827</v>
      </c>
      <c r="BW170" t="s">
        <v>3835</v>
      </c>
      <c r="BX170">
        <v>0</v>
      </c>
      <c r="BY170" t="s">
        <v>3864</v>
      </c>
      <c r="BZ170" t="s">
        <v>3871</v>
      </c>
    </row>
    <row r="171" spans="1:78" x14ac:dyDescent="0.25">
      <c r="A171" s="25" t="s">
        <v>769</v>
      </c>
      <c r="B171" s="7" t="s">
        <v>181</v>
      </c>
      <c r="C171" s="8" t="s">
        <v>767</v>
      </c>
      <c r="D171" s="8" t="s">
        <v>768</v>
      </c>
      <c r="E171" s="7" t="s">
        <v>770</v>
      </c>
      <c r="F171" s="26">
        <v>45748</v>
      </c>
      <c r="G171" s="9" t="s">
        <v>77</v>
      </c>
      <c r="H171" s="9" t="s">
        <v>66</v>
      </c>
      <c r="I171" s="8" t="s">
        <v>78</v>
      </c>
      <c r="J171" s="8">
        <v>1210</v>
      </c>
      <c r="K171" s="10">
        <v>1210</v>
      </c>
      <c r="L171" s="10">
        <f t="shared" si="55"/>
        <v>0</v>
      </c>
      <c r="M171" s="8">
        <v>565</v>
      </c>
      <c r="N171" s="10">
        <v>565</v>
      </c>
      <c r="O171" s="10">
        <f t="shared" si="56"/>
        <v>0</v>
      </c>
      <c r="P171" s="11">
        <v>7500</v>
      </c>
      <c r="Q171" s="14">
        <v>16061.950442477877</v>
      </c>
      <c r="R171" s="11">
        <v>22000</v>
      </c>
      <c r="S171" s="14">
        <v>9075002</v>
      </c>
      <c r="T171" s="14">
        <v>1089000</v>
      </c>
      <c r="U171" s="12">
        <f t="shared" si="57"/>
        <v>0.11999997355372484</v>
      </c>
      <c r="V171" s="13">
        <f t="shared" si="82"/>
        <v>0</v>
      </c>
      <c r="W171" s="10">
        <f t="shared" si="58"/>
        <v>0</v>
      </c>
      <c r="X171" s="10"/>
      <c r="Y171" s="10"/>
      <c r="Z171" s="11">
        <f t="shared" si="59"/>
        <v>9075002</v>
      </c>
      <c r="AA171" s="14"/>
      <c r="AB171" s="14"/>
      <c r="AC171" s="11">
        <f t="shared" si="60"/>
        <v>9075002</v>
      </c>
      <c r="AD171" s="10">
        <f t="shared" si="61"/>
        <v>300</v>
      </c>
      <c r="AE171" s="8">
        <v>169500</v>
      </c>
      <c r="AF171" s="16">
        <v>30510</v>
      </c>
      <c r="AG171" s="15">
        <f t="shared" si="62"/>
        <v>0</v>
      </c>
      <c r="AH171" s="15">
        <f t="shared" si="63"/>
        <v>0</v>
      </c>
      <c r="AI171" s="15">
        <f t="shared" si="64"/>
        <v>169500</v>
      </c>
      <c r="AJ171" s="15">
        <f t="shared" si="65"/>
        <v>30510</v>
      </c>
      <c r="AK171" s="8">
        <v>169500</v>
      </c>
      <c r="AL171" s="15">
        <f t="shared" si="66"/>
        <v>169500</v>
      </c>
      <c r="AM171" s="15">
        <f t="shared" si="67"/>
        <v>9244502</v>
      </c>
      <c r="AN171" s="15">
        <f t="shared" si="68"/>
        <v>1119510</v>
      </c>
      <c r="AO171" s="15">
        <f t="shared" si="73"/>
        <v>1289010</v>
      </c>
      <c r="AP171" s="17">
        <f t="shared" si="69"/>
        <v>10533512</v>
      </c>
      <c r="AQ171" s="15">
        <v>1016400</v>
      </c>
      <c r="AR171" s="15">
        <v>0</v>
      </c>
      <c r="AS171" s="18">
        <f t="shared" si="74"/>
        <v>9517112</v>
      </c>
      <c r="AT171" s="19">
        <v>0</v>
      </c>
      <c r="AU171" s="8">
        <v>8800</v>
      </c>
      <c r="AV171" s="13">
        <f t="shared" si="75"/>
        <v>4972000</v>
      </c>
      <c r="AW171" s="18">
        <f t="shared" si="76"/>
        <v>9244502</v>
      </c>
      <c r="AX171" s="15">
        <f t="shared" si="70"/>
        <v>9245000</v>
      </c>
      <c r="AY171" s="20">
        <v>7.0000000000000007E-2</v>
      </c>
      <c r="AZ171" s="13">
        <f t="shared" si="71"/>
        <v>647150.00000000012</v>
      </c>
      <c r="BA171" s="15">
        <f t="shared" si="72"/>
        <v>647200</v>
      </c>
      <c r="BB171" s="21">
        <f t="shared" si="77"/>
        <v>10164312</v>
      </c>
      <c r="BC171" s="10">
        <f t="shared" si="78"/>
        <v>0</v>
      </c>
      <c r="BD171" s="10">
        <f t="shared" si="79"/>
        <v>0</v>
      </c>
      <c r="BE171" s="10">
        <v>112.41</v>
      </c>
      <c r="BF171" s="10">
        <v>52.49</v>
      </c>
      <c r="BG171" s="107">
        <v>46176</v>
      </c>
      <c r="BH171" s="107">
        <f>BG171+30</f>
        <v>46206</v>
      </c>
      <c r="BI171" s="23">
        <v>7</v>
      </c>
      <c r="BJ171" s="6"/>
      <c r="BK171" s="6"/>
      <c r="BL171" s="24">
        <f>VLOOKUP(A171,[2]Sheet1!$D$2:$H$933,5,0)</f>
        <v>0</v>
      </c>
      <c r="BM171" s="6" t="s">
        <v>3828</v>
      </c>
      <c r="BN171" s="6" t="s">
        <v>3829</v>
      </c>
      <c r="BO171" s="6" t="s">
        <v>3820</v>
      </c>
      <c r="BP171" s="6" t="s">
        <v>3821</v>
      </c>
      <c r="BQ171" s="6" t="s">
        <v>3830</v>
      </c>
      <c r="BR171" t="s">
        <v>3823</v>
      </c>
      <c r="BS171" t="s">
        <v>3824</v>
      </c>
      <c r="BT171" t="s">
        <v>3825</v>
      </c>
      <c r="BU171" t="s">
        <v>3826</v>
      </c>
      <c r="BV171" t="s">
        <v>3827</v>
      </c>
      <c r="BW171" t="s">
        <v>3835</v>
      </c>
      <c r="BX171">
        <v>0</v>
      </c>
      <c r="BY171" t="s">
        <v>3868</v>
      </c>
      <c r="BZ171" t="s">
        <v>3863</v>
      </c>
    </row>
    <row r="172" spans="1:78" x14ac:dyDescent="0.25">
      <c r="A172" s="25" t="s">
        <v>773</v>
      </c>
      <c r="B172" s="7" t="s">
        <v>181</v>
      </c>
      <c r="C172" s="25" t="s">
        <v>771</v>
      </c>
      <c r="D172" s="8" t="s">
        <v>772</v>
      </c>
      <c r="E172" s="7" t="s">
        <v>774</v>
      </c>
      <c r="F172" s="26">
        <v>45910</v>
      </c>
      <c r="G172" s="9" t="s">
        <v>65</v>
      </c>
      <c r="H172" s="9" t="s">
        <v>92</v>
      </c>
      <c r="I172" s="8" t="s">
        <v>78</v>
      </c>
      <c r="J172" s="27">
        <v>1318.16</v>
      </c>
      <c r="K172" s="10">
        <v>1318.16</v>
      </c>
      <c r="L172" s="10">
        <f t="shared" si="55"/>
        <v>0</v>
      </c>
      <c r="M172" s="28">
        <v>628.62</v>
      </c>
      <c r="N172" s="10">
        <v>628.62</v>
      </c>
      <c r="O172" s="10">
        <f t="shared" si="56"/>
        <v>0</v>
      </c>
      <c r="P172" s="14">
        <v>9249.9984827335065</v>
      </c>
      <c r="Q172" s="14">
        <v>19396.420731125323</v>
      </c>
      <c r="R172" s="11">
        <v>28000</v>
      </c>
      <c r="S172" s="14">
        <v>12192978</v>
      </c>
      <c r="T172" s="11">
        <v>1463158</v>
      </c>
      <c r="U172" s="12">
        <f t="shared" si="57"/>
        <v>0.12000005248922782</v>
      </c>
      <c r="V172" s="13">
        <f t="shared" si="82"/>
        <v>0</v>
      </c>
      <c r="W172" s="10">
        <f t="shared" si="58"/>
        <v>0</v>
      </c>
      <c r="X172" s="10"/>
      <c r="Y172" s="10"/>
      <c r="Z172" s="11">
        <f t="shared" si="59"/>
        <v>12192978</v>
      </c>
      <c r="AA172" s="14"/>
      <c r="AB172" s="14"/>
      <c r="AC172" s="11">
        <f t="shared" si="60"/>
        <v>12192978</v>
      </c>
      <c r="AD172" s="10">
        <f t="shared" si="61"/>
        <v>300</v>
      </c>
      <c r="AE172" s="13">
        <v>188586</v>
      </c>
      <c r="AF172" s="16">
        <v>33946</v>
      </c>
      <c r="AG172" s="15">
        <f t="shared" si="62"/>
        <v>0</v>
      </c>
      <c r="AH172" s="15">
        <f t="shared" si="63"/>
        <v>0</v>
      </c>
      <c r="AI172" s="15">
        <f t="shared" si="64"/>
        <v>188586</v>
      </c>
      <c r="AJ172" s="15">
        <f t="shared" si="65"/>
        <v>33946</v>
      </c>
      <c r="AK172" s="8">
        <v>188586</v>
      </c>
      <c r="AL172" s="15">
        <f t="shared" si="66"/>
        <v>188586</v>
      </c>
      <c r="AM172" s="15">
        <f t="shared" si="67"/>
        <v>12381564</v>
      </c>
      <c r="AN172" s="15">
        <f t="shared" si="68"/>
        <v>1497104</v>
      </c>
      <c r="AO172" s="15">
        <f t="shared" si="73"/>
        <v>1685690</v>
      </c>
      <c r="AP172" s="17">
        <f t="shared" si="69"/>
        <v>14067254</v>
      </c>
      <c r="AQ172" s="15">
        <v>3100000</v>
      </c>
      <c r="AR172" s="15">
        <v>0</v>
      </c>
      <c r="AS172" s="18">
        <f t="shared" si="74"/>
        <v>10967254</v>
      </c>
      <c r="AT172" s="19">
        <v>0</v>
      </c>
      <c r="AU172" s="8">
        <v>8800</v>
      </c>
      <c r="AV172" s="13">
        <f t="shared" si="75"/>
        <v>5531856</v>
      </c>
      <c r="AW172" s="18">
        <f t="shared" si="76"/>
        <v>12381564</v>
      </c>
      <c r="AX172" s="15">
        <f t="shared" si="70"/>
        <v>12382000</v>
      </c>
      <c r="AY172" s="20">
        <v>7.0000000000000007E-2</v>
      </c>
      <c r="AZ172" s="13">
        <f t="shared" si="71"/>
        <v>866740.00000000012</v>
      </c>
      <c r="BA172" s="15">
        <f t="shared" si="72"/>
        <v>866800</v>
      </c>
      <c r="BB172" s="21">
        <f t="shared" si="77"/>
        <v>11834054</v>
      </c>
      <c r="BC172" s="10">
        <f t="shared" si="78"/>
        <v>0</v>
      </c>
      <c r="BD172" s="10">
        <f t="shared" si="79"/>
        <v>0</v>
      </c>
      <c r="BE172" s="10">
        <v>122.46</v>
      </c>
      <c r="BF172" s="10">
        <v>58.4</v>
      </c>
      <c r="BG172" s="107">
        <v>46176</v>
      </c>
      <c r="BH172" s="107">
        <v>46221</v>
      </c>
      <c r="BI172" s="23">
        <v>7</v>
      </c>
      <c r="BJ172" s="6"/>
      <c r="BK172" s="6"/>
      <c r="BL172" s="24">
        <f>VLOOKUP(A172,[2]Sheet1!$D$2:$H$933,5,0)</f>
        <v>0</v>
      </c>
      <c r="BM172" s="6" t="s">
        <v>3828</v>
      </c>
      <c r="BN172" s="6" t="s">
        <v>3829</v>
      </c>
      <c r="BO172" s="6" t="s">
        <v>3820</v>
      </c>
      <c r="BP172" s="6" t="s">
        <v>3821</v>
      </c>
      <c r="BQ172" s="6" t="s">
        <v>3830</v>
      </c>
      <c r="BR172" t="s">
        <v>3823</v>
      </c>
      <c r="BS172" t="s">
        <v>3824</v>
      </c>
      <c r="BT172" t="s">
        <v>3825</v>
      </c>
      <c r="BU172" t="s">
        <v>3826</v>
      </c>
      <c r="BV172" t="s">
        <v>3827</v>
      </c>
      <c r="BW172" t="s">
        <v>3835</v>
      </c>
      <c r="BX172">
        <v>0</v>
      </c>
      <c r="BY172" t="s">
        <v>3868</v>
      </c>
      <c r="BZ172" t="s">
        <v>3860</v>
      </c>
    </row>
    <row r="173" spans="1:78" x14ac:dyDescent="0.25">
      <c r="A173" s="7" t="s">
        <v>777</v>
      </c>
      <c r="B173" s="7" t="s">
        <v>181</v>
      </c>
      <c r="C173" s="7" t="s">
        <v>775</v>
      </c>
      <c r="D173" s="8" t="s">
        <v>776</v>
      </c>
      <c r="E173" s="7" t="s">
        <v>778</v>
      </c>
      <c r="F173" s="9">
        <v>44901</v>
      </c>
      <c r="G173" s="9" t="s">
        <v>527</v>
      </c>
      <c r="H173" s="9" t="s">
        <v>72</v>
      </c>
      <c r="I173" s="8" t="s">
        <v>78</v>
      </c>
      <c r="J173" s="10">
        <v>652.29999999999995</v>
      </c>
      <c r="K173" s="10">
        <v>652.29999999999995</v>
      </c>
      <c r="L173" s="10">
        <f t="shared" si="55"/>
        <v>0</v>
      </c>
      <c r="M173" s="10">
        <v>293.86</v>
      </c>
      <c r="N173" s="10">
        <v>293.86</v>
      </c>
      <c r="O173" s="10">
        <f t="shared" si="56"/>
        <v>0</v>
      </c>
      <c r="P173" s="11">
        <v>10150</v>
      </c>
      <c r="Q173" s="11">
        <v>22530.609814197236</v>
      </c>
      <c r="R173" s="11">
        <v>20000</v>
      </c>
      <c r="S173" s="11">
        <v>6620845</v>
      </c>
      <c r="T173" s="11">
        <v>794502</v>
      </c>
      <c r="U173" s="12">
        <f t="shared" si="57"/>
        <v>0.12000009062287367</v>
      </c>
      <c r="V173" s="13">
        <f t="shared" si="82"/>
        <v>0</v>
      </c>
      <c r="W173" s="10">
        <f t="shared" si="58"/>
        <v>0</v>
      </c>
      <c r="X173" s="10"/>
      <c r="Y173" s="10"/>
      <c r="Z173" s="11">
        <f t="shared" si="59"/>
        <v>6620845</v>
      </c>
      <c r="AA173" s="14">
        <v>2223897</v>
      </c>
      <c r="AB173" s="14">
        <v>266868</v>
      </c>
      <c r="AC173" s="11">
        <f t="shared" si="60"/>
        <v>4396948</v>
      </c>
      <c r="AD173" s="10">
        <f t="shared" si="61"/>
        <v>300</v>
      </c>
      <c r="AE173" s="15">
        <v>88158</v>
      </c>
      <c r="AF173" s="16">
        <v>15868</v>
      </c>
      <c r="AG173" s="15">
        <f t="shared" si="62"/>
        <v>0</v>
      </c>
      <c r="AH173" s="15">
        <f t="shared" si="63"/>
        <v>0</v>
      </c>
      <c r="AI173" s="15">
        <f t="shared" si="64"/>
        <v>88158</v>
      </c>
      <c r="AJ173" s="15">
        <f t="shared" si="65"/>
        <v>15869</v>
      </c>
      <c r="AK173" s="10">
        <v>88158</v>
      </c>
      <c r="AL173" s="15">
        <f t="shared" si="66"/>
        <v>88158</v>
      </c>
      <c r="AM173" s="15">
        <f t="shared" si="67"/>
        <v>4485106</v>
      </c>
      <c r="AN173" s="15">
        <f t="shared" si="68"/>
        <v>543503</v>
      </c>
      <c r="AO173" s="15">
        <f t="shared" si="73"/>
        <v>631661.66</v>
      </c>
      <c r="AP173" s="17">
        <f t="shared" si="69"/>
        <v>5116767.66</v>
      </c>
      <c r="AQ173" s="15">
        <v>4183048</v>
      </c>
      <c r="AR173" s="15">
        <v>0.66</v>
      </c>
      <c r="AS173" s="18">
        <f t="shared" si="74"/>
        <v>933720</v>
      </c>
      <c r="AT173" s="19">
        <v>0</v>
      </c>
      <c r="AU173" s="8">
        <v>8800</v>
      </c>
      <c r="AV173" s="13">
        <f t="shared" si="75"/>
        <v>2585968</v>
      </c>
      <c r="AW173" s="18">
        <f t="shared" si="76"/>
        <v>4485106</v>
      </c>
      <c r="AX173" s="15">
        <f t="shared" si="70"/>
        <v>4486000</v>
      </c>
      <c r="AY173" s="20">
        <v>0.06</v>
      </c>
      <c r="AZ173" s="13">
        <f t="shared" si="71"/>
        <v>269160</v>
      </c>
      <c r="BA173" s="15">
        <f t="shared" si="72"/>
        <v>269200</v>
      </c>
      <c r="BB173" s="21">
        <f t="shared" si="77"/>
        <v>1202920</v>
      </c>
      <c r="BC173" s="10">
        <f t="shared" si="78"/>
        <v>0</v>
      </c>
      <c r="BD173" s="10">
        <f t="shared" si="79"/>
        <v>0</v>
      </c>
      <c r="BE173" s="10">
        <v>60.6</v>
      </c>
      <c r="BF173" s="10">
        <v>27.3</v>
      </c>
      <c r="BG173" s="107">
        <v>46176</v>
      </c>
      <c r="BH173" s="107">
        <f t="shared" ref="BH173:BH235" si="83">BG173+30</f>
        <v>46206</v>
      </c>
      <c r="BI173" s="23">
        <v>6</v>
      </c>
      <c r="BJ173" s="6"/>
      <c r="BK173" s="6"/>
      <c r="BL173" s="24">
        <f>VLOOKUP(A173,[2]Sheet1!$D$2:$H$933,5,0)</f>
        <v>0</v>
      </c>
      <c r="BM173" s="6" t="s">
        <v>3828</v>
      </c>
      <c r="BN173" s="6" t="s">
        <v>3829</v>
      </c>
      <c r="BO173" s="6" t="s">
        <v>3820</v>
      </c>
      <c r="BP173" s="6" t="s">
        <v>3821</v>
      </c>
      <c r="BQ173" s="6" t="s">
        <v>3830</v>
      </c>
      <c r="BR173" t="s">
        <v>3823</v>
      </c>
      <c r="BS173" t="s">
        <v>3824</v>
      </c>
      <c r="BT173" t="s">
        <v>3825</v>
      </c>
      <c r="BU173" t="s">
        <v>3826</v>
      </c>
      <c r="BV173" t="s">
        <v>3827</v>
      </c>
      <c r="BW173" t="s">
        <v>3835</v>
      </c>
      <c r="BX173">
        <v>0</v>
      </c>
      <c r="BY173" t="s">
        <v>3866</v>
      </c>
      <c r="BZ173" t="s">
        <v>3871</v>
      </c>
    </row>
    <row r="174" spans="1:78" x14ac:dyDescent="0.25">
      <c r="A174" s="7" t="s">
        <v>781</v>
      </c>
      <c r="B174" s="7" t="s">
        <v>181</v>
      </c>
      <c r="C174" s="7" t="s">
        <v>779</v>
      </c>
      <c r="D174" s="8" t="s">
        <v>780</v>
      </c>
      <c r="E174" s="7" t="s">
        <v>782</v>
      </c>
      <c r="F174" s="9">
        <v>44896</v>
      </c>
      <c r="G174" s="9" t="s">
        <v>717</v>
      </c>
      <c r="H174" s="9" t="s">
        <v>72</v>
      </c>
      <c r="I174" s="8" t="s">
        <v>78</v>
      </c>
      <c r="J174" s="10">
        <v>764.24</v>
      </c>
      <c r="K174" s="10">
        <v>764.24</v>
      </c>
      <c r="L174" s="10">
        <f t="shared" si="55"/>
        <v>0</v>
      </c>
      <c r="M174" s="10">
        <v>352.52</v>
      </c>
      <c r="N174" s="10">
        <v>352.52</v>
      </c>
      <c r="O174" s="10">
        <f t="shared" si="56"/>
        <v>0</v>
      </c>
      <c r="P174" s="11">
        <v>5798.0006280749503</v>
      </c>
      <c r="Q174" s="11">
        <v>12569.681152842393</v>
      </c>
      <c r="R174" s="11">
        <v>20000</v>
      </c>
      <c r="S174" s="11">
        <v>4431064</v>
      </c>
      <c r="T174" s="11">
        <v>531730</v>
      </c>
      <c r="U174" s="12">
        <f t="shared" si="57"/>
        <v>0.12000052357627874</v>
      </c>
      <c r="V174" s="13">
        <f t="shared" si="82"/>
        <v>0</v>
      </c>
      <c r="W174" s="10">
        <f t="shared" si="58"/>
        <v>0</v>
      </c>
      <c r="X174" s="10"/>
      <c r="Y174" s="10"/>
      <c r="Z174" s="11">
        <f t="shared" si="59"/>
        <v>4431064</v>
      </c>
      <c r="AA174" s="14">
        <v>1473324</v>
      </c>
      <c r="AB174" s="14">
        <v>176798</v>
      </c>
      <c r="AC174" s="11">
        <f t="shared" si="60"/>
        <v>2957740</v>
      </c>
      <c r="AD174" s="10">
        <f t="shared" si="61"/>
        <v>300</v>
      </c>
      <c r="AE174" s="15">
        <v>105756</v>
      </c>
      <c r="AF174" s="16">
        <v>19036</v>
      </c>
      <c r="AG174" s="15">
        <f t="shared" si="62"/>
        <v>0</v>
      </c>
      <c r="AH174" s="15">
        <f t="shared" si="63"/>
        <v>0</v>
      </c>
      <c r="AI174" s="15">
        <f t="shared" si="64"/>
        <v>105756</v>
      </c>
      <c r="AJ174" s="15">
        <f t="shared" si="65"/>
        <v>19037</v>
      </c>
      <c r="AK174" s="10">
        <v>105756</v>
      </c>
      <c r="AL174" s="15">
        <f t="shared" si="66"/>
        <v>105756</v>
      </c>
      <c r="AM174" s="15">
        <f t="shared" si="67"/>
        <v>3063496</v>
      </c>
      <c r="AN174" s="15">
        <f t="shared" si="68"/>
        <v>373969</v>
      </c>
      <c r="AO174" s="15">
        <f t="shared" si="73"/>
        <v>479726</v>
      </c>
      <c r="AP174" s="17">
        <f t="shared" si="69"/>
        <v>3543222</v>
      </c>
      <c r="AQ174" s="15">
        <v>2756328</v>
      </c>
      <c r="AR174" s="15">
        <v>1</v>
      </c>
      <c r="AS174" s="18">
        <f t="shared" si="74"/>
        <v>786894</v>
      </c>
      <c r="AT174" s="19">
        <v>0</v>
      </c>
      <c r="AU174" s="8">
        <v>8800</v>
      </c>
      <c r="AV174" s="13">
        <f t="shared" si="75"/>
        <v>3102176</v>
      </c>
      <c r="AW174" s="18">
        <f t="shared" si="76"/>
        <v>3102176</v>
      </c>
      <c r="AX174" s="15">
        <f t="shared" si="70"/>
        <v>3103000</v>
      </c>
      <c r="AY174" s="20">
        <v>0.06</v>
      </c>
      <c r="AZ174" s="13">
        <f t="shared" si="71"/>
        <v>186180</v>
      </c>
      <c r="BA174" s="15">
        <f t="shared" si="72"/>
        <v>186200</v>
      </c>
      <c r="BB174" s="21">
        <f t="shared" si="77"/>
        <v>973094</v>
      </c>
      <c r="BC174" s="10">
        <f t="shared" si="78"/>
        <v>0</v>
      </c>
      <c r="BD174" s="10">
        <f t="shared" si="79"/>
        <v>0</v>
      </c>
      <c r="BE174" s="10">
        <v>71</v>
      </c>
      <c r="BF174" s="10">
        <v>32.75</v>
      </c>
      <c r="BG174" s="107">
        <v>46176</v>
      </c>
      <c r="BH174" s="107">
        <f t="shared" si="83"/>
        <v>46206</v>
      </c>
      <c r="BI174" s="23">
        <v>6</v>
      </c>
      <c r="BJ174" s="6"/>
      <c r="BK174" s="6"/>
      <c r="BL174" s="24">
        <f>VLOOKUP(A174,[2]Sheet1!$D$2:$H$933,5,0)</f>
        <v>0</v>
      </c>
      <c r="BM174" s="6" t="s">
        <v>3828</v>
      </c>
      <c r="BN174" s="6" t="s">
        <v>3829</v>
      </c>
      <c r="BO174" s="6" t="s">
        <v>3820</v>
      </c>
      <c r="BP174" s="6" t="s">
        <v>3821</v>
      </c>
      <c r="BQ174" s="6" t="s">
        <v>3830</v>
      </c>
      <c r="BR174" t="s">
        <v>3823</v>
      </c>
      <c r="BS174" t="s">
        <v>3824</v>
      </c>
      <c r="BT174" t="s">
        <v>3825</v>
      </c>
      <c r="BU174" t="s">
        <v>3826</v>
      </c>
      <c r="BV174" t="s">
        <v>3827</v>
      </c>
      <c r="BW174" t="s">
        <v>3835</v>
      </c>
      <c r="BX174">
        <v>0</v>
      </c>
      <c r="BY174" t="s">
        <v>3868</v>
      </c>
      <c r="BZ174" t="s">
        <v>3872</v>
      </c>
    </row>
    <row r="175" spans="1:78" x14ac:dyDescent="0.25">
      <c r="A175" s="7" t="s">
        <v>785</v>
      </c>
      <c r="B175" s="7" t="s">
        <v>181</v>
      </c>
      <c r="C175" s="7" t="s">
        <v>783</v>
      </c>
      <c r="D175" s="8" t="s">
        <v>784</v>
      </c>
      <c r="E175" s="7" t="s">
        <v>786</v>
      </c>
      <c r="F175" s="9">
        <v>45028</v>
      </c>
      <c r="G175" s="9" t="s">
        <v>363</v>
      </c>
      <c r="H175" s="9" t="s">
        <v>87</v>
      </c>
      <c r="I175" s="8" t="s">
        <v>67</v>
      </c>
      <c r="J175" s="10">
        <v>346.84</v>
      </c>
      <c r="K175" s="10">
        <v>346.84</v>
      </c>
      <c r="L175" s="10">
        <f t="shared" si="55"/>
        <v>0</v>
      </c>
      <c r="M175" s="10">
        <v>139.93</v>
      </c>
      <c r="N175" s="10">
        <v>139.93</v>
      </c>
      <c r="O175" s="10">
        <f t="shared" si="56"/>
        <v>0</v>
      </c>
      <c r="P175" s="11">
        <v>21665.935301579982</v>
      </c>
      <c r="Q175" s="11">
        <v>53702.658472093186</v>
      </c>
      <c r="R175" s="11">
        <v>40000</v>
      </c>
      <c r="S175" s="11">
        <v>7514613</v>
      </c>
      <c r="T175" s="11">
        <v>901754</v>
      </c>
      <c r="U175" s="12">
        <f t="shared" si="57"/>
        <v>0.12000005855258282</v>
      </c>
      <c r="V175" s="13">
        <f t="shared" si="82"/>
        <v>0</v>
      </c>
      <c r="W175" s="10">
        <f t="shared" si="58"/>
        <v>0</v>
      </c>
      <c r="X175" s="10"/>
      <c r="Y175" s="10"/>
      <c r="Z175" s="11">
        <f t="shared" si="59"/>
        <v>7514613</v>
      </c>
      <c r="AA175" s="14"/>
      <c r="AB175" s="14"/>
      <c r="AC175" s="11">
        <f t="shared" si="60"/>
        <v>7514613</v>
      </c>
      <c r="AD175" s="10">
        <f t="shared" si="61"/>
        <v>300</v>
      </c>
      <c r="AE175" s="15">
        <v>41979</v>
      </c>
      <c r="AF175" s="16">
        <v>7556</v>
      </c>
      <c r="AG175" s="15">
        <f t="shared" si="62"/>
        <v>0</v>
      </c>
      <c r="AH175" s="15">
        <f t="shared" si="63"/>
        <v>0</v>
      </c>
      <c r="AI175" s="15">
        <f t="shared" si="64"/>
        <v>41979</v>
      </c>
      <c r="AJ175" s="15">
        <f t="shared" si="65"/>
        <v>7557</v>
      </c>
      <c r="AK175" s="10">
        <v>41979</v>
      </c>
      <c r="AL175" s="15">
        <f t="shared" si="66"/>
        <v>41979</v>
      </c>
      <c r="AM175" s="15">
        <f t="shared" si="67"/>
        <v>7556592</v>
      </c>
      <c r="AN175" s="15">
        <f t="shared" si="68"/>
        <v>909311</v>
      </c>
      <c r="AO175" s="15">
        <f t="shared" si="73"/>
        <v>951291.12</v>
      </c>
      <c r="AP175" s="17">
        <f t="shared" si="69"/>
        <v>8507883.1199999992</v>
      </c>
      <c r="AQ175" s="15">
        <v>7051626</v>
      </c>
      <c r="AR175" s="15">
        <v>1.1200000000000001</v>
      </c>
      <c r="AS175" s="18">
        <f t="shared" si="74"/>
        <v>1456257</v>
      </c>
      <c r="AT175" s="19">
        <v>0</v>
      </c>
      <c r="AU175" s="8">
        <v>8800</v>
      </c>
      <c r="AV175" s="13">
        <f t="shared" si="75"/>
        <v>1231384</v>
      </c>
      <c r="AW175" s="18">
        <f t="shared" si="76"/>
        <v>7556592</v>
      </c>
      <c r="AX175" s="15">
        <f t="shared" si="70"/>
        <v>7557000</v>
      </c>
      <c r="AY175" s="20">
        <v>0.05</v>
      </c>
      <c r="AZ175" s="13">
        <f t="shared" si="71"/>
        <v>377850</v>
      </c>
      <c r="BA175" s="15">
        <f t="shared" si="72"/>
        <v>377900</v>
      </c>
      <c r="BB175" s="21">
        <f t="shared" si="77"/>
        <v>1834157</v>
      </c>
      <c r="BC175" s="10">
        <f t="shared" si="78"/>
        <v>0</v>
      </c>
      <c r="BD175" s="10">
        <f t="shared" si="79"/>
        <v>0</v>
      </c>
      <c r="BE175" s="10">
        <v>32.22</v>
      </c>
      <c r="BF175" s="10">
        <v>13</v>
      </c>
      <c r="BG175" s="107">
        <v>46176</v>
      </c>
      <c r="BH175" s="107">
        <f t="shared" si="83"/>
        <v>46206</v>
      </c>
      <c r="BI175" s="23">
        <v>5</v>
      </c>
      <c r="BJ175" s="6"/>
      <c r="BK175" s="6"/>
      <c r="BL175" s="24">
        <f>VLOOKUP(A175,[2]Sheet1!$D$2:$H$933,5,0)</f>
        <v>0</v>
      </c>
      <c r="BM175" s="6" t="s">
        <v>3828</v>
      </c>
      <c r="BN175" s="6" t="s">
        <v>3829</v>
      </c>
      <c r="BO175" s="6" t="s">
        <v>3820</v>
      </c>
      <c r="BP175" s="6" t="s">
        <v>3821</v>
      </c>
      <c r="BQ175" s="6" t="s">
        <v>3830</v>
      </c>
      <c r="BR175" t="s">
        <v>3823</v>
      </c>
      <c r="BS175" t="s">
        <v>3824</v>
      </c>
      <c r="BT175" t="s">
        <v>3825</v>
      </c>
      <c r="BU175" t="s">
        <v>3826</v>
      </c>
      <c r="BV175" t="s">
        <v>3827</v>
      </c>
      <c r="BW175" t="s">
        <v>3835</v>
      </c>
      <c r="BX175">
        <v>0</v>
      </c>
      <c r="BY175" t="s">
        <v>3862</v>
      </c>
      <c r="BZ175" t="s">
        <v>3860</v>
      </c>
    </row>
    <row r="176" spans="1:78" x14ac:dyDescent="0.25">
      <c r="A176" s="7" t="s">
        <v>789</v>
      </c>
      <c r="B176" s="7" t="s">
        <v>181</v>
      </c>
      <c r="C176" s="7" t="s">
        <v>787</v>
      </c>
      <c r="D176" s="8" t="s">
        <v>788</v>
      </c>
      <c r="E176" s="7" t="s">
        <v>790</v>
      </c>
      <c r="F176" s="9">
        <v>44929</v>
      </c>
      <c r="G176" s="9" t="s">
        <v>404</v>
      </c>
      <c r="H176" s="9" t="s">
        <v>72</v>
      </c>
      <c r="I176" s="8" t="s">
        <v>78</v>
      </c>
      <c r="J176" s="10">
        <v>794.38</v>
      </c>
      <c r="K176" s="10">
        <v>794.38</v>
      </c>
      <c r="L176" s="10">
        <f t="shared" si="55"/>
        <v>0</v>
      </c>
      <c r="M176" s="10">
        <v>363.82</v>
      </c>
      <c r="N176" s="10">
        <v>363.82</v>
      </c>
      <c r="O176" s="10">
        <f t="shared" si="56"/>
        <v>0</v>
      </c>
      <c r="P176" s="11">
        <v>13120.000503537351</v>
      </c>
      <c r="Q176" s="11">
        <v>28646.764883733715</v>
      </c>
      <c r="R176" s="11">
        <v>20000</v>
      </c>
      <c r="S176" s="11">
        <v>10422266</v>
      </c>
      <c r="T176" s="11">
        <v>1250672</v>
      </c>
      <c r="U176" s="12">
        <f t="shared" si="57"/>
        <v>0.12000000767587395</v>
      </c>
      <c r="V176" s="13">
        <f t="shared" si="82"/>
        <v>0</v>
      </c>
      <c r="W176" s="10">
        <f t="shared" si="58"/>
        <v>0</v>
      </c>
      <c r="X176" s="10"/>
      <c r="Y176" s="10"/>
      <c r="Z176" s="11">
        <f t="shared" si="59"/>
        <v>10422266</v>
      </c>
      <c r="AA176" s="14"/>
      <c r="AB176" s="14"/>
      <c r="AC176" s="11">
        <f t="shared" si="60"/>
        <v>10422266</v>
      </c>
      <c r="AD176" s="10">
        <f t="shared" si="61"/>
        <v>300</v>
      </c>
      <c r="AE176" s="15">
        <v>109146</v>
      </c>
      <c r="AF176" s="16">
        <v>19646</v>
      </c>
      <c r="AG176" s="15">
        <f t="shared" si="62"/>
        <v>0</v>
      </c>
      <c r="AH176" s="15">
        <f t="shared" si="63"/>
        <v>0</v>
      </c>
      <c r="AI176" s="15">
        <f t="shared" si="64"/>
        <v>109146</v>
      </c>
      <c r="AJ176" s="15">
        <f t="shared" si="65"/>
        <v>19647</v>
      </c>
      <c r="AK176" s="10">
        <v>109146</v>
      </c>
      <c r="AL176" s="15">
        <f t="shared" si="66"/>
        <v>109146</v>
      </c>
      <c r="AM176" s="15">
        <f t="shared" si="67"/>
        <v>10531412</v>
      </c>
      <c r="AN176" s="15">
        <f t="shared" si="68"/>
        <v>1270319</v>
      </c>
      <c r="AO176" s="15">
        <f t="shared" si="73"/>
        <v>1379469</v>
      </c>
      <c r="AP176" s="17">
        <f t="shared" si="69"/>
        <v>11910881</v>
      </c>
      <c r="AQ176" s="15">
        <v>10505643</v>
      </c>
      <c r="AR176" s="15">
        <v>4</v>
      </c>
      <c r="AS176" s="18">
        <f t="shared" si="74"/>
        <v>1405238</v>
      </c>
      <c r="AT176" s="19">
        <v>0</v>
      </c>
      <c r="AU176" s="8">
        <v>8800</v>
      </c>
      <c r="AV176" s="13">
        <f t="shared" si="75"/>
        <v>3201616</v>
      </c>
      <c r="AW176" s="18">
        <f t="shared" si="76"/>
        <v>10531412</v>
      </c>
      <c r="AX176" s="15">
        <f t="shared" si="70"/>
        <v>10532000</v>
      </c>
      <c r="AY176" s="20">
        <v>0.06</v>
      </c>
      <c r="AZ176" s="13">
        <f t="shared" si="71"/>
        <v>631920</v>
      </c>
      <c r="BA176" s="15">
        <f t="shared" si="72"/>
        <v>632000</v>
      </c>
      <c r="BB176" s="21">
        <f t="shared" si="77"/>
        <v>2037238</v>
      </c>
      <c r="BC176" s="10">
        <f t="shared" si="78"/>
        <v>0</v>
      </c>
      <c r="BD176" s="10">
        <f t="shared" si="79"/>
        <v>0</v>
      </c>
      <c r="BE176" s="10">
        <v>73.8</v>
      </c>
      <c r="BF176" s="10">
        <v>33.799999999999997</v>
      </c>
      <c r="BG176" s="107">
        <v>46176</v>
      </c>
      <c r="BH176" s="107">
        <f t="shared" si="83"/>
        <v>46206</v>
      </c>
      <c r="BI176" s="23">
        <v>6</v>
      </c>
      <c r="BJ176" s="6"/>
      <c r="BK176" s="6"/>
      <c r="BL176" s="24">
        <f>VLOOKUP(A176,[2]Sheet1!$D$2:$H$933,5,0)</f>
        <v>0</v>
      </c>
      <c r="BM176" s="6" t="s">
        <v>3828</v>
      </c>
      <c r="BN176" s="6" t="s">
        <v>3829</v>
      </c>
      <c r="BO176" s="6" t="s">
        <v>3820</v>
      </c>
      <c r="BP176" s="6" t="s">
        <v>3821</v>
      </c>
      <c r="BQ176" s="6" t="s">
        <v>3830</v>
      </c>
      <c r="BR176" t="s">
        <v>3823</v>
      </c>
      <c r="BS176" t="s">
        <v>3824</v>
      </c>
      <c r="BT176" t="s">
        <v>3825</v>
      </c>
      <c r="BU176" t="s">
        <v>3826</v>
      </c>
      <c r="BV176" t="s">
        <v>3827</v>
      </c>
      <c r="BW176" t="s">
        <v>3835</v>
      </c>
      <c r="BX176">
        <v>0</v>
      </c>
      <c r="BY176" t="s">
        <v>3869</v>
      </c>
      <c r="BZ176" t="s">
        <v>3863</v>
      </c>
    </row>
    <row r="177" spans="1:78" x14ac:dyDescent="0.25">
      <c r="A177" s="7" t="s">
        <v>793</v>
      </c>
      <c r="B177" s="7" t="s">
        <v>181</v>
      </c>
      <c r="C177" s="7" t="s">
        <v>791</v>
      </c>
      <c r="D177" s="8" t="s">
        <v>792</v>
      </c>
      <c r="E177" s="7" t="s">
        <v>794</v>
      </c>
      <c r="F177" s="9">
        <v>45310</v>
      </c>
      <c r="G177" s="9" t="s">
        <v>527</v>
      </c>
      <c r="H177" s="9" t="s">
        <v>87</v>
      </c>
      <c r="I177" s="8" t="s">
        <v>67</v>
      </c>
      <c r="J177" s="10">
        <v>404.25</v>
      </c>
      <c r="K177" s="10">
        <v>404.25</v>
      </c>
      <c r="L177" s="10">
        <f t="shared" si="55"/>
        <v>0</v>
      </c>
      <c r="M177" s="10">
        <v>162.54</v>
      </c>
      <c r="N177" s="10">
        <v>162.54</v>
      </c>
      <c r="O177" s="10">
        <f t="shared" si="56"/>
        <v>0</v>
      </c>
      <c r="P177" s="11">
        <v>20000</v>
      </c>
      <c r="Q177" s="11">
        <v>49741.602067183463</v>
      </c>
      <c r="R177" s="11">
        <v>40000</v>
      </c>
      <c r="S177" s="11">
        <v>8085000</v>
      </c>
      <c r="T177" s="11">
        <v>970202</v>
      </c>
      <c r="U177" s="12">
        <f t="shared" si="57"/>
        <v>0.12000024737167594</v>
      </c>
      <c r="V177" s="13">
        <f t="shared" si="82"/>
        <v>0</v>
      </c>
      <c r="W177" s="10">
        <f t="shared" si="58"/>
        <v>0</v>
      </c>
      <c r="X177" s="10"/>
      <c r="Y177" s="10"/>
      <c r="Z177" s="11">
        <f t="shared" si="59"/>
        <v>8085000</v>
      </c>
      <c r="AA177" s="14"/>
      <c r="AB177" s="14"/>
      <c r="AC177" s="11">
        <f t="shared" si="60"/>
        <v>8085000</v>
      </c>
      <c r="AD177" s="10">
        <f t="shared" si="61"/>
        <v>300</v>
      </c>
      <c r="AE177" s="15">
        <v>48762</v>
      </c>
      <c r="AF177" s="16">
        <v>8778</v>
      </c>
      <c r="AG177" s="15">
        <f t="shared" si="62"/>
        <v>0</v>
      </c>
      <c r="AH177" s="15">
        <f t="shared" si="63"/>
        <v>0</v>
      </c>
      <c r="AI177" s="15">
        <f t="shared" si="64"/>
        <v>48762</v>
      </c>
      <c r="AJ177" s="15">
        <f t="shared" si="65"/>
        <v>8778</v>
      </c>
      <c r="AK177" s="10">
        <v>48762</v>
      </c>
      <c r="AL177" s="15">
        <f t="shared" si="66"/>
        <v>48762</v>
      </c>
      <c r="AM177" s="15">
        <f t="shared" si="67"/>
        <v>8133762</v>
      </c>
      <c r="AN177" s="15">
        <f t="shared" si="68"/>
        <v>978980</v>
      </c>
      <c r="AO177" s="15">
        <f t="shared" si="73"/>
        <v>1027747.6</v>
      </c>
      <c r="AP177" s="17">
        <f t="shared" si="69"/>
        <v>9161509.5999999996</v>
      </c>
      <c r="AQ177" s="15">
        <v>7923300</v>
      </c>
      <c r="AR177" s="15">
        <v>5.6</v>
      </c>
      <c r="AS177" s="18">
        <f t="shared" si="74"/>
        <v>1238210</v>
      </c>
      <c r="AT177" s="19">
        <v>8133762</v>
      </c>
      <c r="AU177" s="8">
        <v>8800</v>
      </c>
      <c r="AV177" s="13">
        <f t="shared" si="75"/>
        <v>1430352</v>
      </c>
      <c r="AW177" s="18">
        <f t="shared" si="76"/>
        <v>8133762</v>
      </c>
      <c r="AX177" s="15">
        <f t="shared" si="70"/>
        <v>8134000</v>
      </c>
      <c r="AY177" s="20">
        <v>0.05</v>
      </c>
      <c r="AZ177" s="13">
        <f t="shared" si="71"/>
        <v>406700</v>
      </c>
      <c r="BA177" s="15">
        <f t="shared" si="72"/>
        <v>406700</v>
      </c>
      <c r="BB177" s="21">
        <f t="shared" si="77"/>
        <v>1644910</v>
      </c>
      <c r="BC177" s="10">
        <f t="shared" si="78"/>
        <v>0</v>
      </c>
      <c r="BD177" s="10">
        <f t="shared" si="79"/>
        <v>0</v>
      </c>
      <c r="BE177" s="10">
        <v>37.56</v>
      </c>
      <c r="BF177" s="10">
        <v>15.1</v>
      </c>
      <c r="BG177" s="107">
        <v>46176</v>
      </c>
      <c r="BH177" s="107">
        <f t="shared" si="83"/>
        <v>46206</v>
      </c>
      <c r="BI177" s="23">
        <v>5</v>
      </c>
      <c r="BJ177" s="6"/>
      <c r="BK177" s="6"/>
      <c r="BL177" s="24">
        <f>VLOOKUP(A177,[2]Sheet1!$D$2:$H$933,5,0)</f>
        <v>0</v>
      </c>
      <c r="BM177" s="6" t="s">
        <v>3828</v>
      </c>
      <c r="BN177" s="6" t="s">
        <v>3829</v>
      </c>
      <c r="BO177" s="6" t="s">
        <v>3820</v>
      </c>
      <c r="BP177" s="6" t="s">
        <v>3821</v>
      </c>
      <c r="BQ177" s="6" t="s">
        <v>3830</v>
      </c>
      <c r="BR177" t="s">
        <v>3823</v>
      </c>
      <c r="BS177" t="s">
        <v>3824</v>
      </c>
      <c r="BT177" t="s">
        <v>3825</v>
      </c>
      <c r="BU177" t="s">
        <v>3826</v>
      </c>
      <c r="BV177" t="s">
        <v>3827</v>
      </c>
      <c r="BW177" t="s">
        <v>3835</v>
      </c>
      <c r="BX177">
        <v>0</v>
      </c>
      <c r="BY177" t="s">
        <v>3869</v>
      </c>
      <c r="BZ177" t="s">
        <v>3871</v>
      </c>
    </row>
    <row r="178" spans="1:78" x14ac:dyDescent="0.25">
      <c r="A178" s="7" t="s">
        <v>797</v>
      </c>
      <c r="B178" s="7" t="s">
        <v>181</v>
      </c>
      <c r="C178" s="7" t="s">
        <v>795</v>
      </c>
      <c r="D178" s="8" t="s">
        <v>796</v>
      </c>
      <c r="E178" s="7" t="s">
        <v>798</v>
      </c>
      <c r="F178" s="9">
        <v>44897</v>
      </c>
      <c r="G178" s="9" t="s">
        <v>404</v>
      </c>
      <c r="H178" s="9" t="s">
        <v>66</v>
      </c>
      <c r="I178" s="8" t="s">
        <v>78</v>
      </c>
      <c r="J178" s="10">
        <v>498.37</v>
      </c>
      <c r="K178" s="10">
        <v>498.37</v>
      </c>
      <c r="L178" s="10">
        <f t="shared" si="55"/>
        <v>0</v>
      </c>
      <c r="M178" s="10">
        <v>217.43</v>
      </c>
      <c r="N178" s="10">
        <v>217.43</v>
      </c>
      <c r="O178" s="10">
        <f t="shared" si="56"/>
        <v>0</v>
      </c>
      <c r="P178" s="11">
        <v>16189.999398037602</v>
      </c>
      <c r="Q178" s="11">
        <v>37109.000597893573</v>
      </c>
      <c r="R178" s="11">
        <v>22000</v>
      </c>
      <c r="S178" s="11">
        <v>8068610</v>
      </c>
      <c r="T178" s="11">
        <v>968232</v>
      </c>
      <c r="U178" s="12">
        <f t="shared" si="57"/>
        <v>0.1199998512754985</v>
      </c>
      <c r="V178" s="13">
        <f t="shared" si="82"/>
        <v>0</v>
      </c>
      <c r="W178" s="10">
        <f t="shared" si="58"/>
        <v>0</v>
      </c>
      <c r="X178" s="10"/>
      <c r="Y178" s="10"/>
      <c r="Z178" s="11">
        <f t="shared" si="59"/>
        <v>8068610</v>
      </c>
      <c r="AA178" s="14"/>
      <c r="AB178" s="14"/>
      <c r="AC178" s="11">
        <f t="shared" si="60"/>
        <v>8068610</v>
      </c>
      <c r="AD178" s="10">
        <f t="shared" si="61"/>
        <v>300</v>
      </c>
      <c r="AE178" s="15">
        <v>65229</v>
      </c>
      <c r="AF178" s="16">
        <v>11742</v>
      </c>
      <c r="AG178" s="15">
        <f t="shared" si="62"/>
        <v>0</v>
      </c>
      <c r="AH178" s="15">
        <f t="shared" si="63"/>
        <v>0</v>
      </c>
      <c r="AI178" s="15">
        <f t="shared" si="64"/>
        <v>65229</v>
      </c>
      <c r="AJ178" s="15">
        <f t="shared" si="65"/>
        <v>11742</v>
      </c>
      <c r="AK178" s="10">
        <v>65229</v>
      </c>
      <c r="AL178" s="15">
        <f t="shared" si="66"/>
        <v>65229</v>
      </c>
      <c r="AM178" s="15">
        <f t="shared" si="67"/>
        <v>8133839</v>
      </c>
      <c r="AN178" s="15">
        <f t="shared" si="68"/>
        <v>979974</v>
      </c>
      <c r="AO178" s="15">
        <f t="shared" si="73"/>
        <v>1045209.72</v>
      </c>
      <c r="AP178" s="17">
        <f t="shared" si="69"/>
        <v>9179048.7200000007</v>
      </c>
      <c r="AQ178" s="15">
        <v>6777631.5800000001</v>
      </c>
      <c r="AR178" s="15">
        <v>6.72</v>
      </c>
      <c r="AS178" s="18">
        <f t="shared" si="74"/>
        <v>2401417</v>
      </c>
      <c r="AT178" s="19">
        <v>0</v>
      </c>
      <c r="AU178" s="8">
        <v>8800</v>
      </c>
      <c r="AV178" s="13">
        <f t="shared" si="75"/>
        <v>1913384</v>
      </c>
      <c r="AW178" s="18">
        <f t="shared" si="76"/>
        <v>8133839</v>
      </c>
      <c r="AX178" s="15">
        <f t="shared" si="70"/>
        <v>8134000</v>
      </c>
      <c r="AY178" s="20">
        <v>0.06</v>
      </c>
      <c r="AZ178" s="13">
        <f t="shared" si="71"/>
        <v>488040</v>
      </c>
      <c r="BA178" s="15">
        <f t="shared" si="72"/>
        <v>488100</v>
      </c>
      <c r="BB178" s="21">
        <f t="shared" si="77"/>
        <v>2889517</v>
      </c>
      <c r="BC178" s="10">
        <f t="shared" si="78"/>
        <v>0</v>
      </c>
      <c r="BD178" s="10">
        <f t="shared" si="79"/>
        <v>0</v>
      </c>
      <c r="BE178" s="10">
        <v>46.3</v>
      </c>
      <c r="BF178" s="10">
        <v>20.2</v>
      </c>
      <c r="BG178" s="107">
        <v>46176</v>
      </c>
      <c r="BH178" s="107">
        <f t="shared" si="83"/>
        <v>46206</v>
      </c>
      <c r="BI178" s="23">
        <v>6</v>
      </c>
      <c r="BJ178" s="6"/>
      <c r="BK178" s="6"/>
      <c r="BL178" s="24">
        <f>VLOOKUP(A178,[2]Sheet1!$D$2:$H$933,5,0)</f>
        <v>0</v>
      </c>
      <c r="BM178" s="6" t="s">
        <v>3828</v>
      </c>
      <c r="BN178" s="6" t="s">
        <v>3829</v>
      </c>
      <c r="BO178" s="6" t="s">
        <v>3820</v>
      </c>
      <c r="BP178" s="6" t="s">
        <v>3821</v>
      </c>
      <c r="BQ178" s="6" t="s">
        <v>3830</v>
      </c>
      <c r="BR178" t="s">
        <v>3823</v>
      </c>
      <c r="BS178" t="s">
        <v>3824</v>
      </c>
      <c r="BT178" t="s">
        <v>3825</v>
      </c>
      <c r="BU178" t="s">
        <v>3826</v>
      </c>
      <c r="BV178" t="s">
        <v>3827</v>
      </c>
      <c r="BW178" t="s">
        <v>3835</v>
      </c>
      <c r="BX178">
        <v>0</v>
      </c>
      <c r="BY178" t="s">
        <v>3864</v>
      </c>
      <c r="BZ178" t="s">
        <v>3863</v>
      </c>
    </row>
    <row r="179" spans="1:78" x14ac:dyDescent="0.25">
      <c r="A179" s="7" t="s">
        <v>801</v>
      </c>
      <c r="B179" s="7" t="s">
        <v>181</v>
      </c>
      <c r="C179" s="7" t="s">
        <v>799</v>
      </c>
      <c r="D179" s="8" t="s">
        <v>800</v>
      </c>
      <c r="E179" s="7" t="s">
        <v>802</v>
      </c>
      <c r="F179" s="9">
        <v>44982</v>
      </c>
      <c r="G179" s="9" t="s">
        <v>363</v>
      </c>
      <c r="H179" s="9" t="s">
        <v>87</v>
      </c>
      <c r="I179" s="8" t="s">
        <v>67</v>
      </c>
      <c r="J179" s="10">
        <v>220.06</v>
      </c>
      <c r="K179" s="10">
        <v>220.06</v>
      </c>
      <c r="L179" s="10">
        <f t="shared" si="55"/>
        <v>0</v>
      </c>
      <c r="M179" s="10">
        <v>88.26</v>
      </c>
      <c r="N179" s="10">
        <v>88.26</v>
      </c>
      <c r="O179" s="10">
        <f t="shared" si="56"/>
        <v>0</v>
      </c>
      <c r="P179" s="11">
        <v>23446.500954285195</v>
      </c>
      <c r="Q179" s="11">
        <v>58459.517335146156</v>
      </c>
      <c r="R179" s="11">
        <v>40000</v>
      </c>
      <c r="S179" s="11">
        <v>5159637</v>
      </c>
      <c r="T179" s="11">
        <v>619158</v>
      </c>
      <c r="U179" s="12">
        <f t="shared" si="57"/>
        <v>0.12000030234685115</v>
      </c>
      <c r="V179" s="13">
        <f t="shared" si="82"/>
        <v>0</v>
      </c>
      <c r="W179" s="10">
        <f t="shared" si="58"/>
        <v>0</v>
      </c>
      <c r="X179" s="10"/>
      <c r="Y179" s="10"/>
      <c r="Z179" s="11">
        <f t="shared" si="59"/>
        <v>5159637</v>
      </c>
      <c r="AA179" s="14"/>
      <c r="AB179" s="14"/>
      <c r="AC179" s="11">
        <f t="shared" si="60"/>
        <v>5159637</v>
      </c>
      <c r="AD179" s="10">
        <f t="shared" si="61"/>
        <v>300</v>
      </c>
      <c r="AE179" s="15">
        <v>26478</v>
      </c>
      <c r="AF179" s="16">
        <v>4766</v>
      </c>
      <c r="AG179" s="15">
        <f t="shared" si="62"/>
        <v>0</v>
      </c>
      <c r="AH179" s="15">
        <f t="shared" si="63"/>
        <v>0</v>
      </c>
      <c r="AI179" s="15">
        <f t="shared" si="64"/>
        <v>26478</v>
      </c>
      <c r="AJ179" s="15">
        <f t="shared" si="65"/>
        <v>4767</v>
      </c>
      <c r="AK179" s="10">
        <v>26478</v>
      </c>
      <c r="AL179" s="15">
        <f t="shared" si="66"/>
        <v>26478</v>
      </c>
      <c r="AM179" s="15">
        <f t="shared" si="67"/>
        <v>5186115</v>
      </c>
      <c r="AN179" s="15">
        <f t="shared" si="68"/>
        <v>623925</v>
      </c>
      <c r="AO179" s="15">
        <f t="shared" si="73"/>
        <v>650410.84</v>
      </c>
      <c r="AP179" s="17">
        <f t="shared" si="69"/>
        <v>5836525.8399999999</v>
      </c>
      <c r="AQ179" s="15">
        <v>5200915</v>
      </c>
      <c r="AR179" s="15">
        <v>7.84</v>
      </c>
      <c r="AS179" s="18">
        <f t="shared" si="74"/>
        <v>635611</v>
      </c>
      <c r="AT179" s="19">
        <v>0</v>
      </c>
      <c r="AU179" s="8">
        <v>8800</v>
      </c>
      <c r="AV179" s="13">
        <f t="shared" si="75"/>
        <v>776688</v>
      </c>
      <c r="AW179" s="18">
        <f t="shared" si="76"/>
        <v>5186115</v>
      </c>
      <c r="AX179" s="15">
        <f t="shared" si="70"/>
        <v>5187000</v>
      </c>
      <c r="AY179" s="20">
        <v>7.0000000000000007E-2</v>
      </c>
      <c r="AZ179" s="13">
        <f t="shared" si="71"/>
        <v>363090.00000000006</v>
      </c>
      <c r="BA179" s="15">
        <f t="shared" si="72"/>
        <v>363100</v>
      </c>
      <c r="BB179" s="21">
        <f t="shared" si="77"/>
        <v>998711</v>
      </c>
      <c r="BC179" s="10">
        <f t="shared" si="78"/>
        <v>0</v>
      </c>
      <c r="BD179" s="10">
        <f t="shared" si="79"/>
        <v>0</v>
      </c>
      <c r="BE179" s="10">
        <v>20.440000000000001</v>
      </c>
      <c r="BF179" s="10">
        <v>8.1999999999999993</v>
      </c>
      <c r="BG179" s="107">
        <v>46176</v>
      </c>
      <c r="BH179" s="107">
        <f t="shared" si="83"/>
        <v>46206</v>
      </c>
      <c r="BI179" s="23">
        <v>7</v>
      </c>
      <c r="BJ179" s="6"/>
      <c r="BK179" s="6"/>
      <c r="BL179" s="24">
        <f>VLOOKUP(A179,[2]Sheet1!$D$2:$H$933,5,0)</f>
        <v>0</v>
      </c>
      <c r="BM179" s="6" t="s">
        <v>3828</v>
      </c>
      <c r="BN179" s="6" t="s">
        <v>3829</v>
      </c>
      <c r="BO179" s="6" t="s">
        <v>3820</v>
      </c>
      <c r="BP179" s="6" t="s">
        <v>3821</v>
      </c>
      <c r="BQ179" s="6" t="s">
        <v>3830</v>
      </c>
      <c r="BR179" t="s">
        <v>3823</v>
      </c>
      <c r="BS179" t="s">
        <v>3824</v>
      </c>
      <c r="BT179" t="s">
        <v>3825</v>
      </c>
      <c r="BU179" t="s">
        <v>3826</v>
      </c>
      <c r="BV179" t="s">
        <v>3827</v>
      </c>
      <c r="BW179" t="s">
        <v>3835</v>
      </c>
      <c r="BX179">
        <v>0</v>
      </c>
      <c r="BY179" t="s">
        <v>3870</v>
      </c>
      <c r="BZ179" t="s">
        <v>3860</v>
      </c>
    </row>
    <row r="180" spans="1:78" x14ac:dyDescent="0.25">
      <c r="A180" s="7" t="s">
        <v>805</v>
      </c>
      <c r="B180" s="7" t="s">
        <v>181</v>
      </c>
      <c r="C180" s="7" t="s">
        <v>803</v>
      </c>
      <c r="D180" s="8" t="s">
        <v>804</v>
      </c>
      <c r="E180" s="7" t="s">
        <v>806</v>
      </c>
      <c r="F180" s="9">
        <v>44942</v>
      </c>
      <c r="G180" s="9" t="s">
        <v>65</v>
      </c>
      <c r="H180" s="9" t="s">
        <v>66</v>
      </c>
      <c r="I180" s="8" t="s">
        <v>78</v>
      </c>
      <c r="J180" s="10">
        <v>650.15</v>
      </c>
      <c r="K180" s="10">
        <v>650.15</v>
      </c>
      <c r="L180" s="10">
        <f t="shared" si="55"/>
        <v>0</v>
      </c>
      <c r="M180" s="10">
        <v>303.54000000000002</v>
      </c>
      <c r="N180" s="10">
        <v>303.54000000000002</v>
      </c>
      <c r="O180" s="10">
        <f t="shared" si="56"/>
        <v>0</v>
      </c>
      <c r="P180" s="11">
        <v>16869.874644312851</v>
      </c>
      <c r="Q180" s="11">
        <v>36133.455228305989</v>
      </c>
      <c r="R180" s="11">
        <v>22000</v>
      </c>
      <c r="S180" s="11">
        <v>10967949</v>
      </c>
      <c r="T180" s="11">
        <v>1316152</v>
      </c>
      <c r="U180" s="12">
        <f t="shared" si="57"/>
        <v>0.11999982859147139</v>
      </c>
      <c r="V180" s="13">
        <f t="shared" si="82"/>
        <v>0</v>
      </c>
      <c r="W180" s="10">
        <f t="shared" si="58"/>
        <v>0</v>
      </c>
      <c r="X180" s="10"/>
      <c r="Y180" s="10"/>
      <c r="Z180" s="11">
        <f t="shared" si="59"/>
        <v>10967949</v>
      </c>
      <c r="AA180" s="14"/>
      <c r="AB180" s="14"/>
      <c r="AC180" s="11">
        <f t="shared" si="60"/>
        <v>10967949</v>
      </c>
      <c r="AD180" s="10">
        <f t="shared" si="61"/>
        <v>300</v>
      </c>
      <c r="AE180" s="15">
        <v>91062</v>
      </c>
      <c r="AF180" s="16">
        <v>16392</v>
      </c>
      <c r="AG180" s="15">
        <f t="shared" si="62"/>
        <v>0</v>
      </c>
      <c r="AH180" s="15">
        <f t="shared" si="63"/>
        <v>0</v>
      </c>
      <c r="AI180" s="15">
        <f t="shared" si="64"/>
        <v>91062</v>
      </c>
      <c r="AJ180" s="15">
        <f t="shared" si="65"/>
        <v>16392</v>
      </c>
      <c r="AK180" s="10">
        <v>91062</v>
      </c>
      <c r="AL180" s="15">
        <f t="shared" si="66"/>
        <v>91062</v>
      </c>
      <c r="AM180" s="15">
        <f t="shared" si="67"/>
        <v>11059011</v>
      </c>
      <c r="AN180" s="15">
        <f t="shared" si="68"/>
        <v>1332544</v>
      </c>
      <c r="AO180" s="15">
        <f t="shared" si="73"/>
        <v>1423616.08</v>
      </c>
      <c r="AP180" s="17">
        <f t="shared" si="69"/>
        <v>12482627.08</v>
      </c>
      <c r="AQ180" s="15">
        <v>11042672.689999999</v>
      </c>
      <c r="AR180" s="15">
        <v>10.08</v>
      </c>
      <c r="AS180" s="18">
        <f t="shared" si="74"/>
        <v>1439954</v>
      </c>
      <c r="AT180" s="19">
        <v>0</v>
      </c>
      <c r="AU180" s="8">
        <v>8800</v>
      </c>
      <c r="AV180" s="13">
        <f t="shared" si="75"/>
        <v>2671152</v>
      </c>
      <c r="AW180" s="18">
        <f t="shared" si="76"/>
        <v>11059011</v>
      </c>
      <c r="AX180" s="15">
        <f t="shared" si="70"/>
        <v>11060000</v>
      </c>
      <c r="AY180" s="20">
        <v>0.05</v>
      </c>
      <c r="AZ180" s="13">
        <f t="shared" si="71"/>
        <v>553000</v>
      </c>
      <c r="BA180" s="15">
        <f t="shared" si="72"/>
        <v>553000</v>
      </c>
      <c r="BB180" s="21">
        <f t="shared" si="77"/>
        <v>1992954</v>
      </c>
      <c r="BC180" s="10">
        <f t="shared" si="78"/>
        <v>0</v>
      </c>
      <c r="BD180" s="10">
        <f t="shared" si="79"/>
        <v>0</v>
      </c>
      <c r="BE180" s="10">
        <v>60.4</v>
      </c>
      <c r="BF180" s="10">
        <v>28.2</v>
      </c>
      <c r="BG180" s="107">
        <v>46176</v>
      </c>
      <c r="BH180" s="107">
        <f t="shared" si="83"/>
        <v>46206</v>
      </c>
      <c r="BI180" s="23">
        <v>5</v>
      </c>
      <c r="BJ180" s="6"/>
      <c r="BK180" s="6"/>
      <c r="BL180" s="24">
        <f>VLOOKUP(A180,[2]Sheet1!$D$2:$H$933,5,0)</f>
        <v>0</v>
      </c>
      <c r="BM180" s="6" t="s">
        <v>3828</v>
      </c>
      <c r="BN180" s="6" t="s">
        <v>3829</v>
      </c>
      <c r="BO180" s="6" t="s">
        <v>3820</v>
      </c>
      <c r="BP180" s="6" t="s">
        <v>3821</v>
      </c>
      <c r="BQ180" s="6" t="s">
        <v>3830</v>
      </c>
      <c r="BR180" t="s">
        <v>3823</v>
      </c>
      <c r="BS180" t="s">
        <v>3824</v>
      </c>
      <c r="BT180" t="s">
        <v>3825</v>
      </c>
      <c r="BU180" t="s">
        <v>3826</v>
      </c>
      <c r="BV180" t="s">
        <v>3827</v>
      </c>
      <c r="BW180" t="s">
        <v>3835</v>
      </c>
      <c r="BX180">
        <v>0</v>
      </c>
      <c r="BY180" t="s">
        <v>3870</v>
      </c>
      <c r="BZ180" t="s">
        <v>3860</v>
      </c>
    </row>
    <row r="181" spans="1:78" x14ac:dyDescent="0.25">
      <c r="A181" s="7" t="s">
        <v>809</v>
      </c>
      <c r="B181" s="7" t="s">
        <v>181</v>
      </c>
      <c r="C181" s="7" t="s">
        <v>807</v>
      </c>
      <c r="D181" s="8" t="s">
        <v>808</v>
      </c>
      <c r="E181" s="7" t="s">
        <v>810</v>
      </c>
      <c r="F181" s="9">
        <v>44914</v>
      </c>
      <c r="G181" s="9" t="s">
        <v>527</v>
      </c>
      <c r="H181" s="9" t="s">
        <v>92</v>
      </c>
      <c r="I181" s="8" t="s">
        <v>67</v>
      </c>
      <c r="J181" s="10">
        <v>226.04</v>
      </c>
      <c r="K181" s="10">
        <v>226.04</v>
      </c>
      <c r="L181" s="10">
        <f t="shared" si="55"/>
        <v>0</v>
      </c>
      <c r="M181" s="10">
        <v>86.11</v>
      </c>
      <c r="N181" s="10">
        <v>86.11</v>
      </c>
      <c r="O181" s="10">
        <f t="shared" si="56"/>
        <v>0</v>
      </c>
      <c r="P181" s="11">
        <v>25750</v>
      </c>
      <c r="Q181" s="11">
        <v>67594.123795145744</v>
      </c>
      <c r="R181" s="11">
        <v>28000</v>
      </c>
      <c r="S181" s="11">
        <v>5820530</v>
      </c>
      <c r="T181" s="11">
        <v>698464</v>
      </c>
      <c r="U181" s="12">
        <f t="shared" si="57"/>
        <v>0.12000006872226412</v>
      </c>
      <c r="V181" s="13">
        <f t="shared" si="82"/>
        <v>0</v>
      </c>
      <c r="W181" s="10">
        <f t="shared" si="58"/>
        <v>0</v>
      </c>
      <c r="X181" s="10"/>
      <c r="Y181" s="10"/>
      <c r="Z181" s="11">
        <f t="shared" si="59"/>
        <v>5820530</v>
      </c>
      <c r="AA181" s="14">
        <v>1426052</v>
      </c>
      <c r="AB181" s="14">
        <v>171126</v>
      </c>
      <c r="AC181" s="11">
        <f t="shared" si="60"/>
        <v>4394478</v>
      </c>
      <c r="AD181" s="10">
        <f t="shared" si="61"/>
        <v>300</v>
      </c>
      <c r="AE181" s="15">
        <v>25833</v>
      </c>
      <c r="AF181" s="16">
        <v>4650</v>
      </c>
      <c r="AG181" s="15">
        <f t="shared" si="62"/>
        <v>0</v>
      </c>
      <c r="AH181" s="15">
        <f t="shared" si="63"/>
        <v>0</v>
      </c>
      <c r="AI181" s="15">
        <f t="shared" si="64"/>
        <v>25833</v>
      </c>
      <c r="AJ181" s="15">
        <f t="shared" si="65"/>
        <v>4650</v>
      </c>
      <c r="AK181" s="10">
        <v>25833</v>
      </c>
      <c r="AL181" s="15">
        <f t="shared" si="66"/>
        <v>25833</v>
      </c>
      <c r="AM181" s="15">
        <f t="shared" si="67"/>
        <v>4420311</v>
      </c>
      <c r="AN181" s="15">
        <f t="shared" si="68"/>
        <v>531988</v>
      </c>
      <c r="AO181" s="15">
        <f t="shared" si="73"/>
        <v>557864.48</v>
      </c>
      <c r="AP181" s="17">
        <f t="shared" si="69"/>
        <v>4978175.4800000004</v>
      </c>
      <c r="AQ181" s="15">
        <v>4261155.6500000004</v>
      </c>
      <c r="AR181" s="15">
        <v>43.48</v>
      </c>
      <c r="AS181" s="18">
        <f t="shared" si="74"/>
        <v>717020</v>
      </c>
      <c r="AT181" s="19">
        <v>0</v>
      </c>
      <c r="AU181" s="8">
        <v>8800</v>
      </c>
      <c r="AV181" s="13">
        <f t="shared" si="75"/>
        <v>757768</v>
      </c>
      <c r="AW181" s="18">
        <f t="shared" si="76"/>
        <v>4420311</v>
      </c>
      <c r="AX181" s="15">
        <f t="shared" si="70"/>
        <v>4421000</v>
      </c>
      <c r="AY181" s="20">
        <v>0.05</v>
      </c>
      <c r="AZ181" s="13">
        <f t="shared" si="71"/>
        <v>221050</v>
      </c>
      <c r="BA181" s="15">
        <f t="shared" si="72"/>
        <v>221100</v>
      </c>
      <c r="BB181" s="21">
        <f t="shared" si="77"/>
        <v>938120</v>
      </c>
      <c r="BC181" s="10">
        <f t="shared" si="78"/>
        <v>0</v>
      </c>
      <c r="BD181" s="10">
        <f t="shared" si="79"/>
        <v>0</v>
      </c>
      <c r="BE181" s="10">
        <v>21</v>
      </c>
      <c r="BF181" s="10">
        <v>8</v>
      </c>
      <c r="BG181" s="107">
        <v>46176</v>
      </c>
      <c r="BH181" s="107">
        <f t="shared" si="83"/>
        <v>46206</v>
      </c>
      <c r="BI181" s="23">
        <v>5</v>
      </c>
      <c r="BJ181" s="6"/>
      <c r="BK181" s="6"/>
      <c r="BL181" s="24">
        <f>VLOOKUP(A181,[2]Sheet1!$D$2:$H$933,5,0)</f>
        <v>0</v>
      </c>
      <c r="BM181" s="6" t="s">
        <v>3828</v>
      </c>
      <c r="BN181" s="6" t="s">
        <v>3829</v>
      </c>
      <c r="BO181" s="6" t="s">
        <v>3820</v>
      </c>
      <c r="BP181" s="6" t="s">
        <v>3821</v>
      </c>
      <c r="BQ181" s="6" t="s">
        <v>3830</v>
      </c>
      <c r="BR181" t="s">
        <v>3823</v>
      </c>
      <c r="BS181" t="s">
        <v>3824</v>
      </c>
      <c r="BT181" t="s">
        <v>3825</v>
      </c>
      <c r="BU181" t="s">
        <v>3826</v>
      </c>
      <c r="BV181" t="s">
        <v>3827</v>
      </c>
      <c r="BW181" t="s">
        <v>3835</v>
      </c>
      <c r="BX181">
        <v>0</v>
      </c>
      <c r="BY181" t="s">
        <v>3859</v>
      </c>
      <c r="BZ181" t="s">
        <v>3871</v>
      </c>
    </row>
    <row r="182" spans="1:78" x14ac:dyDescent="0.25">
      <c r="A182" s="7" t="s">
        <v>813</v>
      </c>
      <c r="B182" s="7" t="s">
        <v>181</v>
      </c>
      <c r="C182" s="7" t="s">
        <v>811</v>
      </c>
      <c r="D182" s="8" t="s">
        <v>812</v>
      </c>
      <c r="E182" s="7" t="s">
        <v>814</v>
      </c>
      <c r="F182" s="9">
        <v>45015</v>
      </c>
      <c r="G182" s="9" t="s">
        <v>363</v>
      </c>
      <c r="H182" s="9" t="s">
        <v>87</v>
      </c>
      <c r="I182" s="8" t="s">
        <v>67</v>
      </c>
      <c r="J182" s="10">
        <v>220.06</v>
      </c>
      <c r="K182" s="10">
        <v>220.06</v>
      </c>
      <c r="L182" s="10">
        <f t="shared" si="55"/>
        <v>0</v>
      </c>
      <c r="M182" s="10">
        <v>88.26</v>
      </c>
      <c r="N182" s="10">
        <v>88.26</v>
      </c>
      <c r="O182" s="10">
        <f t="shared" si="56"/>
        <v>0</v>
      </c>
      <c r="P182" s="11">
        <v>23800</v>
      </c>
      <c r="Q182" s="11">
        <v>59340.901880806705</v>
      </c>
      <c r="R182" s="11">
        <v>40000</v>
      </c>
      <c r="S182" s="11">
        <v>5237428</v>
      </c>
      <c r="T182" s="11">
        <v>628492</v>
      </c>
      <c r="U182" s="12">
        <f t="shared" si="57"/>
        <v>0.1200001221973839</v>
      </c>
      <c r="V182" s="13">
        <f t="shared" si="82"/>
        <v>0</v>
      </c>
      <c r="W182" s="10">
        <f t="shared" si="58"/>
        <v>0</v>
      </c>
      <c r="X182" s="10"/>
      <c r="Y182" s="10"/>
      <c r="Z182" s="11">
        <f t="shared" si="59"/>
        <v>5237428</v>
      </c>
      <c r="AA182" s="14"/>
      <c r="AB182" s="14"/>
      <c r="AC182" s="11">
        <f t="shared" si="60"/>
        <v>5237428</v>
      </c>
      <c r="AD182" s="10">
        <f t="shared" si="61"/>
        <v>300</v>
      </c>
      <c r="AE182" s="15">
        <v>26478</v>
      </c>
      <c r="AF182" s="16">
        <v>4766</v>
      </c>
      <c r="AG182" s="15">
        <f t="shared" si="62"/>
        <v>0</v>
      </c>
      <c r="AH182" s="15">
        <f t="shared" si="63"/>
        <v>0</v>
      </c>
      <c r="AI182" s="15">
        <f t="shared" si="64"/>
        <v>26478</v>
      </c>
      <c r="AJ182" s="15">
        <f t="shared" si="65"/>
        <v>4767</v>
      </c>
      <c r="AK182" s="10">
        <v>26478</v>
      </c>
      <c r="AL182" s="15">
        <f t="shared" si="66"/>
        <v>26478</v>
      </c>
      <c r="AM182" s="15">
        <f t="shared" si="67"/>
        <v>5263906</v>
      </c>
      <c r="AN182" s="15">
        <f t="shared" si="68"/>
        <v>633259</v>
      </c>
      <c r="AO182" s="15">
        <f t="shared" si="73"/>
        <v>659769.36</v>
      </c>
      <c r="AP182" s="17">
        <f t="shared" si="69"/>
        <v>5923675.3600000003</v>
      </c>
      <c r="AQ182" s="15">
        <v>5279327</v>
      </c>
      <c r="AR182" s="15">
        <v>32.36</v>
      </c>
      <c r="AS182" s="18">
        <f t="shared" si="74"/>
        <v>644348</v>
      </c>
      <c r="AT182" s="19">
        <v>0</v>
      </c>
      <c r="AU182" s="8">
        <v>8800</v>
      </c>
      <c r="AV182" s="13">
        <f t="shared" si="75"/>
        <v>776688</v>
      </c>
      <c r="AW182" s="18">
        <f t="shared" si="76"/>
        <v>5263906</v>
      </c>
      <c r="AX182" s="15">
        <f t="shared" si="70"/>
        <v>5264000</v>
      </c>
      <c r="AY182" s="20">
        <v>0.05</v>
      </c>
      <c r="AZ182" s="13">
        <f t="shared" si="71"/>
        <v>263200</v>
      </c>
      <c r="BA182" s="15">
        <f t="shared" si="72"/>
        <v>263200</v>
      </c>
      <c r="BB182" s="21">
        <f t="shared" si="77"/>
        <v>907548</v>
      </c>
      <c r="BC182" s="10">
        <f t="shared" si="78"/>
        <v>0</v>
      </c>
      <c r="BD182" s="10">
        <f t="shared" si="79"/>
        <v>0</v>
      </c>
      <c r="BE182" s="10">
        <v>20.440000000000001</v>
      </c>
      <c r="BF182" s="10">
        <v>8.1999999999999993</v>
      </c>
      <c r="BG182" s="107">
        <v>46176</v>
      </c>
      <c r="BH182" s="107">
        <f t="shared" si="83"/>
        <v>46206</v>
      </c>
      <c r="BI182" s="23">
        <v>5</v>
      </c>
      <c r="BJ182" s="6"/>
      <c r="BK182" s="6"/>
      <c r="BL182" s="24">
        <f>VLOOKUP(A182,[2]Sheet1!$D$2:$H$933,5,0)</f>
        <v>0</v>
      </c>
      <c r="BM182" s="6" t="s">
        <v>3828</v>
      </c>
      <c r="BN182" s="6" t="s">
        <v>3829</v>
      </c>
      <c r="BO182" s="6" t="s">
        <v>3820</v>
      </c>
      <c r="BP182" s="6" t="s">
        <v>3821</v>
      </c>
      <c r="BQ182" s="6" t="s">
        <v>3830</v>
      </c>
      <c r="BR182" t="s">
        <v>3823</v>
      </c>
      <c r="BS182" t="s">
        <v>3824</v>
      </c>
      <c r="BT182" t="s">
        <v>3825</v>
      </c>
      <c r="BU182" t="s">
        <v>3826</v>
      </c>
      <c r="BV182" t="s">
        <v>3827</v>
      </c>
      <c r="BW182" t="s">
        <v>3835</v>
      </c>
      <c r="BX182">
        <v>0</v>
      </c>
      <c r="BY182" t="s">
        <v>3859</v>
      </c>
      <c r="BZ182" t="s">
        <v>3860</v>
      </c>
    </row>
    <row r="183" spans="1:78" x14ac:dyDescent="0.25">
      <c r="A183" s="7" t="s">
        <v>817</v>
      </c>
      <c r="B183" s="7" t="s">
        <v>181</v>
      </c>
      <c r="C183" s="7" t="s">
        <v>815</v>
      </c>
      <c r="D183" s="8" t="s">
        <v>816</v>
      </c>
      <c r="E183" s="7" t="s">
        <v>818</v>
      </c>
      <c r="F183" s="9">
        <v>45216</v>
      </c>
      <c r="G183" s="9" t="s">
        <v>65</v>
      </c>
      <c r="H183" s="9" t="s">
        <v>72</v>
      </c>
      <c r="I183" s="8" t="s">
        <v>78</v>
      </c>
      <c r="J183" s="10">
        <v>479</v>
      </c>
      <c r="K183" s="10">
        <v>479</v>
      </c>
      <c r="L183" s="10">
        <f t="shared" si="55"/>
        <v>0</v>
      </c>
      <c r="M183" s="10">
        <v>205.59</v>
      </c>
      <c r="N183" s="10">
        <v>205.59</v>
      </c>
      <c r="O183" s="10">
        <f t="shared" si="56"/>
        <v>0</v>
      </c>
      <c r="P183" s="11">
        <v>11543.997912317327</v>
      </c>
      <c r="Q183" s="11">
        <v>26896.128216352936</v>
      </c>
      <c r="R183" s="11">
        <v>20000</v>
      </c>
      <c r="S183" s="11">
        <v>5529575</v>
      </c>
      <c r="T183" s="11">
        <v>663548</v>
      </c>
      <c r="U183" s="12">
        <f t="shared" si="57"/>
        <v>0.11999981915427496</v>
      </c>
      <c r="V183" s="13">
        <f t="shared" si="82"/>
        <v>0</v>
      </c>
      <c r="W183" s="10">
        <f t="shared" si="58"/>
        <v>0</v>
      </c>
      <c r="X183" s="10"/>
      <c r="Y183" s="10"/>
      <c r="Z183" s="11">
        <f t="shared" si="59"/>
        <v>5529575</v>
      </c>
      <c r="AA183" s="14">
        <v>1053945</v>
      </c>
      <c r="AB183" s="14">
        <v>126474</v>
      </c>
      <c r="AC183" s="11">
        <f t="shared" si="60"/>
        <v>4475630</v>
      </c>
      <c r="AD183" s="10">
        <f t="shared" si="61"/>
        <v>300</v>
      </c>
      <c r="AE183" s="15">
        <v>61677</v>
      </c>
      <c r="AF183" s="16">
        <v>11102</v>
      </c>
      <c r="AG183" s="15">
        <f t="shared" si="62"/>
        <v>0</v>
      </c>
      <c r="AH183" s="15">
        <f t="shared" si="63"/>
        <v>0</v>
      </c>
      <c r="AI183" s="15">
        <f t="shared" si="64"/>
        <v>61677</v>
      </c>
      <c r="AJ183" s="15">
        <f t="shared" si="65"/>
        <v>11102</v>
      </c>
      <c r="AK183" s="10">
        <v>61677</v>
      </c>
      <c r="AL183" s="15">
        <f t="shared" si="66"/>
        <v>61677</v>
      </c>
      <c r="AM183" s="15">
        <f t="shared" si="67"/>
        <v>4537307</v>
      </c>
      <c r="AN183" s="15">
        <f t="shared" si="68"/>
        <v>548176</v>
      </c>
      <c r="AO183" s="15">
        <f t="shared" si="73"/>
        <v>609927.84</v>
      </c>
      <c r="AP183" s="17">
        <f t="shared" si="69"/>
        <v>5147234.84</v>
      </c>
      <c r="AQ183" s="15">
        <v>4378516.63</v>
      </c>
      <c r="AR183" s="15">
        <v>74.84</v>
      </c>
      <c r="AS183" s="18">
        <f t="shared" si="74"/>
        <v>768718</v>
      </c>
      <c r="AT183" s="19">
        <v>0</v>
      </c>
      <c r="AU183" s="8">
        <v>8800</v>
      </c>
      <c r="AV183" s="13">
        <f t="shared" si="75"/>
        <v>1809192</v>
      </c>
      <c r="AW183" s="18">
        <f t="shared" si="76"/>
        <v>4537307</v>
      </c>
      <c r="AX183" s="15">
        <f t="shared" si="70"/>
        <v>4538000</v>
      </c>
      <c r="AY183" s="20">
        <v>0.05</v>
      </c>
      <c r="AZ183" s="13">
        <f t="shared" si="71"/>
        <v>226900</v>
      </c>
      <c r="BA183" s="15">
        <f t="shared" si="72"/>
        <v>226900</v>
      </c>
      <c r="BB183" s="21">
        <f t="shared" si="77"/>
        <v>995618</v>
      </c>
      <c r="BC183" s="10">
        <f t="shared" si="78"/>
        <v>0</v>
      </c>
      <c r="BD183" s="10">
        <f t="shared" si="79"/>
        <v>0</v>
      </c>
      <c r="BE183" s="10">
        <v>44.5</v>
      </c>
      <c r="BF183" s="10">
        <v>19.100000000000001</v>
      </c>
      <c r="BG183" s="107">
        <v>46176</v>
      </c>
      <c r="BH183" s="107">
        <f t="shared" si="83"/>
        <v>46206</v>
      </c>
      <c r="BI183" s="23">
        <v>5</v>
      </c>
      <c r="BJ183" s="6"/>
      <c r="BK183" s="6"/>
      <c r="BL183" s="24">
        <f>VLOOKUP(A183,[2]Sheet1!$D$2:$H$933,5,0)</f>
        <v>0</v>
      </c>
      <c r="BM183" s="6" t="s">
        <v>3828</v>
      </c>
      <c r="BN183" s="6" t="s">
        <v>3829</v>
      </c>
      <c r="BO183" s="6" t="s">
        <v>3820</v>
      </c>
      <c r="BP183" s="6" t="s">
        <v>3821</v>
      </c>
      <c r="BQ183" s="6" t="s">
        <v>3830</v>
      </c>
      <c r="BR183" t="s">
        <v>3823</v>
      </c>
      <c r="BS183" t="s">
        <v>3824</v>
      </c>
      <c r="BT183" t="s">
        <v>3825</v>
      </c>
      <c r="BU183" t="s">
        <v>3826</v>
      </c>
      <c r="BV183" t="s">
        <v>3827</v>
      </c>
      <c r="BW183" t="s">
        <v>3835</v>
      </c>
      <c r="BX183" s="101">
        <v>427574.56</v>
      </c>
      <c r="BY183" t="s">
        <v>3867</v>
      </c>
      <c r="BZ183" t="s">
        <v>3860</v>
      </c>
    </row>
    <row r="184" spans="1:78" x14ac:dyDescent="0.25">
      <c r="A184" s="7" t="s">
        <v>821</v>
      </c>
      <c r="B184" s="7" t="s">
        <v>181</v>
      </c>
      <c r="C184" s="7" t="s">
        <v>819</v>
      </c>
      <c r="D184" s="8" t="s">
        <v>820</v>
      </c>
      <c r="E184" s="7" t="s">
        <v>822</v>
      </c>
      <c r="F184" s="9">
        <v>44967</v>
      </c>
      <c r="G184" s="9" t="s">
        <v>65</v>
      </c>
      <c r="H184" s="9" t="s">
        <v>72</v>
      </c>
      <c r="I184" s="8" t="s">
        <v>67</v>
      </c>
      <c r="J184" s="10">
        <v>571.69000000000005</v>
      </c>
      <c r="K184" s="10">
        <v>571.69000000000005</v>
      </c>
      <c r="L184" s="10">
        <f t="shared" ref="L184:L246" si="84">K184-J184</f>
        <v>0</v>
      </c>
      <c r="M184" s="10">
        <v>234.66</v>
      </c>
      <c r="N184" s="10">
        <v>234.66</v>
      </c>
      <c r="O184" s="10">
        <f t="shared" ref="O184:O246" si="85">N184-M184</f>
        <v>0</v>
      </c>
      <c r="P184" s="11">
        <v>13944.999912540012</v>
      </c>
      <c r="Q184" s="11">
        <v>33973.480780703998</v>
      </c>
      <c r="R184" s="11">
        <v>20000</v>
      </c>
      <c r="S184" s="11">
        <v>7972217</v>
      </c>
      <c r="T184" s="11">
        <v>956668</v>
      </c>
      <c r="U184" s="12">
        <f t="shared" ref="U184:U246" si="86">T184/S184</f>
        <v>0.12000024585381959</v>
      </c>
      <c r="V184" s="13">
        <f t="shared" si="82"/>
        <v>0</v>
      </c>
      <c r="W184" s="10">
        <f t="shared" ref="W184:W246" si="87">V184*U184</f>
        <v>0</v>
      </c>
      <c r="X184" s="10"/>
      <c r="Y184" s="10"/>
      <c r="Z184" s="11">
        <f t="shared" ref="Z184:Z246" si="88">S184+V184+X184</f>
        <v>7972217</v>
      </c>
      <c r="AA184" s="14"/>
      <c r="AB184" s="14"/>
      <c r="AC184" s="11">
        <f t="shared" ref="AC184:AC246" si="89">Z184-AA184</f>
        <v>7972217</v>
      </c>
      <c r="AD184" s="10">
        <f t="shared" ref="AD184:AD246" si="90">AE184/M184</f>
        <v>300</v>
      </c>
      <c r="AE184" s="15">
        <v>70398</v>
      </c>
      <c r="AF184" s="16">
        <v>12672</v>
      </c>
      <c r="AG184" s="15">
        <f t="shared" ref="AG184:AG246" si="91">(AD184*O184)</f>
        <v>0</v>
      </c>
      <c r="AH184" s="15">
        <f t="shared" ref="AH184:AH246" si="92">AG184*18%</f>
        <v>0</v>
      </c>
      <c r="AI184" s="15">
        <f t="shared" ref="AI184:AI246" si="93">AD184*N184</f>
        <v>70398</v>
      </c>
      <c r="AJ184" s="15">
        <f t="shared" ref="AJ184:AJ246" si="94">ROUNDUP(AI184*18%,0)</f>
        <v>12672</v>
      </c>
      <c r="AK184" s="10">
        <v>70398</v>
      </c>
      <c r="AL184" s="15">
        <f t="shared" ref="AL184:AL246" si="95">N184*300</f>
        <v>70398</v>
      </c>
      <c r="AM184" s="15">
        <f t="shared" ref="AM184:AM246" si="96">ROUND(AI184+AC184,0)</f>
        <v>8042615</v>
      </c>
      <c r="AN184" s="15">
        <f t="shared" ref="AN184:AN246" si="97">ROUNDUP(AJ184+W184+T184+Y184-AB184,0)</f>
        <v>969340</v>
      </c>
      <c r="AO184" s="15">
        <f t="shared" si="73"/>
        <v>1039796.68</v>
      </c>
      <c r="AP184" s="17">
        <f t="shared" ref="AP184:AP246" si="98">AM184+AO184</f>
        <v>9082411.6799999997</v>
      </c>
      <c r="AQ184" s="15">
        <v>7871192</v>
      </c>
      <c r="AR184" s="15">
        <v>58.68</v>
      </c>
      <c r="AS184" s="18">
        <f t="shared" si="74"/>
        <v>1211220</v>
      </c>
      <c r="AT184" s="19">
        <v>0</v>
      </c>
      <c r="AU184" s="8">
        <v>8800</v>
      </c>
      <c r="AV184" s="13">
        <f t="shared" si="75"/>
        <v>2065008</v>
      </c>
      <c r="AW184" s="18">
        <f t="shared" si="76"/>
        <v>8042615</v>
      </c>
      <c r="AX184" s="15">
        <f t="shared" ref="AX184:AX246" si="99">CEILING((AW184),1000)</f>
        <v>8043000</v>
      </c>
      <c r="AY184" s="20">
        <v>0.05</v>
      </c>
      <c r="AZ184" s="13">
        <f t="shared" ref="AZ184:AZ246" si="100">AY184*AX184</f>
        <v>402150</v>
      </c>
      <c r="BA184" s="15">
        <f t="shared" ref="BA184:BA246" si="101">CEILING(AZ184,100)</f>
        <v>402200</v>
      </c>
      <c r="BB184" s="21">
        <f t="shared" si="77"/>
        <v>1613420</v>
      </c>
      <c r="BC184" s="10">
        <f t="shared" si="78"/>
        <v>0</v>
      </c>
      <c r="BD184" s="10">
        <f t="shared" si="79"/>
        <v>0</v>
      </c>
      <c r="BE184" s="10">
        <v>53.11</v>
      </c>
      <c r="BF184" s="10">
        <v>21.8</v>
      </c>
      <c r="BG184" s="107">
        <v>46176</v>
      </c>
      <c r="BH184" s="107">
        <f t="shared" si="83"/>
        <v>46206</v>
      </c>
      <c r="BI184" s="23">
        <v>5</v>
      </c>
      <c r="BJ184" s="6"/>
      <c r="BK184" s="6"/>
      <c r="BL184" s="24">
        <f>VLOOKUP(A184,[2]Sheet1!$D$2:$H$933,5,0)</f>
        <v>0</v>
      </c>
      <c r="BM184" s="6" t="s">
        <v>3828</v>
      </c>
      <c r="BN184" s="6" t="s">
        <v>3829</v>
      </c>
      <c r="BO184" s="6" t="s">
        <v>3820</v>
      </c>
      <c r="BP184" s="6" t="s">
        <v>3821</v>
      </c>
      <c r="BQ184" s="6" t="s">
        <v>3830</v>
      </c>
      <c r="BR184" t="s">
        <v>3823</v>
      </c>
      <c r="BS184" t="s">
        <v>3824</v>
      </c>
      <c r="BT184" t="s">
        <v>3825</v>
      </c>
      <c r="BU184" t="s">
        <v>3826</v>
      </c>
      <c r="BV184" t="s">
        <v>3827</v>
      </c>
      <c r="BW184" t="s">
        <v>3835</v>
      </c>
      <c r="BX184">
        <v>0</v>
      </c>
      <c r="BY184" t="s">
        <v>3870</v>
      </c>
      <c r="BZ184" t="s">
        <v>3860</v>
      </c>
    </row>
    <row r="185" spans="1:78" x14ac:dyDescent="0.25">
      <c r="A185" s="7" t="s">
        <v>825</v>
      </c>
      <c r="B185" s="7" t="s">
        <v>181</v>
      </c>
      <c r="C185" s="7" t="s">
        <v>823</v>
      </c>
      <c r="D185" s="8" t="s">
        <v>824</v>
      </c>
      <c r="E185" s="7" t="s">
        <v>826</v>
      </c>
      <c r="F185" s="9">
        <v>44940</v>
      </c>
      <c r="G185" s="9" t="s">
        <v>404</v>
      </c>
      <c r="H185" s="9" t="s">
        <v>66</v>
      </c>
      <c r="I185" s="8" t="s">
        <v>78</v>
      </c>
      <c r="J185" s="10">
        <v>775.01</v>
      </c>
      <c r="K185" s="10">
        <v>775.01</v>
      </c>
      <c r="L185" s="10">
        <f t="shared" si="84"/>
        <v>0</v>
      </c>
      <c r="M185" s="10">
        <v>358.44</v>
      </c>
      <c r="N185" s="10">
        <v>358.44</v>
      </c>
      <c r="O185" s="10">
        <f t="shared" si="85"/>
        <v>0</v>
      </c>
      <c r="P185" s="11">
        <v>12000</v>
      </c>
      <c r="Q185" s="11">
        <v>25946.099765651154</v>
      </c>
      <c r="R185" s="11">
        <v>22000</v>
      </c>
      <c r="S185" s="11">
        <v>9300120</v>
      </c>
      <c r="T185" s="11">
        <v>1116014</v>
      </c>
      <c r="U185" s="12">
        <f t="shared" si="86"/>
        <v>0.11999995698980229</v>
      </c>
      <c r="V185" s="13">
        <f t="shared" si="82"/>
        <v>0</v>
      </c>
      <c r="W185" s="10">
        <f t="shared" si="87"/>
        <v>0</v>
      </c>
      <c r="X185" s="10"/>
      <c r="Y185" s="10"/>
      <c r="Z185" s="11">
        <f t="shared" si="88"/>
        <v>9300120</v>
      </c>
      <c r="AA185" s="14"/>
      <c r="AB185" s="14"/>
      <c r="AC185" s="11">
        <f t="shared" si="89"/>
        <v>9300120</v>
      </c>
      <c r="AD185" s="10">
        <f t="shared" si="90"/>
        <v>300</v>
      </c>
      <c r="AE185" s="15">
        <v>107532</v>
      </c>
      <c r="AF185" s="16">
        <v>19356</v>
      </c>
      <c r="AG185" s="15">
        <f t="shared" si="91"/>
        <v>0</v>
      </c>
      <c r="AH185" s="15">
        <f t="shared" si="92"/>
        <v>0</v>
      </c>
      <c r="AI185" s="15">
        <f t="shared" si="93"/>
        <v>107532</v>
      </c>
      <c r="AJ185" s="15">
        <f t="shared" si="94"/>
        <v>19356</v>
      </c>
      <c r="AK185" s="10">
        <v>107532</v>
      </c>
      <c r="AL185" s="15">
        <f t="shared" si="95"/>
        <v>107532</v>
      </c>
      <c r="AM185" s="15">
        <f t="shared" si="96"/>
        <v>9407652</v>
      </c>
      <c r="AN185" s="15">
        <f t="shared" si="97"/>
        <v>1135370</v>
      </c>
      <c r="AO185" s="15">
        <f t="shared" si="73"/>
        <v>1242995</v>
      </c>
      <c r="AP185" s="17">
        <f t="shared" si="98"/>
        <v>10650647</v>
      </c>
      <c r="AQ185" s="15">
        <v>9355920.3599999994</v>
      </c>
      <c r="AR185" s="15">
        <v>93</v>
      </c>
      <c r="AS185" s="18">
        <f t="shared" si="74"/>
        <v>1294727</v>
      </c>
      <c r="AT185" s="19">
        <v>0</v>
      </c>
      <c r="AU185" s="8">
        <v>8800</v>
      </c>
      <c r="AV185" s="13">
        <f t="shared" si="75"/>
        <v>3154272</v>
      </c>
      <c r="AW185" s="18">
        <f t="shared" si="76"/>
        <v>9407652</v>
      </c>
      <c r="AX185" s="15">
        <f t="shared" si="99"/>
        <v>9408000</v>
      </c>
      <c r="AY185" s="20">
        <v>7.0000000000000007E-2</v>
      </c>
      <c r="AZ185" s="13">
        <f t="shared" si="100"/>
        <v>658560.00000000012</v>
      </c>
      <c r="BA185" s="15">
        <f t="shared" si="101"/>
        <v>658600</v>
      </c>
      <c r="BB185" s="21">
        <f t="shared" si="77"/>
        <v>1953327</v>
      </c>
      <c r="BC185" s="10">
        <f t="shared" si="78"/>
        <v>0</v>
      </c>
      <c r="BD185" s="10">
        <f t="shared" si="79"/>
        <v>0</v>
      </c>
      <c r="BE185" s="10">
        <v>72</v>
      </c>
      <c r="BF185" s="10">
        <v>33.299999999999997</v>
      </c>
      <c r="BG185" s="107">
        <v>46176</v>
      </c>
      <c r="BH185" s="107">
        <f t="shared" si="83"/>
        <v>46206</v>
      </c>
      <c r="BI185" s="23">
        <v>7</v>
      </c>
      <c r="BJ185" s="6"/>
      <c r="BK185" s="64"/>
      <c r="BL185" s="24">
        <f>VLOOKUP(A185,[2]Sheet1!$D$2:$H$933,5,0)</f>
        <v>0</v>
      </c>
      <c r="BM185" s="6" t="s">
        <v>3828</v>
      </c>
      <c r="BN185" s="6" t="s">
        <v>3829</v>
      </c>
      <c r="BO185" s="6" t="s">
        <v>3820</v>
      </c>
      <c r="BP185" s="6" t="s">
        <v>3821</v>
      </c>
      <c r="BQ185" s="6" t="s">
        <v>3830</v>
      </c>
      <c r="BR185" t="s">
        <v>3823</v>
      </c>
      <c r="BS185" t="s">
        <v>3824</v>
      </c>
      <c r="BT185" t="s">
        <v>3825</v>
      </c>
      <c r="BU185" t="s">
        <v>3826</v>
      </c>
      <c r="BV185" t="s">
        <v>3827</v>
      </c>
      <c r="BW185" t="s">
        <v>3835</v>
      </c>
      <c r="BX185">
        <v>0</v>
      </c>
      <c r="BY185" t="s">
        <v>3869</v>
      </c>
      <c r="BZ185" t="s">
        <v>3863</v>
      </c>
    </row>
    <row r="186" spans="1:78" x14ac:dyDescent="0.25">
      <c r="A186" s="7" t="s">
        <v>829</v>
      </c>
      <c r="B186" s="7" t="s">
        <v>181</v>
      </c>
      <c r="C186" s="7" t="s">
        <v>827</v>
      </c>
      <c r="D186" s="8" t="s">
        <v>828</v>
      </c>
      <c r="E186" s="7" t="s">
        <v>830</v>
      </c>
      <c r="F186" s="9">
        <v>44999</v>
      </c>
      <c r="G186" s="9" t="s">
        <v>363</v>
      </c>
      <c r="H186" s="9" t="s">
        <v>87</v>
      </c>
      <c r="I186" s="8" t="s">
        <v>67</v>
      </c>
      <c r="J186" s="10">
        <v>220.06</v>
      </c>
      <c r="K186" s="10">
        <v>220.06</v>
      </c>
      <c r="L186" s="10">
        <f t="shared" si="84"/>
        <v>0</v>
      </c>
      <c r="M186" s="10">
        <v>88.26</v>
      </c>
      <c r="N186" s="10">
        <v>88.26</v>
      </c>
      <c r="O186" s="10">
        <f t="shared" si="85"/>
        <v>0</v>
      </c>
      <c r="P186" s="11">
        <v>22720.998818504046</v>
      </c>
      <c r="Q186" s="11">
        <v>56650.611828687965</v>
      </c>
      <c r="R186" s="11">
        <v>40000</v>
      </c>
      <c r="S186" s="11">
        <v>4999983</v>
      </c>
      <c r="T186" s="11">
        <v>600000</v>
      </c>
      <c r="U186" s="12">
        <f t="shared" si="86"/>
        <v>0.1200004080013872</v>
      </c>
      <c r="V186" s="13">
        <f t="shared" si="82"/>
        <v>0</v>
      </c>
      <c r="W186" s="10">
        <f t="shared" si="87"/>
        <v>0</v>
      </c>
      <c r="X186" s="10"/>
      <c r="Y186" s="10"/>
      <c r="Z186" s="11">
        <f t="shared" si="88"/>
        <v>4999983</v>
      </c>
      <c r="AA186" s="14"/>
      <c r="AB186" s="14"/>
      <c r="AC186" s="11">
        <f t="shared" si="89"/>
        <v>4999983</v>
      </c>
      <c r="AD186" s="10">
        <f t="shared" si="90"/>
        <v>300</v>
      </c>
      <c r="AE186" s="15">
        <v>26478</v>
      </c>
      <c r="AF186" s="16">
        <v>4766</v>
      </c>
      <c r="AG186" s="15">
        <f t="shared" si="91"/>
        <v>0</v>
      </c>
      <c r="AH186" s="15">
        <f t="shared" si="92"/>
        <v>0</v>
      </c>
      <c r="AI186" s="15">
        <f t="shared" si="93"/>
        <v>26478</v>
      </c>
      <c r="AJ186" s="15">
        <f t="shared" si="94"/>
        <v>4767</v>
      </c>
      <c r="AK186" s="10">
        <v>26478</v>
      </c>
      <c r="AL186" s="15">
        <f t="shared" si="95"/>
        <v>26478</v>
      </c>
      <c r="AM186" s="15">
        <f t="shared" si="96"/>
        <v>5026461</v>
      </c>
      <c r="AN186" s="15">
        <f t="shared" si="97"/>
        <v>604767</v>
      </c>
      <c r="AO186" s="15">
        <f t="shared" si="73"/>
        <v>631346</v>
      </c>
      <c r="AP186" s="17">
        <f t="shared" si="98"/>
        <v>5657807</v>
      </c>
      <c r="AQ186" s="15">
        <v>5019985</v>
      </c>
      <c r="AR186" s="15">
        <v>101</v>
      </c>
      <c r="AS186" s="18">
        <f t="shared" si="74"/>
        <v>637822</v>
      </c>
      <c r="AT186" s="19">
        <v>0</v>
      </c>
      <c r="AU186" s="8">
        <v>8800</v>
      </c>
      <c r="AV186" s="13">
        <f t="shared" si="75"/>
        <v>776688</v>
      </c>
      <c r="AW186" s="18">
        <f t="shared" si="76"/>
        <v>5026461</v>
      </c>
      <c r="AX186" s="15">
        <f t="shared" si="99"/>
        <v>5027000</v>
      </c>
      <c r="AY186" s="20">
        <v>0.05</v>
      </c>
      <c r="AZ186" s="13">
        <f t="shared" si="100"/>
        <v>251350</v>
      </c>
      <c r="BA186" s="15">
        <f t="shared" si="101"/>
        <v>251400</v>
      </c>
      <c r="BB186" s="21">
        <f t="shared" si="77"/>
        <v>889222</v>
      </c>
      <c r="BC186" s="10">
        <f t="shared" si="78"/>
        <v>0</v>
      </c>
      <c r="BD186" s="10">
        <f t="shared" si="79"/>
        <v>0</v>
      </c>
      <c r="BE186" s="10">
        <v>20.440000000000001</v>
      </c>
      <c r="BF186" s="10">
        <v>8.1999999999999993</v>
      </c>
      <c r="BG186" s="107">
        <v>46176</v>
      </c>
      <c r="BH186" s="107">
        <f t="shared" si="83"/>
        <v>46206</v>
      </c>
      <c r="BI186" s="23">
        <v>5</v>
      </c>
      <c r="BJ186" s="6"/>
      <c r="BK186" s="6"/>
      <c r="BL186" s="24">
        <f>VLOOKUP(A186,[2]Sheet1!$D$2:$H$933,5,0)</f>
        <v>0</v>
      </c>
      <c r="BM186" s="6" t="s">
        <v>3828</v>
      </c>
      <c r="BN186" s="6" t="s">
        <v>3829</v>
      </c>
      <c r="BO186" s="6" t="s">
        <v>3820</v>
      </c>
      <c r="BP186" s="6" t="s">
        <v>3821</v>
      </c>
      <c r="BQ186" s="6" t="s">
        <v>3830</v>
      </c>
      <c r="BR186" t="s">
        <v>3823</v>
      </c>
      <c r="BS186" t="s">
        <v>3824</v>
      </c>
      <c r="BT186" t="s">
        <v>3825</v>
      </c>
      <c r="BU186" t="s">
        <v>3826</v>
      </c>
      <c r="BV186" t="s">
        <v>3827</v>
      </c>
      <c r="BW186" t="s">
        <v>3835</v>
      </c>
      <c r="BX186">
        <v>0</v>
      </c>
      <c r="BY186" t="s">
        <v>3870</v>
      </c>
      <c r="BZ186" t="s">
        <v>3860</v>
      </c>
    </row>
    <row r="187" spans="1:78" x14ac:dyDescent="0.25">
      <c r="A187" s="7" t="s">
        <v>833</v>
      </c>
      <c r="B187" s="7" t="s">
        <v>181</v>
      </c>
      <c r="C187" s="7" t="s">
        <v>831</v>
      </c>
      <c r="D187" s="8" t="s">
        <v>832</v>
      </c>
      <c r="E187" s="7" t="s">
        <v>834</v>
      </c>
      <c r="F187" s="9">
        <v>44989</v>
      </c>
      <c r="G187" s="9" t="s">
        <v>363</v>
      </c>
      <c r="H187" s="9" t="s">
        <v>87</v>
      </c>
      <c r="I187" s="8" t="s">
        <v>67</v>
      </c>
      <c r="J187" s="10">
        <v>220.06</v>
      </c>
      <c r="K187" s="10">
        <v>220.06</v>
      </c>
      <c r="L187" s="10">
        <f t="shared" si="84"/>
        <v>0</v>
      </c>
      <c r="M187" s="10">
        <v>88.26</v>
      </c>
      <c r="N187" s="10">
        <v>88.26</v>
      </c>
      <c r="O187" s="10">
        <f t="shared" si="85"/>
        <v>0</v>
      </c>
      <c r="P187" s="11">
        <v>23559.356539125693</v>
      </c>
      <c r="Q187" s="11">
        <v>58740.901880806705</v>
      </c>
      <c r="R187" s="11">
        <v>40000</v>
      </c>
      <c r="S187" s="11">
        <v>5184472</v>
      </c>
      <c r="T187" s="11">
        <v>622138</v>
      </c>
      <c r="U187" s="12">
        <f t="shared" si="86"/>
        <v>0.12000026232179478</v>
      </c>
      <c r="V187" s="13">
        <f t="shared" si="82"/>
        <v>0</v>
      </c>
      <c r="W187" s="10">
        <f t="shared" si="87"/>
        <v>0</v>
      </c>
      <c r="X187" s="10"/>
      <c r="Y187" s="10"/>
      <c r="Z187" s="11">
        <f t="shared" si="88"/>
        <v>5184472</v>
      </c>
      <c r="AA187" s="14"/>
      <c r="AB187" s="14"/>
      <c r="AC187" s="11">
        <f t="shared" si="89"/>
        <v>5184472</v>
      </c>
      <c r="AD187" s="10">
        <f t="shared" si="90"/>
        <v>300</v>
      </c>
      <c r="AE187" s="15">
        <v>26478</v>
      </c>
      <c r="AF187" s="16">
        <v>4766</v>
      </c>
      <c r="AG187" s="15">
        <f t="shared" si="91"/>
        <v>0</v>
      </c>
      <c r="AH187" s="15">
        <f t="shared" si="92"/>
        <v>0</v>
      </c>
      <c r="AI187" s="15">
        <f t="shared" si="93"/>
        <v>26478</v>
      </c>
      <c r="AJ187" s="15">
        <f t="shared" si="94"/>
        <v>4767</v>
      </c>
      <c r="AK187" s="10">
        <v>26478</v>
      </c>
      <c r="AL187" s="15">
        <f t="shared" si="95"/>
        <v>26478</v>
      </c>
      <c r="AM187" s="15">
        <f t="shared" si="96"/>
        <v>5210950</v>
      </c>
      <c r="AN187" s="15">
        <f t="shared" si="97"/>
        <v>626905</v>
      </c>
      <c r="AO187" s="15">
        <f t="shared" si="73"/>
        <v>653487</v>
      </c>
      <c r="AP187" s="17">
        <f t="shared" si="98"/>
        <v>5864437</v>
      </c>
      <c r="AQ187" s="15">
        <v>5192163</v>
      </c>
      <c r="AR187" s="15">
        <v>104</v>
      </c>
      <c r="AS187" s="18">
        <f t="shared" si="74"/>
        <v>672274</v>
      </c>
      <c r="AT187" s="19">
        <v>0</v>
      </c>
      <c r="AU187" s="8">
        <v>8800</v>
      </c>
      <c r="AV187" s="13">
        <f t="shared" si="75"/>
        <v>776688</v>
      </c>
      <c r="AW187" s="18">
        <f t="shared" si="76"/>
        <v>5210950</v>
      </c>
      <c r="AX187" s="15">
        <f t="shared" si="99"/>
        <v>5211000</v>
      </c>
      <c r="AY187" s="20">
        <v>7.0000000000000007E-2</v>
      </c>
      <c r="AZ187" s="13">
        <f t="shared" si="100"/>
        <v>364770.00000000006</v>
      </c>
      <c r="BA187" s="15">
        <f t="shared" si="101"/>
        <v>364800</v>
      </c>
      <c r="BB187" s="21">
        <f t="shared" si="77"/>
        <v>1037074</v>
      </c>
      <c r="BC187" s="10">
        <f t="shared" si="78"/>
        <v>0</v>
      </c>
      <c r="BD187" s="10">
        <f t="shared" si="79"/>
        <v>0</v>
      </c>
      <c r="BE187" s="10">
        <v>20.440000000000001</v>
      </c>
      <c r="BF187" s="10">
        <v>8.1999999999999993</v>
      </c>
      <c r="BG187" s="107">
        <v>46176</v>
      </c>
      <c r="BH187" s="107">
        <f t="shared" si="83"/>
        <v>46206</v>
      </c>
      <c r="BI187" s="23">
        <v>7</v>
      </c>
      <c r="BJ187" s="6"/>
      <c r="BK187" s="6"/>
      <c r="BL187" s="24">
        <f>VLOOKUP(A187,[2]Sheet1!$D$2:$H$933,5,0)</f>
        <v>0</v>
      </c>
      <c r="BM187" s="6" t="s">
        <v>3828</v>
      </c>
      <c r="BN187" s="6" t="s">
        <v>3829</v>
      </c>
      <c r="BO187" s="6" t="s">
        <v>3820</v>
      </c>
      <c r="BP187" s="6" t="s">
        <v>3821</v>
      </c>
      <c r="BQ187" s="6" t="s">
        <v>3830</v>
      </c>
      <c r="BR187" t="s">
        <v>3823</v>
      </c>
      <c r="BS187" t="s">
        <v>3824</v>
      </c>
      <c r="BT187" t="s">
        <v>3825</v>
      </c>
      <c r="BU187" t="s">
        <v>3826</v>
      </c>
      <c r="BV187" t="s">
        <v>3827</v>
      </c>
      <c r="BW187" t="s">
        <v>3835</v>
      </c>
      <c r="BX187">
        <v>0</v>
      </c>
      <c r="BY187" t="s">
        <v>3870</v>
      </c>
      <c r="BZ187" t="s">
        <v>3860</v>
      </c>
    </row>
    <row r="188" spans="1:78" x14ac:dyDescent="0.25">
      <c r="A188" s="7" t="s">
        <v>837</v>
      </c>
      <c r="B188" s="7" t="s">
        <v>181</v>
      </c>
      <c r="C188" s="7" t="s">
        <v>835</v>
      </c>
      <c r="D188" s="8" t="s">
        <v>836</v>
      </c>
      <c r="E188" s="7" t="s">
        <v>838</v>
      </c>
      <c r="F188" s="9">
        <v>45044</v>
      </c>
      <c r="G188" s="9" t="s">
        <v>363</v>
      </c>
      <c r="H188" s="9" t="s">
        <v>87</v>
      </c>
      <c r="I188" s="8" t="s">
        <v>67</v>
      </c>
      <c r="J188" s="10">
        <v>220.06</v>
      </c>
      <c r="K188" s="10">
        <v>220.06</v>
      </c>
      <c r="L188" s="10">
        <f t="shared" si="84"/>
        <v>0</v>
      </c>
      <c r="M188" s="10">
        <v>88.26</v>
      </c>
      <c r="N188" s="10">
        <v>88.26</v>
      </c>
      <c r="O188" s="10">
        <f t="shared" si="85"/>
        <v>0</v>
      </c>
      <c r="P188" s="11">
        <v>23639.357447968734</v>
      </c>
      <c r="Q188" s="11">
        <v>58940.369363244958</v>
      </c>
      <c r="R188" s="11">
        <v>40000</v>
      </c>
      <c r="S188" s="11">
        <v>5202077</v>
      </c>
      <c r="T188" s="11">
        <v>624250</v>
      </c>
      <c r="U188" s="12">
        <f t="shared" si="86"/>
        <v>0.12000014609549224</v>
      </c>
      <c r="V188" s="13">
        <f t="shared" si="82"/>
        <v>0</v>
      </c>
      <c r="W188" s="10">
        <f t="shared" si="87"/>
        <v>0</v>
      </c>
      <c r="X188" s="10"/>
      <c r="Y188" s="10"/>
      <c r="Z188" s="11">
        <f t="shared" si="88"/>
        <v>5202077</v>
      </c>
      <c r="AA188" s="14"/>
      <c r="AB188" s="14"/>
      <c r="AC188" s="11">
        <f t="shared" si="89"/>
        <v>5202077</v>
      </c>
      <c r="AD188" s="10">
        <f t="shared" si="90"/>
        <v>300</v>
      </c>
      <c r="AE188" s="15">
        <v>26478</v>
      </c>
      <c r="AF188" s="16">
        <v>4766</v>
      </c>
      <c r="AG188" s="15">
        <f t="shared" si="91"/>
        <v>0</v>
      </c>
      <c r="AH188" s="15">
        <f t="shared" si="92"/>
        <v>0</v>
      </c>
      <c r="AI188" s="15">
        <f t="shared" si="93"/>
        <v>26478</v>
      </c>
      <c r="AJ188" s="15">
        <f t="shared" si="94"/>
        <v>4767</v>
      </c>
      <c r="AK188" s="10">
        <v>26478</v>
      </c>
      <c r="AL188" s="15">
        <f t="shared" si="95"/>
        <v>26478</v>
      </c>
      <c r="AM188" s="15">
        <f t="shared" si="96"/>
        <v>5228555</v>
      </c>
      <c r="AN188" s="15">
        <f t="shared" si="97"/>
        <v>629017</v>
      </c>
      <c r="AO188" s="15">
        <f t="shared" si="73"/>
        <v>655612</v>
      </c>
      <c r="AP188" s="17">
        <f t="shared" si="98"/>
        <v>5884167</v>
      </c>
      <c r="AQ188" s="15">
        <v>5207280</v>
      </c>
      <c r="AR188" s="15">
        <v>117</v>
      </c>
      <c r="AS188" s="18">
        <f t="shared" si="74"/>
        <v>676887</v>
      </c>
      <c r="AT188" s="19">
        <v>0</v>
      </c>
      <c r="AU188" s="8">
        <v>8800</v>
      </c>
      <c r="AV188" s="13">
        <f t="shared" si="75"/>
        <v>776688</v>
      </c>
      <c r="AW188" s="18">
        <f t="shared" si="76"/>
        <v>5228555</v>
      </c>
      <c r="AX188" s="15">
        <f t="shared" si="99"/>
        <v>5229000</v>
      </c>
      <c r="AY188" s="20">
        <v>0.06</v>
      </c>
      <c r="AZ188" s="13">
        <f t="shared" si="100"/>
        <v>313740</v>
      </c>
      <c r="BA188" s="15">
        <f t="shared" si="101"/>
        <v>313800</v>
      </c>
      <c r="BB188" s="21">
        <f t="shared" si="77"/>
        <v>990687</v>
      </c>
      <c r="BC188" s="10">
        <f t="shared" si="78"/>
        <v>0</v>
      </c>
      <c r="BD188" s="10">
        <f t="shared" si="79"/>
        <v>0</v>
      </c>
      <c r="BE188" s="10">
        <v>20.440000000000001</v>
      </c>
      <c r="BF188" s="10">
        <v>8.1999999999999993</v>
      </c>
      <c r="BG188" s="107">
        <v>46176</v>
      </c>
      <c r="BH188" s="107">
        <f t="shared" si="83"/>
        <v>46206</v>
      </c>
      <c r="BI188" s="23">
        <v>6</v>
      </c>
      <c r="BJ188" s="6"/>
      <c r="BK188" s="6"/>
      <c r="BL188" s="24">
        <f>VLOOKUP(A188,[2]Sheet1!$D$2:$H$933,5,0)</f>
        <v>0</v>
      </c>
      <c r="BM188" s="6" t="s">
        <v>3828</v>
      </c>
      <c r="BN188" s="6" t="s">
        <v>3829</v>
      </c>
      <c r="BO188" s="6" t="s">
        <v>3820</v>
      </c>
      <c r="BP188" s="6" t="s">
        <v>3821</v>
      </c>
      <c r="BQ188" s="6" t="s">
        <v>3830</v>
      </c>
      <c r="BR188" t="s">
        <v>3823</v>
      </c>
      <c r="BS188" t="s">
        <v>3824</v>
      </c>
      <c r="BT188" t="s">
        <v>3825</v>
      </c>
      <c r="BU188" t="s">
        <v>3826</v>
      </c>
      <c r="BV188" t="s">
        <v>3827</v>
      </c>
      <c r="BW188" t="s">
        <v>3835</v>
      </c>
      <c r="BX188">
        <v>0</v>
      </c>
      <c r="BY188" t="s">
        <v>3859</v>
      </c>
      <c r="BZ188" t="s">
        <v>3860</v>
      </c>
    </row>
    <row r="189" spans="1:78" x14ac:dyDescent="0.25">
      <c r="A189" s="7" t="s">
        <v>841</v>
      </c>
      <c r="B189" s="7" t="s">
        <v>181</v>
      </c>
      <c r="C189" s="7" t="s">
        <v>839</v>
      </c>
      <c r="D189" s="8" t="s">
        <v>840</v>
      </c>
      <c r="E189" s="7" t="s">
        <v>672</v>
      </c>
      <c r="F189" s="9">
        <v>45144</v>
      </c>
      <c r="G189" s="9" t="s">
        <v>363</v>
      </c>
      <c r="H189" s="9" t="s">
        <v>87</v>
      </c>
      <c r="I189" s="8" t="s">
        <v>67</v>
      </c>
      <c r="J189" s="10">
        <v>516.66999999999996</v>
      </c>
      <c r="K189" s="10">
        <v>516.66999999999996</v>
      </c>
      <c r="L189" s="10">
        <f t="shared" si="84"/>
        <v>0</v>
      </c>
      <c r="M189" s="10">
        <v>208.82</v>
      </c>
      <c r="N189" s="10">
        <v>208.82</v>
      </c>
      <c r="O189" s="10">
        <f t="shared" si="85"/>
        <v>0</v>
      </c>
      <c r="P189" s="11">
        <v>10000</v>
      </c>
      <c r="Q189" s="11">
        <v>24742.361842735372</v>
      </c>
      <c r="R189" s="11">
        <v>40000</v>
      </c>
      <c r="S189" s="11">
        <v>5166700</v>
      </c>
      <c r="T189" s="11">
        <v>620006</v>
      </c>
      <c r="U189" s="12">
        <f t="shared" si="86"/>
        <v>0.12000038709427681</v>
      </c>
      <c r="V189" s="13">
        <f t="shared" si="82"/>
        <v>0</v>
      </c>
      <c r="W189" s="10">
        <f t="shared" si="87"/>
        <v>0</v>
      </c>
      <c r="X189" s="10"/>
      <c r="Y189" s="10"/>
      <c r="Z189" s="11">
        <f t="shared" si="88"/>
        <v>5166700</v>
      </c>
      <c r="AA189" s="14"/>
      <c r="AB189" s="14"/>
      <c r="AC189" s="11">
        <f t="shared" si="89"/>
        <v>5166700</v>
      </c>
      <c r="AD189" s="10">
        <f t="shared" si="90"/>
        <v>300</v>
      </c>
      <c r="AE189" s="15">
        <v>62646</v>
      </c>
      <c r="AF189" s="16">
        <v>11276</v>
      </c>
      <c r="AG189" s="15">
        <f t="shared" si="91"/>
        <v>0</v>
      </c>
      <c r="AH189" s="15">
        <f t="shared" si="92"/>
        <v>0</v>
      </c>
      <c r="AI189" s="15">
        <f t="shared" si="93"/>
        <v>62646</v>
      </c>
      <c r="AJ189" s="15">
        <f t="shared" si="94"/>
        <v>11277</v>
      </c>
      <c r="AK189" s="10">
        <v>62646</v>
      </c>
      <c r="AL189" s="15">
        <f t="shared" si="95"/>
        <v>62646</v>
      </c>
      <c r="AM189" s="15">
        <f t="shared" si="96"/>
        <v>5229346</v>
      </c>
      <c r="AN189" s="15">
        <f t="shared" si="97"/>
        <v>631283</v>
      </c>
      <c r="AO189" s="15">
        <f t="shared" si="73"/>
        <v>693929</v>
      </c>
      <c r="AP189" s="17">
        <f t="shared" si="98"/>
        <v>5923275</v>
      </c>
      <c r="AQ189" s="15">
        <v>4229205</v>
      </c>
      <c r="AR189" s="15">
        <v>0</v>
      </c>
      <c r="AS189" s="18">
        <f t="shared" si="74"/>
        <v>1694070</v>
      </c>
      <c r="AT189" s="19">
        <v>0</v>
      </c>
      <c r="AU189" s="8">
        <v>8800</v>
      </c>
      <c r="AV189" s="13">
        <f t="shared" si="75"/>
        <v>1837616</v>
      </c>
      <c r="AW189" s="18">
        <f t="shared" si="76"/>
        <v>5229346</v>
      </c>
      <c r="AX189" s="15">
        <f t="shared" si="99"/>
        <v>5230000</v>
      </c>
      <c r="AY189" s="20">
        <v>7.0000000000000007E-2</v>
      </c>
      <c r="AZ189" s="13">
        <f t="shared" si="100"/>
        <v>366100.00000000006</v>
      </c>
      <c r="BA189" s="15">
        <f t="shared" si="101"/>
        <v>366100</v>
      </c>
      <c r="BB189" s="21">
        <f t="shared" si="77"/>
        <v>2060170</v>
      </c>
      <c r="BC189" s="10">
        <f t="shared" si="78"/>
        <v>0</v>
      </c>
      <c r="BD189" s="10">
        <f t="shared" si="79"/>
        <v>0</v>
      </c>
      <c r="BE189" s="10">
        <v>48</v>
      </c>
      <c r="BF189" s="10">
        <v>19.399999999999999</v>
      </c>
      <c r="BG189" s="107">
        <v>46176</v>
      </c>
      <c r="BH189" s="107">
        <f t="shared" si="83"/>
        <v>46206</v>
      </c>
      <c r="BI189" s="23">
        <v>7</v>
      </c>
      <c r="BJ189" s="6"/>
      <c r="BK189" s="6"/>
      <c r="BL189" s="24">
        <f>VLOOKUP(A189,[2]Sheet1!$D$2:$H$933,5,0)</f>
        <v>0</v>
      </c>
      <c r="BM189" s="6" t="s">
        <v>3828</v>
      </c>
      <c r="BN189" s="6" t="s">
        <v>3829</v>
      </c>
      <c r="BO189" s="6" t="s">
        <v>3820</v>
      </c>
      <c r="BP189" s="6" t="s">
        <v>3821</v>
      </c>
      <c r="BQ189" s="6" t="s">
        <v>3830</v>
      </c>
      <c r="BR189" t="s">
        <v>3823</v>
      </c>
      <c r="BS189" t="s">
        <v>3824</v>
      </c>
      <c r="BT189" t="s">
        <v>3825</v>
      </c>
      <c r="BU189" t="s">
        <v>3826</v>
      </c>
      <c r="BV189" t="s">
        <v>3827</v>
      </c>
      <c r="BW189" t="s">
        <v>3835</v>
      </c>
      <c r="BX189" s="101">
        <v>516669.99999999994</v>
      </c>
      <c r="BY189" t="s">
        <v>3865</v>
      </c>
      <c r="BZ189" t="s">
        <v>3860</v>
      </c>
    </row>
    <row r="190" spans="1:78" x14ac:dyDescent="0.25">
      <c r="A190" s="7" t="s">
        <v>844</v>
      </c>
      <c r="B190" s="7" t="s">
        <v>181</v>
      </c>
      <c r="C190" s="7" t="s">
        <v>842</v>
      </c>
      <c r="D190" s="8" t="s">
        <v>843</v>
      </c>
      <c r="E190" s="7" t="s">
        <v>845</v>
      </c>
      <c r="F190" s="9">
        <v>45383</v>
      </c>
      <c r="G190" s="9" t="s">
        <v>77</v>
      </c>
      <c r="H190" s="9" t="s">
        <v>66</v>
      </c>
      <c r="I190" s="8" t="s">
        <v>78</v>
      </c>
      <c r="J190" s="10">
        <v>1216.33</v>
      </c>
      <c r="K190" s="10">
        <v>1216.33</v>
      </c>
      <c r="L190" s="10">
        <f t="shared" si="84"/>
        <v>0</v>
      </c>
      <c r="M190" s="10">
        <v>558.65</v>
      </c>
      <c r="N190" s="10">
        <v>565</v>
      </c>
      <c r="O190" s="10">
        <f t="shared" si="85"/>
        <v>6.3500000000000227</v>
      </c>
      <c r="P190" s="11">
        <v>13150.002055363266</v>
      </c>
      <c r="Q190" s="11">
        <v>28631.060592499776</v>
      </c>
      <c r="R190" s="11">
        <v>22000</v>
      </c>
      <c r="S190" s="11">
        <v>15994742</v>
      </c>
      <c r="T190" s="11">
        <v>1919368</v>
      </c>
      <c r="U190" s="12">
        <f t="shared" si="86"/>
        <v>0.11999993497863236</v>
      </c>
      <c r="V190" s="13">
        <f t="shared" si="82"/>
        <v>0</v>
      </c>
      <c r="W190" s="10">
        <f t="shared" si="87"/>
        <v>0</v>
      </c>
      <c r="X190" s="10"/>
      <c r="Y190" s="10"/>
      <c r="Z190" s="11">
        <f t="shared" si="88"/>
        <v>15994742</v>
      </c>
      <c r="AA190" s="14"/>
      <c r="AB190" s="14"/>
      <c r="AC190" s="11">
        <f t="shared" si="89"/>
        <v>15994742</v>
      </c>
      <c r="AD190" s="10">
        <f t="shared" si="90"/>
        <v>300</v>
      </c>
      <c r="AE190" s="15">
        <v>167595</v>
      </c>
      <c r="AF190" s="16">
        <v>30168</v>
      </c>
      <c r="AG190" s="15">
        <f t="shared" si="91"/>
        <v>1905.0000000000068</v>
      </c>
      <c r="AH190" s="15">
        <f t="shared" si="92"/>
        <v>342.90000000000123</v>
      </c>
      <c r="AI190" s="15">
        <f t="shared" si="93"/>
        <v>169500</v>
      </c>
      <c r="AJ190" s="15">
        <f t="shared" si="94"/>
        <v>30510</v>
      </c>
      <c r="AK190" s="10">
        <v>167595</v>
      </c>
      <c r="AL190" s="15">
        <f t="shared" si="95"/>
        <v>169500</v>
      </c>
      <c r="AM190" s="15">
        <f t="shared" si="96"/>
        <v>16164242</v>
      </c>
      <c r="AN190" s="15">
        <f t="shared" si="97"/>
        <v>1949878</v>
      </c>
      <c r="AO190" s="15">
        <f t="shared" si="73"/>
        <v>2119504</v>
      </c>
      <c r="AP190" s="17">
        <f t="shared" si="98"/>
        <v>18283746</v>
      </c>
      <c r="AQ190" s="15">
        <v>6718174.8900000006</v>
      </c>
      <c r="AR190" s="15">
        <v>126</v>
      </c>
      <c r="AS190" s="18">
        <f t="shared" si="74"/>
        <v>11565571</v>
      </c>
      <c r="AT190" s="19">
        <v>15994742</v>
      </c>
      <c r="AU190" s="8">
        <v>8800</v>
      </c>
      <c r="AV190" s="13">
        <f t="shared" si="75"/>
        <v>4972000</v>
      </c>
      <c r="AW190" s="18">
        <f t="shared" si="76"/>
        <v>16164242</v>
      </c>
      <c r="AX190" s="15">
        <f t="shared" si="99"/>
        <v>16165000</v>
      </c>
      <c r="AY190" s="20">
        <v>7.0000000000000007E-2</v>
      </c>
      <c r="AZ190" s="13">
        <f t="shared" si="100"/>
        <v>1131550</v>
      </c>
      <c r="BA190" s="15">
        <f t="shared" si="101"/>
        <v>1131600</v>
      </c>
      <c r="BB190" s="21">
        <f t="shared" si="77"/>
        <v>12697171</v>
      </c>
      <c r="BC190" s="10">
        <f t="shared" si="78"/>
        <v>0</v>
      </c>
      <c r="BD190" s="10">
        <f t="shared" si="79"/>
        <v>1.1366687550344621</v>
      </c>
      <c r="BE190" s="10">
        <v>113</v>
      </c>
      <c r="BF190" s="10">
        <v>52.49</v>
      </c>
      <c r="BG190" s="107">
        <v>46176</v>
      </c>
      <c r="BH190" s="107">
        <f t="shared" si="83"/>
        <v>46206</v>
      </c>
      <c r="BI190" s="23">
        <v>7</v>
      </c>
      <c r="BJ190" s="6"/>
      <c r="BK190" s="6"/>
      <c r="BL190" s="24">
        <f>VLOOKUP(A190,[2]Sheet1!$D$2:$H$933,5,0)</f>
        <v>0</v>
      </c>
      <c r="BM190" s="6" t="s">
        <v>3828</v>
      </c>
      <c r="BN190" s="6" t="s">
        <v>3829</v>
      </c>
      <c r="BO190" s="6" t="s">
        <v>3820</v>
      </c>
      <c r="BP190" s="6" t="s">
        <v>3821</v>
      </c>
      <c r="BQ190" s="6" t="s">
        <v>3830</v>
      </c>
      <c r="BR190" t="s">
        <v>3823</v>
      </c>
      <c r="BS190" t="s">
        <v>3824</v>
      </c>
      <c r="BT190" t="s">
        <v>3825</v>
      </c>
      <c r="BU190" t="s">
        <v>3826</v>
      </c>
      <c r="BV190" t="s">
        <v>3827</v>
      </c>
      <c r="BW190" t="s">
        <v>3835</v>
      </c>
      <c r="BX190" s="101">
        <v>1398779.5</v>
      </c>
      <c r="BY190" t="s">
        <v>3864</v>
      </c>
      <c r="BZ190" t="s">
        <v>3863</v>
      </c>
    </row>
    <row r="191" spans="1:78" x14ac:dyDescent="0.25">
      <c r="A191" s="7" t="s">
        <v>848</v>
      </c>
      <c r="B191" s="7" t="s">
        <v>181</v>
      </c>
      <c r="C191" s="7" t="s">
        <v>846</v>
      </c>
      <c r="D191" s="8" t="s">
        <v>847</v>
      </c>
      <c r="E191" s="7" t="s">
        <v>849</v>
      </c>
      <c r="F191" s="9">
        <v>44973</v>
      </c>
      <c r="G191" s="9" t="s">
        <v>527</v>
      </c>
      <c r="H191" s="9" t="s">
        <v>92</v>
      </c>
      <c r="I191" s="8" t="s">
        <v>78</v>
      </c>
      <c r="J191" s="10">
        <v>346.6</v>
      </c>
      <c r="K191" s="10">
        <v>330.24</v>
      </c>
      <c r="L191" s="10">
        <f t="shared" si="84"/>
        <v>-16.360000000000014</v>
      </c>
      <c r="M191" s="10">
        <v>146.93</v>
      </c>
      <c r="N191" s="10">
        <v>140</v>
      </c>
      <c r="O191" s="10">
        <f t="shared" si="85"/>
        <v>-6.9300000000000068</v>
      </c>
      <c r="P191" s="11">
        <v>11871.00115406809</v>
      </c>
      <c r="Q191" s="11">
        <v>28003.055876948205</v>
      </c>
      <c r="R191" s="11">
        <v>28000</v>
      </c>
      <c r="S191" s="11">
        <v>4114489</v>
      </c>
      <c r="T191" s="11">
        <v>493740</v>
      </c>
      <c r="U191" s="12">
        <f t="shared" si="86"/>
        <v>0.12000032081748183</v>
      </c>
      <c r="V191" s="13">
        <f t="shared" si="82"/>
        <v>-194209.57888055412</v>
      </c>
      <c r="W191" s="10">
        <f t="shared" si="87"/>
        <v>-23305.211771494538</v>
      </c>
      <c r="X191" s="15"/>
      <c r="Y191" s="15"/>
      <c r="Z191" s="11">
        <f t="shared" si="88"/>
        <v>3920279.4211194459</v>
      </c>
      <c r="AA191" s="14"/>
      <c r="AB191" s="14"/>
      <c r="AC191" s="11">
        <f t="shared" si="89"/>
        <v>3920279.4211194459</v>
      </c>
      <c r="AD191" s="10">
        <f t="shared" si="90"/>
        <v>300</v>
      </c>
      <c r="AE191" s="15">
        <v>44079</v>
      </c>
      <c r="AF191" s="16">
        <v>7934</v>
      </c>
      <c r="AG191" s="15">
        <f t="shared" si="91"/>
        <v>-2079.0000000000018</v>
      </c>
      <c r="AH191" s="15">
        <f t="shared" si="92"/>
        <v>-374.22000000000031</v>
      </c>
      <c r="AI191" s="15">
        <f t="shared" si="93"/>
        <v>42000</v>
      </c>
      <c r="AJ191" s="15">
        <f t="shared" si="94"/>
        <v>7560</v>
      </c>
      <c r="AK191" s="10">
        <v>44079</v>
      </c>
      <c r="AL191" s="15">
        <f t="shared" si="95"/>
        <v>42000</v>
      </c>
      <c r="AM191" s="15">
        <f t="shared" si="96"/>
        <v>3962279</v>
      </c>
      <c r="AN191" s="15">
        <f t="shared" si="97"/>
        <v>477995</v>
      </c>
      <c r="AO191" s="15">
        <f t="shared" ref="AO191:AO253" si="102">AN191+AL191+AR191</f>
        <v>520077.96</v>
      </c>
      <c r="AP191" s="17">
        <f t="shared" si="98"/>
        <v>4482356.96</v>
      </c>
      <c r="AQ191" s="15">
        <v>4147316</v>
      </c>
      <c r="AR191" s="15">
        <v>82.96</v>
      </c>
      <c r="AS191" s="18">
        <f t="shared" ref="AS191:AS253" si="103">ROUND(AP191-AQ191,0)</f>
        <v>335041</v>
      </c>
      <c r="AT191" s="19">
        <v>0</v>
      </c>
      <c r="AU191" s="8">
        <v>8800</v>
      </c>
      <c r="AV191" s="13">
        <f t="shared" ref="AV191:AV253" si="104">AU191*N191</f>
        <v>1232000</v>
      </c>
      <c r="AW191" s="18">
        <f t="shared" ref="AW191:AW253" si="105">MAX(AM191,AT191,AV191)</f>
        <v>3962279</v>
      </c>
      <c r="AX191" s="15">
        <f t="shared" si="99"/>
        <v>3963000</v>
      </c>
      <c r="AY191" s="20">
        <v>0.05</v>
      </c>
      <c r="AZ191" s="13">
        <f t="shared" si="100"/>
        <v>198150</v>
      </c>
      <c r="BA191" s="15">
        <f t="shared" si="101"/>
        <v>198200</v>
      </c>
      <c r="BB191" s="21">
        <f t="shared" ref="BB191:BB253" si="106">BA191+AS191</f>
        <v>533241</v>
      </c>
      <c r="BC191" s="10">
        <f t="shared" ref="BC191:BC253" si="107">L191/J191%</f>
        <v>-4.7201384881708055</v>
      </c>
      <c r="BD191" s="10">
        <f t="shared" ref="BD191:BD253" si="108">O191/M191%</f>
        <v>-4.7165316817532199</v>
      </c>
      <c r="BE191" s="10">
        <v>30.68</v>
      </c>
      <c r="BF191" s="10">
        <v>13.01</v>
      </c>
      <c r="BG191" s="107">
        <v>46176</v>
      </c>
      <c r="BH191" s="107">
        <f t="shared" si="83"/>
        <v>46206</v>
      </c>
      <c r="BI191" s="23">
        <v>5</v>
      </c>
      <c r="BJ191" s="6"/>
      <c r="BK191" s="6"/>
      <c r="BL191" s="24">
        <f>VLOOKUP(A191,[2]Sheet1!$D$2:$H$933,5,0)</f>
        <v>0</v>
      </c>
      <c r="BM191" s="6" t="s">
        <v>3828</v>
      </c>
      <c r="BN191" s="6" t="s">
        <v>3829</v>
      </c>
      <c r="BO191" s="6" t="s">
        <v>3820</v>
      </c>
      <c r="BP191" s="6" t="s">
        <v>3821</v>
      </c>
      <c r="BQ191" s="6" t="s">
        <v>3830</v>
      </c>
      <c r="BR191" t="s">
        <v>3823</v>
      </c>
      <c r="BS191" t="s">
        <v>3824</v>
      </c>
      <c r="BT191" t="s">
        <v>3825</v>
      </c>
      <c r="BU191" t="s">
        <v>3826</v>
      </c>
      <c r="BV191" t="s">
        <v>3827</v>
      </c>
      <c r="BW191" t="s">
        <v>3835</v>
      </c>
      <c r="BX191">
        <v>0</v>
      </c>
      <c r="BY191" t="s">
        <v>3867</v>
      </c>
      <c r="BZ191" t="s">
        <v>3871</v>
      </c>
    </row>
    <row r="192" spans="1:78" x14ac:dyDescent="0.25">
      <c r="A192" s="7" t="s">
        <v>852</v>
      </c>
      <c r="B192" s="7" t="s">
        <v>181</v>
      </c>
      <c r="C192" s="7" t="s">
        <v>850</v>
      </c>
      <c r="D192" s="8" t="s">
        <v>851</v>
      </c>
      <c r="E192" s="7" t="s">
        <v>853</v>
      </c>
      <c r="F192" s="9">
        <v>45062</v>
      </c>
      <c r="G192" s="9" t="s">
        <v>77</v>
      </c>
      <c r="H192" s="9" t="s">
        <v>87</v>
      </c>
      <c r="I192" s="8" t="s">
        <v>78</v>
      </c>
      <c r="J192" s="10">
        <v>419.8</v>
      </c>
      <c r="K192" s="10">
        <v>419.8</v>
      </c>
      <c r="L192" s="10">
        <f t="shared" si="84"/>
        <v>0</v>
      </c>
      <c r="M192" s="10">
        <v>181.37</v>
      </c>
      <c r="N192" s="10">
        <v>181.37</v>
      </c>
      <c r="O192" s="10">
        <f t="shared" si="85"/>
        <v>0</v>
      </c>
      <c r="P192" s="11">
        <v>20700</v>
      </c>
      <c r="Q192" s="11">
        <v>47912.33390307107</v>
      </c>
      <c r="R192" s="11">
        <v>40000</v>
      </c>
      <c r="S192" s="11">
        <v>8689860</v>
      </c>
      <c r="T192" s="11">
        <v>1042784</v>
      </c>
      <c r="U192" s="12">
        <f t="shared" si="86"/>
        <v>0.12000009206132205</v>
      </c>
      <c r="V192" s="13">
        <f t="shared" si="82"/>
        <v>0</v>
      </c>
      <c r="W192" s="10">
        <f t="shared" si="87"/>
        <v>0</v>
      </c>
      <c r="X192" s="10"/>
      <c r="Y192" s="10"/>
      <c r="Z192" s="11">
        <f t="shared" si="88"/>
        <v>8689860</v>
      </c>
      <c r="AA192" s="14"/>
      <c r="AB192" s="14"/>
      <c r="AC192" s="11">
        <f t="shared" si="89"/>
        <v>8689860</v>
      </c>
      <c r="AD192" s="10">
        <f t="shared" si="90"/>
        <v>300</v>
      </c>
      <c r="AE192" s="15">
        <v>54411</v>
      </c>
      <c r="AF192" s="16">
        <v>9794</v>
      </c>
      <c r="AG192" s="15">
        <f t="shared" si="91"/>
        <v>0</v>
      </c>
      <c r="AH192" s="15">
        <f t="shared" si="92"/>
        <v>0</v>
      </c>
      <c r="AI192" s="15">
        <f t="shared" si="93"/>
        <v>54411</v>
      </c>
      <c r="AJ192" s="15">
        <f t="shared" si="94"/>
        <v>9794</v>
      </c>
      <c r="AK192" s="10">
        <v>54411</v>
      </c>
      <c r="AL192" s="15">
        <f t="shared" si="95"/>
        <v>54411</v>
      </c>
      <c r="AM192" s="15">
        <f t="shared" si="96"/>
        <v>8744271</v>
      </c>
      <c r="AN192" s="15">
        <f t="shared" si="97"/>
        <v>1052578</v>
      </c>
      <c r="AO192" s="15">
        <f t="shared" si="102"/>
        <v>1107118</v>
      </c>
      <c r="AP192" s="17">
        <f t="shared" si="98"/>
        <v>9851389</v>
      </c>
      <c r="AQ192" s="15">
        <v>8733226</v>
      </c>
      <c r="AR192" s="15">
        <v>129</v>
      </c>
      <c r="AS192" s="18">
        <f t="shared" si="103"/>
        <v>1118163</v>
      </c>
      <c r="AT192" s="19">
        <v>5268277</v>
      </c>
      <c r="AU192" s="8">
        <v>8800</v>
      </c>
      <c r="AV192" s="13">
        <f t="shared" si="104"/>
        <v>1596056</v>
      </c>
      <c r="AW192" s="18">
        <f t="shared" si="105"/>
        <v>8744271</v>
      </c>
      <c r="AX192" s="15">
        <f t="shared" si="99"/>
        <v>8745000</v>
      </c>
      <c r="AY192" s="20">
        <v>0.05</v>
      </c>
      <c r="AZ192" s="13">
        <f t="shared" si="100"/>
        <v>437250</v>
      </c>
      <c r="BA192" s="15">
        <f t="shared" si="101"/>
        <v>437300</v>
      </c>
      <c r="BB192" s="21">
        <f t="shared" si="106"/>
        <v>1555463</v>
      </c>
      <c r="BC192" s="10">
        <f t="shared" si="107"/>
        <v>0</v>
      </c>
      <c r="BD192" s="10">
        <f t="shared" si="108"/>
        <v>0</v>
      </c>
      <c r="BE192" s="10">
        <v>39</v>
      </c>
      <c r="BF192" s="10">
        <v>16.850000000000001</v>
      </c>
      <c r="BG192" s="107">
        <v>46176</v>
      </c>
      <c r="BH192" s="107">
        <f t="shared" si="83"/>
        <v>46206</v>
      </c>
      <c r="BI192" s="23">
        <v>5</v>
      </c>
      <c r="BJ192" s="6"/>
      <c r="BK192" s="6"/>
      <c r="BL192" s="24">
        <f>VLOOKUP(A192,[2]Sheet1!$D$2:$H$933,5,0)</f>
        <v>0</v>
      </c>
      <c r="BM192" s="6" t="s">
        <v>3828</v>
      </c>
      <c r="BN192" s="6" t="s">
        <v>3829</v>
      </c>
      <c r="BO192" s="6" t="s">
        <v>3820</v>
      </c>
      <c r="BP192" s="6" t="s">
        <v>3821</v>
      </c>
      <c r="BQ192" s="6" t="s">
        <v>3830</v>
      </c>
      <c r="BR192" t="s">
        <v>3823</v>
      </c>
      <c r="BS192" t="s">
        <v>3824</v>
      </c>
      <c r="BT192" t="s">
        <v>3825</v>
      </c>
      <c r="BU192" t="s">
        <v>3826</v>
      </c>
      <c r="BV192" t="s">
        <v>3827</v>
      </c>
      <c r="BW192" t="s">
        <v>3835</v>
      </c>
      <c r="BX192">
        <v>0</v>
      </c>
      <c r="BY192" t="s">
        <v>3859</v>
      </c>
      <c r="BZ192" t="s">
        <v>3863</v>
      </c>
    </row>
    <row r="193" spans="1:78" x14ac:dyDescent="0.25">
      <c r="A193" s="7" t="s">
        <v>856</v>
      </c>
      <c r="B193" s="7" t="s">
        <v>181</v>
      </c>
      <c r="C193" s="7" t="s">
        <v>854</v>
      </c>
      <c r="D193" s="8" t="s">
        <v>855</v>
      </c>
      <c r="E193" s="7" t="s">
        <v>857</v>
      </c>
      <c r="F193" s="9">
        <v>44912</v>
      </c>
      <c r="G193" s="9" t="s">
        <v>527</v>
      </c>
      <c r="H193" s="9" t="s">
        <v>72</v>
      </c>
      <c r="I193" s="8" t="s">
        <v>635</v>
      </c>
      <c r="J193" s="10">
        <v>1552.11</v>
      </c>
      <c r="K193" s="10">
        <v>1552.11</v>
      </c>
      <c r="L193" s="10">
        <f t="shared" si="84"/>
        <v>0</v>
      </c>
      <c r="M193" s="10">
        <v>235.73</v>
      </c>
      <c r="N193" s="10">
        <v>235.73</v>
      </c>
      <c r="O193" s="10">
        <f t="shared" si="85"/>
        <v>0</v>
      </c>
      <c r="P193" s="11">
        <v>6500</v>
      </c>
      <c r="Q193" s="11">
        <v>42797.755907181949</v>
      </c>
      <c r="R193" s="11">
        <v>20000</v>
      </c>
      <c r="S193" s="11">
        <v>10088715</v>
      </c>
      <c r="T193" s="11">
        <v>1210646</v>
      </c>
      <c r="U193" s="12">
        <f t="shared" si="86"/>
        <v>0.12000001982413022</v>
      </c>
      <c r="V193" s="13">
        <f t="shared" si="82"/>
        <v>0</v>
      </c>
      <c r="W193" s="10">
        <f t="shared" si="87"/>
        <v>0</v>
      </c>
      <c r="X193" s="10"/>
      <c r="Y193" s="10"/>
      <c r="Z193" s="11">
        <f t="shared" si="88"/>
        <v>10088715</v>
      </c>
      <c r="AA193" s="14"/>
      <c r="AB193" s="14"/>
      <c r="AC193" s="11">
        <f t="shared" si="89"/>
        <v>10088715</v>
      </c>
      <c r="AD193" s="10">
        <f t="shared" si="90"/>
        <v>300</v>
      </c>
      <c r="AE193" s="15">
        <v>70719</v>
      </c>
      <c r="AF193" s="16">
        <v>12730</v>
      </c>
      <c r="AG193" s="15">
        <f t="shared" si="91"/>
        <v>0</v>
      </c>
      <c r="AH193" s="15">
        <f t="shared" si="92"/>
        <v>0</v>
      </c>
      <c r="AI193" s="15">
        <f t="shared" si="93"/>
        <v>70719</v>
      </c>
      <c r="AJ193" s="15">
        <f t="shared" si="94"/>
        <v>12730</v>
      </c>
      <c r="AK193" s="10">
        <v>70719</v>
      </c>
      <c r="AL193" s="15">
        <f t="shared" si="95"/>
        <v>70719</v>
      </c>
      <c r="AM193" s="15">
        <f t="shared" si="96"/>
        <v>10159434</v>
      </c>
      <c r="AN193" s="15">
        <f t="shared" si="97"/>
        <v>1223376</v>
      </c>
      <c r="AO193" s="15">
        <f t="shared" si="102"/>
        <v>1294180.96</v>
      </c>
      <c r="AP193" s="17">
        <f t="shared" si="98"/>
        <v>11453614.960000001</v>
      </c>
      <c r="AQ193" s="15">
        <v>10169681</v>
      </c>
      <c r="AR193" s="15">
        <v>85.96</v>
      </c>
      <c r="AS193" s="18">
        <f t="shared" si="103"/>
        <v>1283934</v>
      </c>
      <c r="AT193" s="19">
        <v>0</v>
      </c>
      <c r="AU193" s="8">
        <v>8800</v>
      </c>
      <c r="AV193" s="13">
        <f t="shared" si="104"/>
        <v>2074424</v>
      </c>
      <c r="AW193" s="18">
        <f t="shared" si="105"/>
        <v>10159434</v>
      </c>
      <c r="AX193" s="15">
        <f t="shared" si="99"/>
        <v>10160000</v>
      </c>
      <c r="AY193" s="20">
        <v>0.06</v>
      </c>
      <c r="AZ193" s="13">
        <f t="shared" si="100"/>
        <v>609600</v>
      </c>
      <c r="BA193" s="15">
        <f t="shared" si="101"/>
        <v>609600</v>
      </c>
      <c r="BB193" s="21">
        <f t="shared" si="106"/>
        <v>1893534</v>
      </c>
      <c r="BC193" s="10">
        <f t="shared" si="107"/>
        <v>0</v>
      </c>
      <c r="BD193" s="10">
        <f t="shared" si="108"/>
        <v>0</v>
      </c>
      <c r="BE193" s="10">
        <v>144.19</v>
      </c>
      <c r="BF193" s="10">
        <v>21.9</v>
      </c>
      <c r="BG193" s="107">
        <v>46176</v>
      </c>
      <c r="BH193" s="107">
        <f t="shared" si="83"/>
        <v>46206</v>
      </c>
      <c r="BI193" s="23">
        <v>6</v>
      </c>
      <c r="BJ193" s="6"/>
      <c r="BK193" s="6"/>
      <c r="BL193" s="24">
        <f>VLOOKUP(A193,[2]Sheet1!$D$2:$H$933,5,0)</f>
        <v>0</v>
      </c>
      <c r="BM193" s="6" t="s">
        <v>3828</v>
      </c>
      <c r="BN193" s="6" t="s">
        <v>3829</v>
      </c>
      <c r="BO193" s="6" t="s">
        <v>3820</v>
      </c>
      <c r="BP193" s="6" t="s">
        <v>3821</v>
      </c>
      <c r="BQ193" s="6" t="s">
        <v>3830</v>
      </c>
      <c r="BR193" t="s">
        <v>3823</v>
      </c>
      <c r="BS193" t="s">
        <v>3824</v>
      </c>
      <c r="BT193" t="s">
        <v>3825</v>
      </c>
      <c r="BU193" t="s">
        <v>3826</v>
      </c>
      <c r="BV193" t="s">
        <v>3827</v>
      </c>
      <c r="BW193" t="s">
        <v>3835</v>
      </c>
      <c r="BX193">
        <v>0</v>
      </c>
      <c r="BY193" t="s">
        <v>3861</v>
      </c>
      <c r="BZ193" t="s">
        <v>3871</v>
      </c>
    </row>
    <row r="194" spans="1:78" x14ac:dyDescent="0.25">
      <c r="A194" s="7" t="s">
        <v>860</v>
      </c>
      <c r="B194" s="7" t="s">
        <v>181</v>
      </c>
      <c r="C194" s="7" t="s">
        <v>858</v>
      </c>
      <c r="D194" s="8" t="s">
        <v>859</v>
      </c>
      <c r="E194" s="7" t="s">
        <v>861</v>
      </c>
      <c r="F194" s="9">
        <v>45002</v>
      </c>
      <c r="G194" s="9" t="s">
        <v>65</v>
      </c>
      <c r="H194" s="9" t="s">
        <v>72</v>
      </c>
      <c r="I194" s="8" t="s">
        <v>67</v>
      </c>
      <c r="J194" s="10">
        <v>792.71</v>
      </c>
      <c r="K194" s="10">
        <v>792.71</v>
      </c>
      <c r="L194" s="10">
        <f t="shared" si="84"/>
        <v>0</v>
      </c>
      <c r="M194" s="10">
        <v>319.69</v>
      </c>
      <c r="N194" s="10">
        <v>319.69</v>
      </c>
      <c r="O194" s="10">
        <f t="shared" si="85"/>
        <v>0</v>
      </c>
      <c r="P194" s="11">
        <v>7827.0086160134224</v>
      </c>
      <c r="Q194" s="11">
        <v>19408.014013575652</v>
      </c>
      <c r="R194" s="11">
        <v>20000</v>
      </c>
      <c r="S194" s="11">
        <v>6204548</v>
      </c>
      <c r="T194" s="11">
        <v>744546</v>
      </c>
      <c r="U194" s="12">
        <f t="shared" si="86"/>
        <v>0.12000003868130281</v>
      </c>
      <c r="V194" s="13">
        <f t="shared" si="82"/>
        <v>0</v>
      </c>
      <c r="W194" s="10">
        <f t="shared" si="87"/>
        <v>0</v>
      </c>
      <c r="X194" s="10"/>
      <c r="Y194" s="10"/>
      <c r="Z194" s="11">
        <f t="shared" si="88"/>
        <v>6204548</v>
      </c>
      <c r="AA194" s="14"/>
      <c r="AB194" s="14"/>
      <c r="AC194" s="11">
        <f t="shared" si="89"/>
        <v>6204548</v>
      </c>
      <c r="AD194" s="10">
        <f t="shared" si="90"/>
        <v>300</v>
      </c>
      <c r="AE194" s="15">
        <v>95907</v>
      </c>
      <c r="AF194" s="16">
        <v>17264</v>
      </c>
      <c r="AG194" s="15">
        <f t="shared" si="91"/>
        <v>0</v>
      </c>
      <c r="AH194" s="15">
        <f t="shared" si="92"/>
        <v>0</v>
      </c>
      <c r="AI194" s="15">
        <f t="shared" si="93"/>
        <v>95907</v>
      </c>
      <c r="AJ194" s="15">
        <f t="shared" si="94"/>
        <v>17264</v>
      </c>
      <c r="AK194" s="10">
        <v>95907</v>
      </c>
      <c r="AL194" s="15">
        <f t="shared" si="95"/>
        <v>95907</v>
      </c>
      <c r="AM194" s="15">
        <f t="shared" si="96"/>
        <v>6300455</v>
      </c>
      <c r="AN194" s="15">
        <f t="shared" si="97"/>
        <v>761810</v>
      </c>
      <c r="AO194" s="15">
        <f t="shared" si="102"/>
        <v>857869</v>
      </c>
      <c r="AP194" s="17">
        <f t="shared" si="98"/>
        <v>7158324</v>
      </c>
      <c r="AQ194" s="15">
        <v>6223627</v>
      </c>
      <c r="AR194" s="15">
        <v>152</v>
      </c>
      <c r="AS194" s="18">
        <f t="shared" si="103"/>
        <v>934697</v>
      </c>
      <c r="AT194" s="19">
        <v>0</v>
      </c>
      <c r="AU194" s="8">
        <v>8800</v>
      </c>
      <c r="AV194" s="13">
        <f t="shared" si="104"/>
        <v>2813272</v>
      </c>
      <c r="AW194" s="18">
        <f t="shared" si="105"/>
        <v>6300455</v>
      </c>
      <c r="AX194" s="15">
        <f t="shared" si="99"/>
        <v>6301000</v>
      </c>
      <c r="AY194" s="20">
        <v>7.0000000000000007E-2</v>
      </c>
      <c r="AZ194" s="13">
        <f t="shared" si="100"/>
        <v>441070.00000000006</v>
      </c>
      <c r="BA194" s="15">
        <f t="shared" si="101"/>
        <v>441100</v>
      </c>
      <c r="BB194" s="21">
        <f t="shared" si="106"/>
        <v>1375797</v>
      </c>
      <c r="BC194" s="10">
        <f t="shared" si="107"/>
        <v>0</v>
      </c>
      <c r="BD194" s="10">
        <f t="shared" si="108"/>
        <v>0</v>
      </c>
      <c r="BE194" s="10">
        <v>73.64</v>
      </c>
      <c r="BF194" s="10">
        <v>29.7</v>
      </c>
      <c r="BG194" s="107">
        <v>46176</v>
      </c>
      <c r="BH194" s="107">
        <f t="shared" si="83"/>
        <v>46206</v>
      </c>
      <c r="BI194" s="23">
        <v>7</v>
      </c>
      <c r="BJ194" s="6"/>
      <c r="BK194" s="6"/>
      <c r="BL194" s="24">
        <f>VLOOKUP(A194,[2]Sheet1!$D$2:$H$933,5,0)</f>
        <v>0</v>
      </c>
      <c r="BM194" s="6" t="s">
        <v>3828</v>
      </c>
      <c r="BN194" s="6" t="s">
        <v>3829</v>
      </c>
      <c r="BO194" s="6" t="s">
        <v>3820</v>
      </c>
      <c r="BP194" s="6" t="s">
        <v>3821</v>
      </c>
      <c r="BQ194" s="6" t="s">
        <v>3830</v>
      </c>
      <c r="BR194" t="s">
        <v>3823</v>
      </c>
      <c r="BS194" t="s">
        <v>3824</v>
      </c>
      <c r="BT194" t="s">
        <v>3825</v>
      </c>
      <c r="BU194" t="s">
        <v>3826</v>
      </c>
      <c r="BV194" t="s">
        <v>3827</v>
      </c>
      <c r="BW194" t="s">
        <v>3835</v>
      </c>
      <c r="BX194">
        <v>0</v>
      </c>
      <c r="BY194" t="s">
        <v>3870</v>
      </c>
      <c r="BZ194" t="s">
        <v>3860</v>
      </c>
    </row>
    <row r="195" spans="1:78" x14ac:dyDescent="0.25">
      <c r="A195" s="7" t="s">
        <v>864</v>
      </c>
      <c r="B195" s="7" t="s">
        <v>181</v>
      </c>
      <c r="C195" s="7" t="s">
        <v>862</v>
      </c>
      <c r="D195" s="8" t="s">
        <v>863</v>
      </c>
      <c r="E195" s="7" t="s">
        <v>865</v>
      </c>
      <c r="F195" s="9">
        <v>44924</v>
      </c>
      <c r="G195" s="9" t="s">
        <v>404</v>
      </c>
      <c r="H195" s="9" t="s">
        <v>92</v>
      </c>
      <c r="I195" s="8" t="s">
        <v>78</v>
      </c>
      <c r="J195" s="10">
        <v>645.84</v>
      </c>
      <c r="K195" s="10">
        <v>645.84</v>
      </c>
      <c r="L195" s="10">
        <f t="shared" si="84"/>
        <v>0</v>
      </c>
      <c r="M195" s="10">
        <v>293.86</v>
      </c>
      <c r="N195" s="10">
        <v>293.86</v>
      </c>
      <c r="O195" s="10">
        <f t="shared" si="85"/>
        <v>0</v>
      </c>
      <c r="P195" s="11">
        <v>19828.000743218134</v>
      </c>
      <c r="Q195" s="11">
        <v>43577.608384945212</v>
      </c>
      <c r="R195" s="11">
        <v>28000</v>
      </c>
      <c r="S195" s="11">
        <v>12805716</v>
      </c>
      <c r="T195" s="11">
        <v>1536686</v>
      </c>
      <c r="U195" s="12">
        <f t="shared" si="86"/>
        <v>0.12000000624721023</v>
      </c>
      <c r="V195" s="13">
        <f t="shared" si="82"/>
        <v>0</v>
      </c>
      <c r="W195" s="10">
        <f t="shared" si="87"/>
        <v>0</v>
      </c>
      <c r="X195" s="10"/>
      <c r="Y195" s="10"/>
      <c r="Z195" s="11">
        <f t="shared" si="88"/>
        <v>12805716</v>
      </c>
      <c r="AA195" s="14"/>
      <c r="AB195" s="14"/>
      <c r="AC195" s="11">
        <f t="shared" si="89"/>
        <v>12805716</v>
      </c>
      <c r="AD195" s="10">
        <f t="shared" si="90"/>
        <v>300</v>
      </c>
      <c r="AE195" s="15">
        <v>88158</v>
      </c>
      <c r="AF195" s="16">
        <v>15868</v>
      </c>
      <c r="AG195" s="15">
        <f t="shared" si="91"/>
        <v>0</v>
      </c>
      <c r="AH195" s="15">
        <f t="shared" si="92"/>
        <v>0</v>
      </c>
      <c r="AI195" s="15">
        <f t="shared" si="93"/>
        <v>88158</v>
      </c>
      <c r="AJ195" s="15">
        <f t="shared" si="94"/>
        <v>15869</v>
      </c>
      <c r="AK195" s="10">
        <v>88158</v>
      </c>
      <c r="AL195" s="15">
        <f t="shared" si="95"/>
        <v>88158</v>
      </c>
      <c r="AM195" s="15">
        <f t="shared" si="96"/>
        <v>12893874</v>
      </c>
      <c r="AN195" s="15">
        <f t="shared" si="97"/>
        <v>1552555</v>
      </c>
      <c r="AO195" s="15">
        <f t="shared" si="102"/>
        <v>1640817</v>
      </c>
      <c r="AP195" s="17">
        <f t="shared" si="98"/>
        <v>14534691</v>
      </c>
      <c r="AQ195" s="15">
        <v>12920969.16</v>
      </c>
      <c r="AR195" s="15">
        <v>104</v>
      </c>
      <c r="AS195" s="18">
        <f t="shared" si="103"/>
        <v>1613722</v>
      </c>
      <c r="AT195" s="19">
        <v>0</v>
      </c>
      <c r="AU195" s="8">
        <v>8800</v>
      </c>
      <c r="AV195" s="13">
        <f t="shared" si="104"/>
        <v>2585968</v>
      </c>
      <c r="AW195" s="18">
        <f t="shared" si="105"/>
        <v>12893874</v>
      </c>
      <c r="AX195" s="15">
        <f t="shared" si="99"/>
        <v>12894000</v>
      </c>
      <c r="AY195" s="20">
        <v>7.0000000000000007E-2</v>
      </c>
      <c r="AZ195" s="13">
        <f t="shared" si="100"/>
        <v>902580.00000000012</v>
      </c>
      <c r="BA195" s="15">
        <f t="shared" si="101"/>
        <v>902600</v>
      </c>
      <c r="BB195" s="21">
        <f t="shared" si="106"/>
        <v>2516322</v>
      </c>
      <c r="BC195" s="10">
        <f t="shared" si="107"/>
        <v>0</v>
      </c>
      <c r="BD195" s="10">
        <f t="shared" si="108"/>
        <v>0</v>
      </c>
      <c r="BE195" s="10">
        <v>60</v>
      </c>
      <c r="BF195" s="10">
        <v>27.3</v>
      </c>
      <c r="BG195" s="107">
        <v>46176</v>
      </c>
      <c r="BH195" s="107">
        <f t="shared" si="83"/>
        <v>46206</v>
      </c>
      <c r="BI195" s="23">
        <v>7</v>
      </c>
      <c r="BJ195" s="6"/>
      <c r="BK195" s="6"/>
      <c r="BL195" s="24">
        <f>VLOOKUP(A195,[2]Sheet1!$D$2:$H$933,5,0)</f>
        <v>0</v>
      </c>
      <c r="BM195" s="6" t="s">
        <v>3828</v>
      </c>
      <c r="BN195" s="6" t="s">
        <v>3829</v>
      </c>
      <c r="BO195" s="6" t="s">
        <v>3820</v>
      </c>
      <c r="BP195" s="6" t="s">
        <v>3821</v>
      </c>
      <c r="BQ195" s="6" t="s">
        <v>3830</v>
      </c>
      <c r="BR195" t="s">
        <v>3823</v>
      </c>
      <c r="BS195" t="s">
        <v>3824</v>
      </c>
      <c r="BT195" t="s">
        <v>3825</v>
      </c>
      <c r="BU195" t="s">
        <v>3826</v>
      </c>
      <c r="BV195" t="s">
        <v>3827</v>
      </c>
      <c r="BW195" t="s">
        <v>3835</v>
      </c>
      <c r="BX195">
        <v>0</v>
      </c>
      <c r="BY195" t="s">
        <v>3864</v>
      </c>
      <c r="BZ195" t="s">
        <v>3863</v>
      </c>
    </row>
    <row r="196" spans="1:78" x14ac:dyDescent="0.25">
      <c r="A196" s="7" t="s">
        <v>868</v>
      </c>
      <c r="B196" s="7" t="s">
        <v>181</v>
      </c>
      <c r="C196" s="7" t="s">
        <v>866</v>
      </c>
      <c r="D196" s="8" t="s">
        <v>867</v>
      </c>
      <c r="E196" s="7" t="s">
        <v>869</v>
      </c>
      <c r="F196" s="9">
        <v>44888</v>
      </c>
      <c r="G196" s="9" t="s">
        <v>527</v>
      </c>
      <c r="H196" s="9" t="s">
        <v>72</v>
      </c>
      <c r="I196" s="8" t="s">
        <v>78</v>
      </c>
      <c r="J196" s="10">
        <v>570.49</v>
      </c>
      <c r="K196" s="10">
        <v>570.49</v>
      </c>
      <c r="L196" s="10">
        <f t="shared" si="84"/>
        <v>0</v>
      </c>
      <c r="M196" s="10">
        <v>257.26</v>
      </c>
      <c r="N196" s="10">
        <v>257.26</v>
      </c>
      <c r="O196" s="10">
        <f t="shared" si="85"/>
        <v>0</v>
      </c>
      <c r="P196" s="11">
        <v>13302.000035057581</v>
      </c>
      <c r="Q196" s="11">
        <v>29498.00979553759</v>
      </c>
      <c r="R196" s="11">
        <v>20000</v>
      </c>
      <c r="S196" s="11">
        <v>7588658</v>
      </c>
      <c r="T196" s="11">
        <v>910638</v>
      </c>
      <c r="U196" s="12">
        <f t="shared" si="86"/>
        <v>0.11999987349541909</v>
      </c>
      <c r="V196" s="13">
        <f t="shared" si="82"/>
        <v>0</v>
      </c>
      <c r="W196" s="10">
        <f t="shared" si="87"/>
        <v>0</v>
      </c>
      <c r="X196" s="10"/>
      <c r="Y196" s="10"/>
      <c r="Z196" s="11">
        <f t="shared" si="88"/>
        <v>7588658</v>
      </c>
      <c r="AA196" s="14">
        <v>1481053</v>
      </c>
      <c r="AB196" s="14">
        <v>177726</v>
      </c>
      <c r="AC196" s="11">
        <f t="shared" si="89"/>
        <v>6107605</v>
      </c>
      <c r="AD196" s="10">
        <f t="shared" si="90"/>
        <v>300</v>
      </c>
      <c r="AE196" s="15">
        <v>77178</v>
      </c>
      <c r="AF196" s="16">
        <v>13892</v>
      </c>
      <c r="AG196" s="15">
        <f t="shared" si="91"/>
        <v>0</v>
      </c>
      <c r="AH196" s="15">
        <f t="shared" si="92"/>
        <v>0</v>
      </c>
      <c r="AI196" s="15">
        <f t="shared" si="93"/>
        <v>77178</v>
      </c>
      <c r="AJ196" s="15">
        <f t="shared" si="94"/>
        <v>13893</v>
      </c>
      <c r="AK196" s="10">
        <v>77178</v>
      </c>
      <c r="AL196" s="15">
        <f t="shared" si="95"/>
        <v>77178</v>
      </c>
      <c r="AM196" s="15">
        <f t="shared" si="96"/>
        <v>6184783</v>
      </c>
      <c r="AN196" s="15">
        <f t="shared" si="97"/>
        <v>746805</v>
      </c>
      <c r="AO196" s="15">
        <f t="shared" si="102"/>
        <v>824087.2</v>
      </c>
      <c r="AP196" s="17">
        <f t="shared" si="98"/>
        <v>7008870.2000000002</v>
      </c>
      <c r="AQ196" s="15">
        <v>5990586</v>
      </c>
      <c r="AR196" s="15">
        <v>104.2</v>
      </c>
      <c r="AS196" s="18">
        <f t="shared" si="103"/>
        <v>1018284</v>
      </c>
      <c r="AT196" s="19">
        <v>0</v>
      </c>
      <c r="AU196" s="8">
        <v>8800</v>
      </c>
      <c r="AV196" s="13">
        <f t="shared" si="104"/>
        <v>2263888</v>
      </c>
      <c r="AW196" s="18">
        <f t="shared" si="105"/>
        <v>6184783</v>
      </c>
      <c r="AX196" s="15">
        <f t="shared" si="99"/>
        <v>6185000</v>
      </c>
      <c r="AY196" s="20">
        <v>7.0000000000000007E-2</v>
      </c>
      <c r="AZ196" s="13">
        <f t="shared" si="100"/>
        <v>432950.00000000006</v>
      </c>
      <c r="BA196" s="15">
        <f t="shared" si="101"/>
        <v>433000</v>
      </c>
      <c r="BB196" s="21">
        <f t="shared" si="106"/>
        <v>1451284</v>
      </c>
      <c r="BC196" s="10">
        <f t="shared" si="107"/>
        <v>0</v>
      </c>
      <c r="BD196" s="10">
        <f t="shared" si="108"/>
        <v>0</v>
      </c>
      <c r="BE196" s="10">
        <v>53</v>
      </c>
      <c r="BF196" s="10">
        <v>23.9</v>
      </c>
      <c r="BG196" s="107">
        <v>46176</v>
      </c>
      <c r="BH196" s="107">
        <f t="shared" si="83"/>
        <v>46206</v>
      </c>
      <c r="BI196" s="23">
        <v>7</v>
      </c>
      <c r="BJ196" s="6"/>
      <c r="BK196" s="6"/>
      <c r="BL196" s="24">
        <f>VLOOKUP(A196,[2]Sheet1!$D$2:$H$933,5,0)</f>
        <v>0</v>
      </c>
      <c r="BM196" s="6" t="s">
        <v>3828</v>
      </c>
      <c r="BN196" s="6" t="s">
        <v>3829</v>
      </c>
      <c r="BO196" s="6" t="s">
        <v>3820</v>
      </c>
      <c r="BP196" s="6" t="s">
        <v>3821</v>
      </c>
      <c r="BQ196" s="6" t="s">
        <v>3830</v>
      </c>
      <c r="BR196" t="s">
        <v>3823</v>
      </c>
      <c r="BS196" t="s">
        <v>3824</v>
      </c>
      <c r="BT196" t="s">
        <v>3825</v>
      </c>
      <c r="BU196" t="s">
        <v>3826</v>
      </c>
      <c r="BV196" t="s">
        <v>3827</v>
      </c>
      <c r="BW196" t="s">
        <v>3835</v>
      </c>
      <c r="BX196" s="101">
        <v>684588</v>
      </c>
      <c r="BY196" t="s">
        <v>3862</v>
      </c>
      <c r="BZ196" t="s">
        <v>3871</v>
      </c>
    </row>
    <row r="197" spans="1:78" x14ac:dyDescent="0.25">
      <c r="A197" s="7" t="s">
        <v>872</v>
      </c>
      <c r="B197" s="7" t="s">
        <v>181</v>
      </c>
      <c r="C197" s="7" t="s">
        <v>870</v>
      </c>
      <c r="D197" s="8" t="s">
        <v>871</v>
      </c>
      <c r="E197" s="7" t="s">
        <v>873</v>
      </c>
      <c r="F197" s="9">
        <v>44995</v>
      </c>
      <c r="G197" s="9" t="s">
        <v>527</v>
      </c>
      <c r="H197" s="9" t="s">
        <v>87</v>
      </c>
      <c r="I197" s="8" t="s">
        <v>67</v>
      </c>
      <c r="J197" s="10">
        <v>224.85</v>
      </c>
      <c r="K197" s="10">
        <v>224.85</v>
      </c>
      <c r="L197" s="10">
        <f t="shared" si="84"/>
        <v>0</v>
      </c>
      <c r="M197" s="10">
        <v>89.34</v>
      </c>
      <c r="N197" s="10">
        <v>89.34</v>
      </c>
      <c r="O197" s="10">
        <f t="shared" si="85"/>
        <v>0</v>
      </c>
      <c r="P197" s="11">
        <v>22702.001334222816</v>
      </c>
      <c r="Q197" s="11">
        <v>57136.165211551372</v>
      </c>
      <c r="R197" s="11">
        <v>40000</v>
      </c>
      <c r="S197" s="11">
        <v>5104545</v>
      </c>
      <c r="T197" s="11">
        <v>612544</v>
      </c>
      <c r="U197" s="12">
        <f t="shared" si="86"/>
        <v>0.11999972573461494</v>
      </c>
      <c r="V197" s="13">
        <f t="shared" si="82"/>
        <v>0</v>
      </c>
      <c r="W197" s="10">
        <f t="shared" si="87"/>
        <v>0</v>
      </c>
      <c r="X197" s="10"/>
      <c r="Y197" s="10"/>
      <c r="Z197" s="11">
        <f t="shared" si="88"/>
        <v>5104545</v>
      </c>
      <c r="AA197" s="14">
        <v>1329169</v>
      </c>
      <c r="AB197" s="14">
        <v>159500</v>
      </c>
      <c r="AC197" s="11">
        <f t="shared" si="89"/>
        <v>3775376</v>
      </c>
      <c r="AD197" s="10">
        <f t="shared" si="90"/>
        <v>300</v>
      </c>
      <c r="AE197" s="15">
        <v>26802</v>
      </c>
      <c r="AF197" s="16">
        <v>4824</v>
      </c>
      <c r="AG197" s="15">
        <f t="shared" si="91"/>
        <v>0</v>
      </c>
      <c r="AH197" s="15">
        <f t="shared" si="92"/>
        <v>0</v>
      </c>
      <c r="AI197" s="15">
        <f t="shared" si="93"/>
        <v>26802</v>
      </c>
      <c r="AJ197" s="15">
        <f t="shared" si="94"/>
        <v>4825</v>
      </c>
      <c r="AK197" s="10">
        <v>26802</v>
      </c>
      <c r="AL197" s="15">
        <f t="shared" si="95"/>
        <v>26802</v>
      </c>
      <c r="AM197" s="15">
        <f t="shared" si="96"/>
        <v>3802178</v>
      </c>
      <c r="AN197" s="15">
        <f t="shared" si="97"/>
        <v>457869</v>
      </c>
      <c r="AO197" s="15">
        <f t="shared" si="102"/>
        <v>484834</v>
      </c>
      <c r="AP197" s="17">
        <f t="shared" si="98"/>
        <v>4287012</v>
      </c>
      <c r="AQ197" s="15">
        <v>3624064</v>
      </c>
      <c r="AR197" s="15">
        <v>163</v>
      </c>
      <c r="AS197" s="18">
        <f t="shared" si="103"/>
        <v>662948</v>
      </c>
      <c r="AT197" s="19">
        <v>0</v>
      </c>
      <c r="AU197" s="8">
        <v>8800</v>
      </c>
      <c r="AV197" s="13">
        <f t="shared" si="104"/>
        <v>786192</v>
      </c>
      <c r="AW197" s="18">
        <f t="shared" si="105"/>
        <v>3802178</v>
      </c>
      <c r="AX197" s="15">
        <f t="shared" si="99"/>
        <v>3803000</v>
      </c>
      <c r="AY197" s="20">
        <v>0.05</v>
      </c>
      <c r="AZ197" s="13">
        <f t="shared" si="100"/>
        <v>190150</v>
      </c>
      <c r="BA197" s="15">
        <f t="shared" si="101"/>
        <v>190200</v>
      </c>
      <c r="BB197" s="21">
        <f t="shared" si="106"/>
        <v>853148</v>
      </c>
      <c r="BC197" s="10">
        <f t="shared" si="107"/>
        <v>0</v>
      </c>
      <c r="BD197" s="10">
        <f t="shared" si="108"/>
        <v>0</v>
      </c>
      <c r="BE197" s="10">
        <v>20.89</v>
      </c>
      <c r="BF197" s="10">
        <v>8.3000000000000007</v>
      </c>
      <c r="BG197" s="107">
        <v>46176</v>
      </c>
      <c r="BH197" s="107">
        <f t="shared" si="83"/>
        <v>46206</v>
      </c>
      <c r="BI197" s="23">
        <v>5</v>
      </c>
      <c r="BJ197" s="6"/>
      <c r="BK197" s="6"/>
      <c r="BL197" s="24">
        <f>VLOOKUP(A197,[2]Sheet1!$D$2:$H$933,5,0)</f>
        <v>0</v>
      </c>
      <c r="BM197" s="6" t="s">
        <v>3828</v>
      </c>
      <c r="BN197" s="6" t="s">
        <v>3829</v>
      </c>
      <c r="BO197" s="6" t="s">
        <v>3820</v>
      </c>
      <c r="BP197" s="6" t="s">
        <v>3821</v>
      </c>
      <c r="BQ197" s="6" t="s">
        <v>3830</v>
      </c>
      <c r="BR197" t="s">
        <v>3823</v>
      </c>
      <c r="BS197" t="s">
        <v>3824</v>
      </c>
      <c r="BT197" t="s">
        <v>3825</v>
      </c>
      <c r="BU197" t="s">
        <v>3826</v>
      </c>
      <c r="BV197" t="s">
        <v>3827</v>
      </c>
      <c r="BW197" t="s">
        <v>3835</v>
      </c>
      <c r="BX197">
        <v>0</v>
      </c>
      <c r="BY197" t="s">
        <v>3866</v>
      </c>
      <c r="BZ197" t="s">
        <v>3871</v>
      </c>
    </row>
    <row r="198" spans="1:78" x14ac:dyDescent="0.25">
      <c r="A198" s="7" t="s">
        <v>876</v>
      </c>
      <c r="B198" s="7" t="s">
        <v>181</v>
      </c>
      <c r="C198" s="7" t="s">
        <v>874</v>
      </c>
      <c r="D198" s="8" t="s">
        <v>875</v>
      </c>
      <c r="E198" s="7" t="s">
        <v>877</v>
      </c>
      <c r="F198" s="9">
        <v>44903</v>
      </c>
      <c r="G198" s="9" t="s">
        <v>527</v>
      </c>
      <c r="H198" s="9" t="s">
        <v>66</v>
      </c>
      <c r="I198" s="8" t="s">
        <v>78</v>
      </c>
      <c r="J198" s="10">
        <v>775.01</v>
      </c>
      <c r="K198" s="10">
        <v>775.01</v>
      </c>
      <c r="L198" s="10">
        <f t="shared" si="84"/>
        <v>0</v>
      </c>
      <c r="M198" s="10">
        <v>358.44</v>
      </c>
      <c r="N198" s="10">
        <v>358.44</v>
      </c>
      <c r="O198" s="10">
        <f t="shared" si="85"/>
        <v>0</v>
      </c>
      <c r="P198" s="11">
        <v>7500</v>
      </c>
      <c r="Q198" s="11">
        <v>16216.312353531972</v>
      </c>
      <c r="R198" s="11">
        <v>22000</v>
      </c>
      <c r="S198" s="11">
        <v>5812575</v>
      </c>
      <c r="T198" s="11">
        <v>697508</v>
      </c>
      <c r="U198" s="12">
        <f t="shared" si="86"/>
        <v>0.11999982795920913</v>
      </c>
      <c r="V198" s="13">
        <f t="shared" si="82"/>
        <v>0</v>
      </c>
      <c r="W198" s="10">
        <f t="shared" si="87"/>
        <v>0</v>
      </c>
      <c r="X198" s="10"/>
      <c r="Y198" s="10"/>
      <c r="Z198" s="11">
        <f t="shared" si="88"/>
        <v>5812575</v>
      </c>
      <c r="AA198" s="14"/>
      <c r="AB198" s="14"/>
      <c r="AC198" s="11">
        <f t="shared" si="89"/>
        <v>5812575</v>
      </c>
      <c r="AD198" s="10">
        <f t="shared" si="90"/>
        <v>300</v>
      </c>
      <c r="AE198" s="15">
        <v>107532</v>
      </c>
      <c r="AF198" s="16">
        <v>19356</v>
      </c>
      <c r="AG198" s="15">
        <f t="shared" si="91"/>
        <v>0</v>
      </c>
      <c r="AH198" s="15">
        <f t="shared" si="92"/>
        <v>0</v>
      </c>
      <c r="AI198" s="15">
        <f t="shared" si="93"/>
        <v>107532</v>
      </c>
      <c r="AJ198" s="15">
        <f t="shared" si="94"/>
        <v>19356</v>
      </c>
      <c r="AK198" s="10">
        <v>107532</v>
      </c>
      <c r="AL198" s="15">
        <f t="shared" si="95"/>
        <v>107532</v>
      </c>
      <c r="AM198" s="15">
        <f t="shared" si="96"/>
        <v>5920107</v>
      </c>
      <c r="AN198" s="15">
        <f t="shared" si="97"/>
        <v>716864</v>
      </c>
      <c r="AO198" s="15">
        <f t="shared" si="102"/>
        <v>824567</v>
      </c>
      <c r="AP198" s="17">
        <f t="shared" si="98"/>
        <v>6744674</v>
      </c>
      <c r="AQ198" s="15">
        <v>5824619.96</v>
      </c>
      <c r="AR198" s="15">
        <v>171</v>
      </c>
      <c r="AS198" s="18">
        <f t="shared" si="103"/>
        <v>920054</v>
      </c>
      <c r="AT198" s="19">
        <v>0</v>
      </c>
      <c r="AU198" s="8">
        <v>8800</v>
      </c>
      <c r="AV198" s="13">
        <f t="shared" si="104"/>
        <v>3154272</v>
      </c>
      <c r="AW198" s="18">
        <f t="shared" si="105"/>
        <v>5920107</v>
      </c>
      <c r="AX198" s="15">
        <f t="shared" si="99"/>
        <v>5921000</v>
      </c>
      <c r="AY198" s="20">
        <v>0.06</v>
      </c>
      <c r="AZ198" s="13">
        <f t="shared" si="100"/>
        <v>355260</v>
      </c>
      <c r="BA198" s="15">
        <f t="shared" si="101"/>
        <v>355300</v>
      </c>
      <c r="BB198" s="21">
        <f t="shared" si="106"/>
        <v>1275354</v>
      </c>
      <c r="BC198" s="10">
        <f t="shared" si="107"/>
        <v>0</v>
      </c>
      <c r="BD198" s="10">
        <f t="shared" si="108"/>
        <v>0</v>
      </c>
      <c r="BE198" s="10">
        <v>72</v>
      </c>
      <c r="BF198" s="10">
        <v>33.299999999999997</v>
      </c>
      <c r="BG198" s="107">
        <v>46176</v>
      </c>
      <c r="BH198" s="107">
        <f t="shared" si="83"/>
        <v>46206</v>
      </c>
      <c r="BI198" s="23">
        <v>6</v>
      </c>
      <c r="BJ198" s="6"/>
      <c r="BK198" s="6"/>
      <c r="BL198" s="24">
        <f>VLOOKUP(A198,[2]Sheet1!$D$2:$H$933,5,0)</f>
        <v>0</v>
      </c>
      <c r="BM198" s="6" t="s">
        <v>3828</v>
      </c>
      <c r="BN198" s="6" t="s">
        <v>3829</v>
      </c>
      <c r="BO198" s="6" t="s">
        <v>3820</v>
      </c>
      <c r="BP198" s="6" t="s">
        <v>3821</v>
      </c>
      <c r="BQ198" s="6" t="s">
        <v>3830</v>
      </c>
      <c r="BR198" t="s">
        <v>3823</v>
      </c>
      <c r="BS198" t="s">
        <v>3824</v>
      </c>
      <c r="BT198" t="s">
        <v>3825</v>
      </c>
      <c r="BU198" t="s">
        <v>3826</v>
      </c>
      <c r="BV198" t="s">
        <v>3827</v>
      </c>
      <c r="BW198" t="s">
        <v>3835</v>
      </c>
      <c r="BX198">
        <v>0</v>
      </c>
      <c r="BY198" t="s">
        <v>3867</v>
      </c>
      <c r="BZ198" t="s">
        <v>3871</v>
      </c>
    </row>
    <row r="199" spans="1:78" x14ac:dyDescent="0.25">
      <c r="A199" s="7" t="s">
        <v>880</v>
      </c>
      <c r="B199" s="7" t="s">
        <v>181</v>
      </c>
      <c r="C199" s="7" t="s">
        <v>878</v>
      </c>
      <c r="D199" s="8" t="s">
        <v>879</v>
      </c>
      <c r="E199" s="7" t="s">
        <v>881</v>
      </c>
      <c r="F199" s="9">
        <v>44907</v>
      </c>
      <c r="G199" s="9" t="s">
        <v>527</v>
      </c>
      <c r="H199" s="9" t="s">
        <v>66</v>
      </c>
      <c r="I199" s="8" t="s">
        <v>67</v>
      </c>
      <c r="J199" s="10">
        <v>224.85</v>
      </c>
      <c r="K199" s="10">
        <v>224.85</v>
      </c>
      <c r="L199" s="10">
        <f t="shared" si="84"/>
        <v>0</v>
      </c>
      <c r="M199" s="10">
        <v>89.34</v>
      </c>
      <c r="N199" s="10">
        <v>89.34</v>
      </c>
      <c r="O199" s="10">
        <f t="shared" si="85"/>
        <v>0</v>
      </c>
      <c r="P199" s="11">
        <v>20236.997998665778</v>
      </c>
      <c r="Q199" s="11">
        <v>50932.269979852244</v>
      </c>
      <c r="R199" s="11">
        <v>22000</v>
      </c>
      <c r="S199" s="11">
        <v>4550289</v>
      </c>
      <c r="T199" s="11">
        <v>546036</v>
      </c>
      <c r="U199" s="12">
        <f t="shared" si="86"/>
        <v>0.12000029009146453</v>
      </c>
      <c r="V199" s="13">
        <f t="shared" si="82"/>
        <v>0</v>
      </c>
      <c r="W199" s="10">
        <f t="shared" si="87"/>
        <v>0</v>
      </c>
      <c r="X199" s="10"/>
      <c r="Y199" s="10"/>
      <c r="Z199" s="11">
        <f t="shared" si="88"/>
        <v>4550289</v>
      </c>
      <c r="AA199" s="14">
        <v>369723</v>
      </c>
      <c r="AB199" s="14">
        <v>44366</v>
      </c>
      <c r="AC199" s="11">
        <f t="shared" si="89"/>
        <v>4180566</v>
      </c>
      <c r="AD199" s="10">
        <f t="shared" si="90"/>
        <v>300</v>
      </c>
      <c r="AE199" s="15">
        <v>26802</v>
      </c>
      <c r="AF199" s="16">
        <v>4824</v>
      </c>
      <c r="AG199" s="15">
        <f t="shared" si="91"/>
        <v>0</v>
      </c>
      <c r="AH199" s="15">
        <f t="shared" si="92"/>
        <v>0</v>
      </c>
      <c r="AI199" s="15">
        <f t="shared" si="93"/>
        <v>26802</v>
      </c>
      <c r="AJ199" s="15">
        <f t="shared" si="94"/>
        <v>4825</v>
      </c>
      <c r="AK199" s="10">
        <v>26802</v>
      </c>
      <c r="AL199" s="15">
        <f t="shared" si="95"/>
        <v>26802</v>
      </c>
      <c r="AM199" s="15">
        <f t="shared" si="96"/>
        <v>4207368</v>
      </c>
      <c r="AN199" s="15">
        <f t="shared" si="97"/>
        <v>506495</v>
      </c>
      <c r="AO199" s="15">
        <f t="shared" si="102"/>
        <v>533481</v>
      </c>
      <c r="AP199" s="17">
        <f t="shared" si="98"/>
        <v>4740849</v>
      </c>
      <c r="AQ199" s="15">
        <v>4085262</v>
      </c>
      <c r="AR199" s="15">
        <v>184</v>
      </c>
      <c r="AS199" s="18">
        <f t="shared" si="103"/>
        <v>655587</v>
      </c>
      <c r="AT199" s="19">
        <v>0</v>
      </c>
      <c r="AU199" s="8">
        <v>8800</v>
      </c>
      <c r="AV199" s="13">
        <f t="shared" si="104"/>
        <v>786192</v>
      </c>
      <c r="AW199" s="18">
        <f t="shared" si="105"/>
        <v>4207368</v>
      </c>
      <c r="AX199" s="15">
        <f t="shared" si="99"/>
        <v>4208000</v>
      </c>
      <c r="AY199" s="20">
        <v>0.06</v>
      </c>
      <c r="AZ199" s="13">
        <f t="shared" si="100"/>
        <v>252480</v>
      </c>
      <c r="BA199" s="15">
        <f t="shared" si="101"/>
        <v>252500</v>
      </c>
      <c r="BB199" s="21">
        <f t="shared" si="106"/>
        <v>908087</v>
      </c>
      <c r="BC199" s="10">
        <f t="shared" si="107"/>
        <v>0</v>
      </c>
      <c r="BD199" s="10">
        <f t="shared" si="108"/>
        <v>0</v>
      </c>
      <c r="BE199" s="10">
        <v>20.89</v>
      </c>
      <c r="BF199" s="10">
        <v>8.3000000000000007</v>
      </c>
      <c r="BG199" s="107">
        <v>46176</v>
      </c>
      <c r="BH199" s="107">
        <f t="shared" si="83"/>
        <v>46206</v>
      </c>
      <c r="BI199" s="23">
        <v>6</v>
      </c>
      <c r="BJ199" s="6"/>
      <c r="BK199" s="6"/>
      <c r="BL199" s="24">
        <f>VLOOKUP(A199,[2]Sheet1!$D$2:$H$933,5,0)</f>
        <v>0</v>
      </c>
      <c r="BM199" s="6" t="s">
        <v>3828</v>
      </c>
      <c r="BN199" s="6" t="s">
        <v>3829</v>
      </c>
      <c r="BO199" s="6" t="s">
        <v>3820</v>
      </c>
      <c r="BP199" s="6" t="s">
        <v>3821</v>
      </c>
      <c r="BQ199" s="6" t="s">
        <v>3830</v>
      </c>
      <c r="BR199" t="s">
        <v>3823</v>
      </c>
      <c r="BS199" t="s">
        <v>3824</v>
      </c>
      <c r="BT199" t="s">
        <v>3825</v>
      </c>
      <c r="BU199" t="s">
        <v>3826</v>
      </c>
      <c r="BV199" t="s">
        <v>3827</v>
      </c>
      <c r="BW199" t="s">
        <v>3835</v>
      </c>
      <c r="BX199">
        <v>0</v>
      </c>
      <c r="BY199" t="s">
        <v>3859</v>
      </c>
      <c r="BZ199" t="s">
        <v>3871</v>
      </c>
    </row>
    <row r="200" spans="1:78" x14ac:dyDescent="0.25">
      <c r="A200" s="7" t="s">
        <v>884</v>
      </c>
      <c r="B200" s="7" t="s">
        <v>181</v>
      </c>
      <c r="C200" s="7" t="s">
        <v>882</v>
      </c>
      <c r="D200" s="8" t="s">
        <v>883</v>
      </c>
      <c r="E200" s="7" t="s">
        <v>885</v>
      </c>
      <c r="F200" s="9">
        <v>44896</v>
      </c>
      <c r="G200" s="9" t="s">
        <v>527</v>
      </c>
      <c r="H200" s="9" t="s">
        <v>72</v>
      </c>
      <c r="I200" s="8" t="s">
        <v>635</v>
      </c>
      <c r="J200" s="10">
        <v>1397.48</v>
      </c>
      <c r="K200" s="10">
        <v>1258.1500000000001</v>
      </c>
      <c r="L200" s="10">
        <f t="shared" si="84"/>
        <v>-139.32999999999993</v>
      </c>
      <c r="M200" s="10">
        <v>208.82</v>
      </c>
      <c r="N200" s="10">
        <v>188</v>
      </c>
      <c r="O200" s="10">
        <f t="shared" si="85"/>
        <v>-20.819999999999993</v>
      </c>
      <c r="P200" s="11">
        <v>6500</v>
      </c>
      <c r="Q200" s="11">
        <v>43499.760559333401</v>
      </c>
      <c r="R200" s="11">
        <v>20000</v>
      </c>
      <c r="S200" s="11">
        <v>9083620</v>
      </c>
      <c r="T200" s="11">
        <v>1090036</v>
      </c>
      <c r="U200" s="12">
        <f t="shared" si="86"/>
        <v>0.12000017614123004</v>
      </c>
      <c r="V200" s="13">
        <f t="shared" si="82"/>
        <v>-905644.99999999953</v>
      </c>
      <c r="W200" s="10">
        <f t="shared" si="87"/>
        <v>-108677.55952142422</v>
      </c>
      <c r="X200" s="15"/>
      <c r="Y200" s="15"/>
      <c r="Z200" s="11">
        <f t="shared" si="88"/>
        <v>8177975</v>
      </c>
      <c r="AA200" s="14"/>
      <c r="AB200" s="14"/>
      <c r="AC200" s="11">
        <f t="shared" si="89"/>
        <v>8177975</v>
      </c>
      <c r="AD200" s="10">
        <f t="shared" si="90"/>
        <v>300</v>
      </c>
      <c r="AE200" s="15">
        <v>62646</v>
      </c>
      <c r="AF200" s="16">
        <v>11276</v>
      </c>
      <c r="AG200" s="15">
        <f t="shared" si="91"/>
        <v>-6245.9999999999982</v>
      </c>
      <c r="AH200" s="15">
        <f t="shared" si="92"/>
        <v>-1124.2799999999995</v>
      </c>
      <c r="AI200" s="15">
        <f t="shared" si="93"/>
        <v>56400</v>
      </c>
      <c r="AJ200" s="15">
        <f t="shared" si="94"/>
        <v>10152</v>
      </c>
      <c r="AK200" s="10">
        <v>62646</v>
      </c>
      <c r="AL200" s="15">
        <f t="shared" si="95"/>
        <v>56400</v>
      </c>
      <c r="AM200" s="15">
        <f t="shared" si="96"/>
        <v>8234375</v>
      </c>
      <c r="AN200" s="15">
        <f t="shared" si="97"/>
        <v>991511</v>
      </c>
      <c r="AO200" s="15">
        <f t="shared" si="102"/>
        <v>1048134</v>
      </c>
      <c r="AP200" s="17">
        <f t="shared" si="98"/>
        <v>9282509</v>
      </c>
      <c r="AQ200" s="15">
        <v>6815986</v>
      </c>
      <c r="AR200" s="15">
        <v>223</v>
      </c>
      <c r="AS200" s="18">
        <f t="shared" si="103"/>
        <v>2466523</v>
      </c>
      <c r="AT200" s="19">
        <v>0</v>
      </c>
      <c r="AU200" s="8">
        <v>8800</v>
      </c>
      <c r="AV200" s="13">
        <f t="shared" si="104"/>
        <v>1654400</v>
      </c>
      <c r="AW200" s="18">
        <f t="shared" si="105"/>
        <v>8234375</v>
      </c>
      <c r="AX200" s="15">
        <f t="shared" si="99"/>
        <v>8235000</v>
      </c>
      <c r="AY200" s="20">
        <v>0.05</v>
      </c>
      <c r="AZ200" s="13">
        <f t="shared" si="100"/>
        <v>411750</v>
      </c>
      <c r="BA200" s="15">
        <f t="shared" si="101"/>
        <v>411800</v>
      </c>
      <c r="BB200" s="21">
        <f t="shared" si="106"/>
        <v>2878323</v>
      </c>
      <c r="BC200" s="10">
        <f t="shared" si="107"/>
        <v>-9.970089017374125</v>
      </c>
      <c r="BD200" s="10">
        <f t="shared" si="108"/>
        <v>-9.9703093573412467</v>
      </c>
      <c r="BE200" s="10">
        <v>116.88</v>
      </c>
      <c r="BF200" s="10">
        <v>17.47</v>
      </c>
      <c r="BG200" s="107">
        <v>46176</v>
      </c>
      <c r="BH200" s="107">
        <f t="shared" si="83"/>
        <v>46206</v>
      </c>
      <c r="BI200" s="23">
        <v>5</v>
      </c>
      <c r="BJ200" s="6"/>
      <c r="BK200" s="6"/>
      <c r="BL200" s="24">
        <f>VLOOKUP(A200,[2]Sheet1!$D$2:$H$933,5,0)</f>
        <v>0</v>
      </c>
      <c r="BM200" s="6" t="s">
        <v>3828</v>
      </c>
      <c r="BN200" s="6" t="s">
        <v>3829</v>
      </c>
      <c r="BO200" s="6" t="s">
        <v>3820</v>
      </c>
      <c r="BP200" s="6" t="s">
        <v>3821</v>
      </c>
      <c r="BQ200" s="6" t="s">
        <v>3830</v>
      </c>
      <c r="BR200" t="s">
        <v>3823</v>
      </c>
      <c r="BS200" t="s">
        <v>3824</v>
      </c>
      <c r="BT200" t="s">
        <v>3825</v>
      </c>
      <c r="BU200" t="s">
        <v>3826</v>
      </c>
      <c r="BV200" t="s">
        <v>3827</v>
      </c>
      <c r="BW200" t="s">
        <v>3835</v>
      </c>
      <c r="BX200" s="101">
        <v>1118446.6963114666</v>
      </c>
      <c r="BY200" t="s">
        <v>3865</v>
      </c>
      <c r="BZ200" t="s">
        <v>3871</v>
      </c>
    </row>
    <row r="201" spans="1:78" x14ac:dyDescent="0.25">
      <c r="A201" s="7" t="s">
        <v>888</v>
      </c>
      <c r="B201" s="7" t="s">
        <v>181</v>
      </c>
      <c r="C201" s="7" t="s">
        <v>886</v>
      </c>
      <c r="D201" s="8" t="s">
        <v>887</v>
      </c>
      <c r="E201" s="7" t="s">
        <v>889</v>
      </c>
      <c r="F201" s="9">
        <v>44886</v>
      </c>
      <c r="G201" s="9" t="s">
        <v>404</v>
      </c>
      <c r="H201" s="9" t="s">
        <v>66</v>
      </c>
      <c r="I201" s="8" t="s">
        <v>78</v>
      </c>
      <c r="J201" s="10">
        <v>677.06</v>
      </c>
      <c r="K201" s="10">
        <v>677.06</v>
      </c>
      <c r="L201" s="10">
        <f t="shared" si="84"/>
        <v>0</v>
      </c>
      <c r="M201" s="10">
        <v>315.39</v>
      </c>
      <c r="N201" s="10">
        <v>315.39</v>
      </c>
      <c r="O201" s="10">
        <f t="shared" si="85"/>
        <v>0</v>
      </c>
      <c r="P201" s="11">
        <v>11150</v>
      </c>
      <c r="Q201" s="11">
        <v>23936.139382986144</v>
      </c>
      <c r="R201" s="11">
        <v>22000</v>
      </c>
      <c r="S201" s="11">
        <v>7549219</v>
      </c>
      <c r="T201" s="11">
        <v>905906</v>
      </c>
      <c r="U201" s="12">
        <f t="shared" si="86"/>
        <v>0.11999996291007056</v>
      </c>
      <c r="V201" s="13">
        <f t="shared" si="82"/>
        <v>0</v>
      </c>
      <c r="W201" s="10">
        <f t="shared" si="87"/>
        <v>0</v>
      </c>
      <c r="X201" s="10"/>
      <c r="Y201" s="10"/>
      <c r="Z201" s="11">
        <f t="shared" si="88"/>
        <v>7549219</v>
      </c>
      <c r="AA201" s="14">
        <v>1457340</v>
      </c>
      <c r="AB201" s="14">
        <v>174880</v>
      </c>
      <c r="AC201" s="11">
        <f t="shared" si="89"/>
        <v>6091879</v>
      </c>
      <c r="AD201" s="10">
        <f t="shared" si="90"/>
        <v>300</v>
      </c>
      <c r="AE201" s="15">
        <v>94617</v>
      </c>
      <c r="AF201" s="16">
        <v>17032</v>
      </c>
      <c r="AG201" s="15">
        <f t="shared" si="91"/>
        <v>0</v>
      </c>
      <c r="AH201" s="15">
        <f t="shared" si="92"/>
        <v>0</v>
      </c>
      <c r="AI201" s="15">
        <f t="shared" si="93"/>
        <v>94617</v>
      </c>
      <c r="AJ201" s="15">
        <f t="shared" si="94"/>
        <v>17032</v>
      </c>
      <c r="AK201" s="10">
        <v>94617</v>
      </c>
      <c r="AL201" s="15">
        <f t="shared" si="95"/>
        <v>94617</v>
      </c>
      <c r="AM201" s="15">
        <f t="shared" si="96"/>
        <v>6186496</v>
      </c>
      <c r="AN201" s="15">
        <f t="shared" si="97"/>
        <v>748058</v>
      </c>
      <c r="AO201" s="15">
        <f t="shared" si="102"/>
        <v>842863</v>
      </c>
      <c r="AP201" s="17">
        <f t="shared" si="98"/>
        <v>7029359</v>
      </c>
      <c r="AQ201" s="15">
        <v>5939525.6699999999</v>
      </c>
      <c r="AR201" s="15">
        <v>188</v>
      </c>
      <c r="AS201" s="18">
        <f t="shared" si="103"/>
        <v>1089833</v>
      </c>
      <c r="AT201" s="19">
        <v>0</v>
      </c>
      <c r="AU201" s="8">
        <v>8800</v>
      </c>
      <c r="AV201" s="13">
        <f t="shared" si="104"/>
        <v>2775432</v>
      </c>
      <c r="AW201" s="18">
        <f t="shared" si="105"/>
        <v>6186496</v>
      </c>
      <c r="AX201" s="15">
        <f t="shared" si="99"/>
        <v>6187000</v>
      </c>
      <c r="AY201" s="20">
        <v>0.05</v>
      </c>
      <c r="AZ201" s="13">
        <f t="shared" si="100"/>
        <v>309350</v>
      </c>
      <c r="BA201" s="15">
        <f t="shared" si="101"/>
        <v>309400</v>
      </c>
      <c r="BB201" s="21">
        <f t="shared" si="106"/>
        <v>1399233</v>
      </c>
      <c r="BC201" s="10">
        <f t="shared" si="107"/>
        <v>0</v>
      </c>
      <c r="BD201" s="10">
        <f t="shared" si="108"/>
        <v>0</v>
      </c>
      <c r="BE201" s="10">
        <v>62.9</v>
      </c>
      <c r="BF201" s="10">
        <v>29.3</v>
      </c>
      <c r="BG201" s="107">
        <v>46176</v>
      </c>
      <c r="BH201" s="107">
        <f t="shared" si="83"/>
        <v>46206</v>
      </c>
      <c r="BI201" s="23">
        <v>5</v>
      </c>
      <c r="BJ201" s="6"/>
      <c r="BK201" s="6"/>
      <c r="BL201" s="24">
        <f>VLOOKUP(A201,[2]Sheet1!$D$2:$H$933,5,0)</f>
        <v>0</v>
      </c>
      <c r="BM201" s="6" t="s">
        <v>3828</v>
      </c>
      <c r="BN201" s="6" t="s">
        <v>3829</v>
      </c>
      <c r="BO201" s="6" t="s">
        <v>3820</v>
      </c>
      <c r="BP201" s="6" t="s">
        <v>3821</v>
      </c>
      <c r="BQ201" s="6" t="s">
        <v>3830</v>
      </c>
      <c r="BR201" t="s">
        <v>3823</v>
      </c>
      <c r="BS201" t="s">
        <v>3824</v>
      </c>
      <c r="BT201" t="s">
        <v>3825</v>
      </c>
      <c r="BU201" t="s">
        <v>3826</v>
      </c>
      <c r="BV201" t="s">
        <v>3827</v>
      </c>
      <c r="BW201" t="s">
        <v>3835</v>
      </c>
      <c r="BX201">
        <v>0</v>
      </c>
      <c r="BY201" t="s">
        <v>3859</v>
      </c>
      <c r="BZ201" t="s">
        <v>3863</v>
      </c>
    </row>
    <row r="202" spans="1:78" x14ac:dyDescent="0.25">
      <c r="A202" s="7" t="s">
        <v>892</v>
      </c>
      <c r="B202" s="7" t="s">
        <v>181</v>
      </c>
      <c r="C202" s="7" t="s">
        <v>890</v>
      </c>
      <c r="D202" s="8" t="s">
        <v>891</v>
      </c>
      <c r="E202" s="7" t="s">
        <v>893</v>
      </c>
      <c r="F202" s="9">
        <v>45155</v>
      </c>
      <c r="G202" s="9" t="s">
        <v>65</v>
      </c>
      <c r="H202" s="9" t="s">
        <v>87</v>
      </c>
      <c r="I202" s="8" t="s">
        <v>78</v>
      </c>
      <c r="J202" s="10">
        <v>668.44</v>
      </c>
      <c r="K202" s="10">
        <v>668.44</v>
      </c>
      <c r="L202" s="10">
        <f t="shared" si="84"/>
        <v>0</v>
      </c>
      <c r="M202" s="10">
        <v>306.24</v>
      </c>
      <c r="N202" s="10">
        <v>306.24</v>
      </c>
      <c r="O202" s="10">
        <f t="shared" si="85"/>
        <v>0</v>
      </c>
      <c r="P202" s="11">
        <v>21999.997007958827</v>
      </c>
      <c r="Q202" s="11">
        <v>48020.108411703237</v>
      </c>
      <c r="R202" s="11">
        <v>40000</v>
      </c>
      <c r="S202" s="11">
        <v>14705678</v>
      </c>
      <c r="T202" s="11">
        <v>1764682</v>
      </c>
      <c r="U202" s="12">
        <f t="shared" si="86"/>
        <v>0.12000004352060477</v>
      </c>
      <c r="V202" s="13">
        <f t="shared" si="82"/>
        <v>0</v>
      </c>
      <c r="W202" s="10">
        <f t="shared" si="87"/>
        <v>0</v>
      </c>
      <c r="X202" s="10"/>
      <c r="Y202" s="10"/>
      <c r="Z202" s="11">
        <f t="shared" si="88"/>
        <v>14705678</v>
      </c>
      <c r="AA202" s="14"/>
      <c r="AB202" s="14"/>
      <c r="AC202" s="11">
        <f t="shared" si="89"/>
        <v>14705678</v>
      </c>
      <c r="AD202" s="10">
        <f t="shared" si="90"/>
        <v>300</v>
      </c>
      <c r="AE202" s="15">
        <v>91872</v>
      </c>
      <c r="AF202" s="16">
        <v>16536</v>
      </c>
      <c r="AG202" s="15">
        <f t="shared" si="91"/>
        <v>0</v>
      </c>
      <c r="AH202" s="15">
        <f t="shared" si="92"/>
        <v>0</v>
      </c>
      <c r="AI202" s="15">
        <f t="shared" si="93"/>
        <v>91872</v>
      </c>
      <c r="AJ202" s="15">
        <f t="shared" si="94"/>
        <v>16537</v>
      </c>
      <c r="AK202" s="10">
        <v>91872</v>
      </c>
      <c r="AL202" s="15">
        <f t="shared" si="95"/>
        <v>91872</v>
      </c>
      <c r="AM202" s="15">
        <f t="shared" si="96"/>
        <v>14797550</v>
      </c>
      <c r="AN202" s="15">
        <f t="shared" si="97"/>
        <v>1781219</v>
      </c>
      <c r="AO202" s="15">
        <f t="shared" si="102"/>
        <v>1873224</v>
      </c>
      <c r="AP202" s="17">
        <f t="shared" si="98"/>
        <v>16670774</v>
      </c>
      <c r="AQ202" s="15">
        <v>8235181.2000000002</v>
      </c>
      <c r="AR202" s="15">
        <v>133</v>
      </c>
      <c r="AS202" s="18">
        <f t="shared" si="103"/>
        <v>8435593</v>
      </c>
      <c r="AT202" s="19">
        <v>0</v>
      </c>
      <c r="AU202" s="8">
        <v>8800</v>
      </c>
      <c r="AV202" s="13">
        <f t="shared" si="104"/>
        <v>2694912</v>
      </c>
      <c r="AW202" s="18">
        <f t="shared" si="105"/>
        <v>14797550</v>
      </c>
      <c r="AX202" s="15">
        <f t="shared" si="99"/>
        <v>14798000</v>
      </c>
      <c r="AY202" s="20">
        <v>7.0000000000000007E-2</v>
      </c>
      <c r="AZ202" s="13">
        <f t="shared" si="100"/>
        <v>1035860.0000000001</v>
      </c>
      <c r="BA202" s="15">
        <f t="shared" si="101"/>
        <v>1035900</v>
      </c>
      <c r="BB202" s="21">
        <f t="shared" si="106"/>
        <v>9471493</v>
      </c>
      <c r="BC202" s="10">
        <f t="shared" si="107"/>
        <v>0</v>
      </c>
      <c r="BD202" s="10">
        <f t="shared" si="108"/>
        <v>0</v>
      </c>
      <c r="BE202" s="10">
        <v>62.1</v>
      </c>
      <c r="BF202" s="10">
        <v>28.45</v>
      </c>
      <c r="BG202" s="107">
        <v>46176</v>
      </c>
      <c r="BH202" s="107">
        <f t="shared" si="83"/>
        <v>46206</v>
      </c>
      <c r="BI202" s="23">
        <v>7</v>
      </c>
      <c r="BJ202" s="6"/>
      <c r="BK202" s="6"/>
      <c r="BL202" s="24">
        <f>VLOOKUP(A202,[2]Sheet1!$D$2:$H$933,5,0)</f>
        <v>0</v>
      </c>
      <c r="BM202" s="6" t="s">
        <v>3828</v>
      </c>
      <c r="BN202" s="6" t="s">
        <v>3829</v>
      </c>
      <c r="BO202" s="6" t="s">
        <v>3820</v>
      </c>
      <c r="BP202" s="6" t="s">
        <v>3821</v>
      </c>
      <c r="BQ202" s="6" t="s">
        <v>3830</v>
      </c>
      <c r="BR202" t="s">
        <v>3823</v>
      </c>
      <c r="BS202" t="s">
        <v>3824</v>
      </c>
      <c r="BT202" t="s">
        <v>3825</v>
      </c>
      <c r="BU202" t="s">
        <v>3826</v>
      </c>
      <c r="BV202" t="s">
        <v>3827</v>
      </c>
      <c r="BW202" t="s">
        <v>3835</v>
      </c>
      <c r="BX202">
        <v>0</v>
      </c>
      <c r="BY202" t="s">
        <v>3868</v>
      </c>
      <c r="BZ202" t="s">
        <v>3860</v>
      </c>
    </row>
    <row r="203" spans="1:78" x14ac:dyDescent="0.25">
      <c r="A203" s="7" t="s">
        <v>896</v>
      </c>
      <c r="B203" s="7" t="s">
        <v>181</v>
      </c>
      <c r="C203" s="7" t="s">
        <v>894</v>
      </c>
      <c r="D203" s="8" t="s">
        <v>895</v>
      </c>
      <c r="E203" s="7" t="s">
        <v>897</v>
      </c>
      <c r="F203" s="9">
        <v>45052</v>
      </c>
      <c r="G203" s="9" t="s">
        <v>717</v>
      </c>
      <c r="H203" s="9" t="s">
        <v>66</v>
      </c>
      <c r="I203" s="8" t="s">
        <v>78</v>
      </c>
      <c r="J203" s="10">
        <v>596.33000000000004</v>
      </c>
      <c r="K203" s="10">
        <v>674</v>
      </c>
      <c r="L203" s="10">
        <f t="shared" si="84"/>
        <v>77.669999999999959</v>
      </c>
      <c r="M203" s="10">
        <v>266.95</v>
      </c>
      <c r="N203" s="10">
        <v>302</v>
      </c>
      <c r="O203" s="10">
        <f t="shared" si="85"/>
        <v>35.050000000000011</v>
      </c>
      <c r="P203" s="11">
        <v>12000</v>
      </c>
      <c r="Q203" s="11">
        <v>26806.36823375164</v>
      </c>
      <c r="R203" s="11">
        <v>22000</v>
      </c>
      <c r="S203" s="11">
        <v>7155960</v>
      </c>
      <c r="T203" s="11">
        <v>858716</v>
      </c>
      <c r="U203" s="12">
        <f t="shared" si="86"/>
        <v>0.1200001117949234</v>
      </c>
      <c r="V203" s="13">
        <f>L203*R203</f>
        <v>1708739.9999999991</v>
      </c>
      <c r="W203" s="10">
        <f t="shared" si="87"/>
        <v>205048.9910284573</v>
      </c>
      <c r="X203" s="15"/>
      <c r="Y203" s="15"/>
      <c r="Z203" s="11">
        <f t="shared" si="88"/>
        <v>8864700</v>
      </c>
      <c r="AA203" s="14"/>
      <c r="AB203" s="14"/>
      <c r="AC203" s="11">
        <f t="shared" si="89"/>
        <v>8864700</v>
      </c>
      <c r="AD203" s="10">
        <f t="shared" si="90"/>
        <v>300</v>
      </c>
      <c r="AE203" s="15">
        <v>80085</v>
      </c>
      <c r="AF203" s="16">
        <v>14416</v>
      </c>
      <c r="AG203" s="15">
        <f t="shared" si="91"/>
        <v>10515.000000000004</v>
      </c>
      <c r="AH203" s="15">
        <f t="shared" si="92"/>
        <v>1892.7000000000005</v>
      </c>
      <c r="AI203" s="15">
        <f t="shared" si="93"/>
        <v>90600</v>
      </c>
      <c r="AJ203" s="15">
        <f t="shared" si="94"/>
        <v>16308</v>
      </c>
      <c r="AK203" s="10">
        <v>80085</v>
      </c>
      <c r="AL203" s="15">
        <f t="shared" si="95"/>
        <v>90600</v>
      </c>
      <c r="AM203" s="15">
        <f t="shared" si="96"/>
        <v>8955300</v>
      </c>
      <c r="AN203" s="15">
        <f t="shared" si="97"/>
        <v>1080073</v>
      </c>
      <c r="AO203" s="15">
        <f t="shared" si="102"/>
        <v>1170873</v>
      </c>
      <c r="AP203" s="17">
        <f t="shared" si="98"/>
        <v>10126173</v>
      </c>
      <c r="AQ203" s="15">
        <v>5369834</v>
      </c>
      <c r="AR203" s="15">
        <v>200</v>
      </c>
      <c r="AS203" s="18">
        <f t="shared" si="103"/>
        <v>4756339</v>
      </c>
      <c r="AT203" s="19">
        <v>0</v>
      </c>
      <c r="AU203" s="8">
        <v>8800</v>
      </c>
      <c r="AV203" s="13">
        <f t="shared" si="104"/>
        <v>2657600</v>
      </c>
      <c r="AW203" s="18">
        <f t="shared" si="105"/>
        <v>8955300</v>
      </c>
      <c r="AX203" s="15">
        <f t="shared" si="99"/>
        <v>8956000</v>
      </c>
      <c r="AY203" s="20">
        <v>0.06</v>
      </c>
      <c r="AZ203" s="13">
        <f t="shared" si="100"/>
        <v>537360</v>
      </c>
      <c r="BA203" s="15">
        <f t="shared" si="101"/>
        <v>537400</v>
      </c>
      <c r="BB203" s="21">
        <f t="shared" si="106"/>
        <v>5293739</v>
      </c>
      <c r="BC203" s="10">
        <f t="shared" si="107"/>
        <v>13.024667549846553</v>
      </c>
      <c r="BD203" s="10">
        <f t="shared" si="108"/>
        <v>13.129799587937821</v>
      </c>
      <c r="BE203" s="10">
        <v>62.62</v>
      </c>
      <c r="BF203" s="10">
        <v>28.06</v>
      </c>
      <c r="BG203" s="107">
        <v>46176</v>
      </c>
      <c r="BH203" s="107">
        <f t="shared" si="83"/>
        <v>46206</v>
      </c>
      <c r="BI203" s="23">
        <v>6</v>
      </c>
      <c r="BJ203" s="6"/>
      <c r="BK203" s="6"/>
      <c r="BL203" s="24">
        <f>VLOOKUP(A203,[2]Sheet1!$D$2:$H$933,5,0)</f>
        <v>0</v>
      </c>
      <c r="BM203" s="6" t="s">
        <v>3828</v>
      </c>
      <c r="BN203" s="6" t="s">
        <v>3829</v>
      </c>
      <c r="BO203" s="6" t="s">
        <v>3820</v>
      </c>
      <c r="BP203" s="6" t="s">
        <v>3821</v>
      </c>
      <c r="BQ203" s="6" t="s">
        <v>3830</v>
      </c>
      <c r="BR203" t="s">
        <v>3823</v>
      </c>
      <c r="BS203" t="s">
        <v>3824</v>
      </c>
      <c r="BT203" t="s">
        <v>3825</v>
      </c>
      <c r="BU203" t="s">
        <v>3826</v>
      </c>
      <c r="BV203" t="s">
        <v>3827</v>
      </c>
      <c r="BW203" t="s">
        <v>3835</v>
      </c>
      <c r="BX203">
        <v>0</v>
      </c>
      <c r="BY203" t="s">
        <v>3862</v>
      </c>
      <c r="BZ203" t="s">
        <v>3872</v>
      </c>
    </row>
    <row r="204" spans="1:78" x14ac:dyDescent="0.25">
      <c r="A204" s="7" t="s">
        <v>900</v>
      </c>
      <c r="B204" s="7" t="s">
        <v>181</v>
      </c>
      <c r="C204" s="7" t="s">
        <v>898</v>
      </c>
      <c r="D204" s="8" t="s">
        <v>899</v>
      </c>
      <c r="E204" s="7" t="s">
        <v>901</v>
      </c>
      <c r="F204" s="9">
        <v>45003</v>
      </c>
      <c r="G204" s="9" t="s">
        <v>65</v>
      </c>
      <c r="H204" s="9" t="s">
        <v>92</v>
      </c>
      <c r="I204" s="8" t="s">
        <v>78</v>
      </c>
      <c r="J204" s="10">
        <v>585.55999999999995</v>
      </c>
      <c r="K204" s="10">
        <v>585.55999999999995</v>
      </c>
      <c r="L204" s="10">
        <f t="shared" si="84"/>
        <v>0</v>
      </c>
      <c r="M204" s="10">
        <v>272.33</v>
      </c>
      <c r="N204" s="10">
        <v>272.33</v>
      </c>
      <c r="O204" s="10">
        <f t="shared" si="85"/>
        <v>0</v>
      </c>
      <c r="P204" s="11">
        <v>9000</v>
      </c>
      <c r="Q204" s="11">
        <v>19351.66893107627</v>
      </c>
      <c r="R204" s="11">
        <v>28000</v>
      </c>
      <c r="S204" s="11">
        <v>5270040</v>
      </c>
      <c r="T204" s="11">
        <v>632406</v>
      </c>
      <c r="U204" s="12">
        <f t="shared" si="86"/>
        <v>0.12000022770225653</v>
      </c>
      <c r="V204" s="13">
        <f t="shared" ref="V204:V211" si="109">L204*P204</f>
        <v>0</v>
      </c>
      <c r="W204" s="10">
        <f t="shared" si="87"/>
        <v>0</v>
      </c>
      <c r="X204" s="10"/>
      <c r="Y204" s="10"/>
      <c r="Z204" s="11">
        <f t="shared" si="88"/>
        <v>5270040</v>
      </c>
      <c r="AA204" s="14"/>
      <c r="AB204" s="14"/>
      <c r="AC204" s="11">
        <f t="shared" si="89"/>
        <v>5270040</v>
      </c>
      <c r="AD204" s="10">
        <f t="shared" si="90"/>
        <v>300</v>
      </c>
      <c r="AE204" s="15">
        <v>81699</v>
      </c>
      <c r="AF204" s="16">
        <v>14706</v>
      </c>
      <c r="AG204" s="15">
        <f t="shared" si="91"/>
        <v>0</v>
      </c>
      <c r="AH204" s="15">
        <f t="shared" si="92"/>
        <v>0</v>
      </c>
      <c r="AI204" s="15">
        <f t="shared" si="93"/>
        <v>81699</v>
      </c>
      <c r="AJ204" s="15">
        <f t="shared" si="94"/>
        <v>14706</v>
      </c>
      <c r="AK204" s="10">
        <v>81699</v>
      </c>
      <c r="AL204" s="15">
        <f t="shared" si="95"/>
        <v>81699</v>
      </c>
      <c r="AM204" s="15">
        <f t="shared" si="96"/>
        <v>5351739</v>
      </c>
      <c r="AN204" s="15">
        <f t="shared" si="97"/>
        <v>647112</v>
      </c>
      <c r="AO204" s="15">
        <f t="shared" si="102"/>
        <v>729018</v>
      </c>
      <c r="AP204" s="17">
        <f t="shared" si="98"/>
        <v>6080757</v>
      </c>
      <c r="AQ204" s="15">
        <v>4634300</v>
      </c>
      <c r="AR204" s="15">
        <v>207</v>
      </c>
      <c r="AS204" s="18">
        <f t="shared" si="103"/>
        <v>1446457</v>
      </c>
      <c r="AT204" s="19">
        <v>0</v>
      </c>
      <c r="AU204" s="8">
        <v>8800</v>
      </c>
      <c r="AV204" s="13">
        <f t="shared" si="104"/>
        <v>2396504</v>
      </c>
      <c r="AW204" s="18">
        <f t="shared" si="105"/>
        <v>5351739</v>
      </c>
      <c r="AX204" s="15">
        <f t="shared" si="99"/>
        <v>5352000</v>
      </c>
      <c r="AY204" s="20">
        <v>7.0000000000000007E-2</v>
      </c>
      <c r="AZ204" s="13">
        <f t="shared" si="100"/>
        <v>374640.00000000006</v>
      </c>
      <c r="BA204" s="15">
        <f t="shared" si="101"/>
        <v>374700</v>
      </c>
      <c r="BB204" s="21">
        <f t="shared" si="106"/>
        <v>1821157</v>
      </c>
      <c r="BC204" s="10">
        <f t="shared" si="107"/>
        <v>0</v>
      </c>
      <c r="BD204" s="10">
        <f t="shared" si="108"/>
        <v>0</v>
      </c>
      <c r="BE204" s="10">
        <v>54.4</v>
      </c>
      <c r="BF204" s="10">
        <v>25.3</v>
      </c>
      <c r="BG204" s="107">
        <v>46176</v>
      </c>
      <c r="BH204" s="107">
        <f t="shared" si="83"/>
        <v>46206</v>
      </c>
      <c r="BI204" s="23">
        <v>7</v>
      </c>
      <c r="BJ204" s="6"/>
      <c r="BK204" s="6"/>
      <c r="BL204" s="24">
        <f>VLOOKUP(A204,[2]Sheet1!$D$2:$H$933,5,0)</f>
        <v>0</v>
      </c>
      <c r="BM204" s="6" t="s">
        <v>3828</v>
      </c>
      <c r="BN204" s="6" t="s">
        <v>3829</v>
      </c>
      <c r="BO204" s="6" t="s">
        <v>3820</v>
      </c>
      <c r="BP204" s="6" t="s">
        <v>3821</v>
      </c>
      <c r="BQ204" s="6" t="s">
        <v>3830</v>
      </c>
      <c r="BR204" t="s">
        <v>3823</v>
      </c>
      <c r="BS204" t="s">
        <v>3824</v>
      </c>
      <c r="BT204" t="s">
        <v>3825</v>
      </c>
      <c r="BU204" t="s">
        <v>3826</v>
      </c>
      <c r="BV204" t="s">
        <v>3827</v>
      </c>
      <c r="BW204" t="s">
        <v>3835</v>
      </c>
      <c r="BX204">
        <v>0</v>
      </c>
      <c r="BY204" t="s">
        <v>3870</v>
      </c>
      <c r="BZ204" t="s">
        <v>3860</v>
      </c>
    </row>
    <row r="205" spans="1:78" x14ac:dyDescent="0.25">
      <c r="A205" s="7" t="s">
        <v>904</v>
      </c>
      <c r="B205" s="7" t="s">
        <v>181</v>
      </c>
      <c r="C205" s="7" t="s">
        <v>902</v>
      </c>
      <c r="D205" s="8" t="s">
        <v>903</v>
      </c>
      <c r="E205" s="7" t="s">
        <v>905</v>
      </c>
      <c r="F205" s="9">
        <v>44923</v>
      </c>
      <c r="G205" s="9" t="s">
        <v>527</v>
      </c>
      <c r="H205" s="9" t="s">
        <v>92</v>
      </c>
      <c r="I205" s="8" t="s">
        <v>67</v>
      </c>
      <c r="J205" s="10">
        <v>281.06</v>
      </c>
      <c r="K205" s="10">
        <v>281.06</v>
      </c>
      <c r="L205" s="10">
        <f t="shared" si="84"/>
        <v>0</v>
      </c>
      <c r="M205" s="10">
        <v>114.1</v>
      </c>
      <c r="N205" s="10">
        <v>114.1</v>
      </c>
      <c r="O205" s="10">
        <f t="shared" si="85"/>
        <v>0</v>
      </c>
      <c r="P205" s="11">
        <v>18630.000711591831</v>
      </c>
      <c r="Q205" s="11">
        <v>45890.86765994742</v>
      </c>
      <c r="R205" s="11">
        <v>28000</v>
      </c>
      <c r="S205" s="11">
        <v>5236148</v>
      </c>
      <c r="T205" s="11">
        <v>628338</v>
      </c>
      <c r="U205" s="12">
        <f t="shared" si="86"/>
        <v>0.12000004583522085</v>
      </c>
      <c r="V205" s="13">
        <f t="shared" si="109"/>
        <v>0</v>
      </c>
      <c r="W205" s="10">
        <f t="shared" si="87"/>
        <v>0</v>
      </c>
      <c r="X205" s="10"/>
      <c r="Y205" s="10"/>
      <c r="Z205" s="11">
        <f t="shared" si="88"/>
        <v>5236148</v>
      </c>
      <c r="AA205" s="14">
        <v>468344</v>
      </c>
      <c r="AB205" s="14">
        <v>56202</v>
      </c>
      <c r="AC205" s="11">
        <f t="shared" si="89"/>
        <v>4767804</v>
      </c>
      <c r="AD205" s="10">
        <f t="shared" si="90"/>
        <v>300</v>
      </c>
      <c r="AE205" s="15">
        <v>34230</v>
      </c>
      <c r="AF205" s="16">
        <v>6162</v>
      </c>
      <c r="AG205" s="15">
        <f t="shared" si="91"/>
        <v>0</v>
      </c>
      <c r="AH205" s="15">
        <f t="shared" si="92"/>
        <v>0</v>
      </c>
      <c r="AI205" s="15">
        <f t="shared" si="93"/>
        <v>34230</v>
      </c>
      <c r="AJ205" s="15">
        <f t="shared" si="94"/>
        <v>6162</v>
      </c>
      <c r="AK205" s="10">
        <v>34230</v>
      </c>
      <c r="AL205" s="15">
        <f t="shared" si="95"/>
        <v>34230</v>
      </c>
      <c r="AM205" s="15">
        <f t="shared" si="96"/>
        <v>4802034</v>
      </c>
      <c r="AN205" s="15">
        <f t="shared" si="97"/>
        <v>578298</v>
      </c>
      <c r="AO205" s="15">
        <f t="shared" si="102"/>
        <v>612738</v>
      </c>
      <c r="AP205" s="17">
        <f t="shared" si="98"/>
        <v>5414772</v>
      </c>
      <c r="AQ205" s="15">
        <v>4711049</v>
      </c>
      <c r="AR205" s="15">
        <v>210</v>
      </c>
      <c r="AS205" s="18">
        <f t="shared" si="103"/>
        <v>703723</v>
      </c>
      <c r="AT205" s="19">
        <v>0</v>
      </c>
      <c r="AU205" s="8">
        <v>8800</v>
      </c>
      <c r="AV205" s="13">
        <f t="shared" si="104"/>
        <v>1004080</v>
      </c>
      <c r="AW205" s="18">
        <f t="shared" si="105"/>
        <v>4802034</v>
      </c>
      <c r="AX205" s="15">
        <f t="shared" si="99"/>
        <v>4803000</v>
      </c>
      <c r="AY205" s="20">
        <v>0.06</v>
      </c>
      <c r="AZ205" s="13">
        <f t="shared" si="100"/>
        <v>288180</v>
      </c>
      <c r="BA205" s="15">
        <f t="shared" si="101"/>
        <v>288200</v>
      </c>
      <c r="BB205" s="21">
        <f t="shared" si="106"/>
        <v>991923</v>
      </c>
      <c r="BC205" s="10">
        <f t="shared" si="107"/>
        <v>0</v>
      </c>
      <c r="BD205" s="10">
        <f t="shared" si="108"/>
        <v>0</v>
      </c>
      <c r="BE205" s="10">
        <v>26.11</v>
      </c>
      <c r="BF205" s="10">
        <v>10.6</v>
      </c>
      <c r="BG205" s="107">
        <v>46176</v>
      </c>
      <c r="BH205" s="107">
        <f t="shared" si="83"/>
        <v>46206</v>
      </c>
      <c r="BI205" s="23">
        <v>6</v>
      </c>
      <c r="BJ205" s="6"/>
      <c r="BK205" s="6"/>
      <c r="BL205" s="24">
        <f>VLOOKUP(A205,[2]Sheet1!$D$2:$H$933,5,0)</f>
        <v>0</v>
      </c>
      <c r="BM205" s="6" t="s">
        <v>3828</v>
      </c>
      <c r="BN205" s="6" t="s">
        <v>3829</v>
      </c>
      <c r="BO205" s="6" t="s">
        <v>3820</v>
      </c>
      <c r="BP205" s="6" t="s">
        <v>3821</v>
      </c>
      <c r="BQ205" s="6" t="s">
        <v>3830</v>
      </c>
      <c r="BR205" t="s">
        <v>3823</v>
      </c>
      <c r="BS205" t="s">
        <v>3824</v>
      </c>
      <c r="BT205" t="s">
        <v>3825</v>
      </c>
      <c r="BU205" t="s">
        <v>3826</v>
      </c>
      <c r="BV205" t="s">
        <v>3827</v>
      </c>
      <c r="BW205" t="s">
        <v>3835</v>
      </c>
      <c r="BX205">
        <v>0</v>
      </c>
      <c r="BY205" t="s">
        <v>3859</v>
      </c>
      <c r="BZ205" t="s">
        <v>3871</v>
      </c>
    </row>
    <row r="206" spans="1:78" x14ac:dyDescent="0.25">
      <c r="A206" s="7" t="s">
        <v>912</v>
      </c>
      <c r="B206" s="7" t="s">
        <v>181</v>
      </c>
      <c r="C206" s="7" t="s">
        <v>910</v>
      </c>
      <c r="D206" s="8" t="s">
        <v>911</v>
      </c>
      <c r="E206" s="7" t="s">
        <v>913</v>
      </c>
      <c r="F206" s="9">
        <v>45002</v>
      </c>
      <c r="G206" s="9" t="s">
        <v>404</v>
      </c>
      <c r="H206" s="9" t="s">
        <v>66</v>
      </c>
      <c r="I206" s="8" t="s">
        <v>78</v>
      </c>
      <c r="J206" s="10">
        <v>677.06</v>
      </c>
      <c r="K206" s="10">
        <v>677.06</v>
      </c>
      <c r="L206" s="10">
        <f t="shared" si="84"/>
        <v>0</v>
      </c>
      <c r="M206" s="10">
        <v>315.39</v>
      </c>
      <c r="N206" s="10">
        <v>315.39</v>
      </c>
      <c r="O206" s="10">
        <f t="shared" si="85"/>
        <v>0</v>
      </c>
      <c r="P206" s="11">
        <v>11578.120107523706</v>
      </c>
      <c r="Q206" s="11">
        <v>24855.201496559817</v>
      </c>
      <c r="R206" s="11">
        <v>22000</v>
      </c>
      <c r="S206" s="11">
        <v>7839082</v>
      </c>
      <c r="T206" s="11">
        <v>940690</v>
      </c>
      <c r="U206" s="12">
        <f t="shared" si="86"/>
        <v>0.12000002041055317</v>
      </c>
      <c r="V206" s="13">
        <f t="shared" si="109"/>
        <v>0</v>
      </c>
      <c r="W206" s="10">
        <f t="shared" si="87"/>
        <v>0</v>
      </c>
      <c r="X206" s="10"/>
      <c r="Y206" s="10"/>
      <c r="Z206" s="11">
        <f t="shared" si="88"/>
        <v>7839082</v>
      </c>
      <c r="AA206" s="14">
        <v>422355</v>
      </c>
      <c r="AB206" s="14">
        <v>50682</v>
      </c>
      <c r="AC206" s="11">
        <f t="shared" si="89"/>
        <v>7416727</v>
      </c>
      <c r="AD206" s="10">
        <f t="shared" si="90"/>
        <v>300</v>
      </c>
      <c r="AE206" s="15">
        <v>94617</v>
      </c>
      <c r="AF206" s="16">
        <v>17032</v>
      </c>
      <c r="AG206" s="15">
        <f t="shared" si="91"/>
        <v>0</v>
      </c>
      <c r="AH206" s="15">
        <f t="shared" si="92"/>
        <v>0</v>
      </c>
      <c r="AI206" s="15">
        <f t="shared" si="93"/>
        <v>94617</v>
      </c>
      <c r="AJ206" s="15">
        <f t="shared" si="94"/>
        <v>17032</v>
      </c>
      <c r="AK206" s="10">
        <v>94617</v>
      </c>
      <c r="AL206" s="15">
        <f t="shared" si="95"/>
        <v>94617</v>
      </c>
      <c r="AM206" s="15">
        <f t="shared" si="96"/>
        <v>7511344</v>
      </c>
      <c r="AN206" s="15">
        <f t="shared" si="97"/>
        <v>907040</v>
      </c>
      <c r="AO206" s="15">
        <f t="shared" si="102"/>
        <v>1001657</v>
      </c>
      <c r="AP206" s="17">
        <f t="shared" si="98"/>
        <v>8513001</v>
      </c>
      <c r="AQ206" s="15">
        <v>5077223</v>
      </c>
      <c r="AR206" s="15">
        <v>0</v>
      </c>
      <c r="AS206" s="18">
        <f t="shared" si="103"/>
        <v>3435778</v>
      </c>
      <c r="AT206" s="19">
        <v>0</v>
      </c>
      <c r="AU206" s="8">
        <v>8800</v>
      </c>
      <c r="AV206" s="13">
        <f t="shared" si="104"/>
        <v>2775432</v>
      </c>
      <c r="AW206" s="18">
        <f t="shared" si="105"/>
        <v>7511344</v>
      </c>
      <c r="AX206" s="15">
        <f t="shared" si="99"/>
        <v>7512000</v>
      </c>
      <c r="AY206" s="20">
        <v>0.06</v>
      </c>
      <c r="AZ206" s="13">
        <f t="shared" si="100"/>
        <v>450720</v>
      </c>
      <c r="BA206" s="15">
        <f t="shared" si="101"/>
        <v>450800</v>
      </c>
      <c r="BB206" s="21">
        <f t="shared" si="106"/>
        <v>3886578</v>
      </c>
      <c r="BC206" s="10">
        <f t="shared" si="107"/>
        <v>0</v>
      </c>
      <c r="BD206" s="10">
        <f t="shared" si="108"/>
        <v>0</v>
      </c>
      <c r="BE206" s="10">
        <v>62.9</v>
      </c>
      <c r="BF206" s="10">
        <v>29.3</v>
      </c>
      <c r="BG206" s="107">
        <v>46176</v>
      </c>
      <c r="BH206" s="107">
        <f t="shared" si="83"/>
        <v>46206</v>
      </c>
      <c r="BI206" s="23">
        <v>6</v>
      </c>
      <c r="BJ206" s="6"/>
      <c r="BK206" s="6"/>
      <c r="BL206" s="24">
        <f>VLOOKUP(A206,[2]Sheet1!$D$2:$H$933,5,0)</f>
        <v>0</v>
      </c>
      <c r="BM206" s="6" t="s">
        <v>3828</v>
      </c>
      <c r="BN206" s="6" t="s">
        <v>3829</v>
      </c>
      <c r="BO206" s="6" t="s">
        <v>3820</v>
      </c>
      <c r="BP206" s="6" t="s">
        <v>3821</v>
      </c>
      <c r="BQ206" s="6" t="s">
        <v>3830</v>
      </c>
      <c r="BR206" t="s">
        <v>3823</v>
      </c>
      <c r="BS206" t="s">
        <v>3824</v>
      </c>
      <c r="BT206" t="s">
        <v>3825</v>
      </c>
      <c r="BU206" t="s">
        <v>3826</v>
      </c>
      <c r="BV206" t="s">
        <v>3827</v>
      </c>
      <c r="BW206" t="s">
        <v>3835</v>
      </c>
      <c r="BX206">
        <v>0</v>
      </c>
      <c r="BY206" t="s">
        <v>3869</v>
      </c>
      <c r="BZ206" t="s">
        <v>3863</v>
      </c>
    </row>
    <row r="207" spans="1:78" x14ac:dyDescent="0.25">
      <c r="A207" s="7" t="s">
        <v>916</v>
      </c>
      <c r="B207" s="7" t="s">
        <v>181</v>
      </c>
      <c r="C207" s="7" t="s">
        <v>914</v>
      </c>
      <c r="D207" s="8" t="s">
        <v>915</v>
      </c>
      <c r="E207" s="7" t="s">
        <v>917</v>
      </c>
      <c r="F207" s="9">
        <v>44908</v>
      </c>
      <c r="G207" s="9" t="s">
        <v>717</v>
      </c>
      <c r="H207" s="9" t="s">
        <v>92</v>
      </c>
      <c r="I207" s="8" t="s">
        <v>78</v>
      </c>
      <c r="J207" s="10">
        <v>406.88</v>
      </c>
      <c r="K207" s="10">
        <v>406.88</v>
      </c>
      <c r="L207" s="10">
        <f t="shared" si="84"/>
        <v>0</v>
      </c>
      <c r="M207" s="10">
        <v>175.45</v>
      </c>
      <c r="N207" s="10">
        <v>175.45</v>
      </c>
      <c r="O207" s="10">
        <f t="shared" si="85"/>
        <v>0</v>
      </c>
      <c r="P207" s="11">
        <v>12609.909555642942</v>
      </c>
      <c r="Q207" s="11">
        <v>29243.203191792534</v>
      </c>
      <c r="R207" s="11">
        <v>28000</v>
      </c>
      <c r="S207" s="11">
        <v>5130720</v>
      </c>
      <c r="T207" s="11">
        <v>615686</v>
      </c>
      <c r="U207" s="12">
        <f t="shared" si="86"/>
        <v>0.11999992203823245</v>
      </c>
      <c r="V207" s="13">
        <f t="shared" si="109"/>
        <v>0</v>
      </c>
      <c r="W207" s="10">
        <f t="shared" si="87"/>
        <v>0</v>
      </c>
      <c r="X207" s="10"/>
      <c r="Y207" s="10"/>
      <c r="Z207" s="11">
        <f t="shared" si="88"/>
        <v>5130720</v>
      </c>
      <c r="AA207" s="14"/>
      <c r="AB207" s="14"/>
      <c r="AC207" s="11">
        <f t="shared" si="89"/>
        <v>5130720</v>
      </c>
      <c r="AD207" s="10">
        <f t="shared" si="90"/>
        <v>300</v>
      </c>
      <c r="AE207" s="15">
        <v>52635</v>
      </c>
      <c r="AF207" s="16">
        <v>9474</v>
      </c>
      <c r="AG207" s="15">
        <f t="shared" si="91"/>
        <v>0</v>
      </c>
      <c r="AH207" s="15">
        <f t="shared" si="92"/>
        <v>0</v>
      </c>
      <c r="AI207" s="15">
        <f t="shared" si="93"/>
        <v>52635</v>
      </c>
      <c r="AJ207" s="15">
        <f t="shared" si="94"/>
        <v>9475</v>
      </c>
      <c r="AK207" s="10">
        <v>52635</v>
      </c>
      <c r="AL207" s="15">
        <f t="shared" si="95"/>
        <v>52635</v>
      </c>
      <c r="AM207" s="15">
        <f t="shared" si="96"/>
        <v>5183355</v>
      </c>
      <c r="AN207" s="15">
        <f t="shared" si="97"/>
        <v>625161</v>
      </c>
      <c r="AO207" s="15">
        <f t="shared" si="102"/>
        <v>678025</v>
      </c>
      <c r="AP207" s="17">
        <f t="shared" si="98"/>
        <v>5861380</v>
      </c>
      <c r="AQ207" s="15">
        <v>5125590</v>
      </c>
      <c r="AR207" s="15">
        <v>229</v>
      </c>
      <c r="AS207" s="18">
        <f t="shared" si="103"/>
        <v>735790</v>
      </c>
      <c r="AT207" s="19">
        <v>0</v>
      </c>
      <c r="AU207" s="8">
        <v>8800</v>
      </c>
      <c r="AV207" s="13">
        <f t="shared" si="104"/>
        <v>1543960</v>
      </c>
      <c r="AW207" s="18">
        <f t="shared" si="105"/>
        <v>5183355</v>
      </c>
      <c r="AX207" s="15">
        <f t="shared" si="99"/>
        <v>5184000</v>
      </c>
      <c r="AY207" s="20">
        <v>0.06</v>
      </c>
      <c r="AZ207" s="13">
        <f t="shared" si="100"/>
        <v>311040</v>
      </c>
      <c r="BA207" s="15">
        <f t="shared" si="101"/>
        <v>311100</v>
      </c>
      <c r="BB207" s="21">
        <f t="shared" si="106"/>
        <v>1046890</v>
      </c>
      <c r="BC207" s="10">
        <f t="shared" si="107"/>
        <v>0</v>
      </c>
      <c r="BD207" s="10">
        <f t="shared" si="108"/>
        <v>0</v>
      </c>
      <c r="BE207" s="10">
        <v>37.799999999999997</v>
      </c>
      <c r="BF207" s="10">
        <v>16.3</v>
      </c>
      <c r="BG207" s="107">
        <v>46176</v>
      </c>
      <c r="BH207" s="107">
        <f t="shared" si="83"/>
        <v>46206</v>
      </c>
      <c r="BI207" s="23">
        <v>6</v>
      </c>
      <c r="BJ207" s="6"/>
      <c r="BK207" s="6"/>
      <c r="BL207" s="24">
        <f>VLOOKUP(A207,[2]Sheet1!$D$2:$H$933,5,0)</f>
        <v>0</v>
      </c>
      <c r="BM207" s="6" t="s">
        <v>3828</v>
      </c>
      <c r="BN207" s="6" t="s">
        <v>3829</v>
      </c>
      <c r="BO207" s="6" t="s">
        <v>3820</v>
      </c>
      <c r="BP207" s="6" t="s">
        <v>3821</v>
      </c>
      <c r="BQ207" s="6" t="s">
        <v>3830</v>
      </c>
      <c r="BR207" t="s">
        <v>3823</v>
      </c>
      <c r="BS207" t="s">
        <v>3824</v>
      </c>
      <c r="BT207" t="s">
        <v>3825</v>
      </c>
      <c r="BU207" t="s">
        <v>3826</v>
      </c>
      <c r="BV207" t="s">
        <v>3827</v>
      </c>
      <c r="BW207" t="s">
        <v>3835</v>
      </c>
      <c r="BX207">
        <v>0</v>
      </c>
      <c r="BY207" t="s">
        <v>3865</v>
      </c>
      <c r="BZ207" t="s">
        <v>3872</v>
      </c>
    </row>
    <row r="208" spans="1:78" x14ac:dyDescent="0.25">
      <c r="A208" s="7" t="s">
        <v>920</v>
      </c>
      <c r="B208" s="7" t="s">
        <v>181</v>
      </c>
      <c r="C208" s="7" t="s">
        <v>918</v>
      </c>
      <c r="D208" s="8" t="s">
        <v>919</v>
      </c>
      <c r="E208" s="7" t="s">
        <v>921</v>
      </c>
      <c r="F208" s="9">
        <v>44928</v>
      </c>
      <c r="G208" s="9" t="s">
        <v>65</v>
      </c>
      <c r="H208" s="9" t="s">
        <v>72</v>
      </c>
      <c r="I208" s="8" t="s">
        <v>78</v>
      </c>
      <c r="J208" s="10">
        <v>700.52</v>
      </c>
      <c r="K208" s="10">
        <v>700.52</v>
      </c>
      <c r="L208" s="10">
        <f t="shared" si="84"/>
        <v>0</v>
      </c>
      <c r="M208" s="10">
        <v>322.92</v>
      </c>
      <c r="N208" s="10">
        <v>322.92</v>
      </c>
      <c r="O208" s="10">
        <f t="shared" si="85"/>
        <v>0</v>
      </c>
      <c r="P208" s="11">
        <v>6223.4168903100554</v>
      </c>
      <c r="Q208" s="11">
        <v>13500.644122383252</v>
      </c>
      <c r="R208" s="11">
        <v>20000</v>
      </c>
      <c r="S208" s="11">
        <v>4359628</v>
      </c>
      <c r="T208" s="11">
        <v>523156</v>
      </c>
      <c r="U208" s="12">
        <f t="shared" si="86"/>
        <v>0.12000014680151609</v>
      </c>
      <c r="V208" s="13">
        <f t="shared" si="109"/>
        <v>0</v>
      </c>
      <c r="W208" s="10">
        <f t="shared" si="87"/>
        <v>0</v>
      </c>
      <c r="X208" s="10"/>
      <c r="Y208" s="10"/>
      <c r="Z208" s="11">
        <f t="shared" si="88"/>
        <v>4359628</v>
      </c>
      <c r="AA208" s="14"/>
      <c r="AB208" s="14"/>
      <c r="AC208" s="11">
        <f t="shared" si="89"/>
        <v>4359628</v>
      </c>
      <c r="AD208" s="10">
        <f t="shared" si="90"/>
        <v>300</v>
      </c>
      <c r="AE208" s="15">
        <v>96876</v>
      </c>
      <c r="AF208" s="16">
        <v>17438</v>
      </c>
      <c r="AG208" s="15">
        <f t="shared" si="91"/>
        <v>0</v>
      </c>
      <c r="AH208" s="15">
        <f t="shared" si="92"/>
        <v>0</v>
      </c>
      <c r="AI208" s="15">
        <f t="shared" si="93"/>
        <v>96876</v>
      </c>
      <c r="AJ208" s="15">
        <f t="shared" si="94"/>
        <v>17438</v>
      </c>
      <c r="AK208" s="10">
        <v>96876</v>
      </c>
      <c r="AL208" s="15">
        <f t="shared" si="95"/>
        <v>96876</v>
      </c>
      <c r="AM208" s="15">
        <f t="shared" si="96"/>
        <v>4456504</v>
      </c>
      <c r="AN208" s="15">
        <f t="shared" si="97"/>
        <v>540594</v>
      </c>
      <c r="AO208" s="15">
        <f t="shared" si="102"/>
        <v>637625</v>
      </c>
      <c r="AP208" s="17">
        <f t="shared" si="98"/>
        <v>5094129</v>
      </c>
      <c r="AQ208" s="15">
        <v>4645808</v>
      </c>
      <c r="AR208" s="15">
        <v>155</v>
      </c>
      <c r="AS208" s="18">
        <f t="shared" si="103"/>
        <v>448321</v>
      </c>
      <c r="AT208" s="19">
        <v>0</v>
      </c>
      <c r="AU208" s="8">
        <v>8800</v>
      </c>
      <c r="AV208" s="13">
        <f t="shared" si="104"/>
        <v>2841696</v>
      </c>
      <c r="AW208" s="18">
        <f t="shared" si="105"/>
        <v>4456504</v>
      </c>
      <c r="AX208" s="15">
        <f t="shared" si="99"/>
        <v>4457000</v>
      </c>
      <c r="AY208" s="20">
        <v>0.05</v>
      </c>
      <c r="AZ208" s="13">
        <f t="shared" si="100"/>
        <v>222850</v>
      </c>
      <c r="BA208" s="15">
        <f t="shared" si="101"/>
        <v>222900</v>
      </c>
      <c r="BB208" s="21">
        <f t="shared" si="106"/>
        <v>671221</v>
      </c>
      <c r="BC208" s="10">
        <f t="shared" si="107"/>
        <v>0</v>
      </c>
      <c r="BD208" s="10">
        <f t="shared" si="108"/>
        <v>0</v>
      </c>
      <c r="BE208" s="10">
        <v>65.08</v>
      </c>
      <c r="BF208" s="10">
        <v>30</v>
      </c>
      <c r="BG208" s="107">
        <v>46176</v>
      </c>
      <c r="BH208" s="107">
        <f t="shared" si="83"/>
        <v>46206</v>
      </c>
      <c r="BI208" s="23">
        <v>5</v>
      </c>
      <c r="BJ208" s="6"/>
      <c r="BK208" s="6"/>
      <c r="BL208" s="24">
        <f>VLOOKUP(A208,[2]Sheet1!$D$2:$H$933,5,0)</f>
        <v>0</v>
      </c>
      <c r="BM208" s="6" t="s">
        <v>3828</v>
      </c>
      <c r="BN208" s="6" t="s">
        <v>3829</v>
      </c>
      <c r="BO208" s="6" t="s">
        <v>3820</v>
      </c>
      <c r="BP208" s="6" t="s">
        <v>3821</v>
      </c>
      <c r="BQ208" s="6" t="s">
        <v>3830</v>
      </c>
      <c r="BR208" t="s">
        <v>3823</v>
      </c>
      <c r="BS208" t="s">
        <v>3824</v>
      </c>
      <c r="BT208" t="s">
        <v>3825</v>
      </c>
      <c r="BU208" t="s">
        <v>3826</v>
      </c>
      <c r="BV208" t="s">
        <v>3827</v>
      </c>
      <c r="BW208" t="s">
        <v>3835</v>
      </c>
      <c r="BX208">
        <v>0</v>
      </c>
      <c r="BY208" t="s">
        <v>3870</v>
      </c>
      <c r="BZ208" t="s">
        <v>3860</v>
      </c>
    </row>
    <row r="209" spans="1:78" x14ac:dyDescent="0.25">
      <c r="A209" s="7" t="s">
        <v>924</v>
      </c>
      <c r="B209" s="7" t="s">
        <v>181</v>
      </c>
      <c r="C209" s="7" t="s">
        <v>922</v>
      </c>
      <c r="D209" s="8" t="s">
        <v>923</v>
      </c>
      <c r="E209" s="7" t="s">
        <v>925</v>
      </c>
      <c r="F209" s="9">
        <v>44864</v>
      </c>
      <c r="G209" s="9" t="s">
        <v>717</v>
      </c>
      <c r="H209" s="9" t="s">
        <v>66</v>
      </c>
      <c r="I209" s="8" t="s">
        <v>78</v>
      </c>
      <c r="J209" s="10">
        <v>348.75</v>
      </c>
      <c r="K209" s="10">
        <v>348.75</v>
      </c>
      <c r="L209" s="10">
        <f t="shared" si="84"/>
        <v>0</v>
      </c>
      <c r="M209" s="10">
        <v>142.72999999999999</v>
      </c>
      <c r="N209" s="10">
        <v>142.72999999999999</v>
      </c>
      <c r="O209" s="10">
        <f t="shared" si="85"/>
        <v>0</v>
      </c>
      <c r="P209" s="11">
        <v>18462.500358422938</v>
      </c>
      <c r="Q209" s="11">
        <v>45111.7284383101</v>
      </c>
      <c r="R209" s="11">
        <v>22000</v>
      </c>
      <c r="S209" s="11">
        <v>6438797</v>
      </c>
      <c r="T209" s="11">
        <v>772656</v>
      </c>
      <c r="U209" s="12">
        <f t="shared" si="86"/>
        <v>0.12000005591106537</v>
      </c>
      <c r="V209" s="13">
        <f t="shared" si="109"/>
        <v>0</v>
      </c>
      <c r="W209" s="10">
        <f t="shared" si="87"/>
        <v>0</v>
      </c>
      <c r="X209" s="10"/>
      <c r="Y209" s="10"/>
      <c r="Z209" s="11">
        <f t="shared" si="88"/>
        <v>6438797</v>
      </c>
      <c r="AA209" s="14">
        <v>806383</v>
      </c>
      <c r="AB209" s="14">
        <v>96766</v>
      </c>
      <c r="AC209" s="11">
        <f t="shared" si="89"/>
        <v>5632414</v>
      </c>
      <c r="AD209" s="10">
        <f t="shared" si="90"/>
        <v>300</v>
      </c>
      <c r="AE209" s="15">
        <v>42819</v>
      </c>
      <c r="AF209" s="16">
        <v>7708</v>
      </c>
      <c r="AG209" s="15">
        <f t="shared" si="91"/>
        <v>0</v>
      </c>
      <c r="AH209" s="15">
        <f t="shared" si="92"/>
        <v>0</v>
      </c>
      <c r="AI209" s="15">
        <f t="shared" si="93"/>
        <v>42819</v>
      </c>
      <c r="AJ209" s="15">
        <f t="shared" si="94"/>
        <v>7708</v>
      </c>
      <c r="AK209" s="10">
        <v>42819</v>
      </c>
      <c r="AL209" s="15">
        <f t="shared" si="95"/>
        <v>42819</v>
      </c>
      <c r="AM209" s="15">
        <f t="shared" si="96"/>
        <v>5675233</v>
      </c>
      <c r="AN209" s="15">
        <f t="shared" si="97"/>
        <v>683598</v>
      </c>
      <c r="AO209" s="15">
        <f t="shared" si="102"/>
        <v>726573</v>
      </c>
      <c r="AP209" s="17">
        <f t="shared" si="98"/>
        <v>6401806</v>
      </c>
      <c r="AQ209" s="15">
        <v>5484359</v>
      </c>
      <c r="AR209" s="15">
        <v>156</v>
      </c>
      <c r="AS209" s="18">
        <f t="shared" si="103"/>
        <v>917447</v>
      </c>
      <c r="AT209" s="19">
        <v>0</v>
      </c>
      <c r="AU209" s="8">
        <v>8800</v>
      </c>
      <c r="AV209" s="13">
        <f t="shared" si="104"/>
        <v>1256024</v>
      </c>
      <c r="AW209" s="18">
        <f t="shared" si="105"/>
        <v>5675233</v>
      </c>
      <c r="AX209" s="15">
        <f t="shared" si="99"/>
        <v>5676000</v>
      </c>
      <c r="AY209" s="20">
        <v>0.05</v>
      </c>
      <c r="AZ209" s="13">
        <f t="shared" si="100"/>
        <v>283800</v>
      </c>
      <c r="BA209" s="15">
        <f t="shared" si="101"/>
        <v>283800</v>
      </c>
      <c r="BB209" s="21">
        <f t="shared" si="106"/>
        <v>1201247</v>
      </c>
      <c r="BC209" s="10">
        <f t="shared" si="107"/>
        <v>0</v>
      </c>
      <c r="BD209" s="10">
        <f t="shared" si="108"/>
        <v>0</v>
      </c>
      <c r="BE209" s="10">
        <v>32.4</v>
      </c>
      <c r="BF209" s="10">
        <v>13.26</v>
      </c>
      <c r="BG209" s="107">
        <v>46176</v>
      </c>
      <c r="BH209" s="107">
        <f t="shared" si="83"/>
        <v>46206</v>
      </c>
      <c r="BI209" s="23">
        <v>5</v>
      </c>
      <c r="BJ209" s="6"/>
      <c r="BK209" s="24"/>
      <c r="BL209" s="24">
        <f>VLOOKUP(A209,[2]Sheet1!$D$2:$H$933,5,0)</f>
        <v>0</v>
      </c>
      <c r="BM209" s="6" t="s">
        <v>3828</v>
      </c>
      <c r="BN209" s="6" t="s">
        <v>3829</v>
      </c>
      <c r="BO209" s="6" t="s">
        <v>3820</v>
      </c>
      <c r="BP209" s="6" t="s">
        <v>3821</v>
      </c>
      <c r="BQ209" s="6" t="s">
        <v>3830</v>
      </c>
      <c r="BR209" t="s">
        <v>3823</v>
      </c>
      <c r="BS209" t="s">
        <v>3824</v>
      </c>
      <c r="BT209" t="s">
        <v>3825</v>
      </c>
      <c r="BU209" t="s">
        <v>3826</v>
      </c>
      <c r="BV209" t="s">
        <v>3827</v>
      </c>
      <c r="BW209" t="s">
        <v>3835</v>
      </c>
      <c r="BX209">
        <v>0</v>
      </c>
      <c r="BY209" t="s">
        <v>3867</v>
      </c>
      <c r="BZ209" t="s">
        <v>3872</v>
      </c>
    </row>
    <row r="210" spans="1:78" x14ac:dyDescent="0.25">
      <c r="A210" s="7" t="s">
        <v>928</v>
      </c>
      <c r="B210" s="7" t="s">
        <v>181</v>
      </c>
      <c r="C210" s="7" t="s">
        <v>926</v>
      </c>
      <c r="D210" s="8" t="s">
        <v>927</v>
      </c>
      <c r="E210" s="7" t="s">
        <v>929</v>
      </c>
      <c r="F210" s="9">
        <v>45016</v>
      </c>
      <c r="G210" s="9" t="s">
        <v>717</v>
      </c>
      <c r="H210" s="9" t="s">
        <v>72</v>
      </c>
      <c r="I210" s="8" t="s">
        <v>78</v>
      </c>
      <c r="J210" s="10">
        <v>775.01</v>
      </c>
      <c r="K210" s="10">
        <v>775.01</v>
      </c>
      <c r="L210" s="10">
        <f t="shared" si="84"/>
        <v>0</v>
      </c>
      <c r="M210" s="10">
        <v>353.6</v>
      </c>
      <c r="N210" s="10">
        <v>353.6</v>
      </c>
      <c r="O210" s="10">
        <f t="shared" si="85"/>
        <v>0</v>
      </c>
      <c r="P210" s="11">
        <v>8223.9996903265765</v>
      </c>
      <c r="Q210" s="11">
        <v>18025.118778280543</v>
      </c>
      <c r="R210" s="11">
        <v>20000</v>
      </c>
      <c r="S210" s="11">
        <v>6373682</v>
      </c>
      <c r="T210" s="11">
        <v>764842</v>
      </c>
      <c r="U210" s="12">
        <f t="shared" si="86"/>
        <v>0.12000002510322919</v>
      </c>
      <c r="V210" s="13">
        <f t="shared" si="109"/>
        <v>0</v>
      </c>
      <c r="W210" s="10">
        <f t="shared" si="87"/>
        <v>0</v>
      </c>
      <c r="X210" s="10"/>
      <c r="Y210" s="10"/>
      <c r="Z210" s="11">
        <f t="shared" si="88"/>
        <v>6373682</v>
      </c>
      <c r="AA210" s="14">
        <v>389032</v>
      </c>
      <c r="AB210" s="14">
        <v>46684</v>
      </c>
      <c r="AC210" s="11">
        <f t="shared" si="89"/>
        <v>5984650</v>
      </c>
      <c r="AD210" s="10">
        <f t="shared" si="90"/>
        <v>300</v>
      </c>
      <c r="AE210" s="15">
        <v>106080</v>
      </c>
      <c r="AF210" s="16">
        <v>19094</v>
      </c>
      <c r="AG210" s="15">
        <f t="shared" si="91"/>
        <v>0</v>
      </c>
      <c r="AH210" s="15">
        <f t="shared" si="92"/>
        <v>0</v>
      </c>
      <c r="AI210" s="15">
        <f t="shared" si="93"/>
        <v>106080</v>
      </c>
      <c r="AJ210" s="15">
        <f t="shared" si="94"/>
        <v>19095</v>
      </c>
      <c r="AK210" s="10">
        <v>106080</v>
      </c>
      <c r="AL210" s="15">
        <f t="shared" si="95"/>
        <v>106080</v>
      </c>
      <c r="AM210" s="15">
        <f t="shared" si="96"/>
        <v>6090730</v>
      </c>
      <c r="AN210" s="15">
        <f t="shared" si="97"/>
        <v>737253</v>
      </c>
      <c r="AO210" s="15">
        <f t="shared" si="102"/>
        <v>843569</v>
      </c>
      <c r="AP210" s="17">
        <f t="shared" si="98"/>
        <v>6934299</v>
      </c>
      <c r="AQ210" s="15">
        <v>5941345.6399999997</v>
      </c>
      <c r="AR210" s="15">
        <v>236</v>
      </c>
      <c r="AS210" s="18">
        <f t="shared" si="103"/>
        <v>992953</v>
      </c>
      <c r="AT210" s="19">
        <v>0</v>
      </c>
      <c r="AU210" s="8">
        <v>8800</v>
      </c>
      <c r="AV210" s="13">
        <f t="shared" si="104"/>
        <v>3111680</v>
      </c>
      <c r="AW210" s="18">
        <f t="shared" si="105"/>
        <v>6090730</v>
      </c>
      <c r="AX210" s="15">
        <f t="shared" si="99"/>
        <v>6091000</v>
      </c>
      <c r="AY210" s="20">
        <v>7.0000000000000007E-2</v>
      </c>
      <c r="AZ210" s="13">
        <f t="shared" si="100"/>
        <v>426370.00000000006</v>
      </c>
      <c r="BA210" s="15">
        <f t="shared" si="101"/>
        <v>426400</v>
      </c>
      <c r="BB210" s="21">
        <f t="shared" si="106"/>
        <v>1419353</v>
      </c>
      <c r="BC210" s="10">
        <f t="shared" si="107"/>
        <v>0</v>
      </c>
      <c r="BD210" s="10">
        <f t="shared" si="108"/>
        <v>0</v>
      </c>
      <c r="BE210" s="10">
        <v>72</v>
      </c>
      <c r="BF210" s="10">
        <v>32.85</v>
      </c>
      <c r="BG210" s="107">
        <v>46176</v>
      </c>
      <c r="BH210" s="107">
        <f t="shared" si="83"/>
        <v>46206</v>
      </c>
      <c r="BI210" s="23">
        <v>7</v>
      </c>
      <c r="BJ210" s="6"/>
      <c r="BK210" s="6"/>
      <c r="BL210" s="24">
        <f>VLOOKUP(A210,[2]Sheet1!$D$2:$H$933,5,0)</f>
        <v>0</v>
      </c>
      <c r="BM210" s="6" t="s">
        <v>3828</v>
      </c>
      <c r="BN210" s="6" t="s">
        <v>3829</v>
      </c>
      <c r="BO210" s="6" t="s">
        <v>3820</v>
      </c>
      <c r="BP210" s="6" t="s">
        <v>3821</v>
      </c>
      <c r="BQ210" s="6" t="s">
        <v>3830</v>
      </c>
      <c r="BR210" t="s">
        <v>3823</v>
      </c>
      <c r="BS210" t="s">
        <v>3824</v>
      </c>
      <c r="BT210" t="s">
        <v>3825</v>
      </c>
      <c r="BU210" t="s">
        <v>3826</v>
      </c>
      <c r="BV210" t="s">
        <v>3827</v>
      </c>
      <c r="BW210" t="s">
        <v>3835</v>
      </c>
      <c r="BX210">
        <v>0</v>
      </c>
      <c r="BY210" t="s">
        <v>3866</v>
      </c>
      <c r="BZ210" t="s">
        <v>3872</v>
      </c>
    </row>
    <row r="211" spans="1:78" x14ac:dyDescent="0.25">
      <c r="A211" s="7" t="s">
        <v>932</v>
      </c>
      <c r="B211" s="7" t="s">
        <v>181</v>
      </c>
      <c r="C211" s="7" t="s">
        <v>930</v>
      </c>
      <c r="D211" s="8" t="s">
        <v>931</v>
      </c>
      <c r="E211" s="7" t="s">
        <v>933</v>
      </c>
      <c r="F211" s="9">
        <v>44995</v>
      </c>
      <c r="G211" s="9" t="s">
        <v>717</v>
      </c>
      <c r="H211" s="9" t="s">
        <v>87</v>
      </c>
      <c r="I211" s="8" t="s">
        <v>78</v>
      </c>
      <c r="J211" s="10">
        <v>663.06</v>
      </c>
      <c r="K211" s="10">
        <v>663.06</v>
      </c>
      <c r="L211" s="10">
        <f t="shared" si="84"/>
        <v>0</v>
      </c>
      <c r="M211" s="10">
        <v>298.16000000000003</v>
      </c>
      <c r="N211" s="10">
        <v>298.16000000000003</v>
      </c>
      <c r="O211" s="10">
        <f t="shared" si="85"/>
        <v>0</v>
      </c>
      <c r="P211" s="11">
        <v>18200</v>
      </c>
      <c r="Q211" s="11">
        <v>40473.879796082634</v>
      </c>
      <c r="R211" s="11">
        <v>40000</v>
      </c>
      <c r="S211" s="11">
        <v>12067692</v>
      </c>
      <c r="T211" s="11">
        <v>1448124</v>
      </c>
      <c r="U211" s="12">
        <f t="shared" si="86"/>
        <v>0.12000007955125139</v>
      </c>
      <c r="V211" s="13">
        <f t="shared" si="109"/>
        <v>0</v>
      </c>
      <c r="W211" s="10">
        <f t="shared" si="87"/>
        <v>0</v>
      </c>
      <c r="X211" s="10"/>
      <c r="Y211" s="10"/>
      <c r="Z211" s="11">
        <f t="shared" si="88"/>
        <v>12067692</v>
      </c>
      <c r="AA211" s="14"/>
      <c r="AB211" s="14"/>
      <c r="AC211" s="11">
        <f t="shared" si="89"/>
        <v>12067692</v>
      </c>
      <c r="AD211" s="10">
        <f t="shared" si="90"/>
        <v>300</v>
      </c>
      <c r="AE211" s="15">
        <v>89448</v>
      </c>
      <c r="AF211" s="16">
        <v>16100</v>
      </c>
      <c r="AG211" s="15">
        <f t="shared" si="91"/>
        <v>0</v>
      </c>
      <c r="AH211" s="15">
        <f t="shared" si="92"/>
        <v>0</v>
      </c>
      <c r="AI211" s="15">
        <f t="shared" si="93"/>
        <v>89448.000000000015</v>
      </c>
      <c r="AJ211" s="15">
        <f t="shared" si="94"/>
        <v>16101</v>
      </c>
      <c r="AK211" s="10">
        <v>89448</v>
      </c>
      <c r="AL211" s="15">
        <f t="shared" si="95"/>
        <v>89448.000000000015</v>
      </c>
      <c r="AM211" s="15">
        <f t="shared" si="96"/>
        <v>12157140</v>
      </c>
      <c r="AN211" s="15">
        <f t="shared" si="97"/>
        <v>1464225</v>
      </c>
      <c r="AO211" s="15">
        <f t="shared" si="102"/>
        <v>1553912</v>
      </c>
      <c r="AP211" s="17">
        <f t="shared" si="98"/>
        <v>13711052</v>
      </c>
      <c r="AQ211" s="15">
        <v>12115987</v>
      </c>
      <c r="AR211" s="15">
        <v>239</v>
      </c>
      <c r="AS211" s="18">
        <f t="shared" si="103"/>
        <v>1595065</v>
      </c>
      <c r="AT211" s="19">
        <v>12161182</v>
      </c>
      <c r="AU211" s="8">
        <v>8800</v>
      </c>
      <c r="AV211" s="13">
        <f t="shared" si="104"/>
        <v>2623808</v>
      </c>
      <c r="AW211" s="18">
        <f t="shared" si="105"/>
        <v>12161182</v>
      </c>
      <c r="AX211" s="15">
        <f t="shared" si="99"/>
        <v>12162000</v>
      </c>
      <c r="AY211" s="20">
        <v>0.05</v>
      </c>
      <c r="AZ211" s="13">
        <f t="shared" si="100"/>
        <v>608100</v>
      </c>
      <c r="BA211" s="15">
        <f t="shared" si="101"/>
        <v>608100</v>
      </c>
      <c r="BB211" s="21">
        <f t="shared" si="106"/>
        <v>2203165</v>
      </c>
      <c r="BC211" s="10">
        <f t="shared" si="107"/>
        <v>0</v>
      </c>
      <c r="BD211" s="10">
        <f t="shared" si="108"/>
        <v>0</v>
      </c>
      <c r="BE211" s="10">
        <v>61.6</v>
      </c>
      <c r="BF211" s="10">
        <v>27.7</v>
      </c>
      <c r="BG211" s="107">
        <v>46176</v>
      </c>
      <c r="BH211" s="107">
        <f t="shared" si="83"/>
        <v>46206</v>
      </c>
      <c r="BI211" s="23">
        <v>5</v>
      </c>
      <c r="BJ211" s="6"/>
      <c r="BK211" s="6"/>
      <c r="BL211" s="24">
        <f>VLOOKUP(A211,[2]Sheet1!$D$2:$H$933,5,0)</f>
        <v>0</v>
      </c>
      <c r="BM211" s="6" t="s">
        <v>3828</v>
      </c>
      <c r="BN211" s="6" t="s">
        <v>3829</v>
      </c>
      <c r="BO211" s="6" t="s">
        <v>3820</v>
      </c>
      <c r="BP211" s="6" t="s">
        <v>3821</v>
      </c>
      <c r="BQ211" s="6" t="s">
        <v>3830</v>
      </c>
      <c r="BR211" t="s">
        <v>3823</v>
      </c>
      <c r="BS211" t="s">
        <v>3824</v>
      </c>
      <c r="BT211" t="s">
        <v>3825</v>
      </c>
      <c r="BU211" t="s">
        <v>3826</v>
      </c>
      <c r="BV211" t="s">
        <v>3827</v>
      </c>
      <c r="BW211" t="s">
        <v>3835</v>
      </c>
      <c r="BX211">
        <v>0</v>
      </c>
      <c r="BY211" t="s">
        <v>3861</v>
      </c>
      <c r="BZ211" t="s">
        <v>3872</v>
      </c>
    </row>
    <row r="212" spans="1:78" x14ac:dyDescent="0.25">
      <c r="A212" s="7" t="s">
        <v>936</v>
      </c>
      <c r="B212" s="7" t="s">
        <v>181</v>
      </c>
      <c r="C212" s="7" t="s">
        <v>934</v>
      </c>
      <c r="D212" s="8" t="s">
        <v>935</v>
      </c>
      <c r="E212" s="7" t="s">
        <v>937</v>
      </c>
      <c r="F212" s="9">
        <v>44872</v>
      </c>
      <c r="G212" s="9" t="s">
        <v>717</v>
      </c>
      <c r="H212" s="9" t="s">
        <v>87</v>
      </c>
      <c r="I212" s="8" t="s">
        <v>78</v>
      </c>
      <c r="J212" s="10">
        <v>663.06</v>
      </c>
      <c r="K212" s="10">
        <v>688</v>
      </c>
      <c r="L212" s="10">
        <f t="shared" si="84"/>
        <v>24.940000000000055</v>
      </c>
      <c r="M212" s="10">
        <v>298.16000000000003</v>
      </c>
      <c r="N212" s="10">
        <v>310</v>
      </c>
      <c r="O212" s="10">
        <f t="shared" si="85"/>
        <v>11.839999999999975</v>
      </c>
      <c r="P212" s="11">
        <v>22351.999819020904</v>
      </c>
      <c r="Q212" s="11">
        <v>49707.261202039168</v>
      </c>
      <c r="R212" s="11">
        <v>40000</v>
      </c>
      <c r="S212" s="11">
        <v>14820717</v>
      </c>
      <c r="T212" s="11">
        <v>1778486</v>
      </c>
      <c r="U212" s="12">
        <f t="shared" si="86"/>
        <v>0.11999999730107525</v>
      </c>
      <c r="V212" s="13">
        <f>L212*R212</f>
        <v>997600.00000000221</v>
      </c>
      <c r="W212" s="10">
        <f t="shared" si="87"/>
        <v>119711.99730755293</v>
      </c>
      <c r="X212" s="15"/>
      <c r="Y212" s="15"/>
      <c r="Z212" s="11">
        <f t="shared" si="88"/>
        <v>15818317.000000002</v>
      </c>
      <c r="AA212" s="14">
        <v>1659238</v>
      </c>
      <c r="AB212" s="14">
        <v>199108</v>
      </c>
      <c r="AC212" s="11">
        <f t="shared" si="89"/>
        <v>14159079.000000002</v>
      </c>
      <c r="AD212" s="10">
        <f t="shared" si="90"/>
        <v>300</v>
      </c>
      <c r="AE212" s="15">
        <v>89448</v>
      </c>
      <c r="AF212" s="16">
        <v>16100</v>
      </c>
      <c r="AG212" s="15">
        <f t="shared" si="91"/>
        <v>3551.9999999999927</v>
      </c>
      <c r="AH212" s="15">
        <f t="shared" si="92"/>
        <v>639.35999999999865</v>
      </c>
      <c r="AI212" s="15">
        <f t="shared" si="93"/>
        <v>93000</v>
      </c>
      <c r="AJ212" s="15">
        <f t="shared" si="94"/>
        <v>16740</v>
      </c>
      <c r="AK212" s="10">
        <v>89448</v>
      </c>
      <c r="AL212" s="15">
        <f t="shared" si="95"/>
        <v>93000</v>
      </c>
      <c r="AM212" s="15">
        <f t="shared" si="96"/>
        <v>14252079</v>
      </c>
      <c r="AN212" s="15">
        <f t="shared" si="97"/>
        <v>1715830</v>
      </c>
      <c r="AO212" s="15">
        <f t="shared" si="102"/>
        <v>1809031</v>
      </c>
      <c r="AP212" s="17">
        <f t="shared" si="98"/>
        <v>16061110</v>
      </c>
      <c r="AQ212" s="15">
        <v>13040655.66</v>
      </c>
      <c r="AR212" s="15">
        <v>201</v>
      </c>
      <c r="AS212" s="18">
        <f t="shared" si="103"/>
        <v>3020454</v>
      </c>
      <c r="AT212" s="19">
        <v>0</v>
      </c>
      <c r="AU212" s="8">
        <v>8800</v>
      </c>
      <c r="AV212" s="13">
        <f t="shared" si="104"/>
        <v>2728000</v>
      </c>
      <c r="AW212" s="18">
        <f t="shared" si="105"/>
        <v>14252079</v>
      </c>
      <c r="AX212" s="15">
        <f t="shared" si="99"/>
        <v>14253000</v>
      </c>
      <c r="AY212" s="20">
        <v>7.0000000000000007E-2</v>
      </c>
      <c r="AZ212" s="13">
        <f t="shared" si="100"/>
        <v>997710.00000000012</v>
      </c>
      <c r="BA212" s="15">
        <f t="shared" si="101"/>
        <v>997800</v>
      </c>
      <c r="BB212" s="21">
        <f t="shared" si="106"/>
        <v>4018254</v>
      </c>
      <c r="BC212" s="10">
        <f t="shared" si="107"/>
        <v>3.7613488975356764</v>
      </c>
      <c r="BD212" s="10">
        <f t="shared" si="108"/>
        <v>3.9710222699221807</v>
      </c>
      <c r="BE212" s="10">
        <v>63.92</v>
      </c>
      <c r="BF212" s="10">
        <v>28.8</v>
      </c>
      <c r="BG212" s="107">
        <v>46176</v>
      </c>
      <c r="BH212" s="107">
        <f t="shared" si="83"/>
        <v>46206</v>
      </c>
      <c r="BI212" s="23">
        <v>7</v>
      </c>
      <c r="BJ212" s="6"/>
      <c r="BK212" s="6"/>
      <c r="BL212" s="24">
        <f>VLOOKUP(A212,[2]Sheet1!$D$2:$H$933,5,0)</f>
        <v>0</v>
      </c>
      <c r="BM212" s="6" t="s">
        <v>3828</v>
      </c>
      <c r="BN212" s="6" t="s">
        <v>3829</v>
      </c>
      <c r="BO212" s="6" t="s">
        <v>3820</v>
      </c>
      <c r="BP212" s="6" t="s">
        <v>3821</v>
      </c>
      <c r="BQ212" s="6" t="s">
        <v>3830</v>
      </c>
      <c r="BR212" t="s">
        <v>3823</v>
      </c>
      <c r="BS212" t="s">
        <v>3824</v>
      </c>
      <c r="BT212" t="s">
        <v>3825</v>
      </c>
      <c r="BU212" t="s">
        <v>3826</v>
      </c>
      <c r="BV212" t="s">
        <v>3827</v>
      </c>
      <c r="BW212" t="s">
        <v>3835</v>
      </c>
      <c r="BX212">
        <v>0</v>
      </c>
      <c r="BY212" t="s">
        <v>3865</v>
      </c>
      <c r="BZ212" t="s">
        <v>3872</v>
      </c>
    </row>
    <row r="213" spans="1:78" x14ac:dyDescent="0.25">
      <c r="A213" s="7" t="s">
        <v>940</v>
      </c>
      <c r="B213" s="7" t="s">
        <v>181</v>
      </c>
      <c r="C213" s="7" t="s">
        <v>938</v>
      </c>
      <c r="D213" s="8" t="s">
        <v>939</v>
      </c>
      <c r="E213" s="7" t="s">
        <v>941</v>
      </c>
      <c r="F213" s="9">
        <v>44998</v>
      </c>
      <c r="G213" s="9" t="s">
        <v>404</v>
      </c>
      <c r="H213" s="9" t="s">
        <v>87</v>
      </c>
      <c r="I213" s="8" t="s">
        <v>78</v>
      </c>
      <c r="J213" s="10">
        <v>706.12</v>
      </c>
      <c r="K213" s="10">
        <v>706.12</v>
      </c>
      <c r="L213" s="10">
        <f t="shared" si="84"/>
        <v>0</v>
      </c>
      <c r="M213" s="10">
        <v>314.08999999999997</v>
      </c>
      <c r="N213" s="10">
        <v>314.08999999999997</v>
      </c>
      <c r="O213" s="10">
        <f t="shared" si="85"/>
        <v>0</v>
      </c>
      <c r="P213" s="11">
        <v>20700</v>
      </c>
      <c r="Q213" s="11">
        <v>46536.610525645519</v>
      </c>
      <c r="R213" s="11">
        <v>40000</v>
      </c>
      <c r="S213" s="11">
        <v>14616684</v>
      </c>
      <c r="T213" s="11">
        <v>1754004</v>
      </c>
      <c r="U213" s="12">
        <f t="shared" si="86"/>
        <v>0.12000013135674274</v>
      </c>
      <c r="V213" s="13">
        <f t="shared" ref="V213:V222" si="110">L213*P213</f>
        <v>0</v>
      </c>
      <c r="W213" s="10">
        <f t="shared" si="87"/>
        <v>0</v>
      </c>
      <c r="X213" s="10"/>
      <c r="Y213" s="10"/>
      <c r="Z213" s="11">
        <f t="shared" si="88"/>
        <v>14616684</v>
      </c>
      <c r="AA213" s="14"/>
      <c r="AB213" s="14"/>
      <c r="AC213" s="11">
        <f t="shared" si="89"/>
        <v>14616684</v>
      </c>
      <c r="AD213" s="10">
        <f t="shared" si="90"/>
        <v>300</v>
      </c>
      <c r="AE213" s="15">
        <v>94227</v>
      </c>
      <c r="AF213" s="16">
        <v>16960</v>
      </c>
      <c r="AG213" s="15">
        <f t="shared" si="91"/>
        <v>0</v>
      </c>
      <c r="AH213" s="15">
        <f t="shared" si="92"/>
        <v>0</v>
      </c>
      <c r="AI213" s="15">
        <f t="shared" si="93"/>
        <v>94226.999999999985</v>
      </c>
      <c r="AJ213" s="15">
        <f t="shared" si="94"/>
        <v>16961</v>
      </c>
      <c r="AK213" s="10">
        <v>94227</v>
      </c>
      <c r="AL213" s="15">
        <f t="shared" si="95"/>
        <v>94226.999999999985</v>
      </c>
      <c r="AM213" s="15">
        <f t="shared" si="96"/>
        <v>14710911</v>
      </c>
      <c r="AN213" s="15">
        <f t="shared" si="97"/>
        <v>1770965</v>
      </c>
      <c r="AO213" s="15">
        <f t="shared" si="102"/>
        <v>1865436</v>
      </c>
      <c r="AP213" s="17">
        <f t="shared" si="98"/>
        <v>16576347</v>
      </c>
      <c r="AQ213" s="15">
        <v>14684391.879999999</v>
      </c>
      <c r="AR213" s="15">
        <v>244</v>
      </c>
      <c r="AS213" s="18">
        <f t="shared" si="103"/>
        <v>1891955</v>
      </c>
      <c r="AT213" s="19">
        <v>14810913</v>
      </c>
      <c r="AU213" s="8">
        <v>8800</v>
      </c>
      <c r="AV213" s="13">
        <f t="shared" si="104"/>
        <v>2763992</v>
      </c>
      <c r="AW213" s="18">
        <f t="shared" si="105"/>
        <v>14810913</v>
      </c>
      <c r="AX213" s="15">
        <f t="shared" si="99"/>
        <v>14811000</v>
      </c>
      <c r="AY213" s="20">
        <v>0.05</v>
      </c>
      <c r="AZ213" s="13">
        <f t="shared" si="100"/>
        <v>740550</v>
      </c>
      <c r="BA213" s="15">
        <f t="shared" si="101"/>
        <v>740600</v>
      </c>
      <c r="BB213" s="21">
        <f t="shared" si="106"/>
        <v>2632555</v>
      </c>
      <c r="BC213" s="10">
        <f t="shared" si="107"/>
        <v>0</v>
      </c>
      <c r="BD213" s="10">
        <f t="shared" si="108"/>
        <v>0</v>
      </c>
      <c r="BE213" s="10">
        <v>65.599999999999994</v>
      </c>
      <c r="BF213" s="10">
        <v>29.18</v>
      </c>
      <c r="BG213" s="107">
        <v>46176</v>
      </c>
      <c r="BH213" s="107">
        <f t="shared" si="83"/>
        <v>46206</v>
      </c>
      <c r="BI213" s="23">
        <v>5</v>
      </c>
      <c r="BJ213" s="6"/>
      <c r="BK213" s="6"/>
      <c r="BL213" s="24">
        <f>VLOOKUP(A213,[2]Sheet1!$D$2:$H$933,5,0)</f>
        <v>0</v>
      </c>
      <c r="BM213" s="6" t="s">
        <v>3828</v>
      </c>
      <c r="BN213" s="6" t="s">
        <v>3829</v>
      </c>
      <c r="BO213" s="6" t="s">
        <v>3820</v>
      </c>
      <c r="BP213" s="6" t="s">
        <v>3821</v>
      </c>
      <c r="BQ213" s="6" t="s">
        <v>3830</v>
      </c>
      <c r="BR213" t="s">
        <v>3823</v>
      </c>
      <c r="BS213" t="s">
        <v>3824</v>
      </c>
      <c r="BT213" t="s">
        <v>3825</v>
      </c>
      <c r="BU213" t="s">
        <v>3826</v>
      </c>
      <c r="BV213" t="s">
        <v>3827</v>
      </c>
      <c r="BW213" t="s">
        <v>3835</v>
      </c>
      <c r="BX213">
        <v>0</v>
      </c>
      <c r="BY213" t="s">
        <v>3861</v>
      </c>
      <c r="BZ213" t="s">
        <v>3863</v>
      </c>
    </row>
    <row r="214" spans="1:78" x14ac:dyDescent="0.25">
      <c r="A214" s="7" t="s">
        <v>944</v>
      </c>
      <c r="B214" s="7" t="s">
        <v>181</v>
      </c>
      <c r="C214" s="7" t="s">
        <v>942</v>
      </c>
      <c r="D214" s="8" t="s">
        <v>943</v>
      </c>
      <c r="E214" s="7" t="s">
        <v>945</v>
      </c>
      <c r="F214" s="9">
        <v>44895</v>
      </c>
      <c r="G214" s="9" t="s">
        <v>527</v>
      </c>
      <c r="H214" s="9" t="s">
        <v>66</v>
      </c>
      <c r="I214" s="8" t="s">
        <v>78</v>
      </c>
      <c r="J214" s="10">
        <v>677.06</v>
      </c>
      <c r="K214" s="10">
        <v>677.06</v>
      </c>
      <c r="L214" s="10">
        <f t="shared" si="84"/>
        <v>0</v>
      </c>
      <c r="M214" s="10">
        <v>315.39</v>
      </c>
      <c r="N214" s="10">
        <v>315.39</v>
      </c>
      <c r="O214" s="10">
        <f t="shared" si="85"/>
        <v>0</v>
      </c>
      <c r="P214" s="11">
        <v>15112.000413552714</v>
      </c>
      <c r="Q214" s="11">
        <v>32441.520022828881</v>
      </c>
      <c r="R214" s="11">
        <v>22000</v>
      </c>
      <c r="S214" s="11">
        <v>10231731</v>
      </c>
      <c r="T214" s="11">
        <v>1227808</v>
      </c>
      <c r="U214" s="12">
        <f t="shared" si="86"/>
        <v>0.12000002736584846</v>
      </c>
      <c r="V214" s="13">
        <f t="shared" si="110"/>
        <v>0</v>
      </c>
      <c r="W214" s="10">
        <f t="shared" si="87"/>
        <v>0</v>
      </c>
      <c r="X214" s="10"/>
      <c r="Y214" s="10"/>
      <c r="Z214" s="11">
        <f t="shared" si="88"/>
        <v>10231731</v>
      </c>
      <c r="AA214" s="14">
        <v>726350</v>
      </c>
      <c r="AB214" s="14">
        <v>87162</v>
      </c>
      <c r="AC214" s="11">
        <f t="shared" si="89"/>
        <v>9505381</v>
      </c>
      <c r="AD214" s="10">
        <f t="shared" si="90"/>
        <v>300</v>
      </c>
      <c r="AE214" s="15">
        <v>94617</v>
      </c>
      <c r="AF214" s="16">
        <v>17032</v>
      </c>
      <c r="AG214" s="15">
        <f t="shared" si="91"/>
        <v>0</v>
      </c>
      <c r="AH214" s="15">
        <f t="shared" si="92"/>
        <v>0</v>
      </c>
      <c r="AI214" s="15">
        <f t="shared" si="93"/>
        <v>94617</v>
      </c>
      <c r="AJ214" s="15">
        <f t="shared" si="94"/>
        <v>17032</v>
      </c>
      <c r="AK214" s="10">
        <v>94617</v>
      </c>
      <c r="AL214" s="15">
        <f t="shared" si="95"/>
        <v>94617</v>
      </c>
      <c r="AM214" s="15">
        <f t="shared" si="96"/>
        <v>9599998</v>
      </c>
      <c r="AN214" s="15">
        <f t="shared" si="97"/>
        <v>1157678</v>
      </c>
      <c r="AO214" s="15">
        <f t="shared" si="102"/>
        <v>1252499.5900000001</v>
      </c>
      <c r="AP214" s="17">
        <f t="shared" si="98"/>
        <v>10852497.59</v>
      </c>
      <c r="AQ214" s="15">
        <v>9248684</v>
      </c>
      <c r="AR214" s="15">
        <v>204.59</v>
      </c>
      <c r="AS214" s="18">
        <f t="shared" si="103"/>
        <v>1603814</v>
      </c>
      <c r="AT214" s="19">
        <v>0</v>
      </c>
      <c r="AU214" s="8">
        <v>8800</v>
      </c>
      <c r="AV214" s="13">
        <f t="shared" si="104"/>
        <v>2775432</v>
      </c>
      <c r="AW214" s="18">
        <f t="shared" si="105"/>
        <v>9599998</v>
      </c>
      <c r="AX214" s="15">
        <f t="shared" si="99"/>
        <v>9600000</v>
      </c>
      <c r="AY214" s="20">
        <v>7.0000000000000007E-2</v>
      </c>
      <c r="AZ214" s="13">
        <f t="shared" si="100"/>
        <v>672000.00000000012</v>
      </c>
      <c r="BA214" s="15">
        <f t="shared" si="101"/>
        <v>672000</v>
      </c>
      <c r="BB214" s="21">
        <f t="shared" si="106"/>
        <v>2275814</v>
      </c>
      <c r="BC214" s="10">
        <f t="shared" si="107"/>
        <v>0</v>
      </c>
      <c r="BD214" s="10">
        <f t="shared" si="108"/>
        <v>0</v>
      </c>
      <c r="BE214" s="10">
        <v>62.9</v>
      </c>
      <c r="BF214" s="10">
        <v>29.3</v>
      </c>
      <c r="BG214" s="107">
        <v>46176</v>
      </c>
      <c r="BH214" s="107">
        <f t="shared" si="83"/>
        <v>46206</v>
      </c>
      <c r="BI214" s="23">
        <v>7</v>
      </c>
      <c r="BJ214" s="6"/>
      <c r="BK214" s="6"/>
      <c r="BL214" s="24">
        <f>VLOOKUP(A214,[2]Sheet1!$D$2:$H$933,5,0)</f>
        <v>0</v>
      </c>
      <c r="BM214" s="6" t="s">
        <v>3828</v>
      </c>
      <c r="BN214" s="6" t="s">
        <v>3829</v>
      </c>
      <c r="BO214" s="6" t="s">
        <v>3820</v>
      </c>
      <c r="BP214" s="6" t="s">
        <v>3821</v>
      </c>
      <c r="BQ214" s="6" t="s">
        <v>3830</v>
      </c>
      <c r="BR214" t="s">
        <v>3823</v>
      </c>
      <c r="BS214" t="s">
        <v>3824</v>
      </c>
      <c r="BT214" t="s">
        <v>3825</v>
      </c>
      <c r="BU214" t="s">
        <v>3826</v>
      </c>
      <c r="BV214" t="s">
        <v>3827</v>
      </c>
      <c r="BW214" t="s">
        <v>3835</v>
      </c>
      <c r="BX214">
        <v>0</v>
      </c>
      <c r="BY214" t="s">
        <v>3859</v>
      </c>
      <c r="BZ214" t="s">
        <v>3871</v>
      </c>
    </row>
    <row r="215" spans="1:78" x14ac:dyDescent="0.25">
      <c r="A215" s="7" t="s">
        <v>948</v>
      </c>
      <c r="B215" s="7" t="s">
        <v>181</v>
      </c>
      <c r="C215" s="7" t="s">
        <v>946</v>
      </c>
      <c r="D215" s="8" t="s">
        <v>947</v>
      </c>
      <c r="E215" s="7" t="s">
        <v>949</v>
      </c>
      <c r="F215" s="9">
        <v>45383</v>
      </c>
      <c r="G215" s="9" t="s">
        <v>527</v>
      </c>
      <c r="H215" s="9" t="s">
        <v>66</v>
      </c>
      <c r="I215" s="8" t="s">
        <v>67</v>
      </c>
      <c r="J215" s="10">
        <v>224.85</v>
      </c>
      <c r="K215" s="10">
        <v>224.85</v>
      </c>
      <c r="L215" s="10">
        <f t="shared" si="84"/>
        <v>0</v>
      </c>
      <c r="M215" s="10">
        <v>89.34</v>
      </c>
      <c r="N215" s="10">
        <v>89.34</v>
      </c>
      <c r="O215" s="10">
        <f t="shared" si="85"/>
        <v>0</v>
      </c>
      <c r="P215" s="11">
        <v>13150.002223704692</v>
      </c>
      <c r="Q215" s="11">
        <v>33095.791358853814</v>
      </c>
      <c r="R215" s="11">
        <v>22000</v>
      </c>
      <c r="S215" s="11">
        <v>2956778</v>
      </c>
      <c r="T215" s="11">
        <v>354814</v>
      </c>
      <c r="U215" s="12">
        <f t="shared" si="86"/>
        <v>0.12000021645182696</v>
      </c>
      <c r="V215" s="13">
        <f t="shared" si="110"/>
        <v>0</v>
      </c>
      <c r="W215" s="10">
        <f t="shared" si="87"/>
        <v>0</v>
      </c>
      <c r="X215" s="10"/>
      <c r="Y215" s="10"/>
      <c r="Z215" s="11">
        <f t="shared" si="88"/>
        <v>2956778</v>
      </c>
      <c r="AA215" s="14"/>
      <c r="AB215" s="14"/>
      <c r="AC215" s="11">
        <f t="shared" si="89"/>
        <v>2956778</v>
      </c>
      <c r="AD215" s="10">
        <f t="shared" si="90"/>
        <v>300</v>
      </c>
      <c r="AE215" s="15">
        <v>26802</v>
      </c>
      <c r="AF215" s="16">
        <v>4824</v>
      </c>
      <c r="AG215" s="15">
        <f t="shared" si="91"/>
        <v>0</v>
      </c>
      <c r="AH215" s="15">
        <f t="shared" si="92"/>
        <v>0</v>
      </c>
      <c r="AI215" s="15">
        <f t="shared" si="93"/>
        <v>26802</v>
      </c>
      <c r="AJ215" s="15">
        <f t="shared" si="94"/>
        <v>4825</v>
      </c>
      <c r="AK215" s="10">
        <v>26802</v>
      </c>
      <c r="AL215" s="15">
        <f t="shared" si="95"/>
        <v>26802</v>
      </c>
      <c r="AM215" s="15">
        <f t="shared" si="96"/>
        <v>2983580</v>
      </c>
      <c r="AN215" s="15">
        <f t="shared" si="97"/>
        <v>359639</v>
      </c>
      <c r="AO215" s="15">
        <f t="shared" si="102"/>
        <v>386689</v>
      </c>
      <c r="AP215" s="17">
        <f t="shared" si="98"/>
        <v>3370269</v>
      </c>
      <c r="AQ215" s="15">
        <v>1125328</v>
      </c>
      <c r="AR215" s="15">
        <v>248</v>
      </c>
      <c r="AS215" s="18">
        <f t="shared" si="103"/>
        <v>2244941</v>
      </c>
      <c r="AT215" s="19">
        <v>0</v>
      </c>
      <c r="AU215" s="8">
        <v>8800</v>
      </c>
      <c r="AV215" s="13">
        <f t="shared" si="104"/>
        <v>786192</v>
      </c>
      <c r="AW215" s="18">
        <f t="shared" si="105"/>
        <v>2983580</v>
      </c>
      <c r="AX215" s="15">
        <f t="shared" si="99"/>
        <v>2984000</v>
      </c>
      <c r="AY215" s="20">
        <v>7.0000000000000007E-2</v>
      </c>
      <c r="AZ215" s="13">
        <f t="shared" si="100"/>
        <v>208880.00000000003</v>
      </c>
      <c r="BA215" s="15">
        <f t="shared" si="101"/>
        <v>208900</v>
      </c>
      <c r="BB215" s="21">
        <f t="shared" si="106"/>
        <v>2453841</v>
      </c>
      <c r="BC215" s="10">
        <f t="shared" si="107"/>
        <v>0</v>
      </c>
      <c r="BD215" s="10">
        <f t="shared" si="108"/>
        <v>0</v>
      </c>
      <c r="BE215" s="10">
        <v>20.89</v>
      </c>
      <c r="BF215" s="10">
        <v>8.3000000000000007</v>
      </c>
      <c r="BG215" s="107">
        <v>46176</v>
      </c>
      <c r="BH215" s="107">
        <f t="shared" si="83"/>
        <v>46206</v>
      </c>
      <c r="BI215" s="23">
        <v>7</v>
      </c>
      <c r="BJ215" s="6"/>
      <c r="BK215" s="6"/>
      <c r="BL215" s="24">
        <f>VLOOKUP(A215,[2]Sheet1!$D$2:$H$933,5,0)</f>
        <v>0</v>
      </c>
      <c r="BM215" s="6" t="s">
        <v>3828</v>
      </c>
      <c r="BN215" s="6" t="s">
        <v>3829</v>
      </c>
      <c r="BO215" s="6" t="s">
        <v>3820</v>
      </c>
      <c r="BP215" s="6" t="s">
        <v>3821</v>
      </c>
      <c r="BQ215" s="6" t="s">
        <v>3830</v>
      </c>
      <c r="BR215" t="s">
        <v>3823</v>
      </c>
      <c r="BS215" t="s">
        <v>3824</v>
      </c>
      <c r="BT215" t="s">
        <v>3825</v>
      </c>
      <c r="BU215" t="s">
        <v>3826</v>
      </c>
      <c r="BV215" t="s">
        <v>3827</v>
      </c>
      <c r="BW215" t="s">
        <v>3835</v>
      </c>
      <c r="BX215" s="101">
        <v>209785.05</v>
      </c>
      <c r="BY215" t="s">
        <v>3865</v>
      </c>
      <c r="BZ215" t="s">
        <v>3871</v>
      </c>
    </row>
    <row r="216" spans="1:78" x14ac:dyDescent="0.25">
      <c r="A216" s="7" t="s">
        <v>952</v>
      </c>
      <c r="B216" s="7" t="s">
        <v>181</v>
      </c>
      <c r="C216" s="7" t="s">
        <v>950</v>
      </c>
      <c r="D216" s="8" t="s">
        <v>951</v>
      </c>
      <c r="E216" s="7" t="s">
        <v>953</v>
      </c>
      <c r="F216" s="9">
        <v>45069</v>
      </c>
      <c r="G216" s="9" t="s">
        <v>65</v>
      </c>
      <c r="H216" s="9" t="s">
        <v>92</v>
      </c>
      <c r="I216" s="8" t="s">
        <v>78</v>
      </c>
      <c r="J216" s="10">
        <v>611.4</v>
      </c>
      <c r="K216" s="10">
        <v>611.4</v>
      </c>
      <c r="L216" s="10">
        <f t="shared" si="84"/>
        <v>0</v>
      </c>
      <c r="M216" s="10">
        <v>281.48</v>
      </c>
      <c r="N216" s="10">
        <v>281.48</v>
      </c>
      <c r="O216" s="10">
        <f t="shared" si="85"/>
        <v>0</v>
      </c>
      <c r="P216" s="11">
        <v>10428.768400392542</v>
      </c>
      <c r="Q216" s="11">
        <v>22652.227511723744</v>
      </c>
      <c r="R216" s="11">
        <v>28000</v>
      </c>
      <c r="S216" s="11">
        <v>6376149</v>
      </c>
      <c r="T216" s="11">
        <v>765140</v>
      </c>
      <c r="U216" s="12">
        <f t="shared" si="86"/>
        <v>0.12000033248909334</v>
      </c>
      <c r="V216" s="13">
        <f t="shared" si="110"/>
        <v>0</v>
      </c>
      <c r="W216" s="10">
        <f t="shared" si="87"/>
        <v>0</v>
      </c>
      <c r="X216" s="10"/>
      <c r="Y216" s="10"/>
      <c r="Z216" s="11">
        <f t="shared" si="88"/>
        <v>6376149</v>
      </c>
      <c r="AA216" s="14"/>
      <c r="AB216" s="14"/>
      <c r="AC216" s="11">
        <f t="shared" si="89"/>
        <v>6376149</v>
      </c>
      <c r="AD216" s="10">
        <f t="shared" si="90"/>
        <v>300</v>
      </c>
      <c r="AE216" s="15">
        <v>84444</v>
      </c>
      <c r="AF216" s="16">
        <v>15200</v>
      </c>
      <c r="AG216" s="15">
        <f t="shared" si="91"/>
        <v>0</v>
      </c>
      <c r="AH216" s="15">
        <f t="shared" si="92"/>
        <v>0</v>
      </c>
      <c r="AI216" s="15">
        <f t="shared" si="93"/>
        <v>84444</v>
      </c>
      <c r="AJ216" s="15">
        <f t="shared" si="94"/>
        <v>15200</v>
      </c>
      <c r="AK216" s="10">
        <v>84444</v>
      </c>
      <c r="AL216" s="15">
        <f t="shared" si="95"/>
        <v>84444</v>
      </c>
      <c r="AM216" s="15">
        <f t="shared" si="96"/>
        <v>6460593</v>
      </c>
      <c r="AN216" s="15">
        <f t="shared" si="97"/>
        <v>780340</v>
      </c>
      <c r="AO216" s="15">
        <f t="shared" si="102"/>
        <v>865035</v>
      </c>
      <c r="AP216" s="17">
        <f t="shared" si="98"/>
        <v>7325628</v>
      </c>
      <c r="AQ216" s="15">
        <v>6036543</v>
      </c>
      <c r="AR216" s="15">
        <v>251</v>
      </c>
      <c r="AS216" s="18">
        <f t="shared" si="103"/>
        <v>1289085</v>
      </c>
      <c r="AT216" s="19">
        <v>0</v>
      </c>
      <c r="AU216" s="8">
        <v>8800</v>
      </c>
      <c r="AV216" s="13">
        <f t="shared" si="104"/>
        <v>2477024</v>
      </c>
      <c r="AW216" s="18">
        <f t="shared" si="105"/>
        <v>6460593</v>
      </c>
      <c r="AX216" s="15">
        <f t="shared" si="99"/>
        <v>6461000</v>
      </c>
      <c r="AY216" s="20">
        <v>7.0000000000000007E-2</v>
      </c>
      <c r="AZ216" s="13">
        <f t="shared" si="100"/>
        <v>452270.00000000006</v>
      </c>
      <c r="BA216" s="15">
        <f t="shared" si="101"/>
        <v>452300</v>
      </c>
      <c r="BB216" s="21">
        <f t="shared" si="106"/>
        <v>1741385</v>
      </c>
      <c r="BC216" s="10">
        <f t="shared" si="107"/>
        <v>0</v>
      </c>
      <c r="BD216" s="10">
        <f t="shared" si="108"/>
        <v>0</v>
      </c>
      <c r="BE216" s="10">
        <v>56.8</v>
      </c>
      <c r="BF216" s="10">
        <v>26.15</v>
      </c>
      <c r="BG216" s="107">
        <v>46176</v>
      </c>
      <c r="BH216" s="107">
        <f t="shared" si="83"/>
        <v>46206</v>
      </c>
      <c r="BI216" s="23">
        <v>7</v>
      </c>
      <c r="BJ216" s="6"/>
      <c r="BK216" s="6"/>
      <c r="BL216" s="24">
        <f>VLOOKUP(A216,[2]Sheet1!$D$2:$H$933,5,0)</f>
        <v>0</v>
      </c>
      <c r="BM216" s="6" t="s">
        <v>3828</v>
      </c>
      <c r="BN216" s="6" t="s">
        <v>3829</v>
      </c>
      <c r="BO216" s="6" t="s">
        <v>3820</v>
      </c>
      <c r="BP216" s="6" t="s">
        <v>3821</v>
      </c>
      <c r="BQ216" s="6" t="s">
        <v>3830</v>
      </c>
      <c r="BR216" t="s">
        <v>3823</v>
      </c>
      <c r="BS216" t="s">
        <v>3824</v>
      </c>
      <c r="BT216" t="s">
        <v>3825</v>
      </c>
      <c r="BU216" t="s">
        <v>3826</v>
      </c>
      <c r="BV216" t="s">
        <v>3827</v>
      </c>
      <c r="BW216" t="s">
        <v>3835</v>
      </c>
      <c r="BX216">
        <v>0</v>
      </c>
      <c r="BY216" t="s">
        <v>3859</v>
      </c>
      <c r="BZ216" t="s">
        <v>3860</v>
      </c>
    </row>
    <row r="217" spans="1:78" x14ac:dyDescent="0.25">
      <c r="A217" s="7" t="s">
        <v>956</v>
      </c>
      <c r="B217" s="7" t="s">
        <v>181</v>
      </c>
      <c r="C217" s="7" t="s">
        <v>954</v>
      </c>
      <c r="D217" s="8" t="s">
        <v>955</v>
      </c>
      <c r="E217" s="7" t="s">
        <v>957</v>
      </c>
      <c r="F217" s="9">
        <v>44896</v>
      </c>
      <c r="G217" s="9" t="s">
        <v>404</v>
      </c>
      <c r="H217" s="9" t="s">
        <v>66</v>
      </c>
      <c r="I217" s="8" t="s">
        <v>78</v>
      </c>
      <c r="J217" s="10">
        <v>775.01</v>
      </c>
      <c r="K217" s="10">
        <v>775.01</v>
      </c>
      <c r="L217" s="10">
        <f t="shared" si="84"/>
        <v>0</v>
      </c>
      <c r="M217" s="10">
        <v>358.44</v>
      </c>
      <c r="N217" s="10">
        <v>358.44</v>
      </c>
      <c r="O217" s="10">
        <f t="shared" si="85"/>
        <v>0</v>
      </c>
      <c r="P217" s="11">
        <v>7500</v>
      </c>
      <c r="Q217" s="11">
        <v>16216.312353531972</v>
      </c>
      <c r="R217" s="11">
        <v>22000</v>
      </c>
      <c r="S217" s="11">
        <v>5812575</v>
      </c>
      <c r="T217" s="11">
        <v>697508</v>
      </c>
      <c r="U217" s="12">
        <f t="shared" si="86"/>
        <v>0.11999982795920913</v>
      </c>
      <c r="V217" s="13">
        <f t="shared" si="110"/>
        <v>0</v>
      </c>
      <c r="W217" s="10">
        <f t="shared" si="87"/>
        <v>0</v>
      </c>
      <c r="X217" s="10"/>
      <c r="Y217" s="10"/>
      <c r="Z217" s="11">
        <f t="shared" si="88"/>
        <v>5812575</v>
      </c>
      <c r="AA217" s="14"/>
      <c r="AB217" s="14"/>
      <c r="AC217" s="11">
        <f t="shared" si="89"/>
        <v>5812575</v>
      </c>
      <c r="AD217" s="10">
        <f t="shared" si="90"/>
        <v>300</v>
      </c>
      <c r="AE217" s="15">
        <v>107532</v>
      </c>
      <c r="AF217" s="16">
        <v>19356</v>
      </c>
      <c r="AG217" s="15">
        <f t="shared" si="91"/>
        <v>0</v>
      </c>
      <c r="AH217" s="15">
        <f t="shared" si="92"/>
        <v>0</v>
      </c>
      <c r="AI217" s="15">
        <f t="shared" si="93"/>
        <v>107532</v>
      </c>
      <c r="AJ217" s="15">
        <f t="shared" si="94"/>
        <v>19356</v>
      </c>
      <c r="AK217" s="10">
        <v>107532</v>
      </c>
      <c r="AL217" s="15">
        <f t="shared" si="95"/>
        <v>107532</v>
      </c>
      <c r="AM217" s="15">
        <f t="shared" si="96"/>
        <v>5920107</v>
      </c>
      <c r="AN217" s="15">
        <f t="shared" si="97"/>
        <v>716864</v>
      </c>
      <c r="AO217" s="15">
        <f t="shared" si="102"/>
        <v>824571.04</v>
      </c>
      <c r="AP217" s="17">
        <f t="shared" si="98"/>
        <v>6744678.04</v>
      </c>
      <c r="AQ217" s="15">
        <v>5533746.9100000001</v>
      </c>
      <c r="AR217" s="15">
        <v>175.04</v>
      </c>
      <c r="AS217" s="18">
        <f t="shared" si="103"/>
        <v>1210931</v>
      </c>
      <c r="AT217" s="19">
        <v>0</v>
      </c>
      <c r="AU217" s="8">
        <v>8800</v>
      </c>
      <c r="AV217" s="13">
        <f t="shared" si="104"/>
        <v>3154272</v>
      </c>
      <c r="AW217" s="18">
        <f t="shared" si="105"/>
        <v>5920107</v>
      </c>
      <c r="AX217" s="15">
        <f t="shared" si="99"/>
        <v>5921000</v>
      </c>
      <c r="AY217" s="20">
        <v>7.0000000000000007E-2</v>
      </c>
      <c r="AZ217" s="13">
        <f t="shared" si="100"/>
        <v>414470.00000000006</v>
      </c>
      <c r="BA217" s="15">
        <f t="shared" si="101"/>
        <v>414500</v>
      </c>
      <c r="BB217" s="21">
        <f t="shared" si="106"/>
        <v>1625431</v>
      </c>
      <c r="BC217" s="10">
        <f t="shared" si="107"/>
        <v>0</v>
      </c>
      <c r="BD217" s="10">
        <f t="shared" si="108"/>
        <v>0</v>
      </c>
      <c r="BE217" s="10">
        <v>72</v>
      </c>
      <c r="BF217" s="10">
        <v>33.299999999999997</v>
      </c>
      <c r="BG217" s="107">
        <v>46176</v>
      </c>
      <c r="BH217" s="107">
        <f t="shared" si="83"/>
        <v>46206</v>
      </c>
      <c r="BI217" s="23">
        <v>7</v>
      </c>
      <c r="BJ217" s="6"/>
      <c r="BK217" s="6"/>
      <c r="BL217" s="24">
        <f>VLOOKUP(A217,[2]Sheet1!$D$2:$H$933,5,0)</f>
        <v>0</v>
      </c>
      <c r="BM217" s="6" t="s">
        <v>3828</v>
      </c>
      <c r="BN217" s="6" t="s">
        <v>3829</v>
      </c>
      <c r="BO217" s="6" t="s">
        <v>3820</v>
      </c>
      <c r="BP217" s="6" t="s">
        <v>3821</v>
      </c>
      <c r="BQ217" s="6" t="s">
        <v>3830</v>
      </c>
      <c r="BR217" t="s">
        <v>3823</v>
      </c>
      <c r="BS217" t="s">
        <v>3824</v>
      </c>
      <c r="BT217" t="s">
        <v>3825</v>
      </c>
      <c r="BU217" t="s">
        <v>3826</v>
      </c>
      <c r="BV217" t="s">
        <v>3827</v>
      </c>
      <c r="BW217" t="s">
        <v>3835</v>
      </c>
      <c r="BX217">
        <v>0</v>
      </c>
      <c r="BY217" t="s">
        <v>3861</v>
      </c>
      <c r="BZ217" t="s">
        <v>3863</v>
      </c>
    </row>
    <row r="218" spans="1:78" x14ac:dyDescent="0.25">
      <c r="A218" s="7" t="s">
        <v>960</v>
      </c>
      <c r="B218" s="7" t="s">
        <v>181</v>
      </c>
      <c r="C218" s="7" t="s">
        <v>958</v>
      </c>
      <c r="D218" s="8" t="s">
        <v>959</v>
      </c>
      <c r="E218" s="7" t="s">
        <v>961</v>
      </c>
      <c r="F218" s="9">
        <v>44893</v>
      </c>
      <c r="G218" s="9" t="s">
        <v>404</v>
      </c>
      <c r="H218" s="9" t="s">
        <v>66</v>
      </c>
      <c r="I218" s="8" t="s">
        <v>78</v>
      </c>
      <c r="J218" s="10">
        <v>363.82</v>
      </c>
      <c r="K218" s="10">
        <v>363.82</v>
      </c>
      <c r="L218" s="10">
        <f t="shared" si="84"/>
        <v>0</v>
      </c>
      <c r="M218" s="10">
        <v>156.08000000000001</v>
      </c>
      <c r="N218" s="10">
        <v>156.08000000000001</v>
      </c>
      <c r="O218" s="10">
        <f t="shared" si="85"/>
        <v>0</v>
      </c>
      <c r="P218" s="11">
        <v>17214.999175416415</v>
      </c>
      <c r="Q218" s="11">
        <v>40127.88954382368</v>
      </c>
      <c r="R218" s="11">
        <v>22000</v>
      </c>
      <c r="S218" s="11">
        <v>6263161</v>
      </c>
      <c r="T218" s="11">
        <v>751580</v>
      </c>
      <c r="U218" s="12">
        <f t="shared" si="86"/>
        <v>0.12000010857137475</v>
      </c>
      <c r="V218" s="13">
        <f t="shared" si="110"/>
        <v>0</v>
      </c>
      <c r="W218" s="10">
        <f t="shared" si="87"/>
        <v>0</v>
      </c>
      <c r="X218" s="10"/>
      <c r="Y218" s="10"/>
      <c r="Z218" s="11">
        <f t="shared" si="88"/>
        <v>6263161</v>
      </c>
      <c r="AA218" s="14">
        <v>586033</v>
      </c>
      <c r="AB218" s="14">
        <v>70324</v>
      </c>
      <c r="AC218" s="11">
        <f t="shared" si="89"/>
        <v>5677128</v>
      </c>
      <c r="AD218" s="10">
        <f t="shared" si="90"/>
        <v>300</v>
      </c>
      <c r="AE218" s="15">
        <v>46824</v>
      </c>
      <c r="AF218" s="16">
        <v>8428</v>
      </c>
      <c r="AG218" s="15">
        <f t="shared" si="91"/>
        <v>0</v>
      </c>
      <c r="AH218" s="15">
        <f t="shared" si="92"/>
        <v>0</v>
      </c>
      <c r="AI218" s="15">
        <f t="shared" si="93"/>
        <v>46824.000000000007</v>
      </c>
      <c r="AJ218" s="15">
        <f t="shared" si="94"/>
        <v>8429</v>
      </c>
      <c r="AK218" s="10">
        <v>46824</v>
      </c>
      <c r="AL218" s="15">
        <f t="shared" si="95"/>
        <v>46824.000000000007</v>
      </c>
      <c r="AM218" s="15">
        <f t="shared" si="96"/>
        <v>5723952</v>
      </c>
      <c r="AN218" s="15">
        <f t="shared" si="97"/>
        <v>689685</v>
      </c>
      <c r="AO218" s="15">
        <f t="shared" si="102"/>
        <v>736728.29</v>
      </c>
      <c r="AP218" s="17">
        <f t="shared" si="98"/>
        <v>6460680.29</v>
      </c>
      <c r="AQ218" s="15">
        <v>5660186.3300000001</v>
      </c>
      <c r="AR218" s="15">
        <v>219.29</v>
      </c>
      <c r="AS218" s="18">
        <f t="shared" si="103"/>
        <v>800494</v>
      </c>
      <c r="AT218" s="19">
        <v>0</v>
      </c>
      <c r="AU218" s="8">
        <v>8800</v>
      </c>
      <c r="AV218" s="13">
        <f t="shared" si="104"/>
        <v>1373504</v>
      </c>
      <c r="AW218" s="18">
        <f t="shared" si="105"/>
        <v>5723952</v>
      </c>
      <c r="AX218" s="15">
        <f t="shared" si="99"/>
        <v>5724000</v>
      </c>
      <c r="AY218" s="20">
        <v>7.0000000000000007E-2</v>
      </c>
      <c r="AZ218" s="13">
        <f t="shared" si="100"/>
        <v>400680.00000000006</v>
      </c>
      <c r="BA218" s="15">
        <f t="shared" si="101"/>
        <v>400700</v>
      </c>
      <c r="BB218" s="21">
        <f t="shared" si="106"/>
        <v>1201194</v>
      </c>
      <c r="BC218" s="10">
        <f t="shared" si="107"/>
        <v>0</v>
      </c>
      <c r="BD218" s="10">
        <f t="shared" si="108"/>
        <v>0</v>
      </c>
      <c r="BE218" s="10">
        <v>33.799999999999997</v>
      </c>
      <c r="BF218" s="10">
        <v>14.5</v>
      </c>
      <c r="BG218" s="107">
        <v>46176</v>
      </c>
      <c r="BH218" s="107">
        <f t="shared" si="83"/>
        <v>46206</v>
      </c>
      <c r="BI218" s="23">
        <v>7</v>
      </c>
      <c r="BJ218" s="6"/>
      <c r="BK218" s="6"/>
      <c r="BL218" s="24">
        <f>VLOOKUP(A218,[2]Sheet1!$D$2:$H$933,5,0)</f>
        <v>0</v>
      </c>
      <c r="BM218" s="6" t="s">
        <v>3828</v>
      </c>
      <c r="BN218" s="6" t="s">
        <v>3829</v>
      </c>
      <c r="BO218" s="6" t="s">
        <v>3820</v>
      </c>
      <c r="BP218" s="6" t="s">
        <v>3821</v>
      </c>
      <c r="BQ218" s="6" t="s">
        <v>3830</v>
      </c>
      <c r="BR218" t="s">
        <v>3823</v>
      </c>
      <c r="BS218" t="s">
        <v>3824</v>
      </c>
      <c r="BT218" t="s">
        <v>3825</v>
      </c>
      <c r="BU218" t="s">
        <v>3826</v>
      </c>
      <c r="BV218" t="s">
        <v>3827</v>
      </c>
      <c r="BW218" t="s">
        <v>3835</v>
      </c>
      <c r="BX218">
        <v>0</v>
      </c>
      <c r="BY218" t="s">
        <v>3859</v>
      </c>
      <c r="BZ218" t="s">
        <v>3863</v>
      </c>
    </row>
    <row r="219" spans="1:78" x14ac:dyDescent="0.25">
      <c r="A219" s="7" t="s">
        <v>964</v>
      </c>
      <c r="B219" s="7" t="s">
        <v>181</v>
      </c>
      <c r="C219" s="7" t="s">
        <v>962</v>
      </c>
      <c r="D219" s="8" t="s">
        <v>963</v>
      </c>
      <c r="E219" s="7" t="s">
        <v>965</v>
      </c>
      <c r="F219" s="9">
        <v>44988</v>
      </c>
      <c r="G219" s="9" t="s">
        <v>404</v>
      </c>
      <c r="H219" s="9" t="s">
        <v>92</v>
      </c>
      <c r="I219" s="8" t="s">
        <v>78</v>
      </c>
      <c r="J219" s="10">
        <v>789</v>
      </c>
      <c r="K219" s="10">
        <v>789</v>
      </c>
      <c r="L219" s="10">
        <f t="shared" si="84"/>
        <v>0</v>
      </c>
      <c r="M219" s="10">
        <v>367.05</v>
      </c>
      <c r="N219" s="10">
        <v>367.05</v>
      </c>
      <c r="O219" s="10">
        <f t="shared" si="85"/>
        <v>0</v>
      </c>
      <c r="P219" s="11">
        <v>24708</v>
      </c>
      <c r="Q219" s="11">
        <v>53111.597874948915</v>
      </c>
      <c r="R219" s="11">
        <v>28000</v>
      </c>
      <c r="S219" s="11">
        <v>19494612</v>
      </c>
      <c r="T219" s="11">
        <v>2339354</v>
      </c>
      <c r="U219" s="12">
        <f t="shared" si="86"/>
        <v>0.1200000287258859</v>
      </c>
      <c r="V219" s="13">
        <f t="shared" si="110"/>
        <v>0</v>
      </c>
      <c r="W219" s="10">
        <f t="shared" si="87"/>
        <v>0</v>
      </c>
      <c r="X219" s="10"/>
      <c r="Y219" s="10"/>
      <c r="Z219" s="11">
        <f t="shared" si="88"/>
        <v>19494612</v>
      </c>
      <c r="AA219" s="14">
        <v>3637880</v>
      </c>
      <c r="AB219" s="14">
        <v>436546</v>
      </c>
      <c r="AC219" s="11">
        <f t="shared" si="89"/>
        <v>15856732</v>
      </c>
      <c r="AD219" s="10">
        <f t="shared" si="90"/>
        <v>300</v>
      </c>
      <c r="AE219" s="15">
        <v>110115</v>
      </c>
      <c r="AF219" s="16">
        <v>19820</v>
      </c>
      <c r="AG219" s="15">
        <f t="shared" si="91"/>
        <v>0</v>
      </c>
      <c r="AH219" s="15">
        <f t="shared" si="92"/>
        <v>0</v>
      </c>
      <c r="AI219" s="15">
        <f t="shared" si="93"/>
        <v>110115</v>
      </c>
      <c r="AJ219" s="15">
        <f t="shared" si="94"/>
        <v>19821</v>
      </c>
      <c r="AK219" s="10">
        <v>110115</v>
      </c>
      <c r="AL219" s="15">
        <f t="shared" si="95"/>
        <v>110115</v>
      </c>
      <c r="AM219" s="15">
        <f t="shared" si="96"/>
        <v>15966847</v>
      </c>
      <c r="AN219" s="15">
        <f t="shared" si="97"/>
        <v>1922629</v>
      </c>
      <c r="AO219" s="15">
        <f t="shared" si="102"/>
        <v>2033014</v>
      </c>
      <c r="AP219" s="17">
        <f t="shared" si="98"/>
        <v>17999861</v>
      </c>
      <c r="AQ219" s="15">
        <v>15521979</v>
      </c>
      <c r="AR219" s="15">
        <v>270</v>
      </c>
      <c r="AS219" s="18">
        <f t="shared" si="103"/>
        <v>2477882</v>
      </c>
      <c r="AT219" s="19">
        <v>0</v>
      </c>
      <c r="AU219" s="8">
        <v>8800</v>
      </c>
      <c r="AV219" s="13">
        <f t="shared" si="104"/>
        <v>3230040</v>
      </c>
      <c r="AW219" s="18">
        <f t="shared" si="105"/>
        <v>15966847</v>
      </c>
      <c r="AX219" s="15">
        <f t="shared" si="99"/>
        <v>15967000</v>
      </c>
      <c r="AY219" s="20">
        <v>0.05</v>
      </c>
      <c r="AZ219" s="13">
        <f t="shared" si="100"/>
        <v>798350</v>
      </c>
      <c r="BA219" s="15">
        <f t="shared" si="101"/>
        <v>798400</v>
      </c>
      <c r="BB219" s="21">
        <f t="shared" si="106"/>
        <v>3276282</v>
      </c>
      <c r="BC219" s="10">
        <f t="shared" si="107"/>
        <v>0</v>
      </c>
      <c r="BD219" s="10">
        <f t="shared" si="108"/>
        <v>0</v>
      </c>
      <c r="BE219" s="10">
        <v>73.3</v>
      </c>
      <c r="BF219" s="10">
        <v>34.1</v>
      </c>
      <c r="BG219" s="107">
        <v>46176</v>
      </c>
      <c r="BH219" s="107">
        <f t="shared" si="83"/>
        <v>46206</v>
      </c>
      <c r="BI219" s="23">
        <v>5</v>
      </c>
      <c r="BJ219" s="6"/>
      <c r="BK219" s="6"/>
      <c r="BL219" s="24">
        <f>VLOOKUP(A219,[2]Sheet1!$D$2:$H$933,5,0)</f>
        <v>0</v>
      </c>
      <c r="BM219" s="6" t="s">
        <v>3828</v>
      </c>
      <c r="BN219" s="6" t="s">
        <v>3829</v>
      </c>
      <c r="BO219" s="6" t="s">
        <v>3820</v>
      </c>
      <c r="BP219" s="6" t="s">
        <v>3821</v>
      </c>
      <c r="BQ219" s="6" t="s">
        <v>3830</v>
      </c>
      <c r="BR219" t="s">
        <v>3823</v>
      </c>
      <c r="BS219" t="s">
        <v>3824</v>
      </c>
      <c r="BT219" t="s">
        <v>3825</v>
      </c>
      <c r="BU219" t="s">
        <v>3826</v>
      </c>
      <c r="BV219" t="s">
        <v>3827</v>
      </c>
      <c r="BW219" t="s">
        <v>3835</v>
      </c>
      <c r="BX219">
        <v>0</v>
      </c>
      <c r="BY219" t="s">
        <v>3861</v>
      </c>
      <c r="BZ219" t="s">
        <v>3863</v>
      </c>
    </row>
    <row r="220" spans="1:78" x14ac:dyDescent="0.25">
      <c r="A220" s="7" t="s">
        <v>968</v>
      </c>
      <c r="B220" s="7" t="s">
        <v>181</v>
      </c>
      <c r="C220" s="7" t="s">
        <v>966</v>
      </c>
      <c r="D220" s="8" t="s">
        <v>967</v>
      </c>
      <c r="E220" s="7" t="s">
        <v>969</v>
      </c>
      <c r="F220" s="9">
        <v>45035</v>
      </c>
      <c r="G220" s="9" t="s">
        <v>65</v>
      </c>
      <c r="H220" s="9" t="s">
        <v>87</v>
      </c>
      <c r="I220" s="8" t="s">
        <v>78</v>
      </c>
      <c r="J220" s="10">
        <v>659.62</v>
      </c>
      <c r="K220" s="10">
        <v>633.67999999999995</v>
      </c>
      <c r="L220" s="10">
        <f t="shared" si="84"/>
        <v>-25.940000000000055</v>
      </c>
      <c r="M220" s="10">
        <v>293.52999999999997</v>
      </c>
      <c r="N220" s="10">
        <v>282</v>
      </c>
      <c r="O220" s="10">
        <f t="shared" si="85"/>
        <v>-11.529999999999973</v>
      </c>
      <c r="P220" s="11">
        <v>15700</v>
      </c>
      <c r="Q220" s="11">
        <v>35281.007052090077</v>
      </c>
      <c r="R220" s="11">
        <v>40000</v>
      </c>
      <c r="S220" s="11">
        <v>10356034</v>
      </c>
      <c r="T220" s="11">
        <v>1242722</v>
      </c>
      <c r="U220" s="12">
        <f t="shared" si="86"/>
        <v>0.11999979915091047</v>
      </c>
      <c r="V220" s="13">
        <f t="shared" si="110"/>
        <v>-407258.00000000087</v>
      </c>
      <c r="W220" s="10">
        <f t="shared" si="87"/>
        <v>-48870.878202601598</v>
      </c>
      <c r="X220" s="15"/>
      <c r="Y220" s="15"/>
      <c r="Z220" s="11">
        <f t="shared" si="88"/>
        <v>9948776</v>
      </c>
      <c r="AA220" s="14"/>
      <c r="AB220" s="14"/>
      <c r="AC220" s="11">
        <f t="shared" si="89"/>
        <v>9948776</v>
      </c>
      <c r="AD220" s="10">
        <f t="shared" si="90"/>
        <v>300</v>
      </c>
      <c r="AE220" s="15">
        <v>88059</v>
      </c>
      <c r="AF220" s="16">
        <v>15850</v>
      </c>
      <c r="AG220" s="15">
        <f t="shared" si="91"/>
        <v>-3458.9999999999918</v>
      </c>
      <c r="AH220" s="15">
        <f t="shared" si="92"/>
        <v>-622.61999999999853</v>
      </c>
      <c r="AI220" s="15">
        <f t="shared" si="93"/>
        <v>84600</v>
      </c>
      <c r="AJ220" s="15">
        <f t="shared" si="94"/>
        <v>15228</v>
      </c>
      <c r="AK220" s="10">
        <v>88059</v>
      </c>
      <c r="AL220" s="15">
        <f t="shared" si="95"/>
        <v>84600</v>
      </c>
      <c r="AM220" s="15">
        <f t="shared" si="96"/>
        <v>10033376</v>
      </c>
      <c r="AN220" s="15">
        <f t="shared" si="97"/>
        <v>1209080</v>
      </c>
      <c r="AO220" s="15">
        <f t="shared" si="102"/>
        <v>1294020</v>
      </c>
      <c r="AP220" s="17">
        <f t="shared" si="98"/>
        <v>11327396</v>
      </c>
      <c r="AQ220" s="15">
        <v>10345676</v>
      </c>
      <c r="AR220" s="15">
        <v>340</v>
      </c>
      <c r="AS220" s="18">
        <f t="shared" si="103"/>
        <v>981720</v>
      </c>
      <c r="AT220" s="19">
        <v>0</v>
      </c>
      <c r="AU220" s="8">
        <v>8800</v>
      </c>
      <c r="AV220" s="13">
        <f t="shared" si="104"/>
        <v>2481600</v>
      </c>
      <c r="AW220" s="18">
        <f t="shared" si="105"/>
        <v>10033376</v>
      </c>
      <c r="AX220" s="15">
        <f t="shared" si="99"/>
        <v>10034000</v>
      </c>
      <c r="AY220" s="20">
        <v>0.06</v>
      </c>
      <c r="AZ220" s="13">
        <f t="shared" si="100"/>
        <v>602040</v>
      </c>
      <c r="BA220" s="15">
        <f t="shared" si="101"/>
        <v>602100</v>
      </c>
      <c r="BB220" s="21">
        <f t="shared" si="106"/>
        <v>1583820</v>
      </c>
      <c r="BC220" s="10">
        <f t="shared" si="107"/>
        <v>-3.9325672356811583</v>
      </c>
      <c r="BD220" s="10">
        <f t="shared" si="108"/>
        <v>-3.9280482403842787</v>
      </c>
      <c r="BE220" s="10">
        <v>58.87</v>
      </c>
      <c r="BF220" s="10">
        <v>26.2</v>
      </c>
      <c r="BG220" s="107">
        <v>46176</v>
      </c>
      <c r="BH220" s="107">
        <f t="shared" si="83"/>
        <v>46206</v>
      </c>
      <c r="BI220" s="23">
        <v>6</v>
      </c>
      <c r="BJ220" s="6"/>
      <c r="BK220" s="6"/>
      <c r="BL220" s="24">
        <f>VLOOKUP(A220,[2]Sheet1!$D$2:$H$933,5,0)</f>
        <v>0</v>
      </c>
      <c r="BM220" s="6" t="s">
        <v>3828</v>
      </c>
      <c r="BN220" s="6" t="s">
        <v>3829</v>
      </c>
      <c r="BO220" s="6" t="s">
        <v>3820</v>
      </c>
      <c r="BP220" s="6" t="s">
        <v>3821</v>
      </c>
      <c r="BQ220" s="6" t="s">
        <v>3830</v>
      </c>
      <c r="BR220" t="s">
        <v>3823</v>
      </c>
      <c r="BS220" t="s">
        <v>3824</v>
      </c>
      <c r="BT220" t="s">
        <v>3825</v>
      </c>
      <c r="BU220" t="s">
        <v>3826</v>
      </c>
      <c r="BV220" t="s">
        <v>3827</v>
      </c>
      <c r="BW220" t="s">
        <v>3835</v>
      </c>
      <c r="BX220">
        <v>0</v>
      </c>
      <c r="BY220" t="s">
        <v>3864</v>
      </c>
      <c r="BZ220" t="s">
        <v>3860</v>
      </c>
    </row>
    <row r="221" spans="1:78" x14ac:dyDescent="0.25">
      <c r="A221" s="7" t="s">
        <v>972</v>
      </c>
      <c r="B221" s="7" t="s">
        <v>181</v>
      </c>
      <c r="C221" s="7" t="s">
        <v>970</v>
      </c>
      <c r="D221" s="8" t="s">
        <v>971</v>
      </c>
      <c r="E221" s="7" t="s">
        <v>973</v>
      </c>
      <c r="F221" s="9">
        <v>44973</v>
      </c>
      <c r="G221" s="9" t="s">
        <v>77</v>
      </c>
      <c r="H221" s="9" t="s">
        <v>92</v>
      </c>
      <c r="I221" s="8" t="s">
        <v>78</v>
      </c>
      <c r="J221" s="10">
        <v>555.41999999999996</v>
      </c>
      <c r="K221" s="10">
        <v>555.41999999999996</v>
      </c>
      <c r="L221" s="10">
        <f t="shared" si="84"/>
        <v>0</v>
      </c>
      <c r="M221" s="10">
        <v>241.65</v>
      </c>
      <c r="N221" s="10">
        <v>241.65</v>
      </c>
      <c r="O221" s="10">
        <f t="shared" si="85"/>
        <v>0</v>
      </c>
      <c r="P221" s="11">
        <v>11981.543696661987</v>
      </c>
      <c r="Q221" s="11">
        <v>27538.957169459962</v>
      </c>
      <c r="R221" s="11">
        <v>28000</v>
      </c>
      <c r="S221" s="11">
        <v>6654789</v>
      </c>
      <c r="T221" s="11">
        <v>798576</v>
      </c>
      <c r="U221" s="12">
        <f t="shared" si="86"/>
        <v>0.12000019835339633</v>
      </c>
      <c r="V221" s="13">
        <f t="shared" si="110"/>
        <v>0</v>
      </c>
      <c r="W221" s="10">
        <f t="shared" si="87"/>
        <v>0</v>
      </c>
      <c r="X221" s="10"/>
      <c r="Y221" s="10"/>
      <c r="Z221" s="11">
        <f t="shared" si="88"/>
        <v>6654789</v>
      </c>
      <c r="AA221" s="14"/>
      <c r="AB221" s="14"/>
      <c r="AC221" s="11">
        <f t="shared" si="89"/>
        <v>6654789</v>
      </c>
      <c r="AD221" s="10">
        <f t="shared" si="90"/>
        <v>300</v>
      </c>
      <c r="AE221" s="15">
        <v>72495</v>
      </c>
      <c r="AF221" s="16">
        <v>13050</v>
      </c>
      <c r="AG221" s="15">
        <f t="shared" si="91"/>
        <v>0</v>
      </c>
      <c r="AH221" s="15">
        <f t="shared" si="92"/>
        <v>0</v>
      </c>
      <c r="AI221" s="15">
        <f t="shared" si="93"/>
        <v>72495</v>
      </c>
      <c r="AJ221" s="15">
        <f t="shared" si="94"/>
        <v>13050</v>
      </c>
      <c r="AK221" s="10">
        <v>72495</v>
      </c>
      <c r="AL221" s="15">
        <f t="shared" si="95"/>
        <v>72495</v>
      </c>
      <c r="AM221" s="15">
        <f t="shared" si="96"/>
        <v>6727284</v>
      </c>
      <c r="AN221" s="15">
        <f t="shared" si="97"/>
        <v>811626</v>
      </c>
      <c r="AO221" s="15">
        <f t="shared" si="102"/>
        <v>884407</v>
      </c>
      <c r="AP221" s="17">
        <f t="shared" si="98"/>
        <v>7611691</v>
      </c>
      <c r="AQ221" s="15">
        <v>6349103</v>
      </c>
      <c r="AR221" s="15">
        <v>286</v>
      </c>
      <c r="AS221" s="18">
        <f t="shared" si="103"/>
        <v>1262588</v>
      </c>
      <c r="AT221" s="19">
        <v>0</v>
      </c>
      <c r="AU221" s="8">
        <v>8800</v>
      </c>
      <c r="AV221" s="13">
        <f t="shared" si="104"/>
        <v>2126520</v>
      </c>
      <c r="AW221" s="18">
        <f t="shared" si="105"/>
        <v>6727284</v>
      </c>
      <c r="AX221" s="15">
        <f t="shared" si="99"/>
        <v>6728000</v>
      </c>
      <c r="AY221" s="20">
        <v>0.06</v>
      </c>
      <c r="AZ221" s="13">
        <f t="shared" si="100"/>
        <v>403680</v>
      </c>
      <c r="BA221" s="15">
        <f t="shared" si="101"/>
        <v>403700</v>
      </c>
      <c r="BB221" s="21">
        <f t="shared" si="106"/>
        <v>1666288</v>
      </c>
      <c r="BC221" s="10">
        <f t="shared" si="107"/>
        <v>0</v>
      </c>
      <c r="BD221" s="10">
        <f t="shared" si="108"/>
        <v>0</v>
      </c>
      <c r="BE221" s="10">
        <v>51.6</v>
      </c>
      <c r="BF221" s="10">
        <v>22.45</v>
      </c>
      <c r="BG221" s="107">
        <v>46176</v>
      </c>
      <c r="BH221" s="107">
        <f t="shared" si="83"/>
        <v>46206</v>
      </c>
      <c r="BI221" s="23">
        <v>6</v>
      </c>
      <c r="BJ221" s="6"/>
      <c r="BK221" s="6"/>
      <c r="BL221" s="24">
        <f>VLOOKUP(A221,[2]Sheet1!$D$2:$H$933,5,0)</f>
        <v>0</v>
      </c>
      <c r="BM221" s="6" t="s">
        <v>3828</v>
      </c>
      <c r="BN221" s="6" t="s">
        <v>3829</v>
      </c>
      <c r="BO221" s="6" t="s">
        <v>3820</v>
      </c>
      <c r="BP221" s="6" t="s">
        <v>3821</v>
      </c>
      <c r="BQ221" s="6" t="s">
        <v>3830</v>
      </c>
      <c r="BR221" t="s">
        <v>3823</v>
      </c>
      <c r="BS221" t="s">
        <v>3824</v>
      </c>
      <c r="BT221" t="s">
        <v>3825</v>
      </c>
      <c r="BU221" t="s">
        <v>3826</v>
      </c>
      <c r="BV221" t="s">
        <v>3827</v>
      </c>
      <c r="BW221" t="s">
        <v>3835</v>
      </c>
      <c r="BX221">
        <v>0</v>
      </c>
      <c r="BY221" t="s">
        <v>3861</v>
      </c>
      <c r="BZ221" t="s">
        <v>3863</v>
      </c>
    </row>
    <row r="222" spans="1:78" x14ac:dyDescent="0.25">
      <c r="A222" s="7" t="s">
        <v>976</v>
      </c>
      <c r="B222" s="7" t="s">
        <v>181</v>
      </c>
      <c r="C222" s="7" t="s">
        <v>974</v>
      </c>
      <c r="D222" s="8" t="s">
        <v>975</v>
      </c>
      <c r="E222" s="7" t="s">
        <v>977</v>
      </c>
      <c r="F222" s="9">
        <v>45009</v>
      </c>
      <c r="G222" s="9" t="s">
        <v>527</v>
      </c>
      <c r="H222" s="9" t="s">
        <v>92</v>
      </c>
      <c r="I222" s="8" t="s">
        <v>67</v>
      </c>
      <c r="J222" s="10">
        <v>430.56</v>
      </c>
      <c r="K222" s="10">
        <v>430.56</v>
      </c>
      <c r="L222" s="10">
        <f t="shared" si="84"/>
        <v>0</v>
      </c>
      <c r="M222" s="10">
        <v>166.84</v>
      </c>
      <c r="N222" s="10">
        <v>166.84</v>
      </c>
      <c r="O222" s="10">
        <f t="shared" si="85"/>
        <v>0</v>
      </c>
      <c r="P222" s="11">
        <v>15182.998885172798</v>
      </c>
      <c r="Q222" s="11">
        <v>39182.402301606329</v>
      </c>
      <c r="R222" s="11">
        <v>28000</v>
      </c>
      <c r="S222" s="11">
        <v>6537192</v>
      </c>
      <c r="T222" s="11">
        <v>784462</v>
      </c>
      <c r="U222" s="12">
        <f t="shared" si="86"/>
        <v>0.11999984091028687</v>
      </c>
      <c r="V222" s="13">
        <f t="shared" si="110"/>
        <v>0</v>
      </c>
      <c r="W222" s="10">
        <f t="shared" si="87"/>
        <v>0</v>
      </c>
      <c r="X222" s="10"/>
      <c r="Y222" s="10"/>
      <c r="Z222" s="11">
        <f t="shared" si="88"/>
        <v>6537192</v>
      </c>
      <c r="AA222" s="14"/>
      <c r="AB222" s="14"/>
      <c r="AC222" s="11">
        <f t="shared" si="89"/>
        <v>6537192</v>
      </c>
      <c r="AD222" s="10">
        <f t="shared" si="90"/>
        <v>300</v>
      </c>
      <c r="AE222" s="15">
        <v>50052</v>
      </c>
      <c r="AF222" s="16">
        <v>9010</v>
      </c>
      <c r="AG222" s="15">
        <f t="shared" si="91"/>
        <v>0</v>
      </c>
      <c r="AH222" s="15">
        <f t="shared" si="92"/>
        <v>0</v>
      </c>
      <c r="AI222" s="15">
        <f t="shared" si="93"/>
        <v>50052</v>
      </c>
      <c r="AJ222" s="15">
        <f t="shared" si="94"/>
        <v>9010</v>
      </c>
      <c r="AK222" s="10">
        <v>50052</v>
      </c>
      <c r="AL222" s="15">
        <f t="shared" si="95"/>
        <v>50052</v>
      </c>
      <c r="AM222" s="15">
        <f t="shared" si="96"/>
        <v>6587244</v>
      </c>
      <c r="AN222" s="15">
        <f t="shared" si="97"/>
        <v>793472</v>
      </c>
      <c r="AO222" s="15">
        <f t="shared" si="102"/>
        <v>843817</v>
      </c>
      <c r="AP222" s="17">
        <f t="shared" si="98"/>
        <v>7431061</v>
      </c>
      <c r="AQ222" s="15">
        <v>6530655</v>
      </c>
      <c r="AR222" s="15">
        <v>293</v>
      </c>
      <c r="AS222" s="18">
        <f t="shared" si="103"/>
        <v>900406</v>
      </c>
      <c r="AT222" s="19">
        <v>0</v>
      </c>
      <c r="AU222" s="8">
        <v>8800</v>
      </c>
      <c r="AV222" s="13">
        <f t="shared" si="104"/>
        <v>1468192</v>
      </c>
      <c r="AW222" s="18">
        <f t="shared" si="105"/>
        <v>6587244</v>
      </c>
      <c r="AX222" s="15">
        <f t="shared" si="99"/>
        <v>6588000</v>
      </c>
      <c r="AY222" s="20">
        <v>0.05</v>
      </c>
      <c r="AZ222" s="13">
        <f t="shared" si="100"/>
        <v>329400</v>
      </c>
      <c r="BA222" s="15">
        <f t="shared" si="101"/>
        <v>329400</v>
      </c>
      <c r="BB222" s="21">
        <f t="shared" si="106"/>
        <v>1229806</v>
      </c>
      <c r="BC222" s="10">
        <f t="shared" si="107"/>
        <v>0</v>
      </c>
      <c r="BD222" s="10">
        <f t="shared" si="108"/>
        <v>0</v>
      </c>
      <c r="BE222" s="10">
        <v>40</v>
      </c>
      <c r="BF222" s="10">
        <v>15.5</v>
      </c>
      <c r="BG222" s="107">
        <v>46176</v>
      </c>
      <c r="BH222" s="107">
        <f t="shared" si="83"/>
        <v>46206</v>
      </c>
      <c r="BI222" s="23">
        <v>5</v>
      </c>
      <c r="BJ222" s="6"/>
      <c r="BK222" s="6"/>
      <c r="BL222" s="24">
        <f>VLOOKUP(A222,[2]Sheet1!$D$2:$H$933,5,0)</f>
        <v>0</v>
      </c>
      <c r="BM222" s="6" t="s">
        <v>3828</v>
      </c>
      <c r="BN222" s="6" t="s">
        <v>3829</v>
      </c>
      <c r="BO222" s="6" t="s">
        <v>3820</v>
      </c>
      <c r="BP222" s="6" t="s">
        <v>3821</v>
      </c>
      <c r="BQ222" s="6" t="s">
        <v>3830</v>
      </c>
      <c r="BR222" t="s">
        <v>3823</v>
      </c>
      <c r="BS222" t="s">
        <v>3824</v>
      </c>
      <c r="BT222" t="s">
        <v>3825</v>
      </c>
      <c r="BU222" t="s">
        <v>3826</v>
      </c>
      <c r="BV222" t="s">
        <v>3827</v>
      </c>
      <c r="BW222" t="s">
        <v>3835</v>
      </c>
      <c r="BX222">
        <v>0</v>
      </c>
      <c r="BY222" t="s">
        <v>3866</v>
      </c>
      <c r="BZ222" t="s">
        <v>3871</v>
      </c>
    </row>
    <row r="223" spans="1:78" x14ac:dyDescent="0.25">
      <c r="A223" s="7" t="s">
        <v>980</v>
      </c>
      <c r="B223" s="7" t="s">
        <v>181</v>
      </c>
      <c r="C223" s="7" t="s">
        <v>978</v>
      </c>
      <c r="D223" s="8" t="s">
        <v>979</v>
      </c>
      <c r="E223" s="7" t="s">
        <v>981</v>
      </c>
      <c r="F223" s="9">
        <v>45045</v>
      </c>
      <c r="G223" s="9" t="s">
        <v>717</v>
      </c>
      <c r="H223" s="9" t="s">
        <v>87</v>
      </c>
      <c r="I223" s="8" t="s">
        <v>78</v>
      </c>
      <c r="J223" s="10">
        <v>663.06</v>
      </c>
      <c r="K223" s="10">
        <v>688</v>
      </c>
      <c r="L223" s="10">
        <f t="shared" si="84"/>
        <v>24.940000000000055</v>
      </c>
      <c r="M223" s="10">
        <v>298.16000000000003</v>
      </c>
      <c r="N223" s="10">
        <v>310</v>
      </c>
      <c r="O223" s="10">
        <f t="shared" si="85"/>
        <v>11.839999999999975</v>
      </c>
      <c r="P223" s="11">
        <v>10000</v>
      </c>
      <c r="Q223" s="11">
        <v>22238.395492353098</v>
      </c>
      <c r="R223" s="11">
        <v>40000</v>
      </c>
      <c r="S223" s="11">
        <v>6630600</v>
      </c>
      <c r="T223" s="11">
        <v>795674</v>
      </c>
      <c r="U223" s="12">
        <f t="shared" si="86"/>
        <v>0.12000030163182819</v>
      </c>
      <c r="V223" s="13">
        <f>L223*R223</f>
        <v>997600.00000000221</v>
      </c>
      <c r="W223" s="10">
        <f t="shared" si="87"/>
        <v>119712.30090791207</v>
      </c>
      <c r="X223" s="15"/>
      <c r="Y223" s="15"/>
      <c r="Z223" s="11">
        <f t="shared" si="88"/>
        <v>7628200.0000000019</v>
      </c>
      <c r="AA223" s="14"/>
      <c r="AB223" s="14"/>
      <c r="AC223" s="11">
        <f t="shared" si="89"/>
        <v>7628200.0000000019</v>
      </c>
      <c r="AD223" s="10">
        <f t="shared" si="90"/>
        <v>300</v>
      </c>
      <c r="AE223" s="15">
        <v>89448</v>
      </c>
      <c r="AF223" s="16">
        <v>16100</v>
      </c>
      <c r="AG223" s="15">
        <f t="shared" si="91"/>
        <v>3551.9999999999927</v>
      </c>
      <c r="AH223" s="15">
        <f t="shared" si="92"/>
        <v>639.35999999999865</v>
      </c>
      <c r="AI223" s="15">
        <f t="shared" si="93"/>
        <v>93000</v>
      </c>
      <c r="AJ223" s="15">
        <f t="shared" si="94"/>
        <v>16740</v>
      </c>
      <c r="AK223" s="10">
        <v>89448</v>
      </c>
      <c r="AL223" s="15">
        <f t="shared" si="95"/>
        <v>93000</v>
      </c>
      <c r="AM223" s="15">
        <f t="shared" si="96"/>
        <v>7721200</v>
      </c>
      <c r="AN223" s="15">
        <f t="shared" si="97"/>
        <v>932127</v>
      </c>
      <c r="AO223" s="15">
        <f t="shared" si="102"/>
        <v>1025423</v>
      </c>
      <c r="AP223" s="17">
        <f t="shared" si="98"/>
        <v>8746623</v>
      </c>
      <c r="AQ223" s="15">
        <v>6623971</v>
      </c>
      <c r="AR223" s="15">
        <v>296</v>
      </c>
      <c r="AS223" s="18">
        <f t="shared" si="103"/>
        <v>2122652</v>
      </c>
      <c r="AT223" s="19">
        <v>0</v>
      </c>
      <c r="AU223" s="8">
        <v>8800</v>
      </c>
      <c r="AV223" s="13">
        <f t="shared" si="104"/>
        <v>2728000</v>
      </c>
      <c r="AW223" s="18">
        <f t="shared" si="105"/>
        <v>7721200</v>
      </c>
      <c r="AX223" s="15">
        <f t="shared" si="99"/>
        <v>7722000</v>
      </c>
      <c r="AY223" s="20">
        <v>7.0000000000000007E-2</v>
      </c>
      <c r="AZ223" s="13">
        <f t="shared" si="100"/>
        <v>540540</v>
      </c>
      <c r="BA223" s="15">
        <f t="shared" si="101"/>
        <v>540600</v>
      </c>
      <c r="BB223" s="21">
        <f t="shared" si="106"/>
        <v>2663252</v>
      </c>
      <c r="BC223" s="10">
        <f t="shared" si="107"/>
        <v>3.7613488975356764</v>
      </c>
      <c r="BD223" s="10">
        <f t="shared" si="108"/>
        <v>3.9710222699221807</v>
      </c>
      <c r="BE223" s="10">
        <v>63.92</v>
      </c>
      <c r="BF223" s="10">
        <v>28.8</v>
      </c>
      <c r="BG223" s="107">
        <v>46176</v>
      </c>
      <c r="BH223" s="107">
        <f t="shared" si="83"/>
        <v>46206</v>
      </c>
      <c r="BI223" s="23">
        <v>7</v>
      </c>
      <c r="BJ223" s="6"/>
      <c r="BK223" s="6"/>
      <c r="BL223" s="24">
        <f>VLOOKUP(A223,[2]Sheet1!$D$2:$H$933,5,0)</f>
        <v>0</v>
      </c>
      <c r="BM223" s="6" t="s">
        <v>3828</v>
      </c>
      <c r="BN223" s="6" t="s">
        <v>3829</v>
      </c>
      <c r="BO223" s="6" t="s">
        <v>3820</v>
      </c>
      <c r="BP223" s="6" t="s">
        <v>3821</v>
      </c>
      <c r="BQ223" s="6" t="s">
        <v>3830</v>
      </c>
      <c r="BR223" t="s">
        <v>3823</v>
      </c>
      <c r="BS223" t="s">
        <v>3824</v>
      </c>
      <c r="BT223" t="s">
        <v>3825</v>
      </c>
      <c r="BU223" t="s">
        <v>3826</v>
      </c>
      <c r="BV223" t="s">
        <v>3827</v>
      </c>
      <c r="BW223" t="s">
        <v>3835</v>
      </c>
      <c r="BX223">
        <v>0</v>
      </c>
      <c r="BY223" t="s">
        <v>3861</v>
      </c>
      <c r="BZ223" t="s">
        <v>3872</v>
      </c>
    </row>
    <row r="224" spans="1:78" x14ac:dyDescent="0.25">
      <c r="A224" s="7" t="s">
        <v>984</v>
      </c>
      <c r="B224" s="7" t="s">
        <v>181</v>
      </c>
      <c r="C224" s="7" t="s">
        <v>982</v>
      </c>
      <c r="D224" s="8" t="s">
        <v>983</v>
      </c>
      <c r="E224" s="7" t="s">
        <v>985</v>
      </c>
      <c r="F224" s="9">
        <v>44864</v>
      </c>
      <c r="G224" s="9" t="s">
        <v>65</v>
      </c>
      <c r="H224" s="9" t="s">
        <v>72</v>
      </c>
      <c r="I224" s="8" t="s">
        <v>78</v>
      </c>
      <c r="J224" s="10">
        <v>596.33000000000004</v>
      </c>
      <c r="K224" s="10">
        <v>580.83000000000004</v>
      </c>
      <c r="L224" s="10">
        <f t="shared" si="84"/>
        <v>-15.5</v>
      </c>
      <c r="M224" s="10">
        <v>266.95</v>
      </c>
      <c r="N224" s="10">
        <v>260</v>
      </c>
      <c r="O224" s="10">
        <f t="shared" si="85"/>
        <v>-6.9499999999999886</v>
      </c>
      <c r="P224" s="11">
        <v>9000</v>
      </c>
      <c r="Q224" s="11">
        <v>20104.776175313731</v>
      </c>
      <c r="R224" s="11">
        <v>20000</v>
      </c>
      <c r="S224" s="11">
        <v>5366970</v>
      </c>
      <c r="T224" s="11">
        <v>644036</v>
      </c>
      <c r="U224" s="12">
        <f t="shared" si="86"/>
        <v>0.11999992547005107</v>
      </c>
      <c r="V224" s="13">
        <f t="shared" ref="V224:V234" si="111">L224*P224</f>
        <v>-139500</v>
      </c>
      <c r="W224" s="10">
        <f t="shared" si="87"/>
        <v>-16739.989603072125</v>
      </c>
      <c r="X224" s="15"/>
      <c r="Y224" s="15"/>
      <c r="Z224" s="11">
        <f t="shared" si="88"/>
        <v>5227470</v>
      </c>
      <c r="AA224" s="14">
        <v>977199</v>
      </c>
      <c r="AB224" s="14">
        <v>117264</v>
      </c>
      <c r="AC224" s="11">
        <f t="shared" si="89"/>
        <v>4250271</v>
      </c>
      <c r="AD224" s="10">
        <f t="shared" si="90"/>
        <v>300</v>
      </c>
      <c r="AE224" s="15">
        <v>80085</v>
      </c>
      <c r="AF224" s="16">
        <v>14416</v>
      </c>
      <c r="AG224" s="15">
        <f t="shared" si="91"/>
        <v>-2084.9999999999964</v>
      </c>
      <c r="AH224" s="15">
        <f t="shared" si="92"/>
        <v>-375.29999999999933</v>
      </c>
      <c r="AI224" s="15">
        <f t="shared" si="93"/>
        <v>78000</v>
      </c>
      <c r="AJ224" s="15">
        <f t="shared" si="94"/>
        <v>14040</v>
      </c>
      <c r="AK224" s="10">
        <v>80085</v>
      </c>
      <c r="AL224" s="15">
        <f t="shared" si="95"/>
        <v>78000</v>
      </c>
      <c r="AM224" s="15">
        <f t="shared" si="96"/>
        <v>4328271</v>
      </c>
      <c r="AN224" s="15">
        <f t="shared" si="97"/>
        <v>524073</v>
      </c>
      <c r="AO224" s="15">
        <f t="shared" si="102"/>
        <v>602309.56000000006</v>
      </c>
      <c r="AP224" s="17">
        <f t="shared" si="98"/>
        <v>4930580.5600000005</v>
      </c>
      <c r="AQ224" s="15">
        <v>4277455</v>
      </c>
      <c r="AR224" s="15">
        <v>236.56</v>
      </c>
      <c r="AS224" s="18">
        <f t="shared" si="103"/>
        <v>653126</v>
      </c>
      <c r="AT224" s="19">
        <v>0</v>
      </c>
      <c r="AU224" s="8">
        <v>8800</v>
      </c>
      <c r="AV224" s="13">
        <f t="shared" si="104"/>
        <v>2288000</v>
      </c>
      <c r="AW224" s="18">
        <f t="shared" si="105"/>
        <v>4328271</v>
      </c>
      <c r="AX224" s="15">
        <f t="shared" si="99"/>
        <v>4329000</v>
      </c>
      <c r="AY224" s="20">
        <v>0.06</v>
      </c>
      <c r="AZ224" s="13">
        <f t="shared" si="100"/>
        <v>259740</v>
      </c>
      <c r="BA224" s="15">
        <f t="shared" si="101"/>
        <v>259800</v>
      </c>
      <c r="BB224" s="21">
        <f t="shared" si="106"/>
        <v>912926</v>
      </c>
      <c r="BC224" s="10">
        <f t="shared" si="107"/>
        <v>-2.599231968876293</v>
      </c>
      <c r="BD224" s="10">
        <f t="shared" si="108"/>
        <v>-2.6034837984641279</v>
      </c>
      <c r="BE224" s="10">
        <v>53.96</v>
      </c>
      <c r="BF224" s="10">
        <v>24.15</v>
      </c>
      <c r="BG224" s="107">
        <v>46176</v>
      </c>
      <c r="BH224" s="107">
        <f t="shared" si="83"/>
        <v>46206</v>
      </c>
      <c r="BI224" s="23">
        <v>6</v>
      </c>
      <c r="BJ224" s="6"/>
      <c r="BK224" s="6"/>
      <c r="BL224" s="24">
        <f>VLOOKUP(A224,[2]Sheet1!$D$2:$H$933,5,0)</f>
        <v>0</v>
      </c>
      <c r="BM224" s="6" t="s">
        <v>3828</v>
      </c>
      <c r="BN224" s="6" t="s">
        <v>3829</v>
      </c>
      <c r="BO224" s="6" t="s">
        <v>3820</v>
      </c>
      <c r="BP224" s="6" t="s">
        <v>3821</v>
      </c>
      <c r="BQ224" s="6" t="s">
        <v>3830</v>
      </c>
      <c r="BR224" t="s">
        <v>3823</v>
      </c>
      <c r="BS224" t="s">
        <v>3824</v>
      </c>
      <c r="BT224" t="s">
        <v>3825</v>
      </c>
      <c r="BU224" t="s">
        <v>3826</v>
      </c>
      <c r="BV224" t="s">
        <v>3827</v>
      </c>
      <c r="BW224" t="s">
        <v>3835</v>
      </c>
      <c r="BX224">
        <v>0</v>
      </c>
      <c r="BY224" t="s">
        <v>3864</v>
      </c>
      <c r="BZ224" t="s">
        <v>3860</v>
      </c>
    </row>
    <row r="225" spans="1:78" x14ac:dyDescent="0.25">
      <c r="A225" s="7" t="s">
        <v>989</v>
      </c>
      <c r="B225" s="7" t="s">
        <v>181</v>
      </c>
      <c r="C225" s="7" t="s">
        <v>987</v>
      </c>
      <c r="D225" s="8" t="s">
        <v>988</v>
      </c>
      <c r="E225" s="7" t="s">
        <v>990</v>
      </c>
      <c r="F225" s="9">
        <v>45008</v>
      </c>
      <c r="G225" s="9" t="s">
        <v>65</v>
      </c>
      <c r="H225" s="9" t="s">
        <v>92</v>
      </c>
      <c r="I225" s="8" t="s">
        <v>67</v>
      </c>
      <c r="J225" s="10">
        <v>424.58</v>
      </c>
      <c r="K225" s="10">
        <v>424.58</v>
      </c>
      <c r="L225" s="10">
        <f t="shared" si="84"/>
        <v>0</v>
      </c>
      <c r="M225" s="10">
        <v>174.92</v>
      </c>
      <c r="N225" s="10">
        <v>174.92</v>
      </c>
      <c r="O225" s="10">
        <f t="shared" si="85"/>
        <v>0</v>
      </c>
      <c r="P225" s="11">
        <v>17564.689811107448</v>
      </c>
      <c r="Q225" s="11">
        <v>42634.43860050309</v>
      </c>
      <c r="R225" s="11">
        <v>28000</v>
      </c>
      <c r="S225" s="11">
        <v>7457616</v>
      </c>
      <c r="T225" s="11">
        <v>894914</v>
      </c>
      <c r="U225" s="12">
        <f t="shared" si="86"/>
        <v>0.12000001072728872</v>
      </c>
      <c r="V225" s="13">
        <f t="shared" si="111"/>
        <v>0</v>
      </c>
      <c r="W225" s="10">
        <f t="shared" si="87"/>
        <v>0</v>
      </c>
      <c r="X225" s="10"/>
      <c r="Y225" s="10"/>
      <c r="Z225" s="11">
        <f t="shared" si="88"/>
        <v>7457616</v>
      </c>
      <c r="AA225" s="14">
        <v>684223</v>
      </c>
      <c r="AB225" s="14">
        <v>82106</v>
      </c>
      <c r="AC225" s="11">
        <f t="shared" si="89"/>
        <v>6773393</v>
      </c>
      <c r="AD225" s="10">
        <f t="shared" si="90"/>
        <v>300</v>
      </c>
      <c r="AE225" s="15">
        <v>52476</v>
      </c>
      <c r="AF225" s="16">
        <v>9446</v>
      </c>
      <c r="AG225" s="15">
        <f t="shared" si="91"/>
        <v>0</v>
      </c>
      <c r="AH225" s="15">
        <f t="shared" si="92"/>
        <v>0</v>
      </c>
      <c r="AI225" s="15">
        <f t="shared" si="93"/>
        <v>52475.999999999993</v>
      </c>
      <c r="AJ225" s="15">
        <f t="shared" si="94"/>
        <v>9446</v>
      </c>
      <c r="AK225" s="10">
        <v>52476</v>
      </c>
      <c r="AL225" s="15">
        <f t="shared" si="95"/>
        <v>52475.999999999993</v>
      </c>
      <c r="AM225" s="15">
        <f t="shared" si="96"/>
        <v>6825869</v>
      </c>
      <c r="AN225" s="15">
        <f t="shared" si="97"/>
        <v>822254</v>
      </c>
      <c r="AO225" s="15">
        <f t="shared" si="102"/>
        <v>875030</v>
      </c>
      <c r="AP225" s="17">
        <f t="shared" si="98"/>
        <v>7700899</v>
      </c>
      <c r="AQ225" s="15">
        <v>6690671</v>
      </c>
      <c r="AR225" s="15">
        <v>300</v>
      </c>
      <c r="AS225" s="18">
        <f t="shared" si="103"/>
        <v>1010228</v>
      </c>
      <c r="AT225" s="19">
        <v>0</v>
      </c>
      <c r="AU225" s="8">
        <v>8800</v>
      </c>
      <c r="AV225" s="13">
        <f t="shared" si="104"/>
        <v>1539296</v>
      </c>
      <c r="AW225" s="18">
        <f t="shared" si="105"/>
        <v>6825869</v>
      </c>
      <c r="AX225" s="15">
        <f t="shared" si="99"/>
        <v>6826000</v>
      </c>
      <c r="AY225" s="20">
        <v>0.06</v>
      </c>
      <c r="AZ225" s="13">
        <f t="shared" si="100"/>
        <v>409560</v>
      </c>
      <c r="BA225" s="15">
        <f t="shared" si="101"/>
        <v>409600</v>
      </c>
      <c r="BB225" s="21">
        <f t="shared" si="106"/>
        <v>1419828</v>
      </c>
      <c r="BC225" s="10">
        <f t="shared" si="107"/>
        <v>0</v>
      </c>
      <c r="BD225" s="10">
        <f t="shared" si="108"/>
        <v>0</v>
      </c>
      <c r="BE225" s="10">
        <v>39.44</v>
      </c>
      <c r="BF225" s="10">
        <v>16.25</v>
      </c>
      <c r="BG225" s="107">
        <v>46176</v>
      </c>
      <c r="BH225" s="107">
        <f t="shared" si="83"/>
        <v>46206</v>
      </c>
      <c r="BI225" s="23">
        <v>6</v>
      </c>
      <c r="BJ225" s="6"/>
      <c r="BK225" s="24"/>
      <c r="BL225" s="24">
        <f>VLOOKUP(A225,[2]Sheet1!$D$2:$H$933,5,0)</f>
        <v>0</v>
      </c>
      <c r="BM225" s="6" t="s">
        <v>3828</v>
      </c>
      <c r="BN225" s="6" t="s">
        <v>3829</v>
      </c>
      <c r="BO225" s="6" t="s">
        <v>3820</v>
      </c>
      <c r="BP225" s="6" t="s">
        <v>3821</v>
      </c>
      <c r="BQ225" s="6" t="s">
        <v>3830</v>
      </c>
      <c r="BR225" t="s">
        <v>3823</v>
      </c>
      <c r="BS225" t="s">
        <v>3824</v>
      </c>
      <c r="BT225" t="s">
        <v>3825</v>
      </c>
      <c r="BU225" t="s">
        <v>3826</v>
      </c>
      <c r="BV225" t="s">
        <v>3827</v>
      </c>
      <c r="BW225" t="s">
        <v>3835</v>
      </c>
      <c r="BX225">
        <v>0</v>
      </c>
      <c r="BY225" t="s">
        <v>3870</v>
      </c>
      <c r="BZ225" t="s">
        <v>3860</v>
      </c>
    </row>
    <row r="226" spans="1:78" x14ac:dyDescent="0.25">
      <c r="A226" s="7" t="s">
        <v>993</v>
      </c>
      <c r="B226" s="7" t="s">
        <v>181</v>
      </c>
      <c r="C226" s="7" t="s">
        <v>991</v>
      </c>
      <c r="D226" s="8" t="s">
        <v>992</v>
      </c>
      <c r="E226" s="7" t="s">
        <v>994</v>
      </c>
      <c r="F226" s="9">
        <v>45008</v>
      </c>
      <c r="G226" s="9" t="s">
        <v>65</v>
      </c>
      <c r="H226" s="9" t="s">
        <v>66</v>
      </c>
      <c r="I226" s="8" t="s">
        <v>78</v>
      </c>
      <c r="J226" s="10">
        <v>804.5</v>
      </c>
      <c r="K226" s="10">
        <v>804.5</v>
      </c>
      <c r="L226" s="10">
        <f t="shared" si="84"/>
        <v>0</v>
      </c>
      <c r="M226" s="10">
        <v>372.43</v>
      </c>
      <c r="N226" s="10">
        <v>372.43</v>
      </c>
      <c r="O226" s="10">
        <f t="shared" si="85"/>
        <v>0</v>
      </c>
      <c r="P226" s="11">
        <v>9295.9502796768174</v>
      </c>
      <c r="Q226" s="11">
        <v>20080.530569502993</v>
      </c>
      <c r="R226" s="11">
        <v>22000</v>
      </c>
      <c r="S226" s="11">
        <v>7478592</v>
      </c>
      <c r="T226" s="11">
        <v>897432</v>
      </c>
      <c r="U226" s="12">
        <f t="shared" si="86"/>
        <v>0.12000012836640908</v>
      </c>
      <c r="V226" s="13">
        <f t="shared" si="111"/>
        <v>0</v>
      </c>
      <c r="W226" s="10">
        <f t="shared" si="87"/>
        <v>0</v>
      </c>
      <c r="X226" s="10"/>
      <c r="Y226" s="10"/>
      <c r="Z226" s="11">
        <f t="shared" si="88"/>
        <v>7478592</v>
      </c>
      <c r="AA226" s="14"/>
      <c r="AB226" s="14"/>
      <c r="AC226" s="11">
        <f t="shared" si="89"/>
        <v>7478592</v>
      </c>
      <c r="AD226" s="10">
        <f t="shared" si="90"/>
        <v>300</v>
      </c>
      <c r="AE226" s="15">
        <v>111729</v>
      </c>
      <c r="AF226" s="16">
        <v>20112</v>
      </c>
      <c r="AG226" s="15">
        <f t="shared" si="91"/>
        <v>0</v>
      </c>
      <c r="AH226" s="15">
        <f t="shared" si="92"/>
        <v>0</v>
      </c>
      <c r="AI226" s="15">
        <f t="shared" si="93"/>
        <v>111729</v>
      </c>
      <c r="AJ226" s="15">
        <f t="shared" si="94"/>
        <v>20112</v>
      </c>
      <c r="AK226" s="10">
        <v>111729</v>
      </c>
      <c r="AL226" s="15">
        <f t="shared" si="95"/>
        <v>111729</v>
      </c>
      <c r="AM226" s="15">
        <f t="shared" si="96"/>
        <v>7590321</v>
      </c>
      <c r="AN226" s="15">
        <f t="shared" si="97"/>
        <v>917544</v>
      </c>
      <c r="AO226" s="15">
        <f t="shared" si="102"/>
        <v>1029579</v>
      </c>
      <c r="AP226" s="17">
        <f t="shared" si="98"/>
        <v>8619900</v>
      </c>
      <c r="AQ226" s="15">
        <v>6805113</v>
      </c>
      <c r="AR226" s="15">
        <v>306</v>
      </c>
      <c r="AS226" s="18">
        <f t="shared" si="103"/>
        <v>1814787</v>
      </c>
      <c r="AT226" s="19">
        <v>0</v>
      </c>
      <c r="AU226" s="8">
        <v>8800</v>
      </c>
      <c r="AV226" s="13">
        <f t="shared" si="104"/>
        <v>3277384</v>
      </c>
      <c r="AW226" s="18">
        <f t="shared" si="105"/>
        <v>7590321</v>
      </c>
      <c r="AX226" s="15">
        <f t="shared" si="99"/>
        <v>7591000</v>
      </c>
      <c r="AY226" s="20">
        <v>0.05</v>
      </c>
      <c r="AZ226" s="13">
        <f t="shared" si="100"/>
        <v>379550</v>
      </c>
      <c r="BA226" s="15">
        <f t="shared" si="101"/>
        <v>379600</v>
      </c>
      <c r="BB226" s="21">
        <f t="shared" si="106"/>
        <v>2194387</v>
      </c>
      <c r="BC226" s="10">
        <f t="shared" si="107"/>
        <v>0</v>
      </c>
      <c r="BD226" s="10">
        <f t="shared" si="108"/>
        <v>0</v>
      </c>
      <c r="BE226" s="10">
        <v>74.739999999999995</v>
      </c>
      <c r="BF226" s="10">
        <v>34.6</v>
      </c>
      <c r="BG226" s="107">
        <v>46176</v>
      </c>
      <c r="BH226" s="107">
        <f t="shared" si="83"/>
        <v>46206</v>
      </c>
      <c r="BI226" s="23">
        <v>5</v>
      </c>
      <c r="BJ226" s="6"/>
      <c r="BK226" s="6"/>
      <c r="BL226" s="24">
        <f>VLOOKUP(A226,[2]Sheet1!$D$2:$H$933,5,0)</f>
        <v>0</v>
      </c>
      <c r="BM226" s="6" t="s">
        <v>3828</v>
      </c>
      <c r="BN226" s="6" t="s">
        <v>3829</v>
      </c>
      <c r="BO226" s="6" t="s">
        <v>3820</v>
      </c>
      <c r="BP226" s="6" t="s">
        <v>3821</v>
      </c>
      <c r="BQ226" s="6" t="s">
        <v>3830</v>
      </c>
      <c r="BR226" t="s">
        <v>3823</v>
      </c>
      <c r="BS226" t="s">
        <v>3824</v>
      </c>
      <c r="BT226" t="s">
        <v>3825</v>
      </c>
      <c r="BU226" t="s">
        <v>3826</v>
      </c>
      <c r="BV226" t="s">
        <v>3827</v>
      </c>
      <c r="BW226" t="s">
        <v>3835</v>
      </c>
      <c r="BX226">
        <v>0</v>
      </c>
      <c r="BY226" t="s">
        <v>3870</v>
      </c>
      <c r="BZ226" t="s">
        <v>3860</v>
      </c>
    </row>
    <row r="227" spans="1:78" x14ac:dyDescent="0.25">
      <c r="A227" s="7" t="s">
        <v>997</v>
      </c>
      <c r="B227" s="7" t="s">
        <v>181</v>
      </c>
      <c r="C227" s="7" t="s">
        <v>995</v>
      </c>
      <c r="D227" s="8" t="s">
        <v>996</v>
      </c>
      <c r="E227" s="7" t="s">
        <v>998</v>
      </c>
      <c r="F227" s="9">
        <v>45152</v>
      </c>
      <c r="G227" s="9" t="s">
        <v>65</v>
      </c>
      <c r="H227" s="9" t="s">
        <v>66</v>
      </c>
      <c r="I227" s="8" t="s">
        <v>67</v>
      </c>
      <c r="J227" s="10">
        <v>571.69000000000005</v>
      </c>
      <c r="K227" s="10">
        <v>571.69000000000005</v>
      </c>
      <c r="L227" s="10">
        <f t="shared" si="84"/>
        <v>0</v>
      </c>
      <c r="M227" s="10">
        <v>234.66</v>
      </c>
      <c r="N227" s="10">
        <v>234.66</v>
      </c>
      <c r="O227" s="10">
        <f t="shared" si="85"/>
        <v>0</v>
      </c>
      <c r="P227" s="11">
        <v>17150.000874599868</v>
      </c>
      <c r="Q227" s="11">
        <v>41781.658569845735</v>
      </c>
      <c r="R227" s="11">
        <v>22000</v>
      </c>
      <c r="S227" s="11">
        <v>9804484</v>
      </c>
      <c r="T227" s="11">
        <v>1176540</v>
      </c>
      <c r="U227" s="12">
        <f t="shared" si="86"/>
        <v>0.1200001958287657</v>
      </c>
      <c r="V227" s="13">
        <f t="shared" si="111"/>
        <v>0</v>
      </c>
      <c r="W227" s="10">
        <f t="shared" si="87"/>
        <v>0</v>
      </c>
      <c r="X227" s="10"/>
      <c r="Y227" s="10"/>
      <c r="Z227" s="11">
        <f t="shared" si="88"/>
        <v>9804484</v>
      </c>
      <c r="AA227" s="14"/>
      <c r="AB227" s="14"/>
      <c r="AC227" s="11">
        <f t="shared" si="89"/>
        <v>9804484</v>
      </c>
      <c r="AD227" s="10">
        <f t="shared" si="90"/>
        <v>300</v>
      </c>
      <c r="AE227" s="15">
        <v>70398</v>
      </c>
      <c r="AF227" s="16">
        <v>12672</v>
      </c>
      <c r="AG227" s="15">
        <f t="shared" si="91"/>
        <v>0</v>
      </c>
      <c r="AH227" s="15">
        <f t="shared" si="92"/>
        <v>0</v>
      </c>
      <c r="AI227" s="15">
        <f t="shared" si="93"/>
        <v>70398</v>
      </c>
      <c r="AJ227" s="15">
        <f t="shared" si="94"/>
        <v>12672</v>
      </c>
      <c r="AK227" s="10">
        <v>70398</v>
      </c>
      <c r="AL227" s="15">
        <f t="shared" si="95"/>
        <v>70398</v>
      </c>
      <c r="AM227" s="15">
        <f t="shared" si="96"/>
        <v>9874882</v>
      </c>
      <c r="AN227" s="15">
        <f t="shared" si="97"/>
        <v>1189212</v>
      </c>
      <c r="AO227" s="15">
        <f t="shared" si="102"/>
        <v>1259916</v>
      </c>
      <c r="AP227" s="17">
        <f t="shared" si="98"/>
        <v>11134798</v>
      </c>
      <c r="AQ227" s="15">
        <v>9821539</v>
      </c>
      <c r="AR227" s="15">
        <v>306</v>
      </c>
      <c r="AS227" s="18">
        <f t="shared" si="103"/>
        <v>1313259</v>
      </c>
      <c r="AT227" s="19">
        <v>0</v>
      </c>
      <c r="AU227" s="8">
        <v>8800</v>
      </c>
      <c r="AV227" s="13">
        <f t="shared" si="104"/>
        <v>2065008</v>
      </c>
      <c r="AW227" s="18">
        <f t="shared" si="105"/>
        <v>9874882</v>
      </c>
      <c r="AX227" s="15">
        <f t="shared" si="99"/>
        <v>9875000</v>
      </c>
      <c r="AY227" s="20">
        <v>7.0000000000000007E-2</v>
      </c>
      <c r="AZ227" s="13">
        <f t="shared" si="100"/>
        <v>691250.00000000012</v>
      </c>
      <c r="BA227" s="15">
        <f t="shared" si="101"/>
        <v>691300</v>
      </c>
      <c r="BB227" s="21">
        <f t="shared" si="106"/>
        <v>2004559</v>
      </c>
      <c r="BC227" s="10">
        <f t="shared" si="107"/>
        <v>0</v>
      </c>
      <c r="BD227" s="10">
        <f t="shared" si="108"/>
        <v>0</v>
      </c>
      <c r="BE227" s="10">
        <v>53.11</v>
      </c>
      <c r="BF227" s="10">
        <v>21.8</v>
      </c>
      <c r="BG227" s="107">
        <v>46176</v>
      </c>
      <c r="BH227" s="107">
        <f t="shared" si="83"/>
        <v>46206</v>
      </c>
      <c r="BI227" s="23">
        <v>7</v>
      </c>
      <c r="BJ227" s="6"/>
      <c r="BK227" s="6"/>
      <c r="BL227" s="24">
        <f>VLOOKUP(A227,[2]Sheet1!$D$2:$H$933,5,0)</f>
        <v>0</v>
      </c>
      <c r="BM227" s="6" t="s">
        <v>3828</v>
      </c>
      <c r="BN227" s="6" t="s">
        <v>3829</v>
      </c>
      <c r="BO227" s="6" t="s">
        <v>3820</v>
      </c>
      <c r="BP227" s="6" t="s">
        <v>3821</v>
      </c>
      <c r="BQ227" s="6" t="s">
        <v>3830</v>
      </c>
      <c r="BR227" t="s">
        <v>3823</v>
      </c>
      <c r="BS227" t="s">
        <v>3824</v>
      </c>
      <c r="BT227" t="s">
        <v>3825</v>
      </c>
      <c r="BU227" t="s">
        <v>3826</v>
      </c>
      <c r="BV227" t="s">
        <v>3827</v>
      </c>
      <c r="BW227" t="s">
        <v>3835</v>
      </c>
      <c r="BX227">
        <v>0</v>
      </c>
      <c r="BY227" t="s">
        <v>3862</v>
      </c>
      <c r="BZ227" t="s">
        <v>3860</v>
      </c>
    </row>
    <row r="228" spans="1:78" x14ac:dyDescent="0.25">
      <c r="A228" s="7" t="s">
        <v>1001</v>
      </c>
      <c r="B228" s="7" t="s">
        <v>181</v>
      </c>
      <c r="C228" s="7" t="s">
        <v>999</v>
      </c>
      <c r="D228" s="8" t="s">
        <v>1000</v>
      </c>
      <c r="E228" s="7" t="s">
        <v>1002</v>
      </c>
      <c r="F228" s="9">
        <v>44891</v>
      </c>
      <c r="G228" s="9" t="s">
        <v>404</v>
      </c>
      <c r="H228" s="9" t="s">
        <v>66</v>
      </c>
      <c r="I228" s="8" t="s">
        <v>78</v>
      </c>
      <c r="J228" s="10">
        <v>775.01</v>
      </c>
      <c r="K228" s="10">
        <v>775.01</v>
      </c>
      <c r="L228" s="10">
        <f t="shared" si="84"/>
        <v>0</v>
      </c>
      <c r="M228" s="10">
        <v>358.44</v>
      </c>
      <c r="N228" s="10">
        <v>358.44</v>
      </c>
      <c r="O228" s="10">
        <f t="shared" si="85"/>
        <v>0</v>
      </c>
      <c r="P228" s="11">
        <v>11149.999354847034</v>
      </c>
      <c r="Q228" s="11">
        <v>24108.249637317265</v>
      </c>
      <c r="R228" s="11">
        <v>22000</v>
      </c>
      <c r="S228" s="11">
        <v>8641361</v>
      </c>
      <c r="T228" s="11">
        <v>1036964</v>
      </c>
      <c r="U228" s="12">
        <f t="shared" si="86"/>
        <v>0.12000007869130801</v>
      </c>
      <c r="V228" s="13">
        <f t="shared" si="111"/>
        <v>0</v>
      </c>
      <c r="W228" s="10">
        <f t="shared" si="87"/>
        <v>0</v>
      </c>
      <c r="X228" s="10"/>
      <c r="Y228" s="10"/>
      <c r="Z228" s="11">
        <f t="shared" si="88"/>
        <v>8641361</v>
      </c>
      <c r="AA228" s="14">
        <v>1652133</v>
      </c>
      <c r="AB228" s="14">
        <v>198256</v>
      </c>
      <c r="AC228" s="11">
        <f t="shared" si="89"/>
        <v>6989228</v>
      </c>
      <c r="AD228" s="10">
        <f t="shared" si="90"/>
        <v>300</v>
      </c>
      <c r="AE228" s="15">
        <v>107532</v>
      </c>
      <c r="AF228" s="16">
        <v>19356</v>
      </c>
      <c r="AG228" s="15">
        <f t="shared" si="91"/>
        <v>0</v>
      </c>
      <c r="AH228" s="15">
        <f t="shared" si="92"/>
        <v>0</v>
      </c>
      <c r="AI228" s="15">
        <f t="shared" si="93"/>
        <v>107532</v>
      </c>
      <c r="AJ228" s="15">
        <f t="shared" si="94"/>
        <v>19356</v>
      </c>
      <c r="AK228" s="10">
        <v>107532</v>
      </c>
      <c r="AL228" s="15">
        <f t="shared" si="95"/>
        <v>107532</v>
      </c>
      <c r="AM228" s="15">
        <f t="shared" si="96"/>
        <v>7096760</v>
      </c>
      <c r="AN228" s="15">
        <f t="shared" si="97"/>
        <v>858064</v>
      </c>
      <c r="AO228" s="15">
        <f t="shared" si="102"/>
        <v>965902</v>
      </c>
      <c r="AP228" s="17">
        <f t="shared" si="98"/>
        <v>8062662</v>
      </c>
      <c r="AQ228" s="15">
        <v>6798853</v>
      </c>
      <c r="AR228" s="15">
        <v>306</v>
      </c>
      <c r="AS228" s="18">
        <f t="shared" si="103"/>
        <v>1263809</v>
      </c>
      <c r="AT228" s="19">
        <v>0</v>
      </c>
      <c r="AU228" s="8">
        <v>8800</v>
      </c>
      <c r="AV228" s="13">
        <f t="shared" si="104"/>
        <v>3154272</v>
      </c>
      <c r="AW228" s="18">
        <f t="shared" si="105"/>
        <v>7096760</v>
      </c>
      <c r="AX228" s="15">
        <f t="shared" si="99"/>
        <v>7097000</v>
      </c>
      <c r="AY228" s="20">
        <v>0.05</v>
      </c>
      <c r="AZ228" s="13">
        <f t="shared" si="100"/>
        <v>354850</v>
      </c>
      <c r="BA228" s="15">
        <f t="shared" si="101"/>
        <v>354900</v>
      </c>
      <c r="BB228" s="21">
        <f t="shared" si="106"/>
        <v>1618709</v>
      </c>
      <c r="BC228" s="10">
        <f t="shared" si="107"/>
        <v>0</v>
      </c>
      <c r="BD228" s="10">
        <f t="shared" si="108"/>
        <v>0</v>
      </c>
      <c r="BE228" s="10">
        <v>72</v>
      </c>
      <c r="BF228" s="10">
        <v>33.299999999999997</v>
      </c>
      <c r="BG228" s="107">
        <v>46176</v>
      </c>
      <c r="BH228" s="107">
        <f t="shared" si="83"/>
        <v>46206</v>
      </c>
      <c r="BI228" s="23">
        <v>5</v>
      </c>
      <c r="BJ228" s="6"/>
      <c r="BK228" s="6"/>
      <c r="BL228" s="24">
        <f>VLOOKUP(A228,[2]Sheet1!$D$2:$H$933,5,0)</f>
        <v>0</v>
      </c>
      <c r="BM228" s="6" t="s">
        <v>3828</v>
      </c>
      <c r="BN228" s="6" t="s">
        <v>3829</v>
      </c>
      <c r="BO228" s="6" t="s">
        <v>3820</v>
      </c>
      <c r="BP228" s="6" t="s">
        <v>3821</v>
      </c>
      <c r="BQ228" s="6" t="s">
        <v>3830</v>
      </c>
      <c r="BR228" t="s">
        <v>3823</v>
      </c>
      <c r="BS228" t="s">
        <v>3824</v>
      </c>
      <c r="BT228" t="s">
        <v>3825</v>
      </c>
      <c r="BU228" t="s">
        <v>3826</v>
      </c>
      <c r="BV228" t="s">
        <v>3827</v>
      </c>
      <c r="BW228" t="s">
        <v>3835</v>
      </c>
      <c r="BX228">
        <v>0</v>
      </c>
      <c r="BY228" t="s">
        <v>3859</v>
      </c>
      <c r="BZ228" t="s">
        <v>3863</v>
      </c>
    </row>
    <row r="229" spans="1:78" x14ac:dyDescent="0.25">
      <c r="A229" s="7" t="s">
        <v>1005</v>
      </c>
      <c r="B229" s="7" t="s">
        <v>181</v>
      </c>
      <c r="C229" s="7" t="s">
        <v>1003</v>
      </c>
      <c r="D229" s="8" t="s">
        <v>1004</v>
      </c>
      <c r="E229" s="7" t="s">
        <v>1006</v>
      </c>
      <c r="F229" s="9">
        <v>44995</v>
      </c>
      <c r="G229" s="9" t="s">
        <v>404</v>
      </c>
      <c r="H229" s="9" t="s">
        <v>92</v>
      </c>
      <c r="I229" s="8" t="s">
        <v>78</v>
      </c>
      <c r="J229" s="10">
        <v>792.23</v>
      </c>
      <c r="K229" s="10">
        <v>792.23</v>
      </c>
      <c r="L229" s="10">
        <f t="shared" si="84"/>
        <v>0</v>
      </c>
      <c r="M229" s="10">
        <v>370.28</v>
      </c>
      <c r="N229" s="10">
        <v>370.28</v>
      </c>
      <c r="O229" s="10">
        <f t="shared" si="85"/>
        <v>0</v>
      </c>
      <c r="P229" s="11">
        <v>12142.000429168296</v>
      </c>
      <c r="Q229" s="11">
        <v>25978.332613157614</v>
      </c>
      <c r="R229" s="11">
        <v>28000</v>
      </c>
      <c r="S229" s="11">
        <v>9619257</v>
      </c>
      <c r="T229" s="11">
        <v>1154310</v>
      </c>
      <c r="U229" s="12">
        <f t="shared" si="86"/>
        <v>0.11999991267516816</v>
      </c>
      <c r="V229" s="13">
        <f t="shared" si="111"/>
        <v>0</v>
      </c>
      <c r="W229" s="10">
        <f t="shared" si="87"/>
        <v>0</v>
      </c>
      <c r="X229" s="10"/>
      <c r="Y229" s="10"/>
      <c r="Z229" s="11">
        <f t="shared" si="88"/>
        <v>9619257</v>
      </c>
      <c r="AA229" s="14"/>
      <c r="AB229" s="14"/>
      <c r="AC229" s="11">
        <f t="shared" si="89"/>
        <v>9619257</v>
      </c>
      <c r="AD229" s="10">
        <f t="shared" si="90"/>
        <v>300</v>
      </c>
      <c r="AE229" s="15">
        <v>111084</v>
      </c>
      <c r="AF229" s="16">
        <v>19996</v>
      </c>
      <c r="AG229" s="15">
        <f t="shared" si="91"/>
        <v>0</v>
      </c>
      <c r="AH229" s="15">
        <f t="shared" si="92"/>
        <v>0</v>
      </c>
      <c r="AI229" s="15">
        <f t="shared" si="93"/>
        <v>111083.99999999999</v>
      </c>
      <c r="AJ229" s="15">
        <f t="shared" si="94"/>
        <v>19996</v>
      </c>
      <c r="AK229" s="10">
        <v>111084</v>
      </c>
      <c r="AL229" s="15">
        <f t="shared" si="95"/>
        <v>111083.99999999999</v>
      </c>
      <c r="AM229" s="15">
        <f t="shared" si="96"/>
        <v>9730341</v>
      </c>
      <c r="AN229" s="15">
        <f t="shared" si="97"/>
        <v>1174306</v>
      </c>
      <c r="AO229" s="15">
        <f t="shared" si="102"/>
        <v>1285697</v>
      </c>
      <c r="AP229" s="17">
        <f t="shared" si="98"/>
        <v>11016038</v>
      </c>
      <c r="AQ229" s="15">
        <v>9634698.0099999998</v>
      </c>
      <c r="AR229" s="15">
        <v>307</v>
      </c>
      <c r="AS229" s="18">
        <f t="shared" si="103"/>
        <v>1381340</v>
      </c>
      <c r="AT229" s="19">
        <v>9730340</v>
      </c>
      <c r="AU229" s="8">
        <v>8800</v>
      </c>
      <c r="AV229" s="13">
        <f t="shared" si="104"/>
        <v>3258463.9999999995</v>
      </c>
      <c r="AW229" s="18">
        <f t="shared" si="105"/>
        <v>9730341</v>
      </c>
      <c r="AX229" s="15">
        <f t="shared" si="99"/>
        <v>9731000</v>
      </c>
      <c r="AY229" s="20">
        <v>0.06</v>
      </c>
      <c r="AZ229" s="13">
        <f t="shared" si="100"/>
        <v>583860</v>
      </c>
      <c r="BA229" s="15">
        <f t="shared" si="101"/>
        <v>583900</v>
      </c>
      <c r="BB229" s="21">
        <f t="shared" si="106"/>
        <v>1965240</v>
      </c>
      <c r="BC229" s="10">
        <f t="shared" si="107"/>
        <v>0</v>
      </c>
      <c r="BD229" s="10">
        <f t="shared" si="108"/>
        <v>0</v>
      </c>
      <c r="BE229" s="10">
        <v>73.599999999999994</v>
      </c>
      <c r="BF229" s="10">
        <v>34.4</v>
      </c>
      <c r="BG229" s="107">
        <v>46176</v>
      </c>
      <c r="BH229" s="107">
        <f t="shared" si="83"/>
        <v>46206</v>
      </c>
      <c r="BI229" s="23">
        <v>6</v>
      </c>
      <c r="BJ229" s="6"/>
      <c r="BK229" s="6"/>
      <c r="BL229" s="24">
        <f>VLOOKUP(A229,[2]Sheet1!$D$2:$H$933,5,0)</f>
        <v>0</v>
      </c>
      <c r="BM229" s="6" t="s">
        <v>3828</v>
      </c>
      <c r="BN229" s="6" t="s">
        <v>3829</v>
      </c>
      <c r="BO229" s="6" t="s">
        <v>3820</v>
      </c>
      <c r="BP229" s="6" t="s">
        <v>3821</v>
      </c>
      <c r="BQ229" s="6" t="s">
        <v>3830</v>
      </c>
      <c r="BR229" t="s">
        <v>3823</v>
      </c>
      <c r="BS229" t="s">
        <v>3824</v>
      </c>
      <c r="BT229" t="s">
        <v>3825</v>
      </c>
      <c r="BU229" t="s">
        <v>3826</v>
      </c>
      <c r="BV229" t="s">
        <v>3827</v>
      </c>
      <c r="BW229" t="s">
        <v>3835</v>
      </c>
      <c r="BX229">
        <v>0</v>
      </c>
      <c r="BY229" t="s">
        <v>3861</v>
      </c>
      <c r="BZ229" t="s">
        <v>3863</v>
      </c>
    </row>
    <row r="230" spans="1:78" x14ac:dyDescent="0.25">
      <c r="A230" s="7" t="s">
        <v>1009</v>
      </c>
      <c r="B230" s="7" t="s">
        <v>181</v>
      </c>
      <c r="C230" s="7" t="s">
        <v>1007</v>
      </c>
      <c r="D230" s="8" t="s">
        <v>1008</v>
      </c>
      <c r="E230" s="7" t="s">
        <v>1010</v>
      </c>
      <c r="F230" s="9">
        <v>44987</v>
      </c>
      <c r="G230" s="9" t="s">
        <v>65</v>
      </c>
      <c r="H230" s="9" t="s">
        <v>66</v>
      </c>
      <c r="I230" s="8" t="s">
        <v>78</v>
      </c>
      <c r="J230" s="10">
        <v>1237.8599999999999</v>
      </c>
      <c r="K230" s="10">
        <v>1207.98</v>
      </c>
      <c r="L230" s="10">
        <f t="shared" si="84"/>
        <v>-29.879999999999882</v>
      </c>
      <c r="M230" s="10">
        <v>575.87</v>
      </c>
      <c r="N230" s="10">
        <v>562</v>
      </c>
      <c r="O230" s="10">
        <f t="shared" si="85"/>
        <v>-13.870000000000005</v>
      </c>
      <c r="P230" s="11">
        <v>9450</v>
      </c>
      <c r="Q230" s="11">
        <v>20313.225207077987</v>
      </c>
      <c r="R230" s="11">
        <v>22000</v>
      </c>
      <c r="S230" s="11">
        <v>11697777</v>
      </c>
      <c r="T230" s="11">
        <v>1403734</v>
      </c>
      <c r="U230" s="12">
        <f t="shared" si="86"/>
        <v>0.12000006496960919</v>
      </c>
      <c r="V230" s="13">
        <f t="shared" si="111"/>
        <v>-282365.99999999889</v>
      </c>
      <c r="W230" s="10">
        <f t="shared" si="87"/>
        <v>-33883.938345208539</v>
      </c>
      <c r="X230" s="15"/>
      <c r="Y230" s="15"/>
      <c r="Z230" s="11">
        <f t="shared" si="88"/>
        <v>11415411.000000002</v>
      </c>
      <c r="AA230" s="14"/>
      <c r="AB230" s="14"/>
      <c r="AC230" s="11">
        <f t="shared" si="89"/>
        <v>11415411.000000002</v>
      </c>
      <c r="AD230" s="10">
        <f t="shared" si="90"/>
        <v>300</v>
      </c>
      <c r="AE230" s="15">
        <v>172761</v>
      </c>
      <c r="AF230" s="16">
        <v>31096</v>
      </c>
      <c r="AG230" s="15">
        <f t="shared" si="91"/>
        <v>-4161.0000000000018</v>
      </c>
      <c r="AH230" s="15">
        <f t="shared" si="92"/>
        <v>-748.98000000000025</v>
      </c>
      <c r="AI230" s="15">
        <f t="shared" si="93"/>
        <v>168600</v>
      </c>
      <c r="AJ230" s="15">
        <f t="shared" si="94"/>
        <v>30348</v>
      </c>
      <c r="AK230" s="10">
        <v>172761</v>
      </c>
      <c r="AL230" s="15">
        <f t="shared" si="95"/>
        <v>168600</v>
      </c>
      <c r="AM230" s="15">
        <f t="shared" si="96"/>
        <v>11584011</v>
      </c>
      <c r="AN230" s="15">
        <f t="shared" si="97"/>
        <v>1400199</v>
      </c>
      <c r="AO230" s="15">
        <f t="shared" si="102"/>
        <v>1569181</v>
      </c>
      <c r="AP230" s="17">
        <f t="shared" si="98"/>
        <v>13153192</v>
      </c>
      <c r="AQ230" s="15">
        <v>11686556</v>
      </c>
      <c r="AR230" s="15">
        <v>382</v>
      </c>
      <c r="AS230" s="18">
        <f t="shared" si="103"/>
        <v>1466636</v>
      </c>
      <c r="AT230" s="19">
        <v>0</v>
      </c>
      <c r="AU230" s="8">
        <v>8800</v>
      </c>
      <c r="AV230" s="13">
        <f t="shared" si="104"/>
        <v>4945600</v>
      </c>
      <c r="AW230" s="18">
        <f t="shared" si="105"/>
        <v>11584011</v>
      </c>
      <c r="AX230" s="15">
        <f t="shared" si="99"/>
        <v>11585000</v>
      </c>
      <c r="AY230" s="20">
        <v>7.0000000000000007E-2</v>
      </c>
      <c r="AZ230" s="13">
        <f t="shared" si="100"/>
        <v>810950.00000000012</v>
      </c>
      <c r="BA230" s="15">
        <f t="shared" si="101"/>
        <v>811000</v>
      </c>
      <c r="BB230" s="21">
        <f t="shared" si="106"/>
        <v>2277636</v>
      </c>
      <c r="BC230" s="10">
        <f t="shared" si="107"/>
        <v>-2.4138432456012704</v>
      </c>
      <c r="BD230" s="10">
        <f t="shared" si="108"/>
        <v>-2.4085297028843322</v>
      </c>
      <c r="BE230" s="10">
        <v>112.22</v>
      </c>
      <c r="BF230" s="10">
        <v>52.21</v>
      </c>
      <c r="BG230" s="107">
        <v>46176</v>
      </c>
      <c r="BH230" s="107">
        <f t="shared" si="83"/>
        <v>46206</v>
      </c>
      <c r="BI230" s="23">
        <v>7</v>
      </c>
      <c r="BJ230" s="6"/>
      <c r="BK230" s="6"/>
      <c r="BL230" s="24">
        <f>VLOOKUP(A230,[2]Sheet1!$D$2:$H$933,5,0)</f>
        <v>0</v>
      </c>
      <c r="BM230" s="6" t="s">
        <v>3828</v>
      </c>
      <c r="BN230" s="6" t="s">
        <v>3829</v>
      </c>
      <c r="BO230" s="6" t="s">
        <v>3820</v>
      </c>
      <c r="BP230" s="6" t="s">
        <v>3821</v>
      </c>
      <c r="BQ230" s="6" t="s">
        <v>3830</v>
      </c>
      <c r="BR230" t="s">
        <v>3823</v>
      </c>
      <c r="BS230" t="s">
        <v>3824</v>
      </c>
      <c r="BT230" t="s">
        <v>3825</v>
      </c>
      <c r="BU230" t="s">
        <v>3826</v>
      </c>
      <c r="BV230" t="s">
        <v>3827</v>
      </c>
      <c r="BW230" t="s">
        <v>3835</v>
      </c>
      <c r="BX230">
        <v>0</v>
      </c>
      <c r="BY230" t="s">
        <v>3862</v>
      </c>
      <c r="BZ230" t="s">
        <v>3860</v>
      </c>
    </row>
    <row r="231" spans="1:78" x14ac:dyDescent="0.25">
      <c r="A231" s="7" t="s">
        <v>1013</v>
      </c>
      <c r="B231" s="7" t="s">
        <v>181</v>
      </c>
      <c r="C231" s="7" t="s">
        <v>1011</v>
      </c>
      <c r="D231" s="8" t="s">
        <v>1012</v>
      </c>
      <c r="E231" s="7" t="s">
        <v>1014</v>
      </c>
      <c r="F231" s="9">
        <v>45040</v>
      </c>
      <c r="G231" s="9" t="s">
        <v>77</v>
      </c>
      <c r="H231" s="9" t="s">
        <v>72</v>
      </c>
      <c r="I231" s="8" t="s">
        <v>78</v>
      </c>
      <c r="J231" s="10">
        <v>975.65</v>
      </c>
      <c r="K231" s="10">
        <v>975.65</v>
      </c>
      <c r="L231" s="10">
        <f t="shared" si="84"/>
        <v>0</v>
      </c>
      <c r="M231" s="10">
        <v>414.41</v>
      </c>
      <c r="N231" s="10">
        <v>414.41</v>
      </c>
      <c r="O231" s="10">
        <f t="shared" si="85"/>
        <v>0</v>
      </c>
      <c r="P231" s="11">
        <v>8809.9994875211396</v>
      </c>
      <c r="Q231" s="11">
        <v>20741.478246181316</v>
      </c>
      <c r="R231" s="11">
        <v>20000</v>
      </c>
      <c r="S231" s="11">
        <v>8595476</v>
      </c>
      <c r="T231" s="11">
        <v>1031458</v>
      </c>
      <c r="U231" s="12">
        <f t="shared" si="86"/>
        <v>0.12000010237943774</v>
      </c>
      <c r="V231" s="13">
        <f t="shared" si="111"/>
        <v>0</v>
      </c>
      <c r="W231" s="10">
        <f t="shared" si="87"/>
        <v>0</v>
      </c>
      <c r="X231" s="10"/>
      <c r="Y231" s="10"/>
      <c r="Z231" s="11">
        <f t="shared" si="88"/>
        <v>8595476</v>
      </c>
      <c r="AA231" s="14"/>
      <c r="AB231" s="14"/>
      <c r="AC231" s="11">
        <f t="shared" si="89"/>
        <v>8595476</v>
      </c>
      <c r="AD231" s="10">
        <f t="shared" si="90"/>
        <v>300</v>
      </c>
      <c r="AE231" s="15">
        <v>124323</v>
      </c>
      <c r="AF231" s="16">
        <v>22378</v>
      </c>
      <c r="AG231" s="15">
        <f t="shared" si="91"/>
        <v>0</v>
      </c>
      <c r="AH231" s="15">
        <f t="shared" si="92"/>
        <v>0</v>
      </c>
      <c r="AI231" s="15">
        <f t="shared" si="93"/>
        <v>124323.00000000001</v>
      </c>
      <c r="AJ231" s="15">
        <f t="shared" si="94"/>
        <v>22379</v>
      </c>
      <c r="AK231" s="10">
        <v>124323</v>
      </c>
      <c r="AL231" s="15">
        <f t="shared" si="95"/>
        <v>124323.00000000001</v>
      </c>
      <c r="AM231" s="15">
        <f t="shared" si="96"/>
        <v>8719799</v>
      </c>
      <c r="AN231" s="15">
        <f t="shared" si="97"/>
        <v>1053837</v>
      </c>
      <c r="AO231" s="15">
        <f t="shared" si="102"/>
        <v>1178476</v>
      </c>
      <c r="AP231" s="17">
        <f t="shared" si="98"/>
        <v>9898275</v>
      </c>
      <c r="AQ231" s="15">
        <v>8600670.9600000009</v>
      </c>
      <c r="AR231" s="15">
        <v>316</v>
      </c>
      <c r="AS231" s="18">
        <f t="shared" si="103"/>
        <v>1297604</v>
      </c>
      <c r="AT231" s="19">
        <v>0</v>
      </c>
      <c r="AU231" s="8">
        <v>8800</v>
      </c>
      <c r="AV231" s="13">
        <f t="shared" si="104"/>
        <v>3646808</v>
      </c>
      <c r="AW231" s="18">
        <f t="shared" si="105"/>
        <v>8719799</v>
      </c>
      <c r="AX231" s="15">
        <f t="shared" si="99"/>
        <v>8720000</v>
      </c>
      <c r="AY231" s="20">
        <v>0.06</v>
      </c>
      <c r="AZ231" s="13">
        <f t="shared" si="100"/>
        <v>523200</v>
      </c>
      <c r="BA231" s="15">
        <f t="shared" si="101"/>
        <v>523200</v>
      </c>
      <c r="BB231" s="21">
        <f t="shared" si="106"/>
        <v>1820804</v>
      </c>
      <c r="BC231" s="10">
        <f t="shared" si="107"/>
        <v>0</v>
      </c>
      <c r="BD231" s="10">
        <f t="shared" si="108"/>
        <v>0</v>
      </c>
      <c r="BE231" s="10">
        <v>90.64</v>
      </c>
      <c r="BF231" s="10">
        <v>38.5</v>
      </c>
      <c r="BG231" s="107">
        <v>46176</v>
      </c>
      <c r="BH231" s="107">
        <f t="shared" si="83"/>
        <v>46206</v>
      </c>
      <c r="BI231" s="23">
        <v>6</v>
      </c>
      <c r="BJ231" s="6"/>
      <c r="BK231" s="6"/>
      <c r="BL231" s="24">
        <f>VLOOKUP(A231,[2]Sheet1!$D$2:$H$933,5,0)</f>
        <v>0</v>
      </c>
      <c r="BM231" s="6" t="s">
        <v>3828</v>
      </c>
      <c r="BN231" s="6" t="s">
        <v>3829</v>
      </c>
      <c r="BO231" s="6" t="s">
        <v>3820</v>
      </c>
      <c r="BP231" s="6" t="s">
        <v>3821</v>
      </c>
      <c r="BQ231" s="6" t="s">
        <v>3830</v>
      </c>
      <c r="BR231" t="s">
        <v>3823</v>
      </c>
      <c r="BS231" t="s">
        <v>3824</v>
      </c>
      <c r="BT231" t="s">
        <v>3825</v>
      </c>
      <c r="BU231" t="s">
        <v>3826</v>
      </c>
      <c r="BV231" t="s">
        <v>3827</v>
      </c>
      <c r="BW231" t="s">
        <v>3835</v>
      </c>
      <c r="BX231">
        <v>0</v>
      </c>
      <c r="BY231" t="s">
        <v>3862</v>
      </c>
      <c r="BZ231" t="s">
        <v>3863</v>
      </c>
    </row>
    <row r="232" spans="1:78" x14ac:dyDescent="0.25">
      <c r="A232" s="7" t="s">
        <v>1017</v>
      </c>
      <c r="B232" s="7" t="s">
        <v>181</v>
      </c>
      <c r="C232" s="7" t="s">
        <v>1015</v>
      </c>
      <c r="D232" s="8" t="s">
        <v>1016</v>
      </c>
      <c r="E232" s="7" t="s">
        <v>1018</v>
      </c>
      <c r="F232" s="9">
        <v>45037</v>
      </c>
      <c r="G232" s="9" t="s">
        <v>363</v>
      </c>
      <c r="H232" s="9" t="s">
        <v>92</v>
      </c>
      <c r="I232" s="8" t="s">
        <v>78</v>
      </c>
      <c r="J232" s="10">
        <v>697.51</v>
      </c>
      <c r="K232" s="10">
        <v>697.51</v>
      </c>
      <c r="L232" s="10">
        <f t="shared" si="84"/>
        <v>0</v>
      </c>
      <c r="M232" s="10">
        <v>317.54000000000002</v>
      </c>
      <c r="N232" s="10">
        <v>317.54000000000002</v>
      </c>
      <c r="O232" s="10">
        <f t="shared" si="85"/>
        <v>0</v>
      </c>
      <c r="P232" s="11">
        <v>19450.000716835602</v>
      </c>
      <c r="Q232" s="11">
        <v>42723.971783082445</v>
      </c>
      <c r="R232" s="11">
        <v>28000</v>
      </c>
      <c r="S232" s="11">
        <v>13566570</v>
      </c>
      <c r="T232" s="11">
        <v>1627988</v>
      </c>
      <c r="U232" s="12">
        <f t="shared" si="86"/>
        <v>0.11999997051576043</v>
      </c>
      <c r="V232" s="13">
        <f t="shared" si="111"/>
        <v>0</v>
      </c>
      <c r="W232" s="10">
        <f t="shared" si="87"/>
        <v>0</v>
      </c>
      <c r="X232" s="10"/>
      <c r="Y232" s="10"/>
      <c r="Z232" s="11">
        <f t="shared" si="88"/>
        <v>13566570</v>
      </c>
      <c r="AA232" s="14"/>
      <c r="AB232" s="14"/>
      <c r="AC232" s="11">
        <f t="shared" si="89"/>
        <v>13566570</v>
      </c>
      <c r="AD232" s="10">
        <f t="shared" si="90"/>
        <v>300</v>
      </c>
      <c r="AE232" s="15">
        <v>95262</v>
      </c>
      <c r="AF232" s="16">
        <v>17148</v>
      </c>
      <c r="AG232" s="15">
        <f t="shared" si="91"/>
        <v>0</v>
      </c>
      <c r="AH232" s="15">
        <f t="shared" si="92"/>
        <v>0</v>
      </c>
      <c r="AI232" s="15">
        <f t="shared" si="93"/>
        <v>95262</v>
      </c>
      <c r="AJ232" s="15">
        <f t="shared" si="94"/>
        <v>17148</v>
      </c>
      <c r="AK232" s="10">
        <v>95262</v>
      </c>
      <c r="AL232" s="15">
        <f t="shared" si="95"/>
        <v>95262</v>
      </c>
      <c r="AM232" s="15">
        <f t="shared" si="96"/>
        <v>13661832</v>
      </c>
      <c r="AN232" s="15">
        <f t="shared" si="97"/>
        <v>1645136</v>
      </c>
      <c r="AO232" s="15">
        <f t="shared" si="102"/>
        <v>1740718</v>
      </c>
      <c r="AP232" s="17">
        <f t="shared" si="98"/>
        <v>15402550</v>
      </c>
      <c r="AQ232" s="15">
        <v>13610685</v>
      </c>
      <c r="AR232" s="15">
        <v>320</v>
      </c>
      <c r="AS232" s="18">
        <f t="shared" si="103"/>
        <v>1791865</v>
      </c>
      <c r="AT232" s="19">
        <v>0</v>
      </c>
      <c r="AU232" s="8">
        <v>8800</v>
      </c>
      <c r="AV232" s="13">
        <f t="shared" si="104"/>
        <v>2794352</v>
      </c>
      <c r="AW232" s="18">
        <f t="shared" si="105"/>
        <v>13661832</v>
      </c>
      <c r="AX232" s="15">
        <f t="shared" si="99"/>
        <v>13662000</v>
      </c>
      <c r="AY232" s="20">
        <v>0.06</v>
      </c>
      <c r="AZ232" s="13">
        <f t="shared" si="100"/>
        <v>819720</v>
      </c>
      <c r="BA232" s="15">
        <f t="shared" si="101"/>
        <v>819800</v>
      </c>
      <c r="BB232" s="21">
        <f t="shared" si="106"/>
        <v>2611665</v>
      </c>
      <c r="BC232" s="10">
        <f t="shared" si="107"/>
        <v>0</v>
      </c>
      <c r="BD232" s="10">
        <f t="shared" si="108"/>
        <v>0</v>
      </c>
      <c r="BE232" s="10">
        <v>64.8</v>
      </c>
      <c r="BF232" s="10">
        <v>29.5</v>
      </c>
      <c r="BG232" s="107">
        <v>46176</v>
      </c>
      <c r="BH232" s="107">
        <f t="shared" si="83"/>
        <v>46206</v>
      </c>
      <c r="BI232" s="23">
        <v>6</v>
      </c>
      <c r="BJ232" s="6"/>
      <c r="BK232" s="24"/>
      <c r="BL232" s="24">
        <f>VLOOKUP(A232,[2]Sheet1!$D$2:$H$933,5,0)</f>
        <v>0</v>
      </c>
      <c r="BM232" s="6" t="s">
        <v>3828</v>
      </c>
      <c r="BN232" s="6" t="s">
        <v>3829</v>
      </c>
      <c r="BO232" s="6" t="s">
        <v>3820</v>
      </c>
      <c r="BP232" s="6" t="s">
        <v>3821</v>
      </c>
      <c r="BQ232" s="6" t="s">
        <v>3830</v>
      </c>
      <c r="BR232" t="s">
        <v>3823</v>
      </c>
      <c r="BS232" t="s">
        <v>3824</v>
      </c>
      <c r="BT232" t="s">
        <v>3825</v>
      </c>
      <c r="BU232" t="s">
        <v>3826</v>
      </c>
      <c r="BV232" t="s">
        <v>3827</v>
      </c>
      <c r="BW232" t="s">
        <v>3835</v>
      </c>
      <c r="BX232">
        <v>0</v>
      </c>
      <c r="BY232" t="s">
        <v>3862</v>
      </c>
      <c r="BZ232" t="s">
        <v>3860</v>
      </c>
    </row>
    <row r="233" spans="1:78" x14ac:dyDescent="0.25">
      <c r="A233" s="7" t="s">
        <v>1021</v>
      </c>
      <c r="B233" s="7" t="s">
        <v>181</v>
      </c>
      <c r="C233" s="7" t="s">
        <v>1019</v>
      </c>
      <c r="D233" s="8" t="s">
        <v>1020</v>
      </c>
      <c r="E233" s="7" t="s">
        <v>1022</v>
      </c>
      <c r="F233" s="9">
        <v>45013</v>
      </c>
      <c r="G233" s="9" t="s">
        <v>527</v>
      </c>
      <c r="H233" s="9" t="s">
        <v>92</v>
      </c>
      <c r="I233" s="8" t="s">
        <v>78</v>
      </c>
      <c r="J233" s="10">
        <v>805.15</v>
      </c>
      <c r="K233" s="10">
        <v>805.15</v>
      </c>
      <c r="L233" s="10">
        <f t="shared" si="84"/>
        <v>0</v>
      </c>
      <c r="M233" s="10">
        <v>373.51</v>
      </c>
      <c r="N233" s="10">
        <v>373.51</v>
      </c>
      <c r="O233" s="10">
        <f t="shared" si="85"/>
        <v>0</v>
      </c>
      <c r="P233" s="11">
        <v>12463.030491212818</v>
      </c>
      <c r="Q233" s="11">
        <v>26865.703729485154</v>
      </c>
      <c r="R233" s="11">
        <v>28000</v>
      </c>
      <c r="S233" s="11">
        <v>10034609</v>
      </c>
      <c r="T233" s="11">
        <v>1204154</v>
      </c>
      <c r="U233" s="12">
        <f t="shared" si="86"/>
        <v>0.12000009168269536</v>
      </c>
      <c r="V233" s="13">
        <f t="shared" si="111"/>
        <v>0</v>
      </c>
      <c r="W233" s="10">
        <f t="shared" si="87"/>
        <v>0</v>
      </c>
      <c r="X233" s="10"/>
      <c r="Y233" s="10"/>
      <c r="Z233" s="11">
        <f t="shared" si="88"/>
        <v>10034609</v>
      </c>
      <c r="AA233" s="14"/>
      <c r="AB233" s="14"/>
      <c r="AC233" s="11">
        <f t="shared" si="89"/>
        <v>10034609</v>
      </c>
      <c r="AD233" s="10">
        <f t="shared" si="90"/>
        <v>300</v>
      </c>
      <c r="AE233" s="15">
        <v>112053</v>
      </c>
      <c r="AF233" s="16">
        <v>20170</v>
      </c>
      <c r="AG233" s="15">
        <f t="shared" si="91"/>
        <v>0</v>
      </c>
      <c r="AH233" s="15">
        <f t="shared" si="92"/>
        <v>0</v>
      </c>
      <c r="AI233" s="15">
        <f t="shared" si="93"/>
        <v>112053</v>
      </c>
      <c r="AJ233" s="15">
        <f t="shared" si="94"/>
        <v>20170</v>
      </c>
      <c r="AK233" s="10">
        <v>112053</v>
      </c>
      <c r="AL233" s="15">
        <f t="shared" si="95"/>
        <v>112053</v>
      </c>
      <c r="AM233" s="15">
        <f t="shared" si="96"/>
        <v>10146662</v>
      </c>
      <c r="AN233" s="15">
        <f t="shared" si="97"/>
        <v>1224324</v>
      </c>
      <c r="AO233" s="15">
        <f t="shared" si="102"/>
        <v>1336699</v>
      </c>
      <c r="AP233" s="17">
        <f t="shared" si="98"/>
        <v>11483361</v>
      </c>
      <c r="AQ233" s="15">
        <v>9604781</v>
      </c>
      <c r="AR233" s="15">
        <v>322</v>
      </c>
      <c r="AS233" s="18">
        <f t="shared" si="103"/>
        <v>1878580</v>
      </c>
      <c r="AT233" s="19">
        <v>12146668</v>
      </c>
      <c r="AU233" s="8">
        <v>8800</v>
      </c>
      <c r="AV233" s="13">
        <f t="shared" si="104"/>
        <v>3286888</v>
      </c>
      <c r="AW233" s="18">
        <f t="shared" si="105"/>
        <v>12146668</v>
      </c>
      <c r="AX233" s="15">
        <f t="shared" si="99"/>
        <v>12147000</v>
      </c>
      <c r="AY233" s="20">
        <v>0.06</v>
      </c>
      <c r="AZ233" s="13">
        <f t="shared" si="100"/>
        <v>728820</v>
      </c>
      <c r="BA233" s="15">
        <f t="shared" si="101"/>
        <v>728900</v>
      </c>
      <c r="BB233" s="21">
        <f t="shared" si="106"/>
        <v>2607480</v>
      </c>
      <c r="BC233" s="10">
        <f t="shared" si="107"/>
        <v>0</v>
      </c>
      <c r="BD233" s="10">
        <f t="shared" si="108"/>
        <v>0</v>
      </c>
      <c r="BE233" s="10">
        <v>74.8</v>
      </c>
      <c r="BF233" s="10">
        <v>34.700000000000003</v>
      </c>
      <c r="BG233" s="107">
        <v>46176</v>
      </c>
      <c r="BH233" s="107">
        <f t="shared" si="83"/>
        <v>46206</v>
      </c>
      <c r="BI233" s="23">
        <v>6</v>
      </c>
      <c r="BJ233" s="6"/>
      <c r="BK233" s="6"/>
      <c r="BL233" s="24">
        <f>VLOOKUP(A233,[2]Sheet1!$D$2:$H$933,5,0)</f>
        <v>0</v>
      </c>
      <c r="BM233" s="6" t="s">
        <v>3828</v>
      </c>
      <c r="BN233" s="6" t="s">
        <v>3829</v>
      </c>
      <c r="BO233" s="6" t="s">
        <v>3820</v>
      </c>
      <c r="BP233" s="6" t="s">
        <v>3821</v>
      </c>
      <c r="BQ233" s="6" t="s">
        <v>3830</v>
      </c>
      <c r="BR233" t="s">
        <v>3823</v>
      </c>
      <c r="BS233" t="s">
        <v>3824</v>
      </c>
      <c r="BT233" t="s">
        <v>3825</v>
      </c>
      <c r="BU233" t="s">
        <v>3826</v>
      </c>
      <c r="BV233" t="s">
        <v>3827</v>
      </c>
      <c r="BW233" t="s">
        <v>3835</v>
      </c>
      <c r="BX233">
        <v>0</v>
      </c>
      <c r="BY233" t="s">
        <v>3866</v>
      </c>
      <c r="BZ233" t="s">
        <v>3871</v>
      </c>
    </row>
    <row r="234" spans="1:78" x14ac:dyDescent="0.25">
      <c r="A234" s="7" t="s">
        <v>1025</v>
      </c>
      <c r="B234" s="7" t="s">
        <v>181</v>
      </c>
      <c r="C234" s="7" t="s">
        <v>1023</v>
      </c>
      <c r="D234" s="8" t="s">
        <v>1024</v>
      </c>
      <c r="E234" s="7" t="s">
        <v>1026</v>
      </c>
      <c r="F234" s="9">
        <v>45155</v>
      </c>
      <c r="G234" s="9" t="s">
        <v>65</v>
      </c>
      <c r="H234" s="9" t="s">
        <v>87</v>
      </c>
      <c r="I234" s="8" t="s">
        <v>78</v>
      </c>
      <c r="J234" s="10">
        <v>668.44</v>
      </c>
      <c r="K234" s="10">
        <v>668.44</v>
      </c>
      <c r="L234" s="10">
        <f t="shared" si="84"/>
        <v>0</v>
      </c>
      <c r="M234" s="10">
        <v>306.24</v>
      </c>
      <c r="N234" s="10">
        <v>306.24</v>
      </c>
      <c r="O234" s="10">
        <f t="shared" si="85"/>
        <v>0</v>
      </c>
      <c r="P234" s="11">
        <v>21999.997007958827</v>
      </c>
      <c r="Q234" s="11">
        <v>48020.108411703237</v>
      </c>
      <c r="R234" s="11">
        <v>40000</v>
      </c>
      <c r="S234" s="11">
        <v>14705678</v>
      </c>
      <c r="T234" s="11">
        <v>1764682</v>
      </c>
      <c r="U234" s="12">
        <f t="shared" si="86"/>
        <v>0.12000004352060477</v>
      </c>
      <c r="V234" s="13">
        <f t="shared" si="111"/>
        <v>0</v>
      </c>
      <c r="W234" s="10">
        <f t="shared" si="87"/>
        <v>0</v>
      </c>
      <c r="X234" s="10"/>
      <c r="Y234" s="10"/>
      <c r="Z234" s="11">
        <f t="shared" si="88"/>
        <v>14705678</v>
      </c>
      <c r="AA234" s="14"/>
      <c r="AB234" s="14"/>
      <c r="AC234" s="11">
        <f t="shared" si="89"/>
        <v>14705678</v>
      </c>
      <c r="AD234" s="10">
        <f t="shared" si="90"/>
        <v>300</v>
      </c>
      <c r="AE234" s="15">
        <v>91872</v>
      </c>
      <c r="AF234" s="16">
        <v>16536</v>
      </c>
      <c r="AG234" s="15">
        <f t="shared" si="91"/>
        <v>0</v>
      </c>
      <c r="AH234" s="15">
        <f t="shared" si="92"/>
        <v>0</v>
      </c>
      <c r="AI234" s="15">
        <f t="shared" si="93"/>
        <v>91872</v>
      </c>
      <c r="AJ234" s="15">
        <f t="shared" si="94"/>
        <v>16537</v>
      </c>
      <c r="AK234" s="10">
        <v>91872</v>
      </c>
      <c r="AL234" s="15">
        <f t="shared" si="95"/>
        <v>91872</v>
      </c>
      <c r="AM234" s="15">
        <f t="shared" si="96"/>
        <v>14797550</v>
      </c>
      <c r="AN234" s="15">
        <f t="shared" si="97"/>
        <v>1781219</v>
      </c>
      <c r="AO234" s="15">
        <f t="shared" si="102"/>
        <v>1873308</v>
      </c>
      <c r="AP234" s="17">
        <f t="shared" si="98"/>
        <v>16670858</v>
      </c>
      <c r="AQ234" s="15">
        <v>8235182.2000000002</v>
      </c>
      <c r="AR234" s="15">
        <v>217</v>
      </c>
      <c r="AS234" s="18">
        <f t="shared" si="103"/>
        <v>8435676</v>
      </c>
      <c r="AT234" s="19">
        <v>0</v>
      </c>
      <c r="AU234" s="8">
        <v>8800</v>
      </c>
      <c r="AV234" s="13">
        <f t="shared" si="104"/>
        <v>2694912</v>
      </c>
      <c r="AW234" s="18">
        <f t="shared" si="105"/>
        <v>14797550</v>
      </c>
      <c r="AX234" s="15">
        <f t="shared" si="99"/>
        <v>14798000</v>
      </c>
      <c r="AY234" s="20">
        <v>7.0000000000000007E-2</v>
      </c>
      <c r="AZ234" s="13">
        <f t="shared" si="100"/>
        <v>1035860.0000000001</v>
      </c>
      <c r="BA234" s="15">
        <f t="shared" si="101"/>
        <v>1035900</v>
      </c>
      <c r="BB234" s="21">
        <f t="shared" si="106"/>
        <v>9471576</v>
      </c>
      <c r="BC234" s="10">
        <f t="shared" si="107"/>
        <v>0</v>
      </c>
      <c r="BD234" s="10">
        <f t="shared" si="108"/>
        <v>0</v>
      </c>
      <c r="BE234" s="10">
        <v>62.1</v>
      </c>
      <c r="BF234" s="10">
        <v>28.45</v>
      </c>
      <c r="BG234" s="107">
        <v>46176</v>
      </c>
      <c r="BH234" s="107">
        <f t="shared" si="83"/>
        <v>46206</v>
      </c>
      <c r="BI234" s="23">
        <v>7</v>
      </c>
      <c r="BJ234" s="6"/>
      <c r="BK234" s="6"/>
      <c r="BL234" s="24">
        <f>VLOOKUP(A234,[2]Sheet1!$D$2:$H$933,5,0)</f>
        <v>0</v>
      </c>
      <c r="BM234" s="6" t="s">
        <v>3828</v>
      </c>
      <c r="BN234" s="6" t="s">
        <v>3829</v>
      </c>
      <c r="BO234" s="6" t="s">
        <v>3820</v>
      </c>
      <c r="BP234" s="6" t="s">
        <v>3821</v>
      </c>
      <c r="BQ234" s="6" t="s">
        <v>3830</v>
      </c>
      <c r="BR234" t="s">
        <v>3823</v>
      </c>
      <c r="BS234" t="s">
        <v>3824</v>
      </c>
      <c r="BT234" t="s">
        <v>3825</v>
      </c>
      <c r="BU234" t="s">
        <v>3826</v>
      </c>
      <c r="BV234" t="s">
        <v>3827</v>
      </c>
      <c r="BW234" t="s">
        <v>3835</v>
      </c>
      <c r="BX234">
        <v>0</v>
      </c>
      <c r="BY234" t="s">
        <v>3868</v>
      </c>
      <c r="BZ234" t="s">
        <v>3860</v>
      </c>
    </row>
    <row r="235" spans="1:78" x14ac:dyDescent="0.25">
      <c r="A235" s="7" t="s">
        <v>1029</v>
      </c>
      <c r="B235" s="7" t="s">
        <v>181</v>
      </c>
      <c r="C235" s="7" t="s">
        <v>1027</v>
      </c>
      <c r="D235" s="8" t="s">
        <v>1028</v>
      </c>
      <c r="E235" s="7" t="s">
        <v>1030</v>
      </c>
      <c r="F235" s="9">
        <v>45026</v>
      </c>
      <c r="G235" s="9" t="s">
        <v>717</v>
      </c>
      <c r="H235" s="9" t="s">
        <v>66</v>
      </c>
      <c r="I235" s="8" t="s">
        <v>78</v>
      </c>
      <c r="J235" s="10">
        <v>753.48</v>
      </c>
      <c r="K235" s="10">
        <v>775</v>
      </c>
      <c r="L235" s="10">
        <f t="shared" si="84"/>
        <v>21.519999999999982</v>
      </c>
      <c r="M235" s="10">
        <v>335.3</v>
      </c>
      <c r="N235" s="10">
        <v>350</v>
      </c>
      <c r="O235" s="10">
        <f t="shared" si="85"/>
        <v>14.699999999999989</v>
      </c>
      <c r="P235" s="11">
        <v>10206.868131868132</v>
      </c>
      <c r="Q235" s="11">
        <v>22936.686549358783</v>
      </c>
      <c r="R235" s="11">
        <v>22000</v>
      </c>
      <c r="S235" s="11">
        <v>7690671</v>
      </c>
      <c r="T235" s="11">
        <v>922882</v>
      </c>
      <c r="U235" s="12">
        <f t="shared" si="86"/>
        <v>0.12000019244094566</v>
      </c>
      <c r="V235" s="13">
        <f>L235*R235</f>
        <v>473439.99999999959</v>
      </c>
      <c r="W235" s="10">
        <f t="shared" si="87"/>
        <v>56812.891109241267</v>
      </c>
      <c r="X235" s="15"/>
      <c r="Y235" s="15"/>
      <c r="Z235" s="11">
        <f t="shared" si="88"/>
        <v>8164111</v>
      </c>
      <c r="AA235" s="14"/>
      <c r="AB235" s="14"/>
      <c r="AC235" s="11">
        <f t="shared" si="89"/>
        <v>8164111</v>
      </c>
      <c r="AD235" s="10">
        <f t="shared" si="90"/>
        <v>300</v>
      </c>
      <c r="AE235" s="15">
        <v>100590</v>
      </c>
      <c r="AF235" s="16">
        <v>18106</v>
      </c>
      <c r="AG235" s="15">
        <f t="shared" si="91"/>
        <v>4409.9999999999964</v>
      </c>
      <c r="AH235" s="15">
        <f t="shared" si="92"/>
        <v>793.79999999999927</v>
      </c>
      <c r="AI235" s="15">
        <f t="shared" si="93"/>
        <v>105000</v>
      </c>
      <c r="AJ235" s="15">
        <f t="shared" si="94"/>
        <v>18900</v>
      </c>
      <c r="AK235" s="10">
        <v>100590</v>
      </c>
      <c r="AL235" s="15">
        <f t="shared" si="95"/>
        <v>105000</v>
      </c>
      <c r="AM235" s="15">
        <f t="shared" si="96"/>
        <v>8269111</v>
      </c>
      <c r="AN235" s="15">
        <f t="shared" si="97"/>
        <v>998595</v>
      </c>
      <c r="AO235" s="15">
        <f t="shared" si="102"/>
        <v>1103924</v>
      </c>
      <c r="AP235" s="17">
        <f t="shared" si="98"/>
        <v>9373035</v>
      </c>
      <c r="AQ235" s="15">
        <v>7557524</v>
      </c>
      <c r="AR235" s="15">
        <v>329</v>
      </c>
      <c r="AS235" s="18">
        <f t="shared" si="103"/>
        <v>1815511</v>
      </c>
      <c r="AT235" s="19">
        <v>0</v>
      </c>
      <c r="AU235" s="8">
        <v>8800</v>
      </c>
      <c r="AV235" s="13">
        <f t="shared" si="104"/>
        <v>3080000</v>
      </c>
      <c r="AW235" s="18">
        <f t="shared" si="105"/>
        <v>8269111</v>
      </c>
      <c r="AX235" s="15">
        <f t="shared" si="99"/>
        <v>8270000</v>
      </c>
      <c r="AY235" s="20">
        <v>7.0000000000000007E-2</v>
      </c>
      <c r="AZ235" s="13">
        <f t="shared" si="100"/>
        <v>578900</v>
      </c>
      <c r="BA235" s="15">
        <f t="shared" si="101"/>
        <v>578900</v>
      </c>
      <c r="BB235" s="21">
        <f t="shared" si="106"/>
        <v>2394411</v>
      </c>
      <c r="BC235" s="10">
        <f t="shared" si="107"/>
        <v>2.8560811169506795</v>
      </c>
      <c r="BD235" s="10">
        <f t="shared" si="108"/>
        <v>4.384133611691019</v>
      </c>
      <c r="BE235" s="10">
        <v>72</v>
      </c>
      <c r="BF235" s="10">
        <v>32.520000000000003</v>
      </c>
      <c r="BG235" s="107">
        <v>46176</v>
      </c>
      <c r="BH235" s="107">
        <f t="shared" si="83"/>
        <v>46206</v>
      </c>
      <c r="BI235" s="23">
        <v>7</v>
      </c>
      <c r="BJ235" s="6"/>
      <c r="BK235" s="6"/>
      <c r="BL235" s="24">
        <f>VLOOKUP(A235,[2]Sheet1!$D$2:$H$933,5,0)</f>
        <v>0</v>
      </c>
      <c r="BM235" s="6" t="s">
        <v>3828</v>
      </c>
      <c r="BN235" s="6" t="s">
        <v>3829</v>
      </c>
      <c r="BO235" s="6" t="s">
        <v>3820</v>
      </c>
      <c r="BP235" s="6" t="s">
        <v>3821</v>
      </c>
      <c r="BQ235" s="6" t="s">
        <v>3830</v>
      </c>
      <c r="BR235" t="s">
        <v>3823</v>
      </c>
      <c r="BS235" t="s">
        <v>3824</v>
      </c>
      <c r="BT235" t="s">
        <v>3825</v>
      </c>
      <c r="BU235" t="s">
        <v>3826</v>
      </c>
      <c r="BV235" t="s">
        <v>3827</v>
      </c>
      <c r="BW235" t="s">
        <v>3835</v>
      </c>
      <c r="BX235">
        <v>0</v>
      </c>
      <c r="BY235" t="s">
        <v>3864</v>
      </c>
      <c r="BZ235" t="s">
        <v>3872</v>
      </c>
    </row>
    <row r="236" spans="1:78" x14ac:dyDescent="0.25">
      <c r="A236" s="7" t="s">
        <v>1033</v>
      </c>
      <c r="B236" s="7" t="s">
        <v>181</v>
      </c>
      <c r="C236" s="7" t="s">
        <v>1031</v>
      </c>
      <c r="D236" s="8" t="s">
        <v>1032</v>
      </c>
      <c r="E236" s="7" t="s">
        <v>1034</v>
      </c>
      <c r="F236" s="9">
        <v>45008</v>
      </c>
      <c r="G236" s="9" t="s">
        <v>65</v>
      </c>
      <c r="H236" s="9" t="s">
        <v>92</v>
      </c>
      <c r="I236" s="8" t="s">
        <v>78</v>
      </c>
      <c r="J236" s="10">
        <v>585.55999999999995</v>
      </c>
      <c r="K236" s="10">
        <v>585.55999999999995</v>
      </c>
      <c r="L236" s="10">
        <f t="shared" si="84"/>
        <v>0</v>
      </c>
      <c r="M236" s="10">
        <v>272.33</v>
      </c>
      <c r="N236" s="10">
        <v>272.33</v>
      </c>
      <c r="O236" s="10">
        <f t="shared" si="85"/>
        <v>0</v>
      </c>
      <c r="P236" s="11">
        <v>17284.998975339848</v>
      </c>
      <c r="Q236" s="11">
        <v>37165.953071641023</v>
      </c>
      <c r="R236" s="11">
        <v>28000</v>
      </c>
      <c r="S236" s="11">
        <v>10121404</v>
      </c>
      <c r="T236" s="11">
        <v>1214568</v>
      </c>
      <c r="U236" s="12">
        <f t="shared" si="86"/>
        <v>0.11999995257574937</v>
      </c>
      <c r="V236" s="13">
        <f t="shared" ref="V236:V267" si="112">L236*P236</f>
        <v>0</v>
      </c>
      <c r="W236" s="10">
        <f t="shared" si="87"/>
        <v>0</v>
      </c>
      <c r="X236" s="10"/>
      <c r="Y236" s="10"/>
      <c r="Z236" s="11">
        <f t="shared" si="88"/>
        <v>10121404</v>
      </c>
      <c r="AA236" s="14"/>
      <c r="AB236" s="14"/>
      <c r="AC236" s="11">
        <f t="shared" si="89"/>
        <v>10121404</v>
      </c>
      <c r="AD236" s="10">
        <f t="shared" si="90"/>
        <v>300</v>
      </c>
      <c r="AE236" s="15">
        <v>81699</v>
      </c>
      <c r="AF236" s="16">
        <v>14706</v>
      </c>
      <c r="AG236" s="15">
        <f t="shared" si="91"/>
        <v>0</v>
      </c>
      <c r="AH236" s="15">
        <f t="shared" si="92"/>
        <v>0</v>
      </c>
      <c r="AI236" s="15">
        <f t="shared" si="93"/>
        <v>81699</v>
      </c>
      <c r="AJ236" s="15">
        <f t="shared" si="94"/>
        <v>14706</v>
      </c>
      <c r="AK236" s="10">
        <v>81699</v>
      </c>
      <c r="AL236" s="15">
        <f t="shared" si="95"/>
        <v>81699</v>
      </c>
      <c r="AM236" s="15">
        <f t="shared" si="96"/>
        <v>10203103</v>
      </c>
      <c r="AN236" s="15">
        <f t="shared" si="97"/>
        <v>1229274</v>
      </c>
      <c r="AO236" s="15">
        <f t="shared" si="102"/>
        <v>1311008.3600000001</v>
      </c>
      <c r="AP236" s="17">
        <f t="shared" si="98"/>
        <v>11514111.359999999</v>
      </c>
      <c r="AQ236" s="15">
        <v>10202668.77</v>
      </c>
      <c r="AR236" s="15">
        <v>35.36</v>
      </c>
      <c r="AS236" s="18">
        <f t="shared" si="103"/>
        <v>1311443</v>
      </c>
      <c r="AT236" s="19">
        <v>0</v>
      </c>
      <c r="AU236" s="8">
        <v>8800</v>
      </c>
      <c r="AV236" s="13">
        <f t="shared" si="104"/>
        <v>2396504</v>
      </c>
      <c r="AW236" s="18">
        <f t="shared" si="105"/>
        <v>10203103</v>
      </c>
      <c r="AX236" s="15">
        <f t="shared" si="99"/>
        <v>10204000</v>
      </c>
      <c r="AY236" s="20">
        <v>0.05</v>
      </c>
      <c r="AZ236" s="13">
        <f t="shared" si="100"/>
        <v>510200</v>
      </c>
      <c r="BA236" s="15">
        <f t="shared" si="101"/>
        <v>510200</v>
      </c>
      <c r="BB236" s="21">
        <f t="shared" si="106"/>
        <v>1821643</v>
      </c>
      <c r="BC236" s="10">
        <f t="shared" si="107"/>
        <v>0</v>
      </c>
      <c r="BD236" s="10">
        <f t="shared" si="108"/>
        <v>0</v>
      </c>
      <c r="BE236" s="10">
        <v>54.4</v>
      </c>
      <c r="BF236" s="10">
        <v>25.3</v>
      </c>
      <c r="BG236" s="107">
        <v>46176</v>
      </c>
      <c r="BH236" s="107">
        <f t="shared" ref="BH236:BH299" si="113">BG236+30</f>
        <v>46206</v>
      </c>
      <c r="BI236" s="23">
        <v>5</v>
      </c>
      <c r="BJ236" s="6"/>
      <c r="BK236" s="6"/>
      <c r="BL236" s="24">
        <f>VLOOKUP(A236,[2]Sheet1!$D$2:$H$933,5,0)</f>
        <v>0</v>
      </c>
      <c r="BM236" s="6" t="s">
        <v>3828</v>
      </c>
      <c r="BN236" s="6" t="s">
        <v>3829</v>
      </c>
      <c r="BO236" s="6" t="s">
        <v>3820</v>
      </c>
      <c r="BP236" s="6" t="s">
        <v>3821</v>
      </c>
      <c r="BQ236" s="6" t="s">
        <v>3830</v>
      </c>
      <c r="BR236" t="s">
        <v>3823</v>
      </c>
      <c r="BS236" t="s">
        <v>3824</v>
      </c>
      <c r="BT236" t="s">
        <v>3825</v>
      </c>
      <c r="BU236" t="s">
        <v>3826</v>
      </c>
      <c r="BV236" t="s">
        <v>3827</v>
      </c>
      <c r="BW236" t="s">
        <v>3835</v>
      </c>
      <c r="BX236">
        <v>0</v>
      </c>
      <c r="BY236" t="s">
        <v>3870</v>
      </c>
      <c r="BZ236" t="s">
        <v>3860</v>
      </c>
    </row>
    <row r="237" spans="1:78" x14ac:dyDescent="0.25">
      <c r="A237" s="7" t="s">
        <v>1037</v>
      </c>
      <c r="B237" s="7" t="s">
        <v>181</v>
      </c>
      <c r="C237" s="7" t="s">
        <v>1035</v>
      </c>
      <c r="D237" s="8" t="s">
        <v>1036</v>
      </c>
      <c r="E237" s="7" t="s">
        <v>1038</v>
      </c>
      <c r="F237" s="9">
        <v>44986</v>
      </c>
      <c r="G237" s="9" t="s">
        <v>65</v>
      </c>
      <c r="H237" s="9" t="s">
        <v>66</v>
      </c>
      <c r="I237" s="8" t="s">
        <v>78</v>
      </c>
      <c r="J237" s="10">
        <v>795.46</v>
      </c>
      <c r="K237" s="10">
        <v>795.46</v>
      </c>
      <c r="L237" s="10">
        <f t="shared" si="84"/>
        <v>0</v>
      </c>
      <c r="M237" s="10">
        <v>372.43</v>
      </c>
      <c r="N237" s="10">
        <v>372.43</v>
      </c>
      <c r="O237" s="10">
        <f t="shared" si="85"/>
        <v>0</v>
      </c>
      <c r="P237" s="11">
        <v>9449.9949714630529</v>
      </c>
      <c r="Q237" s="11">
        <v>20183.90838546841</v>
      </c>
      <c r="R237" s="11">
        <v>22000</v>
      </c>
      <c r="S237" s="11">
        <v>7517093</v>
      </c>
      <c r="T237" s="11">
        <v>902052</v>
      </c>
      <c r="U237" s="12">
        <f t="shared" si="86"/>
        <v>0.12000011174532496</v>
      </c>
      <c r="V237" s="13">
        <f t="shared" si="112"/>
        <v>0</v>
      </c>
      <c r="W237" s="10">
        <f t="shared" si="87"/>
        <v>0</v>
      </c>
      <c r="X237" s="10"/>
      <c r="Y237" s="10"/>
      <c r="Z237" s="11">
        <f t="shared" si="88"/>
        <v>7517093</v>
      </c>
      <c r="AA237" s="14"/>
      <c r="AB237" s="14"/>
      <c r="AC237" s="11">
        <f t="shared" si="89"/>
        <v>7517093</v>
      </c>
      <c r="AD237" s="10">
        <f t="shared" si="90"/>
        <v>300</v>
      </c>
      <c r="AE237" s="15">
        <v>111729</v>
      </c>
      <c r="AF237" s="16">
        <v>20112</v>
      </c>
      <c r="AG237" s="15">
        <f t="shared" si="91"/>
        <v>0</v>
      </c>
      <c r="AH237" s="15">
        <f t="shared" si="92"/>
        <v>0</v>
      </c>
      <c r="AI237" s="15">
        <f t="shared" si="93"/>
        <v>111729</v>
      </c>
      <c r="AJ237" s="15">
        <f t="shared" si="94"/>
        <v>20112</v>
      </c>
      <c r="AK237" s="10">
        <v>111729</v>
      </c>
      <c r="AL237" s="15">
        <f t="shared" si="95"/>
        <v>111729</v>
      </c>
      <c r="AM237" s="15">
        <f t="shared" si="96"/>
        <v>7628822</v>
      </c>
      <c r="AN237" s="15">
        <f t="shared" si="97"/>
        <v>922164</v>
      </c>
      <c r="AO237" s="15">
        <f t="shared" si="102"/>
        <v>1034229</v>
      </c>
      <c r="AP237" s="17">
        <f t="shared" si="98"/>
        <v>8663051</v>
      </c>
      <c r="AQ237" s="15">
        <v>7509580</v>
      </c>
      <c r="AR237" s="15">
        <v>336</v>
      </c>
      <c r="AS237" s="18">
        <f t="shared" si="103"/>
        <v>1153471</v>
      </c>
      <c r="AT237" s="19">
        <v>0</v>
      </c>
      <c r="AU237" s="8">
        <v>8800</v>
      </c>
      <c r="AV237" s="13">
        <f t="shared" si="104"/>
        <v>3277384</v>
      </c>
      <c r="AW237" s="18">
        <f t="shared" si="105"/>
        <v>7628822</v>
      </c>
      <c r="AX237" s="15">
        <f t="shared" si="99"/>
        <v>7629000</v>
      </c>
      <c r="AY237" s="20">
        <v>0.05</v>
      </c>
      <c r="AZ237" s="13">
        <f t="shared" si="100"/>
        <v>381450</v>
      </c>
      <c r="BA237" s="15">
        <f t="shared" si="101"/>
        <v>381500</v>
      </c>
      <c r="BB237" s="21">
        <f t="shared" si="106"/>
        <v>1534971</v>
      </c>
      <c r="BC237" s="10">
        <f t="shared" si="107"/>
        <v>0</v>
      </c>
      <c r="BD237" s="10">
        <f t="shared" si="108"/>
        <v>0</v>
      </c>
      <c r="BE237" s="10">
        <v>73.900000000000006</v>
      </c>
      <c r="BF237" s="10">
        <v>34.6</v>
      </c>
      <c r="BG237" s="107">
        <v>46176</v>
      </c>
      <c r="BH237" s="107">
        <f t="shared" si="113"/>
        <v>46206</v>
      </c>
      <c r="BI237" s="23">
        <v>5</v>
      </c>
      <c r="BJ237" s="6"/>
      <c r="BK237" s="6"/>
      <c r="BL237" s="24">
        <f>VLOOKUP(A237,[2]Sheet1!$D$2:$H$933,5,0)</f>
        <v>0</v>
      </c>
      <c r="BM237" s="6" t="s">
        <v>3828</v>
      </c>
      <c r="BN237" s="6" t="s">
        <v>3829</v>
      </c>
      <c r="BO237" s="6" t="s">
        <v>3820</v>
      </c>
      <c r="BP237" s="6" t="s">
        <v>3821</v>
      </c>
      <c r="BQ237" s="6" t="s">
        <v>3830</v>
      </c>
      <c r="BR237" t="s">
        <v>3823</v>
      </c>
      <c r="BS237" t="s">
        <v>3824</v>
      </c>
      <c r="BT237" t="s">
        <v>3825</v>
      </c>
      <c r="BU237" t="s">
        <v>3826</v>
      </c>
      <c r="BV237" t="s">
        <v>3827</v>
      </c>
      <c r="BW237" t="s">
        <v>3835</v>
      </c>
      <c r="BX237">
        <v>0</v>
      </c>
      <c r="BY237" t="s">
        <v>3870</v>
      </c>
      <c r="BZ237" t="s">
        <v>3860</v>
      </c>
    </row>
    <row r="238" spans="1:78" x14ac:dyDescent="0.25">
      <c r="A238" s="7" t="s">
        <v>1041</v>
      </c>
      <c r="B238" s="7" t="s">
        <v>181</v>
      </c>
      <c r="C238" s="7" t="s">
        <v>1039</v>
      </c>
      <c r="D238" s="8" t="s">
        <v>1040</v>
      </c>
      <c r="E238" s="7" t="s">
        <v>965</v>
      </c>
      <c r="F238" s="9">
        <v>44855</v>
      </c>
      <c r="G238" s="9" t="s">
        <v>404</v>
      </c>
      <c r="H238" s="9" t="s">
        <v>87</v>
      </c>
      <c r="I238" s="8" t="s">
        <v>78</v>
      </c>
      <c r="J238" s="10">
        <v>443.48</v>
      </c>
      <c r="K238" s="10">
        <v>443.48</v>
      </c>
      <c r="L238" s="10">
        <f t="shared" si="84"/>
        <v>0</v>
      </c>
      <c r="M238" s="10">
        <v>188.37</v>
      </c>
      <c r="N238" s="10">
        <v>188.37</v>
      </c>
      <c r="O238" s="10">
        <f t="shared" si="85"/>
        <v>0</v>
      </c>
      <c r="P238" s="11">
        <v>23470.000901957246</v>
      </c>
      <c r="Q238" s="11">
        <v>55255.486542443061</v>
      </c>
      <c r="R238" s="11">
        <v>40000</v>
      </c>
      <c r="S238" s="11">
        <v>10408476</v>
      </c>
      <c r="T238" s="11">
        <v>1249018</v>
      </c>
      <c r="U238" s="12">
        <f t="shared" si="86"/>
        <v>0.12000008454647923</v>
      </c>
      <c r="V238" s="13">
        <f t="shared" si="112"/>
        <v>0</v>
      </c>
      <c r="W238" s="10">
        <f t="shared" si="87"/>
        <v>0</v>
      </c>
      <c r="X238" s="10"/>
      <c r="Y238" s="10"/>
      <c r="Z238" s="11">
        <f t="shared" si="88"/>
        <v>10408476</v>
      </c>
      <c r="AA238" s="14">
        <v>923920</v>
      </c>
      <c r="AB238" s="14">
        <v>110870</v>
      </c>
      <c r="AC238" s="11">
        <f t="shared" si="89"/>
        <v>9484556</v>
      </c>
      <c r="AD238" s="10">
        <f t="shared" si="90"/>
        <v>300</v>
      </c>
      <c r="AE238" s="15">
        <v>56511</v>
      </c>
      <c r="AF238" s="16">
        <v>10172</v>
      </c>
      <c r="AG238" s="15">
        <f t="shared" si="91"/>
        <v>0</v>
      </c>
      <c r="AH238" s="15">
        <f t="shared" si="92"/>
        <v>0</v>
      </c>
      <c r="AI238" s="15">
        <f t="shared" si="93"/>
        <v>56511</v>
      </c>
      <c r="AJ238" s="15">
        <f t="shared" si="94"/>
        <v>10172</v>
      </c>
      <c r="AK238" s="10">
        <v>56511</v>
      </c>
      <c r="AL238" s="15">
        <f t="shared" si="95"/>
        <v>56511</v>
      </c>
      <c r="AM238" s="15">
        <f t="shared" si="96"/>
        <v>9541067</v>
      </c>
      <c r="AN238" s="15">
        <f t="shared" si="97"/>
        <v>1148320</v>
      </c>
      <c r="AO238" s="15">
        <f t="shared" si="102"/>
        <v>1205112</v>
      </c>
      <c r="AP238" s="17">
        <f t="shared" si="98"/>
        <v>10746179</v>
      </c>
      <c r="AQ238" s="15">
        <v>9400506</v>
      </c>
      <c r="AR238" s="15">
        <v>281</v>
      </c>
      <c r="AS238" s="18">
        <f t="shared" si="103"/>
        <v>1345673</v>
      </c>
      <c r="AT238" s="19">
        <v>0</v>
      </c>
      <c r="AU238" s="8">
        <v>8800</v>
      </c>
      <c r="AV238" s="13">
        <f t="shared" si="104"/>
        <v>1657656</v>
      </c>
      <c r="AW238" s="18">
        <f t="shared" si="105"/>
        <v>9541067</v>
      </c>
      <c r="AX238" s="15">
        <f t="shared" si="99"/>
        <v>9542000</v>
      </c>
      <c r="AY238" s="20">
        <v>0.05</v>
      </c>
      <c r="AZ238" s="13">
        <f t="shared" si="100"/>
        <v>477100</v>
      </c>
      <c r="BA238" s="15">
        <f t="shared" si="101"/>
        <v>477100</v>
      </c>
      <c r="BB238" s="21">
        <f t="shared" si="106"/>
        <v>1822773</v>
      </c>
      <c r="BC238" s="10">
        <f t="shared" si="107"/>
        <v>0</v>
      </c>
      <c r="BD238" s="10">
        <f t="shared" si="108"/>
        <v>0</v>
      </c>
      <c r="BE238" s="10">
        <v>41.2</v>
      </c>
      <c r="BF238" s="10">
        <v>17.5</v>
      </c>
      <c r="BG238" s="107">
        <v>46176</v>
      </c>
      <c r="BH238" s="107">
        <f t="shared" si="113"/>
        <v>46206</v>
      </c>
      <c r="BI238" s="23">
        <v>5</v>
      </c>
      <c r="BJ238" s="6"/>
      <c r="BK238" s="6"/>
      <c r="BL238" s="24">
        <f>VLOOKUP(A238,[2]Sheet1!$D$2:$H$933,5,0)</f>
        <v>0</v>
      </c>
      <c r="BM238" s="6" t="s">
        <v>3828</v>
      </c>
      <c r="BN238" s="6" t="s">
        <v>3829</v>
      </c>
      <c r="BO238" s="6" t="s">
        <v>3820</v>
      </c>
      <c r="BP238" s="6" t="s">
        <v>3821</v>
      </c>
      <c r="BQ238" s="6" t="s">
        <v>3830</v>
      </c>
      <c r="BR238" t="s">
        <v>3823</v>
      </c>
      <c r="BS238" t="s">
        <v>3824</v>
      </c>
      <c r="BT238" t="s">
        <v>3825</v>
      </c>
      <c r="BU238" t="s">
        <v>3826</v>
      </c>
      <c r="BV238" t="s">
        <v>3827</v>
      </c>
      <c r="BW238" t="s">
        <v>3835</v>
      </c>
      <c r="BX238">
        <v>0</v>
      </c>
      <c r="BY238" t="s">
        <v>3864</v>
      </c>
      <c r="BZ238" t="s">
        <v>3863</v>
      </c>
    </row>
    <row r="239" spans="1:78" x14ac:dyDescent="0.25">
      <c r="A239" s="7" t="s">
        <v>1044</v>
      </c>
      <c r="B239" s="7" t="s">
        <v>181</v>
      </c>
      <c r="C239" s="7" t="s">
        <v>1042</v>
      </c>
      <c r="D239" s="8" t="s">
        <v>1043</v>
      </c>
      <c r="E239" s="7" t="s">
        <v>1045</v>
      </c>
      <c r="F239" s="9">
        <v>44886</v>
      </c>
      <c r="G239" s="9" t="s">
        <v>527</v>
      </c>
      <c r="H239" s="9" t="s">
        <v>72</v>
      </c>
      <c r="I239" s="8" t="s">
        <v>635</v>
      </c>
      <c r="J239" s="10">
        <v>796.25</v>
      </c>
      <c r="K239" s="10">
        <v>796.25</v>
      </c>
      <c r="L239" s="10">
        <f t="shared" si="84"/>
        <v>0</v>
      </c>
      <c r="M239" s="10">
        <v>120.56</v>
      </c>
      <c r="N239" s="10">
        <v>120.56</v>
      </c>
      <c r="O239" s="10">
        <f t="shared" si="85"/>
        <v>0</v>
      </c>
      <c r="P239" s="11">
        <v>10995.439874411302</v>
      </c>
      <c r="Q239" s="11">
        <v>72620.429661579299</v>
      </c>
      <c r="R239" s="11">
        <v>20000</v>
      </c>
      <c r="S239" s="11">
        <v>8755119</v>
      </c>
      <c r="T239" s="11">
        <v>1050616</v>
      </c>
      <c r="U239" s="12">
        <f t="shared" si="86"/>
        <v>0.12000019645649591</v>
      </c>
      <c r="V239" s="13">
        <f t="shared" si="112"/>
        <v>0</v>
      </c>
      <c r="W239" s="10">
        <f t="shared" si="87"/>
        <v>0</v>
      </c>
      <c r="X239" s="10"/>
      <c r="Y239" s="10"/>
      <c r="Z239" s="11">
        <f t="shared" si="88"/>
        <v>8755119</v>
      </c>
      <c r="AA239" s="14">
        <v>1035072</v>
      </c>
      <c r="AB239" s="14">
        <v>124208</v>
      </c>
      <c r="AC239" s="11">
        <f t="shared" si="89"/>
        <v>7720047</v>
      </c>
      <c r="AD239" s="10">
        <f t="shared" si="90"/>
        <v>300</v>
      </c>
      <c r="AE239" s="15">
        <v>36168</v>
      </c>
      <c r="AF239" s="16">
        <v>6510</v>
      </c>
      <c r="AG239" s="15">
        <f t="shared" si="91"/>
        <v>0</v>
      </c>
      <c r="AH239" s="15">
        <f t="shared" si="92"/>
        <v>0</v>
      </c>
      <c r="AI239" s="15">
        <f t="shared" si="93"/>
        <v>36168</v>
      </c>
      <c r="AJ239" s="15">
        <f t="shared" si="94"/>
        <v>6511</v>
      </c>
      <c r="AK239" s="10">
        <v>36168</v>
      </c>
      <c r="AL239" s="15">
        <f t="shared" si="95"/>
        <v>36168</v>
      </c>
      <c r="AM239" s="15">
        <f t="shared" si="96"/>
        <v>7756215</v>
      </c>
      <c r="AN239" s="15">
        <f t="shared" si="97"/>
        <v>932919</v>
      </c>
      <c r="AO239" s="15">
        <f t="shared" si="102"/>
        <v>969424</v>
      </c>
      <c r="AP239" s="17">
        <f t="shared" si="98"/>
        <v>8725639</v>
      </c>
      <c r="AQ239" s="15">
        <v>7598124</v>
      </c>
      <c r="AR239" s="15">
        <v>337</v>
      </c>
      <c r="AS239" s="18">
        <f t="shared" si="103"/>
        <v>1127515</v>
      </c>
      <c r="AT239" s="19">
        <v>0</v>
      </c>
      <c r="AU239" s="8">
        <v>8800</v>
      </c>
      <c r="AV239" s="13">
        <f t="shared" si="104"/>
        <v>1060928</v>
      </c>
      <c r="AW239" s="18">
        <f t="shared" si="105"/>
        <v>7756215</v>
      </c>
      <c r="AX239" s="15">
        <f t="shared" si="99"/>
        <v>7757000</v>
      </c>
      <c r="AY239" s="20">
        <v>0.05</v>
      </c>
      <c r="AZ239" s="13">
        <f t="shared" si="100"/>
        <v>387850</v>
      </c>
      <c r="BA239" s="15">
        <f t="shared" si="101"/>
        <v>387900</v>
      </c>
      <c r="BB239" s="21">
        <f t="shared" si="106"/>
        <v>1515415</v>
      </c>
      <c r="BC239" s="10">
        <f t="shared" si="107"/>
        <v>0</v>
      </c>
      <c r="BD239" s="10">
        <f t="shared" si="108"/>
        <v>0</v>
      </c>
      <c r="BE239" s="10">
        <v>73.97</v>
      </c>
      <c r="BF239" s="10">
        <v>11.2</v>
      </c>
      <c r="BG239" s="107">
        <v>46176</v>
      </c>
      <c r="BH239" s="107">
        <f t="shared" si="113"/>
        <v>46206</v>
      </c>
      <c r="BI239" s="23">
        <v>5</v>
      </c>
      <c r="BJ239" s="6"/>
      <c r="BK239" s="6"/>
      <c r="BL239" s="24">
        <f>VLOOKUP(A239,[2]Sheet1!$D$2:$H$933,5,0)</f>
        <v>0</v>
      </c>
      <c r="BM239" s="6" t="s">
        <v>3828</v>
      </c>
      <c r="BN239" s="6" t="s">
        <v>3829</v>
      </c>
      <c r="BO239" s="6" t="s">
        <v>3820</v>
      </c>
      <c r="BP239" s="6" t="s">
        <v>3821</v>
      </c>
      <c r="BQ239" s="6" t="s">
        <v>3830</v>
      </c>
      <c r="BR239" t="s">
        <v>3823</v>
      </c>
      <c r="BS239" t="s">
        <v>3824</v>
      </c>
      <c r="BT239" t="s">
        <v>3825</v>
      </c>
      <c r="BU239" t="s">
        <v>3826</v>
      </c>
      <c r="BV239" t="s">
        <v>3827</v>
      </c>
      <c r="BW239" t="s">
        <v>3835</v>
      </c>
      <c r="BX239">
        <v>0</v>
      </c>
      <c r="BY239" t="s">
        <v>3862</v>
      </c>
      <c r="BZ239" t="s">
        <v>3871</v>
      </c>
    </row>
    <row r="240" spans="1:78" x14ac:dyDescent="0.25">
      <c r="A240" s="7" t="s">
        <v>1048</v>
      </c>
      <c r="B240" s="7" t="s">
        <v>181</v>
      </c>
      <c r="C240" s="7" t="s">
        <v>1046</v>
      </c>
      <c r="D240" s="8" t="s">
        <v>1047</v>
      </c>
      <c r="E240" s="7" t="s">
        <v>1049</v>
      </c>
      <c r="F240" s="9">
        <v>44905</v>
      </c>
      <c r="G240" s="9" t="s">
        <v>404</v>
      </c>
      <c r="H240" s="9" t="s">
        <v>72</v>
      </c>
      <c r="I240" s="8" t="s">
        <v>78</v>
      </c>
      <c r="J240" s="10">
        <v>799.77</v>
      </c>
      <c r="K240" s="10">
        <v>799.77</v>
      </c>
      <c r="L240" s="10">
        <f t="shared" si="84"/>
        <v>0</v>
      </c>
      <c r="M240" s="10">
        <v>369.74</v>
      </c>
      <c r="N240" s="10">
        <v>369.74</v>
      </c>
      <c r="O240" s="10">
        <f t="shared" si="85"/>
        <v>0</v>
      </c>
      <c r="P240" s="11">
        <v>9542.9998624604577</v>
      </c>
      <c r="Q240" s="11">
        <v>20642.08633093525</v>
      </c>
      <c r="R240" s="11">
        <v>20000</v>
      </c>
      <c r="S240" s="11">
        <v>7632205</v>
      </c>
      <c r="T240" s="11">
        <v>915866</v>
      </c>
      <c r="U240" s="12">
        <f t="shared" si="86"/>
        <v>0.12000018343322801</v>
      </c>
      <c r="V240" s="13">
        <f t="shared" si="112"/>
        <v>0</v>
      </c>
      <c r="W240" s="10">
        <f t="shared" si="87"/>
        <v>0</v>
      </c>
      <c r="X240" s="10"/>
      <c r="Y240" s="10"/>
      <c r="Z240" s="11">
        <f t="shared" si="88"/>
        <v>7632205</v>
      </c>
      <c r="AA240" s="14"/>
      <c r="AB240" s="14"/>
      <c r="AC240" s="11">
        <f t="shared" si="89"/>
        <v>7632205</v>
      </c>
      <c r="AD240" s="10">
        <f t="shared" si="90"/>
        <v>300</v>
      </c>
      <c r="AE240" s="15">
        <v>110922</v>
      </c>
      <c r="AF240" s="16">
        <v>19966</v>
      </c>
      <c r="AG240" s="15">
        <f t="shared" si="91"/>
        <v>0</v>
      </c>
      <c r="AH240" s="15">
        <f t="shared" si="92"/>
        <v>0</v>
      </c>
      <c r="AI240" s="15">
        <f t="shared" si="93"/>
        <v>110922</v>
      </c>
      <c r="AJ240" s="15">
        <f t="shared" si="94"/>
        <v>19966</v>
      </c>
      <c r="AK240" s="10">
        <v>110922</v>
      </c>
      <c r="AL240" s="15">
        <f t="shared" si="95"/>
        <v>110922</v>
      </c>
      <c r="AM240" s="15">
        <f t="shared" si="96"/>
        <v>7743127</v>
      </c>
      <c r="AN240" s="15">
        <f t="shared" si="97"/>
        <v>935832</v>
      </c>
      <c r="AO240" s="15">
        <f t="shared" si="102"/>
        <v>1046754</v>
      </c>
      <c r="AP240" s="17">
        <f t="shared" si="98"/>
        <v>8789881</v>
      </c>
      <c r="AQ240" s="15">
        <v>7693266</v>
      </c>
      <c r="AR240" s="15">
        <v>0</v>
      </c>
      <c r="AS240" s="18">
        <f t="shared" si="103"/>
        <v>1096615</v>
      </c>
      <c r="AT240" s="19">
        <v>0</v>
      </c>
      <c r="AU240" s="8">
        <v>8800</v>
      </c>
      <c r="AV240" s="13">
        <f t="shared" si="104"/>
        <v>3253712</v>
      </c>
      <c r="AW240" s="18">
        <f t="shared" si="105"/>
        <v>7743127</v>
      </c>
      <c r="AX240" s="15">
        <f t="shared" si="99"/>
        <v>7744000</v>
      </c>
      <c r="AY240" s="20">
        <v>7.0000000000000007E-2</v>
      </c>
      <c r="AZ240" s="13">
        <f t="shared" si="100"/>
        <v>542080</v>
      </c>
      <c r="BA240" s="15">
        <f t="shared" si="101"/>
        <v>542100</v>
      </c>
      <c r="BB240" s="21">
        <f t="shared" si="106"/>
        <v>1638715</v>
      </c>
      <c r="BC240" s="10">
        <f t="shared" si="107"/>
        <v>0</v>
      </c>
      <c r="BD240" s="10">
        <f t="shared" si="108"/>
        <v>0</v>
      </c>
      <c r="BE240" s="10">
        <v>74.3</v>
      </c>
      <c r="BF240" s="10">
        <v>34.35</v>
      </c>
      <c r="BG240" s="107">
        <v>46176</v>
      </c>
      <c r="BH240" s="107">
        <f t="shared" si="113"/>
        <v>46206</v>
      </c>
      <c r="BI240" s="23">
        <v>7</v>
      </c>
      <c r="BJ240" s="6"/>
      <c r="BK240" s="6"/>
      <c r="BL240" s="24">
        <f>VLOOKUP(A240,[2]Sheet1!$D$2:$H$933,5,0)</f>
        <v>0</v>
      </c>
      <c r="BM240" s="6" t="s">
        <v>3828</v>
      </c>
      <c r="BN240" s="6" t="s">
        <v>3829</v>
      </c>
      <c r="BO240" s="6" t="s">
        <v>3820</v>
      </c>
      <c r="BP240" s="6" t="s">
        <v>3821</v>
      </c>
      <c r="BQ240" s="6" t="s">
        <v>3830</v>
      </c>
      <c r="BR240" t="s">
        <v>3823</v>
      </c>
      <c r="BS240" t="s">
        <v>3824</v>
      </c>
      <c r="BT240" t="s">
        <v>3825</v>
      </c>
      <c r="BU240" t="s">
        <v>3826</v>
      </c>
      <c r="BV240" t="s">
        <v>3827</v>
      </c>
      <c r="BW240" t="s">
        <v>3835</v>
      </c>
      <c r="BX240" s="101">
        <v>1015062.1550384001</v>
      </c>
      <c r="BY240" t="s">
        <v>3869</v>
      </c>
      <c r="BZ240" t="s">
        <v>3863</v>
      </c>
    </row>
    <row r="241" spans="1:78" x14ac:dyDescent="0.25">
      <c r="A241" s="7" t="s">
        <v>1052</v>
      </c>
      <c r="B241" s="7" t="s">
        <v>181</v>
      </c>
      <c r="C241" s="7" t="s">
        <v>1050</v>
      </c>
      <c r="D241" s="8" t="s">
        <v>1051</v>
      </c>
      <c r="E241" s="7" t="s">
        <v>1053</v>
      </c>
      <c r="F241" s="9">
        <v>45181</v>
      </c>
      <c r="G241" s="9" t="s">
        <v>65</v>
      </c>
      <c r="H241" s="9" t="s">
        <v>87</v>
      </c>
      <c r="I241" s="8" t="s">
        <v>78</v>
      </c>
      <c r="J241" s="10">
        <v>861.12</v>
      </c>
      <c r="K241" s="10">
        <v>861.12</v>
      </c>
      <c r="L241" s="10">
        <f t="shared" si="84"/>
        <v>0</v>
      </c>
      <c r="M241" s="10">
        <v>399.34</v>
      </c>
      <c r="N241" s="10">
        <v>399.34</v>
      </c>
      <c r="O241" s="10">
        <f t="shared" si="85"/>
        <v>0</v>
      </c>
      <c r="P241" s="11">
        <v>10000</v>
      </c>
      <c r="Q241" s="11">
        <v>21563.579906846298</v>
      </c>
      <c r="R241" s="11">
        <v>40000</v>
      </c>
      <c r="S241" s="11">
        <v>8611200</v>
      </c>
      <c r="T241" s="11">
        <v>1033346</v>
      </c>
      <c r="U241" s="12">
        <f t="shared" si="86"/>
        <v>0.12000023225566704</v>
      </c>
      <c r="V241" s="13">
        <f t="shared" si="112"/>
        <v>0</v>
      </c>
      <c r="W241" s="10">
        <f t="shared" si="87"/>
        <v>0</v>
      </c>
      <c r="X241" s="10"/>
      <c r="Y241" s="10"/>
      <c r="Z241" s="11">
        <f t="shared" si="88"/>
        <v>8611200</v>
      </c>
      <c r="AA241" s="14"/>
      <c r="AB241" s="14"/>
      <c r="AC241" s="11">
        <f t="shared" si="89"/>
        <v>8611200</v>
      </c>
      <c r="AD241" s="10">
        <f t="shared" si="90"/>
        <v>300</v>
      </c>
      <c r="AE241" s="15">
        <v>119802</v>
      </c>
      <c r="AF241" s="16">
        <v>21564</v>
      </c>
      <c r="AG241" s="15">
        <f t="shared" si="91"/>
        <v>0</v>
      </c>
      <c r="AH241" s="15">
        <f t="shared" si="92"/>
        <v>0</v>
      </c>
      <c r="AI241" s="15">
        <f t="shared" si="93"/>
        <v>119801.99999999999</v>
      </c>
      <c r="AJ241" s="15">
        <f t="shared" si="94"/>
        <v>21565</v>
      </c>
      <c r="AK241" s="10">
        <v>119802</v>
      </c>
      <c r="AL241" s="15">
        <f t="shared" si="95"/>
        <v>119801.99999999999</v>
      </c>
      <c r="AM241" s="15">
        <f t="shared" si="96"/>
        <v>8731002</v>
      </c>
      <c r="AN241" s="15">
        <f t="shared" si="97"/>
        <v>1054911</v>
      </c>
      <c r="AO241" s="15">
        <f t="shared" si="102"/>
        <v>1175055</v>
      </c>
      <c r="AP241" s="17">
        <f t="shared" si="98"/>
        <v>9906057</v>
      </c>
      <c r="AQ241" s="15">
        <v>8611203</v>
      </c>
      <c r="AR241" s="15">
        <v>342</v>
      </c>
      <c r="AS241" s="18">
        <f t="shared" si="103"/>
        <v>1294854</v>
      </c>
      <c r="AT241" s="19">
        <v>8811200</v>
      </c>
      <c r="AU241" s="8">
        <v>8800</v>
      </c>
      <c r="AV241" s="13">
        <f t="shared" si="104"/>
        <v>3514192</v>
      </c>
      <c r="AW241" s="18">
        <f t="shared" si="105"/>
        <v>8811200</v>
      </c>
      <c r="AX241" s="15">
        <f t="shared" si="99"/>
        <v>8812000</v>
      </c>
      <c r="AY241" s="20">
        <v>7.0000000000000007E-2</v>
      </c>
      <c r="AZ241" s="13">
        <f t="shared" si="100"/>
        <v>616840.00000000012</v>
      </c>
      <c r="BA241" s="15">
        <f t="shared" si="101"/>
        <v>616900</v>
      </c>
      <c r="BB241" s="21">
        <f t="shared" si="106"/>
        <v>1911754</v>
      </c>
      <c r="BC241" s="10">
        <f t="shared" si="107"/>
        <v>0</v>
      </c>
      <c r="BD241" s="10">
        <f t="shared" si="108"/>
        <v>0</v>
      </c>
      <c r="BE241" s="10">
        <v>80</v>
      </c>
      <c r="BF241" s="10">
        <v>37.1</v>
      </c>
      <c r="BG241" s="107">
        <v>46176</v>
      </c>
      <c r="BH241" s="107">
        <f t="shared" si="113"/>
        <v>46206</v>
      </c>
      <c r="BI241" s="23">
        <v>7</v>
      </c>
      <c r="BJ241" s="6"/>
      <c r="BK241" s="6"/>
      <c r="BL241" s="24">
        <f>VLOOKUP(A241,[2]Sheet1!$D$2:$H$933,5,0)</f>
        <v>0</v>
      </c>
      <c r="BM241" s="6" t="s">
        <v>3828</v>
      </c>
      <c r="BN241" s="6" t="s">
        <v>3829</v>
      </c>
      <c r="BO241" s="6" t="s">
        <v>3820</v>
      </c>
      <c r="BP241" s="6" t="s">
        <v>3821</v>
      </c>
      <c r="BQ241" s="6" t="s">
        <v>3830</v>
      </c>
      <c r="BR241" t="s">
        <v>3823</v>
      </c>
      <c r="BS241" t="s">
        <v>3824</v>
      </c>
      <c r="BT241" t="s">
        <v>3825</v>
      </c>
      <c r="BU241" t="s">
        <v>3826</v>
      </c>
      <c r="BV241" t="s">
        <v>3827</v>
      </c>
      <c r="BW241" t="s">
        <v>3835</v>
      </c>
      <c r="BX241">
        <v>0</v>
      </c>
      <c r="BY241" t="s">
        <v>3862</v>
      </c>
      <c r="BZ241" t="s">
        <v>3860</v>
      </c>
    </row>
    <row r="242" spans="1:78" x14ac:dyDescent="0.25">
      <c r="A242" s="7" t="s">
        <v>1056</v>
      </c>
      <c r="B242" s="7" t="s">
        <v>181</v>
      </c>
      <c r="C242" s="7" t="s">
        <v>1054</v>
      </c>
      <c r="D242" s="8" t="s">
        <v>1055</v>
      </c>
      <c r="E242" s="7" t="s">
        <v>1057</v>
      </c>
      <c r="F242" s="9">
        <v>45026</v>
      </c>
      <c r="G242" s="9" t="s">
        <v>717</v>
      </c>
      <c r="H242" s="9" t="s">
        <v>66</v>
      </c>
      <c r="I242" s="8" t="s">
        <v>78</v>
      </c>
      <c r="J242" s="10">
        <v>794.38</v>
      </c>
      <c r="K242" s="10">
        <v>794.38</v>
      </c>
      <c r="L242" s="10">
        <f t="shared" si="84"/>
        <v>0</v>
      </c>
      <c r="M242" s="10">
        <v>353.6</v>
      </c>
      <c r="N242" s="10">
        <v>353.6</v>
      </c>
      <c r="O242" s="10">
        <f t="shared" si="85"/>
        <v>0</v>
      </c>
      <c r="P242" s="11">
        <v>10190.114302978423</v>
      </c>
      <c r="Q242" s="11">
        <v>22892.59898190045</v>
      </c>
      <c r="R242" s="11">
        <v>22000</v>
      </c>
      <c r="S242" s="11">
        <v>8094823</v>
      </c>
      <c r="T242" s="11">
        <v>971380</v>
      </c>
      <c r="U242" s="12">
        <f t="shared" si="86"/>
        <v>0.12000015318432534</v>
      </c>
      <c r="V242" s="13">
        <f t="shared" si="112"/>
        <v>0</v>
      </c>
      <c r="W242" s="10">
        <f t="shared" si="87"/>
        <v>0</v>
      </c>
      <c r="X242" s="10"/>
      <c r="Y242" s="10"/>
      <c r="Z242" s="11">
        <f t="shared" si="88"/>
        <v>8094823</v>
      </c>
      <c r="AA242" s="14"/>
      <c r="AB242" s="14"/>
      <c r="AC242" s="11">
        <f t="shared" si="89"/>
        <v>8094823</v>
      </c>
      <c r="AD242" s="10">
        <f t="shared" si="90"/>
        <v>300</v>
      </c>
      <c r="AE242" s="15">
        <v>106080</v>
      </c>
      <c r="AF242" s="16">
        <v>19094</v>
      </c>
      <c r="AG242" s="15">
        <f t="shared" si="91"/>
        <v>0</v>
      </c>
      <c r="AH242" s="15">
        <f t="shared" si="92"/>
        <v>0</v>
      </c>
      <c r="AI242" s="15">
        <f t="shared" si="93"/>
        <v>106080</v>
      </c>
      <c r="AJ242" s="15">
        <f t="shared" si="94"/>
        <v>19095</v>
      </c>
      <c r="AK242" s="10">
        <v>106080</v>
      </c>
      <c r="AL242" s="15">
        <f t="shared" si="95"/>
        <v>106080</v>
      </c>
      <c r="AM242" s="15">
        <f t="shared" si="96"/>
        <v>8200903</v>
      </c>
      <c r="AN242" s="15">
        <f t="shared" si="97"/>
        <v>990475</v>
      </c>
      <c r="AO242" s="15">
        <f t="shared" si="102"/>
        <v>1096904</v>
      </c>
      <c r="AP242" s="17">
        <f t="shared" si="98"/>
        <v>9297807</v>
      </c>
      <c r="AQ242" s="15">
        <v>7952522</v>
      </c>
      <c r="AR242" s="15">
        <v>349</v>
      </c>
      <c r="AS242" s="18">
        <f t="shared" si="103"/>
        <v>1345285</v>
      </c>
      <c r="AT242" s="19">
        <v>0</v>
      </c>
      <c r="AU242" s="8">
        <v>8800</v>
      </c>
      <c r="AV242" s="13">
        <f t="shared" si="104"/>
        <v>3111680</v>
      </c>
      <c r="AW242" s="18">
        <f t="shared" si="105"/>
        <v>8200903</v>
      </c>
      <c r="AX242" s="15">
        <f t="shared" si="99"/>
        <v>8201000</v>
      </c>
      <c r="AY242" s="20">
        <v>0.05</v>
      </c>
      <c r="AZ242" s="13">
        <f t="shared" si="100"/>
        <v>410050</v>
      </c>
      <c r="BA242" s="15">
        <f t="shared" si="101"/>
        <v>410100</v>
      </c>
      <c r="BB242" s="21">
        <f t="shared" si="106"/>
        <v>1755385</v>
      </c>
      <c r="BC242" s="10">
        <f t="shared" si="107"/>
        <v>0</v>
      </c>
      <c r="BD242" s="10">
        <f t="shared" si="108"/>
        <v>0</v>
      </c>
      <c r="BE242" s="10">
        <v>73.8</v>
      </c>
      <c r="BF242" s="10">
        <v>32.85</v>
      </c>
      <c r="BG242" s="107">
        <v>46176</v>
      </c>
      <c r="BH242" s="107">
        <f t="shared" si="113"/>
        <v>46206</v>
      </c>
      <c r="BI242" s="23">
        <v>5</v>
      </c>
      <c r="BJ242" s="6"/>
      <c r="BK242" s="6"/>
      <c r="BL242" s="24">
        <f>VLOOKUP(A242,[2]Sheet1!$D$2:$H$933,5,0)</f>
        <v>0</v>
      </c>
      <c r="BM242" s="6" t="s">
        <v>3828</v>
      </c>
      <c r="BN242" s="6" t="s">
        <v>3829</v>
      </c>
      <c r="BO242" s="6" t="s">
        <v>3820</v>
      </c>
      <c r="BP242" s="6" t="s">
        <v>3821</v>
      </c>
      <c r="BQ242" s="6" t="s">
        <v>3830</v>
      </c>
      <c r="BR242" t="s">
        <v>3823</v>
      </c>
      <c r="BS242" t="s">
        <v>3824</v>
      </c>
      <c r="BT242" t="s">
        <v>3825</v>
      </c>
      <c r="BU242" t="s">
        <v>3826</v>
      </c>
      <c r="BV242" t="s">
        <v>3827</v>
      </c>
      <c r="BW242" t="s">
        <v>3835</v>
      </c>
      <c r="BX242">
        <v>0</v>
      </c>
      <c r="BY242" t="s">
        <v>3864</v>
      </c>
      <c r="BZ242" t="s">
        <v>3872</v>
      </c>
    </row>
    <row r="243" spans="1:78" x14ac:dyDescent="0.25">
      <c r="A243" s="7" t="s">
        <v>1060</v>
      </c>
      <c r="B243" s="7" t="s">
        <v>181</v>
      </c>
      <c r="C243" s="7" t="s">
        <v>1058</v>
      </c>
      <c r="D243" s="8" t="s">
        <v>1059</v>
      </c>
      <c r="E243" s="7" t="s">
        <v>1061</v>
      </c>
      <c r="F243" s="9">
        <v>44981</v>
      </c>
      <c r="G243" s="9" t="s">
        <v>363</v>
      </c>
      <c r="H243" s="9" t="s">
        <v>87</v>
      </c>
      <c r="I243" s="8" t="s">
        <v>67</v>
      </c>
      <c r="J243" s="10">
        <v>344.45</v>
      </c>
      <c r="K243" s="10">
        <v>344.45</v>
      </c>
      <c r="L243" s="10">
        <f t="shared" si="84"/>
        <v>0</v>
      </c>
      <c r="M243" s="10">
        <v>137.24</v>
      </c>
      <c r="N243" s="10">
        <v>137.24</v>
      </c>
      <c r="O243" s="10">
        <f t="shared" si="85"/>
        <v>0</v>
      </c>
      <c r="P243" s="11">
        <v>37101.297721004499</v>
      </c>
      <c r="Q243" s="11">
        <v>93118.201690469243</v>
      </c>
      <c r="R243" s="11">
        <v>40000</v>
      </c>
      <c r="S243" s="11">
        <v>12779542</v>
      </c>
      <c r="T243" s="11">
        <v>1533546</v>
      </c>
      <c r="U243" s="12">
        <f t="shared" si="86"/>
        <v>0.12000007512006299</v>
      </c>
      <c r="V243" s="13">
        <f t="shared" si="112"/>
        <v>0</v>
      </c>
      <c r="W243" s="10">
        <f t="shared" si="87"/>
        <v>0</v>
      </c>
      <c r="X243" s="10"/>
      <c r="Y243" s="10"/>
      <c r="Z243" s="11">
        <f t="shared" si="88"/>
        <v>12779542</v>
      </c>
      <c r="AA243" s="14"/>
      <c r="AB243" s="14"/>
      <c r="AC243" s="11">
        <f t="shared" si="89"/>
        <v>12779542</v>
      </c>
      <c r="AD243" s="10">
        <f t="shared" si="90"/>
        <v>300</v>
      </c>
      <c r="AE243" s="15">
        <v>41172</v>
      </c>
      <c r="AF243" s="16">
        <v>7410</v>
      </c>
      <c r="AG243" s="15">
        <f t="shared" si="91"/>
        <v>0</v>
      </c>
      <c r="AH243" s="15">
        <f t="shared" si="92"/>
        <v>0</v>
      </c>
      <c r="AI243" s="15">
        <f t="shared" si="93"/>
        <v>41172</v>
      </c>
      <c r="AJ243" s="15">
        <f t="shared" si="94"/>
        <v>7411</v>
      </c>
      <c r="AK243" s="10">
        <v>41172</v>
      </c>
      <c r="AL243" s="15">
        <f t="shared" si="95"/>
        <v>41172</v>
      </c>
      <c r="AM243" s="15">
        <f t="shared" si="96"/>
        <v>12820714</v>
      </c>
      <c r="AN243" s="15">
        <f t="shared" si="97"/>
        <v>1540957</v>
      </c>
      <c r="AO243" s="15">
        <f t="shared" si="102"/>
        <v>1582366.08</v>
      </c>
      <c r="AP243" s="17">
        <f t="shared" si="98"/>
        <v>14403080.08</v>
      </c>
      <c r="AQ243" s="15">
        <v>12881747</v>
      </c>
      <c r="AR243" s="15">
        <v>237.08</v>
      </c>
      <c r="AS243" s="18">
        <f t="shared" si="103"/>
        <v>1521333</v>
      </c>
      <c r="AT243" s="19">
        <v>0</v>
      </c>
      <c r="AU243" s="8">
        <v>8800</v>
      </c>
      <c r="AV243" s="13">
        <f t="shared" si="104"/>
        <v>1207712</v>
      </c>
      <c r="AW243" s="18">
        <f t="shared" si="105"/>
        <v>12820714</v>
      </c>
      <c r="AX243" s="15">
        <f t="shared" si="99"/>
        <v>12821000</v>
      </c>
      <c r="AY243" s="20">
        <v>0.06</v>
      </c>
      <c r="AZ243" s="13">
        <f t="shared" si="100"/>
        <v>769260</v>
      </c>
      <c r="BA243" s="15">
        <f t="shared" si="101"/>
        <v>769300</v>
      </c>
      <c r="BB243" s="21">
        <f t="shared" si="106"/>
        <v>2290633</v>
      </c>
      <c r="BC243" s="10">
        <f t="shared" si="107"/>
        <v>0</v>
      </c>
      <c r="BD243" s="10">
        <f t="shared" si="108"/>
        <v>0</v>
      </c>
      <c r="BE243" s="10">
        <v>32</v>
      </c>
      <c r="BF243" s="10">
        <v>12.75</v>
      </c>
      <c r="BG243" s="107">
        <v>46176</v>
      </c>
      <c r="BH243" s="107">
        <f t="shared" si="113"/>
        <v>46206</v>
      </c>
      <c r="BI243" s="23">
        <v>6</v>
      </c>
      <c r="BJ243" s="6"/>
      <c r="BK243" s="6"/>
      <c r="BL243" s="24">
        <f>VLOOKUP(A243,[2]Sheet1!$D$2:$H$933,5,0)</f>
        <v>0</v>
      </c>
      <c r="BM243" s="6" t="s">
        <v>3828</v>
      </c>
      <c r="BN243" s="6" t="s">
        <v>3829</v>
      </c>
      <c r="BO243" s="6" t="s">
        <v>3820</v>
      </c>
      <c r="BP243" s="6" t="s">
        <v>3821</v>
      </c>
      <c r="BQ243" s="6" t="s">
        <v>3830</v>
      </c>
      <c r="BR243" t="s">
        <v>3823</v>
      </c>
      <c r="BS243" t="s">
        <v>3824</v>
      </c>
      <c r="BT243" t="s">
        <v>3825</v>
      </c>
      <c r="BU243" t="s">
        <v>3826</v>
      </c>
      <c r="BV243" t="s">
        <v>3827</v>
      </c>
      <c r="BW243" t="s">
        <v>3835</v>
      </c>
      <c r="BX243">
        <v>0</v>
      </c>
      <c r="BY243" t="s">
        <v>3862</v>
      </c>
      <c r="BZ243" t="s">
        <v>3860</v>
      </c>
    </row>
    <row r="244" spans="1:78" x14ac:dyDescent="0.25">
      <c r="A244" s="7" t="s">
        <v>1064</v>
      </c>
      <c r="B244" s="7" t="s">
        <v>181</v>
      </c>
      <c r="C244" s="7" t="s">
        <v>1062</v>
      </c>
      <c r="D244" s="8" t="s">
        <v>1063</v>
      </c>
      <c r="E244" s="7" t="s">
        <v>1065</v>
      </c>
      <c r="F244" s="9">
        <v>44998</v>
      </c>
      <c r="G244" s="9" t="s">
        <v>527</v>
      </c>
      <c r="H244" s="9" t="s">
        <v>87</v>
      </c>
      <c r="I244" s="8" t="s">
        <v>67</v>
      </c>
      <c r="J244" s="10">
        <v>224.85</v>
      </c>
      <c r="K244" s="10">
        <v>224.85</v>
      </c>
      <c r="L244" s="10">
        <f t="shared" si="84"/>
        <v>0</v>
      </c>
      <c r="M244" s="10">
        <v>89.34</v>
      </c>
      <c r="N244" s="10">
        <v>89.34</v>
      </c>
      <c r="O244" s="10">
        <f t="shared" si="85"/>
        <v>0</v>
      </c>
      <c r="P244" s="11">
        <v>28628.890371358684</v>
      </c>
      <c r="Q244" s="11">
        <v>72052.899037385272</v>
      </c>
      <c r="R244" s="11">
        <v>40000</v>
      </c>
      <c r="S244" s="11">
        <v>6437206</v>
      </c>
      <c r="T244" s="11">
        <v>772466</v>
      </c>
      <c r="U244" s="12">
        <f t="shared" si="86"/>
        <v>0.12000019884403264</v>
      </c>
      <c r="V244" s="13">
        <f t="shared" si="112"/>
        <v>0</v>
      </c>
      <c r="W244" s="10">
        <f t="shared" si="87"/>
        <v>0</v>
      </c>
      <c r="X244" s="10"/>
      <c r="Y244" s="10"/>
      <c r="Z244" s="11">
        <f t="shared" si="88"/>
        <v>6437206</v>
      </c>
      <c r="AA244" s="14"/>
      <c r="AB244" s="14"/>
      <c r="AC244" s="11">
        <f t="shared" si="89"/>
        <v>6437206</v>
      </c>
      <c r="AD244" s="10">
        <f t="shared" si="90"/>
        <v>300</v>
      </c>
      <c r="AE244" s="15">
        <v>26802</v>
      </c>
      <c r="AF244" s="16">
        <v>4824</v>
      </c>
      <c r="AG244" s="15">
        <f t="shared" si="91"/>
        <v>0</v>
      </c>
      <c r="AH244" s="15">
        <f t="shared" si="92"/>
        <v>0</v>
      </c>
      <c r="AI244" s="15">
        <f t="shared" si="93"/>
        <v>26802</v>
      </c>
      <c r="AJ244" s="15">
        <f t="shared" si="94"/>
        <v>4825</v>
      </c>
      <c r="AK244" s="10">
        <v>26802</v>
      </c>
      <c r="AL244" s="15">
        <f t="shared" si="95"/>
        <v>26802</v>
      </c>
      <c r="AM244" s="15">
        <f t="shared" si="96"/>
        <v>6464008</v>
      </c>
      <c r="AN244" s="15">
        <f t="shared" si="97"/>
        <v>777291</v>
      </c>
      <c r="AO244" s="15">
        <f t="shared" si="102"/>
        <v>804371</v>
      </c>
      <c r="AP244" s="17">
        <f t="shared" si="98"/>
        <v>7268379</v>
      </c>
      <c r="AQ244" s="15">
        <v>6319098</v>
      </c>
      <c r="AR244" s="15">
        <v>278</v>
      </c>
      <c r="AS244" s="18">
        <f t="shared" si="103"/>
        <v>949281</v>
      </c>
      <c r="AT244" s="19">
        <v>0</v>
      </c>
      <c r="AU244" s="8">
        <v>8800</v>
      </c>
      <c r="AV244" s="13">
        <f t="shared" si="104"/>
        <v>786192</v>
      </c>
      <c r="AW244" s="18">
        <f t="shared" si="105"/>
        <v>6464008</v>
      </c>
      <c r="AX244" s="15">
        <f t="shared" si="99"/>
        <v>6465000</v>
      </c>
      <c r="AY244" s="20">
        <v>0.05</v>
      </c>
      <c r="AZ244" s="13">
        <f t="shared" si="100"/>
        <v>323250</v>
      </c>
      <c r="BA244" s="15">
        <f t="shared" si="101"/>
        <v>323300</v>
      </c>
      <c r="BB244" s="21">
        <f t="shared" si="106"/>
        <v>1272581</v>
      </c>
      <c r="BC244" s="10">
        <f t="shared" si="107"/>
        <v>0</v>
      </c>
      <c r="BD244" s="10">
        <f t="shared" si="108"/>
        <v>0</v>
      </c>
      <c r="BE244" s="10">
        <v>20.89</v>
      </c>
      <c r="BF244" s="10">
        <v>8.3000000000000007</v>
      </c>
      <c r="BG244" s="107">
        <v>46176</v>
      </c>
      <c r="BH244" s="107">
        <f t="shared" si="113"/>
        <v>46206</v>
      </c>
      <c r="BI244" s="23">
        <v>5</v>
      </c>
      <c r="BJ244" s="6"/>
      <c r="BK244" s="6"/>
      <c r="BL244" s="24">
        <f>VLOOKUP(A244,[2]Sheet1!$D$2:$H$933,5,0)</f>
        <v>0</v>
      </c>
      <c r="BM244" s="6" t="s">
        <v>3828</v>
      </c>
      <c r="BN244" s="6" t="s">
        <v>3829</v>
      </c>
      <c r="BO244" s="6" t="s">
        <v>3820</v>
      </c>
      <c r="BP244" s="6" t="s">
        <v>3821</v>
      </c>
      <c r="BQ244" s="6" t="s">
        <v>3830</v>
      </c>
      <c r="BR244" t="s">
        <v>3823</v>
      </c>
      <c r="BS244" t="s">
        <v>3824</v>
      </c>
      <c r="BT244" t="s">
        <v>3825</v>
      </c>
      <c r="BU244" t="s">
        <v>3826</v>
      </c>
      <c r="BV244" t="s">
        <v>3827</v>
      </c>
      <c r="BW244" t="s">
        <v>3835</v>
      </c>
      <c r="BX244">
        <v>0</v>
      </c>
      <c r="BY244" t="s">
        <v>3866</v>
      </c>
      <c r="BZ244" t="s">
        <v>3871</v>
      </c>
    </row>
    <row r="245" spans="1:78" x14ac:dyDescent="0.25">
      <c r="A245" s="7" t="s">
        <v>1068</v>
      </c>
      <c r="B245" s="7" t="s">
        <v>181</v>
      </c>
      <c r="C245" s="7" t="s">
        <v>1066</v>
      </c>
      <c r="D245" s="8" t="s">
        <v>1067</v>
      </c>
      <c r="E245" s="7" t="s">
        <v>1069</v>
      </c>
      <c r="F245" s="9">
        <v>44998</v>
      </c>
      <c r="G245" s="9" t="s">
        <v>77</v>
      </c>
      <c r="H245" s="9" t="s">
        <v>87</v>
      </c>
      <c r="I245" s="8" t="s">
        <v>78</v>
      </c>
      <c r="J245" s="10">
        <v>299.45</v>
      </c>
      <c r="K245" s="10">
        <v>299.45</v>
      </c>
      <c r="L245" s="10">
        <f t="shared" si="84"/>
        <v>0</v>
      </c>
      <c r="M245" s="10">
        <v>130.13999999999999</v>
      </c>
      <c r="N245" s="10">
        <v>130.13999999999999</v>
      </c>
      <c r="O245" s="10">
        <f t="shared" si="85"/>
        <v>0</v>
      </c>
      <c r="P245" s="11">
        <v>21384.371347470362</v>
      </c>
      <c r="Q245" s="11">
        <v>49205.086829568165</v>
      </c>
      <c r="R245" s="11">
        <v>40000</v>
      </c>
      <c r="S245" s="11">
        <v>6403550</v>
      </c>
      <c r="T245" s="11">
        <v>768426</v>
      </c>
      <c r="U245" s="12">
        <f t="shared" si="86"/>
        <v>0.12</v>
      </c>
      <c r="V245" s="13">
        <f t="shared" si="112"/>
        <v>0</v>
      </c>
      <c r="W245" s="10">
        <f t="shared" si="87"/>
        <v>0</v>
      </c>
      <c r="X245" s="10"/>
      <c r="Y245" s="10"/>
      <c r="Z245" s="11">
        <f t="shared" si="88"/>
        <v>6403550</v>
      </c>
      <c r="AA245" s="14">
        <v>1339954</v>
      </c>
      <c r="AB245" s="14">
        <v>160794</v>
      </c>
      <c r="AC245" s="11">
        <f t="shared" si="89"/>
        <v>5063596</v>
      </c>
      <c r="AD245" s="10">
        <f t="shared" si="90"/>
        <v>300.00000000000006</v>
      </c>
      <c r="AE245" s="15">
        <v>39042</v>
      </c>
      <c r="AF245" s="16">
        <v>7028</v>
      </c>
      <c r="AG245" s="15">
        <f t="shared" si="91"/>
        <v>0</v>
      </c>
      <c r="AH245" s="15">
        <f t="shared" si="92"/>
        <v>0</v>
      </c>
      <c r="AI245" s="15">
        <f t="shared" si="93"/>
        <v>39042</v>
      </c>
      <c r="AJ245" s="15">
        <f t="shared" si="94"/>
        <v>7028</v>
      </c>
      <c r="AK245" s="10">
        <v>39042</v>
      </c>
      <c r="AL245" s="15">
        <f t="shared" si="95"/>
        <v>39041.999999999993</v>
      </c>
      <c r="AM245" s="15">
        <f t="shared" si="96"/>
        <v>5102638</v>
      </c>
      <c r="AN245" s="15">
        <f t="shared" si="97"/>
        <v>614660</v>
      </c>
      <c r="AO245" s="15">
        <f t="shared" si="102"/>
        <v>653950</v>
      </c>
      <c r="AP245" s="17">
        <f t="shared" si="98"/>
        <v>5756588</v>
      </c>
      <c r="AQ245" s="15">
        <v>4449009</v>
      </c>
      <c r="AR245" s="15">
        <v>248</v>
      </c>
      <c r="AS245" s="18">
        <f t="shared" si="103"/>
        <v>1307579</v>
      </c>
      <c r="AT245" s="19">
        <v>0</v>
      </c>
      <c r="AU245" s="8">
        <v>8800</v>
      </c>
      <c r="AV245" s="13">
        <f t="shared" si="104"/>
        <v>1145231.9999999998</v>
      </c>
      <c r="AW245" s="18">
        <f t="shared" si="105"/>
        <v>5102638</v>
      </c>
      <c r="AX245" s="15">
        <f t="shared" si="99"/>
        <v>5103000</v>
      </c>
      <c r="AY245" s="20">
        <v>0.05</v>
      </c>
      <c r="AZ245" s="13">
        <f t="shared" si="100"/>
        <v>255150</v>
      </c>
      <c r="BA245" s="15">
        <f t="shared" si="101"/>
        <v>255200</v>
      </c>
      <c r="BB245" s="21">
        <f t="shared" si="106"/>
        <v>1562779</v>
      </c>
      <c r="BC245" s="10">
        <f t="shared" si="107"/>
        <v>0</v>
      </c>
      <c r="BD245" s="10">
        <f t="shared" si="108"/>
        <v>0</v>
      </c>
      <c r="BE245" s="10">
        <v>27.82</v>
      </c>
      <c r="BF245" s="10">
        <v>12.09</v>
      </c>
      <c r="BG245" s="107">
        <v>46176</v>
      </c>
      <c r="BH245" s="107">
        <f t="shared" si="113"/>
        <v>46206</v>
      </c>
      <c r="BI245" s="23">
        <v>5</v>
      </c>
      <c r="BJ245" s="6"/>
      <c r="BK245" s="6"/>
      <c r="BL245" s="24">
        <f>VLOOKUP(A245,[2]Sheet1!$D$2:$H$933,5,0)</f>
        <v>0</v>
      </c>
      <c r="BM245" s="6" t="s">
        <v>3828</v>
      </c>
      <c r="BN245" s="6" t="s">
        <v>3829</v>
      </c>
      <c r="BO245" s="6" t="s">
        <v>3820</v>
      </c>
      <c r="BP245" s="6" t="s">
        <v>3821</v>
      </c>
      <c r="BQ245" s="6" t="s">
        <v>3830</v>
      </c>
      <c r="BR245" t="s">
        <v>3823</v>
      </c>
      <c r="BS245" t="s">
        <v>3824</v>
      </c>
      <c r="BT245" t="s">
        <v>3825</v>
      </c>
      <c r="BU245" t="s">
        <v>3826</v>
      </c>
      <c r="BV245" t="s">
        <v>3827</v>
      </c>
      <c r="BW245" t="s">
        <v>3835</v>
      </c>
      <c r="BX245" s="101">
        <v>1048075</v>
      </c>
      <c r="BY245" t="s">
        <v>3869</v>
      </c>
      <c r="BZ245" t="s">
        <v>3863</v>
      </c>
    </row>
    <row r="246" spans="1:78" x14ac:dyDescent="0.25">
      <c r="A246" s="7" t="s">
        <v>1072</v>
      </c>
      <c r="B246" s="7" t="s">
        <v>181</v>
      </c>
      <c r="C246" s="7" t="s">
        <v>1070</v>
      </c>
      <c r="D246" s="8" t="s">
        <v>1071</v>
      </c>
      <c r="E246" s="7" t="s">
        <v>1073</v>
      </c>
      <c r="F246" s="9">
        <v>45003</v>
      </c>
      <c r="G246" s="9" t="s">
        <v>404</v>
      </c>
      <c r="H246" s="9" t="s">
        <v>66</v>
      </c>
      <c r="I246" s="8" t="s">
        <v>78</v>
      </c>
      <c r="J246" s="10">
        <v>677.06</v>
      </c>
      <c r="K246" s="10">
        <v>677.06</v>
      </c>
      <c r="L246" s="10">
        <f t="shared" si="84"/>
        <v>0</v>
      </c>
      <c r="M246" s="10">
        <v>315.39</v>
      </c>
      <c r="N246" s="10">
        <v>315.39</v>
      </c>
      <c r="O246" s="10">
        <f t="shared" si="85"/>
        <v>0</v>
      </c>
      <c r="P246" s="11">
        <v>13151.779753640742</v>
      </c>
      <c r="Q246" s="11">
        <v>28233.437965693269</v>
      </c>
      <c r="R246" s="11">
        <v>22000</v>
      </c>
      <c r="S246" s="11">
        <v>8904544</v>
      </c>
      <c r="T246" s="11">
        <v>1068544</v>
      </c>
      <c r="U246" s="12">
        <f t="shared" si="86"/>
        <v>0.11999985625316692</v>
      </c>
      <c r="V246" s="13">
        <f t="shared" si="112"/>
        <v>0</v>
      </c>
      <c r="W246" s="10">
        <f t="shared" si="87"/>
        <v>0</v>
      </c>
      <c r="X246" s="10"/>
      <c r="Y246" s="10"/>
      <c r="Z246" s="11">
        <f t="shared" si="88"/>
        <v>8904544</v>
      </c>
      <c r="AA246" s="14"/>
      <c r="AB246" s="14"/>
      <c r="AC246" s="11">
        <f t="shared" si="89"/>
        <v>8904544</v>
      </c>
      <c r="AD246" s="10">
        <f t="shared" si="90"/>
        <v>300</v>
      </c>
      <c r="AE246" s="15">
        <v>94617</v>
      </c>
      <c r="AF246" s="16">
        <v>17032</v>
      </c>
      <c r="AG246" s="15">
        <f t="shared" si="91"/>
        <v>0</v>
      </c>
      <c r="AH246" s="15">
        <f t="shared" si="92"/>
        <v>0</v>
      </c>
      <c r="AI246" s="15">
        <f t="shared" si="93"/>
        <v>94617</v>
      </c>
      <c r="AJ246" s="15">
        <f t="shared" si="94"/>
        <v>17032</v>
      </c>
      <c r="AK246" s="10">
        <v>94617</v>
      </c>
      <c r="AL246" s="15">
        <f t="shared" si="95"/>
        <v>94617</v>
      </c>
      <c r="AM246" s="15">
        <f t="shared" si="96"/>
        <v>8999161</v>
      </c>
      <c r="AN246" s="15">
        <f t="shared" si="97"/>
        <v>1085576</v>
      </c>
      <c r="AO246" s="15">
        <f t="shared" si="102"/>
        <v>1180568</v>
      </c>
      <c r="AP246" s="17">
        <f t="shared" si="98"/>
        <v>10179729</v>
      </c>
      <c r="AQ246" s="15">
        <v>8365185</v>
      </c>
      <c r="AR246" s="15">
        <v>375</v>
      </c>
      <c r="AS246" s="18">
        <f t="shared" si="103"/>
        <v>1814544</v>
      </c>
      <c r="AT246" s="19">
        <v>0</v>
      </c>
      <c r="AU246" s="8">
        <v>8800</v>
      </c>
      <c r="AV246" s="13">
        <f t="shared" si="104"/>
        <v>2775432</v>
      </c>
      <c r="AW246" s="18">
        <f t="shared" si="105"/>
        <v>8999161</v>
      </c>
      <c r="AX246" s="15">
        <f t="shared" si="99"/>
        <v>9000000</v>
      </c>
      <c r="AY246" s="20">
        <v>0.06</v>
      </c>
      <c r="AZ246" s="13">
        <f t="shared" si="100"/>
        <v>540000</v>
      </c>
      <c r="BA246" s="15">
        <f t="shared" si="101"/>
        <v>540000</v>
      </c>
      <c r="BB246" s="21">
        <f t="shared" si="106"/>
        <v>2354544</v>
      </c>
      <c r="BC246" s="10">
        <f t="shared" si="107"/>
        <v>0</v>
      </c>
      <c r="BD246" s="10">
        <f t="shared" si="108"/>
        <v>0</v>
      </c>
      <c r="BE246" s="10">
        <v>62.9</v>
      </c>
      <c r="BF246" s="10">
        <v>29.3</v>
      </c>
      <c r="BG246" s="107">
        <v>46176</v>
      </c>
      <c r="BH246" s="107">
        <f t="shared" si="113"/>
        <v>46206</v>
      </c>
      <c r="BI246" s="23">
        <v>6</v>
      </c>
      <c r="BJ246" s="6"/>
      <c r="BK246" s="6"/>
      <c r="BL246" s="24">
        <f>VLOOKUP(A246,[2]Sheet1!$D$2:$H$933,5,0)</f>
        <v>0</v>
      </c>
      <c r="BM246" s="6" t="s">
        <v>3828</v>
      </c>
      <c r="BN246" s="6" t="s">
        <v>3829</v>
      </c>
      <c r="BO246" s="6" t="s">
        <v>3820</v>
      </c>
      <c r="BP246" s="6" t="s">
        <v>3821</v>
      </c>
      <c r="BQ246" s="6" t="s">
        <v>3830</v>
      </c>
      <c r="BR246" t="s">
        <v>3823</v>
      </c>
      <c r="BS246" t="s">
        <v>3824</v>
      </c>
      <c r="BT246" t="s">
        <v>3825</v>
      </c>
      <c r="BU246" t="s">
        <v>3826</v>
      </c>
      <c r="BV246" t="s">
        <v>3827</v>
      </c>
      <c r="BW246" t="s">
        <v>3835</v>
      </c>
      <c r="BX246">
        <v>0</v>
      </c>
      <c r="BY246" t="s">
        <v>3861</v>
      </c>
      <c r="BZ246" t="s">
        <v>3863</v>
      </c>
    </row>
    <row r="247" spans="1:78" x14ac:dyDescent="0.25">
      <c r="A247" s="7" t="s">
        <v>1076</v>
      </c>
      <c r="B247" s="7" t="s">
        <v>181</v>
      </c>
      <c r="C247" s="7" t="s">
        <v>1074</v>
      </c>
      <c r="D247" s="8" t="s">
        <v>1075</v>
      </c>
      <c r="E247" s="7" t="s">
        <v>1077</v>
      </c>
      <c r="F247" s="9">
        <v>45287</v>
      </c>
      <c r="G247" s="9" t="s">
        <v>77</v>
      </c>
      <c r="H247" s="9" t="s">
        <v>66</v>
      </c>
      <c r="I247" s="8" t="s">
        <v>78</v>
      </c>
      <c r="J247" s="10">
        <v>1216.33</v>
      </c>
      <c r="K247" s="10">
        <v>1216.33</v>
      </c>
      <c r="L247" s="10">
        <f t="shared" ref="L247:L310" si="114">K247-J247</f>
        <v>0</v>
      </c>
      <c r="M247" s="10">
        <v>558.65</v>
      </c>
      <c r="N247" s="10">
        <v>565</v>
      </c>
      <c r="O247" s="10">
        <f t="shared" ref="O247:O310" si="115">N247-M247</f>
        <v>6.3500000000000227</v>
      </c>
      <c r="P247" s="11">
        <v>12000</v>
      </c>
      <c r="Q247" s="11">
        <v>26127.199498791731</v>
      </c>
      <c r="R247" s="11">
        <v>22000</v>
      </c>
      <c r="S247" s="11">
        <v>14595960</v>
      </c>
      <c r="T247" s="11">
        <v>1751514</v>
      </c>
      <c r="U247" s="12">
        <f t="shared" ref="U247:U310" si="116">T247/S247</f>
        <v>0.11999991778546941</v>
      </c>
      <c r="V247" s="13">
        <f t="shared" si="112"/>
        <v>0</v>
      </c>
      <c r="W247" s="10">
        <f t="shared" ref="W247:W310" si="117">V247*U247</f>
        <v>0</v>
      </c>
      <c r="X247" s="10"/>
      <c r="Y247" s="10"/>
      <c r="Z247" s="11">
        <f t="shared" ref="Z247:Z310" si="118">S247+V247+X247</f>
        <v>14595960</v>
      </c>
      <c r="AA247" s="14"/>
      <c r="AB247" s="14"/>
      <c r="AC247" s="11">
        <f t="shared" ref="AC247:AC310" si="119">Z247-AA247</f>
        <v>14595960</v>
      </c>
      <c r="AD247" s="10">
        <f t="shared" ref="AD247:AD310" si="120">AE247/M247</f>
        <v>300</v>
      </c>
      <c r="AE247" s="15">
        <v>167595</v>
      </c>
      <c r="AF247" s="16">
        <v>30168</v>
      </c>
      <c r="AG247" s="15">
        <f t="shared" ref="AG247:AG310" si="121">(AD247*O247)</f>
        <v>1905.0000000000068</v>
      </c>
      <c r="AH247" s="15">
        <f t="shared" ref="AH247:AH310" si="122">AG247*18%</f>
        <v>342.90000000000123</v>
      </c>
      <c r="AI247" s="15">
        <f t="shared" ref="AI247:AI310" si="123">AD247*N247</f>
        <v>169500</v>
      </c>
      <c r="AJ247" s="15">
        <f t="shared" ref="AJ247:AJ310" si="124">ROUNDUP(AI247*18%,0)</f>
        <v>30510</v>
      </c>
      <c r="AK247" s="10">
        <v>167595</v>
      </c>
      <c r="AL247" s="15">
        <f t="shared" ref="AL247:AL310" si="125">N247*300</f>
        <v>169500</v>
      </c>
      <c r="AM247" s="15">
        <f t="shared" ref="AM247:AM310" si="126">ROUND(AI247+AC247,0)</f>
        <v>14765460</v>
      </c>
      <c r="AN247" s="15">
        <f t="shared" ref="AN247:AN310" si="127">ROUNDUP(AJ247+W247+T247+Y247-AB247,0)</f>
        <v>1782024</v>
      </c>
      <c r="AO247" s="15">
        <f t="shared" si="102"/>
        <v>1951900</v>
      </c>
      <c r="AP247" s="17">
        <f t="shared" ref="AP247:AP310" si="128">AM247+AO247</f>
        <v>16717360</v>
      </c>
      <c r="AQ247" s="15">
        <v>11571911.719999999</v>
      </c>
      <c r="AR247" s="15">
        <v>376</v>
      </c>
      <c r="AS247" s="18">
        <f t="shared" si="103"/>
        <v>5145448</v>
      </c>
      <c r="AT247" s="19">
        <v>14595960</v>
      </c>
      <c r="AU247" s="8">
        <v>8800</v>
      </c>
      <c r="AV247" s="13">
        <f t="shared" si="104"/>
        <v>4972000</v>
      </c>
      <c r="AW247" s="18">
        <f t="shared" si="105"/>
        <v>14765460</v>
      </c>
      <c r="AX247" s="15">
        <f t="shared" ref="AX247:AX310" si="129">CEILING((AW247),1000)</f>
        <v>14766000</v>
      </c>
      <c r="AY247" s="20">
        <v>0.05</v>
      </c>
      <c r="AZ247" s="13">
        <f t="shared" ref="AZ247:AZ310" si="130">AY247*AX247</f>
        <v>738300</v>
      </c>
      <c r="BA247" s="15">
        <f t="shared" ref="BA247:BA310" si="131">CEILING(AZ247,100)</f>
        <v>738300</v>
      </c>
      <c r="BB247" s="21">
        <f t="shared" si="106"/>
        <v>5883748</v>
      </c>
      <c r="BC247" s="10">
        <f t="shared" si="107"/>
        <v>0</v>
      </c>
      <c r="BD247" s="10">
        <f t="shared" si="108"/>
        <v>1.1366687550344621</v>
      </c>
      <c r="BE247" s="10">
        <v>113</v>
      </c>
      <c r="BF247" s="10">
        <v>52.49</v>
      </c>
      <c r="BG247" s="107">
        <v>46176</v>
      </c>
      <c r="BH247" s="107">
        <f t="shared" si="113"/>
        <v>46206</v>
      </c>
      <c r="BI247" s="23">
        <v>5</v>
      </c>
      <c r="BJ247" s="6"/>
      <c r="BK247" s="6"/>
      <c r="BL247" s="24">
        <f>VLOOKUP(A247,[2]Sheet1!$D$2:$H$933,5,0)</f>
        <v>0</v>
      </c>
      <c r="BM247" s="6" t="s">
        <v>3828</v>
      </c>
      <c r="BN247" s="6" t="s">
        <v>3829</v>
      </c>
      <c r="BO247" s="6" t="s">
        <v>3820</v>
      </c>
      <c r="BP247" s="6" t="s">
        <v>3821</v>
      </c>
      <c r="BQ247" s="6" t="s">
        <v>3830</v>
      </c>
      <c r="BR247" t="s">
        <v>3823</v>
      </c>
      <c r="BS247" t="s">
        <v>3824</v>
      </c>
      <c r="BT247" t="s">
        <v>3825</v>
      </c>
      <c r="BU247" t="s">
        <v>3826</v>
      </c>
      <c r="BV247" t="s">
        <v>3827</v>
      </c>
      <c r="BW247" t="s">
        <v>3835</v>
      </c>
      <c r="BX247">
        <v>0</v>
      </c>
      <c r="BY247" t="s">
        <v>3861</v>
      </c>
      <c r="BZ247" t="s">
        <v>3863</v>
      </c>
    </row>
    <row r="248" spans="1:78" x14ac:dyDescent="0.25">
      <c r="A248" s="7" t="s">
        <v>1080</v>
      </c>
      <c r="B248" s="7" t="s">
        <v>181</v>
      </c>
      <c r="C248" s="7" t="s">
        <v>1078</v>
      </c>
      <c r="D248" s="8" t="s">
        <v>1079</v>
      </c>
      <c r="E248" s="7" t="s">
        <v>1081</v>
      </c>
      <c r="F248" s="9">
        <v>44991</v>
      </c>
      <c r="G248" s="9" t="s">
        <v>527</v>
      </c>
      <c r="H248" s="9" t="s">
        <v>66</v>
      </c>
      <c r="I248" s="8" t="s">
        <v>78</v>
      </c>
      <c r="J248" s="10">
        <v>784.7</v>
      </c>
      <c r="K248" s="10">
        <v>784.7</v>
      </c>
      <c r="L248" s="10">
        <f t="shared" si="114"/>
        <v>0</v>
      </c>
      <c r="M248" s="10">
        <v>363.82</v>
      </c>
      <c r="N248" s="10">
        <v>363.82</v>
      </c>
      <c r="O248" s="10">
        <f t="shared" si="115"/>
        <v>0</v>
      </c>
      <c r="P248" s="11">
        <v>12000</v>
      </c>
      <c r="Q248" s="11">
        <v>25882.029575064593</v>
      </c>
      <c r="R248" s="11">
        <v>22000</v>
      </c>
      <c r="S248" s="11">
        <v>9416400</v>
      </c>
      <c r="T248" s="11">
        <v>1129964</v>
      </c>
      <c r="U248" s="12">
        <f t="shared" si="116"/>
        <v>0.11999957520920947</v>
      </c>
      <c r="V248" s="13">
        <f t="shared" si="112"/>
        <v>0</v>
      </c>
      <c r="W248" s="10">
        <f t="shared" si="117"/>
        <v>0</v>
      </c>
      <c r="X248" s="10"/>
      <c r="Y248" s="10"/>
      <c r="Z248" s="11">
        <f t="shared" si="118"/>
        <v>9416400</v>
      </c>
      <c r="AA248" s="14"/>
      <c r="AB248" s="14"/>
      <c r="AC248" s="11">
        <f t="shared" si="119"/>
        <v>9416400</v>
      </c>
      <c r="AD248" s="10">
        <f t="shared" si="120"/>
        <v>300</v>
      </c>
      <c r="AE248" s="15">
        <v>109146</v>
      </c>
      <c r="AF248" s="16">
        <v>19646</v>
      </c>
      <c r="AG248" s="15">
        <f t="shared" si="121"/>
        <v>0</v>
      </c>
      <c r="AH248" s="15">
        <f t="shared" si="122"/>
        <v>0</v>
      </c>
      <c r="AI248" s="15">
        <f t="shared" si="123"/>
        <v>109146</v>
      </c>
      <c r="AJ248" s="15">
        <f t="shared" si="124"/>
        <v>19647</v>
      </c>
      <c r="AK248" s="10">
        <v>109146</v>
      </c>
      <c r="AL248" s="15">
        <f t="shared" si="125"/>
        <v>109146</v>
      </c>
      <c r="AM248" s="15">
        <f t="shared" si="126"/>
        <v>9525546</v>
      </c>
      <c r="AN248" s="15">
        <f t="shared" si="127"/>
        <v>1149611</v>
      </c>
      <c r="AO248" s="15">
        <f t="shared" si="102"/>
        <v>1259008</v>
      </c>
      <c r="AP248" s="17">
        <f t="shared" si="128"/>
        <v>10784554</v>
      </c>
      <c r="AQ248" s="15">
        <v>9491978.1999999993</v>
      </c>
      <c r="AR248" s="15">
        <v>251</v>
      </c>
      <c r="AS248" s="18">
        <f t="shared" si="103"/>
        <v>1292576</v>
      </c>
      <c r="AT248" s="19">
        <v>0</v>
      </c>
      <c r="AU248" s="8">
        <v>8800</v>
      </c>
      <c r="AV248" s="13">
        <f t="shared" si="104"/>
        <v>3201616</v>
      </c>
      <c r="AW248" s="18">
        <f t="shared" si="105"/>
        <v>9525546</v>
      </c>
      <c r="AX248" s="15">
        <f t="shared" si="129"/>
        <v>9526000</v>
      </c>
      <c r="AY248" s="20">
        <v>0.05</v>
      </c>
      <c r="AZ248" s="13">
        <f t="shared" si="130"/>
        <v>476300</v>
      </c>
      <c r="BA248" s="15">
        <f t="shared" si="131"/>
        <v>476300</v>
      </c>
      <c r="BB248" s="21">
        <f t="shared" si="106"/>
        <v>1768876</v>
      </c>
      <c r="BC248" s="10">
        <f t="shared" si="107"/>
        <v>0</v>
      </c>
      <c r="BD248" s="10">
        <f t="shared" si="108"/>
        <v>0</v>
      </c>
      <c r="BE248" s="10">
        <v>72.900000000000006</v>
      </c>
      <c r="BF248" s="10">
        <v>33.799999999999997</v>
      </c>
      <c r="BG248" s="107">
        <v>46176</v>
      </c>
      <c r="BH248" s="107">
        <f t="shared" si="113"/>
        <v>46206</v>
      </c>
      <c r="BI248" s="23">
        <v>5</v>
      </c>
      <c r="BJ248" s="6"/>
      <c r="BK248" s="6"/>
      <c r="BL248" s="24">
        <f>VLOOKUP(A248,[2]Sheet1!$D$2:$H$933,5,0)</f>
        <v>0</v>
      </c>
      <c r="BM248" s="6" t="s">
        <v>3828</v>
      </c>
      <c r="BN248" s="6" t="s">
        <v>3829</v>
      </c>
      <c r="BO248" s="6" t="s">
        <v>3820</v>
      </c>
      <c r="BP248" s="6" t="s">
        <v>3821</v>
      </c>
      <c r="BQ248" s="6" t="s">
        <v>3830</v>
      </c>
      <c r="BR248" t="s">
        <v>3823</v>
      </c>
      <c r="BS248" t="s">
        <v>3824</v>
      </c>
      <c r="BT248" t="s">
        <v>3825</v>
      </c>
      <c r="BU248" t="s">
        <v>3826</v>
      </c>
      <c r="BV248" t="s">
        <v>3827</v>
      </c>
      <c r="BW248" t="s">
        <v>3835</v>
      </c>
      <c r="BX248">
        <v>0</v>
      </c>
      <c r="BY248" t="s">
        <v>3867</v>
      </c>
      <c r="BZ248" t="s">
        <v>3871</v>
      </c>
    </row>
    <row r="249" spans="1:78" x14ac:dyDescent="0.25">
      <c r="A249" s="7" t="s">
        <v>1084</v>
      </c>
      <c r="B249" s="7" t="s">
        <v>181</v>
      </c>
      <c r="C249" s="7" t="s">
        <v>1082</v>
      </c>
      <c r="D249" s="8" t="s">
        <v>1083</v>
      </c>
      <c r="E249" s="7" t="s">
        <v>1085</v>
      </c>
      <c r="F249" s="9">
        <v>44884</v>
      </c>
      <c r="G249" s="9" t="s">
        <v>527</v>
      </c>
      <c r="H249" s="9" t="s">
        <v>72</v>
      </c>
      <c r="I249" s="8" t="s">
        <v>635</v>
      </c>
      <c r="J249" s="10">
        <v>796.25</v>
      </c>
      <c r="K249" s="10">
        <v>796.25</v>
      </c>
      <c r="L249" s="10">
        <f t="shared" si="114"/>
        <v>0</v>
      </c>
      <c r="M249" s="10">
        <v>120.56</v>
      </c>
      <c r="N249" s="10">
        <v>120.56</v>
      </c>
      <c r="O249" s="10">
        <f t="shared" si="115"/>
        <v>0</v>
      </c>
      <c r="P249" s="11">
        <v>11745.999372056514</v>
      </c>
      <c r="Q249" s="11">
        <v>77577.571333775719</v>
      </c>
      <c r="R249" s="11">
        <v>20000</v>
      </c>
      <c r="S249" s="11">
        <v>9352752</v>
      </c>
      <c r="T249" s="11">
        <v>1122330</v>
      </c>
      <c r="U249" s="12">
        <f t="shared" si="116"/>
        <v>0.11999997433910362</v>
      </c>
      <c r="V249" s="13">
        <f t="shared" si="112"/>
        <v>0</v>
      </c>
      <c r="W249" s="10">
        <f t="shared" si="117"/>
        <v>0</v>
      </c>
      <c r="X249" s="10"/>
      <c r="Y249" s="10"/>
      <c r="Z249" s="11">
        <f t="shared" si="118"/>
        <v>9352752</v>
      </c>
      <c r="AA249" s="14">
        <v>639891</v>
      </c>
      <c r="AB249" s="14">
        <v>76786</v>
      </c>
      <c r="AC249" s="11">
        <f t="shared" si="119"/>
        <v>8712861</v>
      </c>
      <c r="AD249" s="10">
        <f t="shared" si="120"/>
        <v>300</v>
      </c>
      <c r="AE249" s="15">
        <v>36168</v>
      </c>
      <c r="AF249" s="16">
        <v>6510</v>
      </c>
      <c r="AG249" s="15">
        <f t="shared" si="121"/>
        <v>0</v>
      </c>
      <c r="AH249" s="15">
        <f t="shared" si="122"/>
        <v>0</v>
      </c>
      <c r="AI249" s="15">
        <f t="shared" si="123"/>
        <v>36168</v>
      </c>
      <c r="AJ249" s="15">
        <f t="shared" si="124"/>
        <v>6511</v>
      </c>
      <c r="AK249" s="10">
        <v>36168</v>
      </c>
      <c r="AL249" s="15">
        <f t="shared" si="125"/>
        <v>36168</v>
      </c>
      <c r="AM249" s="15">
        <f t="shared" si="126"/>
        <v>8749029</v>
      </c>
      <c r="AN249" s="15">
        <f t="shared" si="127"/>
        <v>1052055</v>
      </c>
      <c r="AO249" s="15">
        <f t="shared" si="102"/>
        <v>1088601</v>
      </c>
      <c r="AP249" s="17">
        <f t="shared" si="128"/>
        <v>9837630</v>
      </c>
      <c r="AQ249" s="15">
        <v>8464685</v>
      </c>
      <c r="AR249" s="15">
        <v>378</v>
      </c>
      <c r="AS249" s="18">
        <f t="shared" si="103"/>
        <v>1372945</v>
      </c>
      <c r="AT249" s="19">
        <v>0</v>
      </c>
      <c r="AU249" s="8">
        <v>8800</v>
      </c>
      <c r="AV249" s="13">
        <f t="shared" si="104"/>
        <v>1060928</v>
      </c>
      <c r="AW249" s="18">
        <f t="shared" si="105"/>
        <v>8749029</v>
      </c>
      <c r="AX249" s="15">
        <f t="shared" si="129"/>
        <v>8750000</v>
      </c>
      <c r="AY249" s="20">
        <v>7.0000000000000007E-2</v>
      </c>
      <c r="AZ249" s="13">
        <f t="shared" si="130"/>
        <v>612500.00000000012</v>
      </c>
      <c r="BA249" s="15">
        <f t="shared" si="131"/>
        <v>612500</v>
      </c>
      <c r="BB249" s="21">
        <f t="shared" si="106"/>
        <v>1985445</v>
      </c>
      <c r="BC249" s="10">
        <f t="shared" si="107"/>
        <v>0</v>
      </c>
      <c r="BD249" s="10">
        <f t="shared" si="108"/>
        <v>0</v>
      </c>
      <c r="BE249" s="10">
        <v>73.97</v>
      </c>
      <c r="BF249" s="10">
        <v>11.2</v>
      </c>
      <c r="BG249" s="107">
        <v>46176</v>
      </c>
      <c r="BH249" s="107">
        <f t="shared" si="113"/>
        <v>46206</v>
      </c>
      <c r="BI249" s="23">
        <v>7</v>
      </c>
      <c r="BJ249" s="6"/>
      <c r="BK249" s="6"/>
      <c r="BL249" s="24">
        <f>VLOOKUP(A249,[2]Sheet1!$D$2:$H$933,5,0)</f>
        <v>0</v>
      </c>
      <c r="BM249" s="6" t="s">
        <v>3828</v>
      </c>
      <c r="BN249" s="6" t="s">
        <v>3829</v>
      </c>
      <c r="BO249" s="6" t="s">
        <v>3820</v>
      </c>
      <c r="BP249" s="6" t="s">
        <v>3821</v>
      </c>
      <c r="BQ249" s="6" t="s">
        <v>3830</v>
      </c>
      <c r="BR249" t="s">
        <v>3823</v>
      </c>
      <c r="BS249" t="s">
        <v>3824</v>
      </c>
      <c r="BT249" t="s">
        <v>3825</v>
      </c>
      <c r="BU249" t="s">
        <v>3826</v>
      </c>
      <c r="BV249" t="s">
        <v>3827</v>
      </c>
      <c r="BW249" t="s">
        <v>3835</v>
      </c>
      <c r="BX249">
        <v>0</v>
      </c>
      <c r="BY249" t="s">
        <v>3862</v>
      </c>
      <c r="BZ249" t="s">
        <v>3871</v>
      </c>
    </row>
    <row r="250" spans="1:78" x14ac:dyDescent="0.25">
      <c r="A250" s="48" t="s">
        <v>1088</v>
      </c>
      <c r="B250" s="48" t="s">
        <v>181</v>
      </c>
      <c r="C250" s="48" t="s">
        <v>1086</v>
      </c>
      <c r="D250" s="49" t="s">
        <v>1087</v>
      </c>
      <c r="E250" s="48" t="s">
        <v>1089</v>
      </c>
      <c r="F250" s="50">
        <v>45016</v>
      </c>
      <c r="G250" s="50" t="s">
        <v>527</v>
      </c>
      <c r="H250" s="50" t="s">
        <v>92</v>
      </c>
      <c r="I250" s="49" t="s">
        <v>67</v>
      </c>
      <c r="J250" s="51">
        <v>412.62</v>
      </c>
      <c r="K250" s="51">
        <v>412.62</v>
      </c>
      <c r="L250" s="51">
        <f t="shared" si="114"/>
        <v>0</v>
      </c>
      <c r="M250" s="51">
        <v>166.84</v>
      </c>
      <c r="N250" s="51">
        <v>166.84</v>
      </c>
      <c r="O250" s="51">
        <f t="shared" si="115"/>
        <v>0</v>
      </c>
      <c r="P250" s="52">
        <v>14091.999903058504</v>
      </c>
      <c r="Q250" s="52">
        <v>34851.600335650925</v>
      </c>
      <c r="R250" s="52">
        <v>28000</v>
      </c>
      <c r="S250" s="52">
        <v>5814641</v>
      </c>
      <c r="T250" s="52">
        <v>697758</v>
      </c>
      <c r="U250" s="53">
        <f t="shared" si="116"/>
        <v>0.1200001857380361</v>
      </c>
      <c r="V250" s="54">
        <f t="shared" si="112"/>
        <v>0</v>
      </c>
      <c r="W250" s="51">
        <f t="shared" si="117"/>
        <v>0</v>
      </c>
      <c r="X250" s="51"/>
      <c r="Y250" s="51"/>
      <c r="Z250" s="52">
        <f t="shared" si="118"/>
        <v>5814641</v>
      </c>
      <c r="AA250" s="56">
        <v>44642</v>
      </c>
      <c r="AB250" s="56">
        <v>5358</v>
      </c>
      <c r="AC250" s="52">
        <f t="shared" si="119"/>
        <v>5769999</v>
      </c>
      <c r="AD250" s="51">
        <f t="shared" si="120"/>
        <v>300</v>
      </c>
      <c r="AE250" s="55">
        <v>50052</v>
      </c>
      <c r="AF250" s="57">
        <v>9010</v>
      </c>
      <c r="AG250" s="55">
        <f t="shared" si="121"/>
        <v>0</v>
      </c>
      <c r="AH250" s="55">
        <f t="shared" si="122"/>
        <v>0</v>
      </c>
      <c r="AI250" s="55">
        <f t="shared" si="123"/>
        <v>50052</v>
      </c>
      <c r="AJ250" s="55">
        <f t="shared" si="124"/>
        <v>9010</v>
      </c>
      <c r="AK250" s="51">
        <v>50052</v>
      </c>
      <c r="AL250" s="55">
        <f t="shared" si="125"/>
        <v>50052</v>
      </c>
      <c r="AM250" s="55">
        <f t="shared" si="126"/>
        <v>5820051</v>
      </c>
      <c r="AN250" s="55">
        <f t="shared" si="127"/>
        <v>701410</v>
      </c>
      <c r="AO250" s="55">
        <f t="shared" si="102"/>
        <v>751462</v>
      </c>
      <c r="AP250" s="58">
        <f t="shared" si="128"/>
        <v>6571513</v>
      </c>
      <c r="AQ250" s="55">
        <v>5785258</v>
      </c>
      <c r="AR250" s="15">
        <v>0</v>
      </c>
      <c r="AS250" s="59">
        <f t="shared" si="103"/>
        <v>786255</v>
      </c>
      <c r="AT250" s="60">
        <v>0</v>
      </c>
      <c r="AU250" s="49">
        <v>8800</v>
      </c>
      <c r="AV250" s="54">
        <f t="shared" si="104"/>
        <v>1468192</v>
      </c>
      <c r="AW250" s="59">
        <f t="shared" si="105"/>
        <v>5820051</v>
      </c>
      <c r="AX250" s="55">
        <f t="shared" si="129"/>
        <v>5821000</v>
      </c>
      <c r="AY250" s="61">
        <v>7.0000000000000007E-2</v>
      </c>
      <c r="AZ250" s="54">
        <f t="shared" si="130"/>
        <v>407470.00000000006</v>
      </c>
      <c r="BA250" s="55">
        <f t="shared" si="131"/>
        <v>407500</v>
      </c>
      <c r="BB250" s="62">
        <f t="shared" si="106"/>
        <v>1193755</v>
      </c>
      <c r="BC250" s="51">
        <f t="shared" si="107"/>
        <v>0</v>
      </c>
      <c r="BD250" s="51">
        <f t="shared" si="108"/>
        <v>0</v>
      </c>
      <c r="BE250" s="51">
        <v>38.33</v>
      </c>
      <c r="BF250" s="51">
        <v>15.5</v>
      </c>
      <c r="BG250" s="107">
        <v>46176</v>
      </c>
      <c r="BH250" s="109">
        <f t="shared" si="113"/>
        <v>46206</v>
      </c>
      <c r="BI250" s="63">
        <v>7</v>
      </c>
      <c r="BJ250" s="24" t="s">
        <v>350</v>
      </c>
      <c r="BK250" s="24"/>
      <c r="BL250" s="24">
        <f>VLOOKUP(A250,[2]Sheet1!$D$2:$H$933,5,0)</f>
        <v>0</v>
      </c>
      <c r="BM250" s="6" t="s">
        <v>3828</v>
      </c>
      <c r="BN250" s="6" t="s">
        <v>3829</v>
      </c>
      <c r="BO250" s="6" t="s">
        <v>3820</v>
      </c>
      <c r="BP250" s="6" t="s">
        <v>3821</v>
      </c>
      <c r="BQ250" s="6" t="s">
        <v>3830</v>
      </c>
      <c r="BR250" t="s">
        <v>3823</v>
      </c>
      <c r="BS250" t="s">
        <v>3824</v>
      </c>
      <c r="BT250" t="s">
        <v>3825</v>
      </c>
      <c r="BU250" t="s">
        <v>3826</v>
      </c>
      <c r="BV250" t="s">
        <v>3827</v>
      </c>
      <c r="BW250" t="s">
        <v>3835</v>
      </c>
      <c r="BX250">
        <v>0</v>
      </c>
      <c r="BY250" t="s">
        <v>3866</v>
      </c>
      <c r="BZ250" t="s">
        <v>3871</v>
      </c>
    </row>
    <row r="251" spans="1:78" x14ac:dyDescent="0.25">
      <c r="A251" s="7" t="s">
        <v>1092</v>
      </c>
      <c r="B251" s="7" t="s">
        <v>181</v>
      </c>
      <c r="C251" s="7" t="s">
        <v>1090</v>
      </c>
      <c r="D251" s="8" t="s">
        <v>1091</v>
      </c>
      <c r="E251" s="7" t="s">
        <v>1093</v>
      </c>
      <c r="F251" s="9">
        <v>44996</v>
      </c>
      <c r="G251" s="9" t="s">
        <v>65</v>
      </c>
      <c r="H251" s="9" t="s">
        <v>92</v>
      </c>
      <c r="I251" s="8" t="s">
        <v>78</v>
      </c>
      <c r="J251" s="10">
        <v>612.69000000000005</v>
      </c>
      <c r="K251" s="10">
        <v>612.69000000000005</v>
      </c>
      <c r="L251" s="10">
        <f t="shared" si="114"/>
        <v>0</v>
      </c>
      <c r="M251" s="10">
        <v>274.91000000000003</v>
      </c>
      <c r="N251" s="10">
        <v>274.91000000000003</v>
      </c>
      <c r="O251" s="10">
        <f t="shared" si="115"/>
        <v>0</v>
      </c>
      <c r="P251" s="11">
        <v>15648.510666079092</v>
      </c>
      <c r="Q251" s="11">
        <v>34875.726601433191</v>
      </c>
      <c r="R251" s="11">
        <v>28000</v>
      </c>
      <c r="S251" s="11">
        <v>9587686</v>
      </c>
      <c r="T251" s="11">
        <v>1150524</v>
      </c>
      <c r="U251" s="12">
        <f t="shared" si="116"/>
        <v>0.12000017522476226</v>
      </c>
      <c r="V251" s="13">
        <f t="shared" si="112"/>
        <v>0</v>
      </c>
      <c r="W251" s="10">
        <f t="shared" si="117"/>
        <v>0</v>
      </c>
      <c r="X251" s="10"/>
      <c r="Y251" s="10"/>
      <c r="Z251" s="11">
        <f t="shared" si="118"/>
        <v>9587686</v>
      </c>
      <c r="AA251" s="14">
        <v>2649584</v>
      </c>
      <c r="AB251" s="14">
        <v>317950</v>
      </c>
      <c r="AC251" s="11">
        <f t="shared" si="119"/>
        <v>6938102</v>
      </c>
      <c r="AD251" s="10">
        <f t="shared" si="120"/>
        <v>300</v>
      </c>
      <c r="AE251" s="15">
        <v>82473</v>
      </c>
      <c r="AF251" s="16">
        <v>14846</v>
      </c>
      <c r="AG251" s="15">
        <f t="shared" si="121"/>
        <v>0</v>
      </c>
      <c r="AH251" s="15">
        <f t="shared" si="122"/>
        <v>0</v>
      </c>
      <c r="AI251" s="15">
        <f t="shared" si="123"/>
        <v>82473.000000000015</v>
      </c>
      <c r="AJ251" s="15">
        <f t="shared" si="124"/>
        <v>14846</v>
      </c>
      <c r="AK251" s="10">
        <v>82473</v>
      </c>
      <c r="AL251" s="15">
        <f t="shared" si="125"/>
        <v>82473.000000000015</v>
      </c>
      <c r="AM251" s="15">
        <f t="shared" si="126"/>
        <v>7020575</v>
      </c>
      <c r="AN251" s="15">
        <f t="shared" si="127"/>
        <v>847420</v>
      </c>
      <c r="AO251" s="15">
        <f t="shared" si="102"/>
        <v>930283</v>
      </c>
      <c r="AP251" s="17">
        <f t="shared" si="128"/>
        <v>7950858</v>
      </c>
      <c r="AQ251" s="15">
        <v>5756276</v>
      </c>
      <c r="AR251" s="15">
        <v>390</v>
      </c>
      <c r="AS251" s="18">
        <f t="shared" si="103"/>
        <v>2194582</v>
      </c>
      <c r="AT251" s="19">
        <v>0</v>
      </c>
      <c r="AU251" s="8">
        <v>8800</v>
      </c>
      <c r="AV251" s="13">
        <f t="shared" si="104"/>
        <v>2419208</v>
      </c>
      <c r="AW251" s="18">
        <f t="shared" si="105"/>
        <v>7020575</v>
      </c>
      <c r="AX251" s="15">
        <f t="shared" si="129"/>
        <v>7021000</v>
      </c>
      <c r="AY251" s="20">
        <v>7.0000000000000007E-2</v>
      </c>
      <c r="AZ251" s="13">
        <f t="shared" si="130"/>
        <v>491470.00000000006</v>
      </c>
      <c r="BA251" s="15">
        <f t="shared" si="131"/>
        <v>491500</v>
      </c>
      <c r="BB251" s="21">
        <f t="shared" si="106"/>
        <v>2686082</v>
      </c>
      <c r="BC251" s="10">
        <f t="shared" si="107"/>
        <v>0</v>
      </c>
      <c r="BD251" s="10">
        <f t="shared" si="108"/>
        <v>0</v>
      </c>
      <c r="BE251" s="10">
        <v>56.92</v>
      </c>
      <c r="BF251" s="10">
        <v>25.54</v>
      </c>
      <c r="BG251" s="107">
        <v>46176</v>
      </c>
      <c r="BH251" s="107">
        <f t="shared" si="113"/>
        <v>46206</v>
      </c>
      <c r="BI251" s="23">
        <v>7</v>
      </c>
      <c r="BJ251" s="6"/>
      <c r="BK251" s="6"/>
      <c r="BL251" s="24">
        <f>VLOOKUP(A251,[2]Sheet1!$D$2:$H$933,5,0)</f>
        <v>0</v>
      </c>
      <c r="BM251" s="6" t="s">
        <v>3828</v>
      </c>
      <c r="BN251" s="6" t="s">
        <v>3829</v>
      </c>
      <c r="BO251" s="6" t="s">
        <v>3820</v>
      </c>
      <c r="BP251" s="6" t="s">
        <v>3821</v>
      </c>
      <c r="BQ251" s="6" t="s">
        <v>3830</v>
      </c>
      <c r="BR251" t="s">
        <v>3823</v>
      </c>
      <c r="BS251" t="s">
        <v>3824</v>
      </c>
      <c r="BT251" t="s">
        <v>3825</v>
      </c>
      <c r="BU251" t="s">
        <v>3826</v>
      </c>
      <c r="BV251" t="s">
        <v>3827</v>
      </c>
      <c r="BW251" t="s">
        <v>3835</v>
      </c>
      <c r="BX251">
        <v>0</v>
      </c>
      <c r="BY251" t="s">
        <v>3865</v>
      </c>
      <c r="BZ251" t="s">
        <v>3860</v>
      </c>
    </row>
    <row r="252" spans="1:78" x14ac:dyDescent="0.25">
      <c r="A252" s="7" t="s">
        <v>1096</v>
      </c>
      <c r="B252" s="7" t="s">
        <v>181</v>
      </c>
      <c r="C252" s="7" t="s">
        <v>1094</v>
      </c>
      <c r="D252" s="8" t="s">
        <v>1095</v>
      </c>
      <c r="E252" s="7" t="s">
        <v>1097</v>
      </c>
      <c r="F252" s="9">
        <v>45087</v>
      </c>
      <c r="G252" s="9" t="s">
        <v>363</v>
      </c>
      <c r="H252" s="9" t="s">
        <v>87</v>
      </c>
      <c r="I252" s="8" t="s">
        <v>67</v>
      </c>
      <c r="J252" s="10">
        <v>346.84</v>
      </c>
      <c r="K252" s="10">
        <v>346.84</v>
      </c>
      <c r="L252" s="10">
        <f t="shared" si="114"/>
        <v>0</v>
      </c>
      <c r="M252" s="10">
        <v>139.93</v>
      </c>
      <c r="N252" s="10">
        <v>139.93</v>
      </c>
      <c r="O252" s="10">
        <f t="shared" si="115"/>
        <v>0</v>
      </c>
      <c r="P252" s="11">
        <v>22700</v>
      </c>
      <c r="Q252" s="11">
        <v>56265.761452154649</v>
      </c>
      <c r="R252" s="11">
        <v>40000</v>
      </c>
      <c r="S252" s="11">
        <v>7873268</v>
      </c>
      <c r="T252" s="11">
        <v>944794</v>
      </c>
      <c r="U252" s="12">
        <f t="shared" si="116"/>
        <v>0.1200002337021933</v>
      </c>
      <c r="V252" s="13">
        <f t="shared" si="112"/>
        <v>0</v>
      </c>
      <c r="W252" s="10">
        <f t="shared" si="117"/>
        <v>0</v>
      </c>
      <c r="X252" s="10"/>
      <c r="Y252" s="10"/>
      <c r="Z252" s="11">
        <f t="shared" si="118"/>
        <v>7873268</v>
      </c>
      <c r="AA252" s="14"/>
      <c r="AB252" s="14"/>
      <c r="AC252" s="11">
        <f t="shared" si="119"/>
        <v>7873268</v>
      </c>
      <c r="AD252" s="10">
        <f t="shared" si="120"/>
        <v>300</v>
      </c>
      <c r="AE252" s="15">
        <v>41979</v>
      </c>
      <c r="AF252" s="16">
        <v>7556</v>
      </c>
      <c r="AG252" s="15">
        <f t="shared" si="121"/>
        <v>0</v>
      </c>
      <c r="AH252" s="15">
        <f t="shared" si="122"/>
        <v>0</v>
      </c>
      <c r="AI252" s="15">
        <f t="shared" si="123"/>
        <v>41979</v>
      </c>
      <c r="AJ252" s="15">
        <f t="shared" si="124"/>
        <v>7557</v>
      </c>
      <c r="AK252" s="10">
        <v>41979</v>
      </c>
      <c r="AL252" s="15">
        <f t="shared" si="125"/>
        <v>41979</v>
      </c>
      <c r="AM252" s="15">
        <f t="shared" si="126"/>
        <v>7915247</v>
      </c>
      <c r="AN252" s="15">
        <f t="shared" si="127"/>
        <v>952351</v>
      </c>
      <c r="AO252" s="15">
        <f t="shared" si="102"/>
        <v>994721</v>
      </c>
      <c r="AP252" s="17">
        <f t="shared" si="128"/>
        <v>8909968</v>
      </c>
      <c r="AQ252" s="15">
        <v>7857522</v>
      </c>
      <c r="AR252" s="15">
        <v>391</v>
      </c>
      <c r="AS252" s="18">
        <f t="shared" si="103"/>
        <v>1052446</v>
      </c>
      <c r="AT252" s="19">
        <v>0</v>
      </c>
      <c r="AU252" s="8">
        <v>8800</v>
      </c>
      <c r="AV252" s="13">
        <f t="shared" si="104"/>
        <v>1231384</v>
      </c>
      <c r="AW252" s="18">
        <f t="shared" si="105"/>
        <v>7915247</v>
      </c>
      <c r="AX252" s="15">
        <f t="shared" si="129"/>
        <v>7916000</v>
      </c>
      <c r="AY252" s="20">
        <v>0.05</v>
      </c>
      <c r="AZ252" s="13">
        <f t="shared" si="130"/>
        <v>395800</v>
      </c>
      <c r="BA252" s="15">
        <f t="shared" si="131"/>
        <v>395800</v>
      </c>
      <c r="BB252" s="21">
        <f t="shared" si="106"/>
        <v>1448246</v>
      </c>
      <c r="BC252" s="10">
        <f t="shared" si="107"/>
        <v>0</v>
      </c>
      <c r="BD252" s="10">
        <f t="shared" si="108"/>
        <v>0</v>
      </c>
      <c r="BE252" s="10">
        <v>32.22</v>
      </c>
      <c r="BF252" s="10">
        <v>13</v>
      </c>
      <c r="BG252" s="107">
        <v>46176</v>
      </c>
      <c r="BH252" s="107">
        <f t="shared" si="113"/>
        <v>46206</v>
      </c>
      <c r="BI252" s="23">
        <v>5</v>
      </c>
      <c r="BJ252" s="6"/>
      <c r="BK252" s="6"/>
      <c r="BL252" s="24">
        <f>VLOOKUP(A252,[2]Sheet1!$D$2:$H$933,5,0)</f>
        <v>0</v>
      </c>
      <c r="BM252" s="6" t="s">
        <v>3828</v>
      </c>
      <c r="BN252" s="6" t="s">
        <v>3829</v>
      </c>
      <c r="BO252" s="6" t="s">
        <v>3820</v>
      </c>
      <c r="BP252" s="6" t="s">
        <v>3821</v>
      </c>
      <c r="BQ252" s="6" t="s">
        <v>3830</v>
      </c>
      <c r="BR252" t="s">
        <v>3823</v>
      </c>
      <c r="BS252" t="s">
        <v>3824</v>
      </c>
      <c r="BT252" t="s">
        <v>3825</v>
      </c>
      <c r="BU252" t="s">
        <v>3826</v>
      </c>
      <c r="BV252" t="s">
        <v>3827</v>
      </c>
      <c r="BW252" t="s">
        <v>3835</v>
      </c>
      <c r="BX252">
        <v>0</v>
      </c>
      <c r="BY252" t="s">
        <v>3861</v>
      </c>
      <c r="BZ252" t="s">
        <v>3860</v>
      </c>
    </row>
    <row r="253" spans="1:78" x14ac:dyDescent="0.25">
      <c r="A253" s="7" t="s">
        <v>1100</v>
      </c>
      <c r="B253" s="7" t="s">
        <v>181</v>
      </c>
      <c r="C253" s="7" t="s">
        <v>1098</v>
      </c>
      <c r="D253" s="8" t="s">
        <v>1099</v>
      </c>
      <c r="E253" s="7" t="s">
        <v>1101</v>
      </c>
      <c r="F253" s="9">
        <v>44938</v>
      </c>
      <c r="G253" s="9" t="s">
        <v>527</v>
      </c>
      <c r="H253" s="9" t="s">
        <v>72</v>
      </c>
      <c r="I253" s="8" t="s">
        <v>78</v>
      </c>
      <c r="J253" s="10">
        <v>953.69</v>
      </c>
      <c r="K253" s="10">
        <v>953.69</v>
      </c>
      <c r="L253" s="10">
        <f t="shared" si="114"/>
        <v>0</v>
      </c>
      <c r="M253" s="10">
        <v>432.17</v>
      </c>
      <c r="N253" s="10">
        <v>432.17</v>
      </c>
      <c r="O253" s="10">
        <f t="shared" si="115"/>
        <v>0</v>
      </c>
      <c r="P253" s="11">
        <v>13108.179806855476</v>
      </c>
      <c r="Q253" s="11">
        <v>28926.440983872086</v>
      </c>
      <c r="R253" s="11">
        <v>20000</v>
      </c>
      <c r="S253" s="11">
        <v>12501140</v>
      </c>
      <c r="T253" s="11">
        <v>1500138</v>
      </c>
      <c r="U253" s="12">
        <f t="shared" si="116"/>
        <v>0.1200000959912456</v>
      </c>
      <c r="V253" s="13">
        <f t="shared" si="112"/>
        <v>0</v>
      </c>
      <c r="W253" s="10">
        <f t="shared" si="117"/>
        <v>0</v>
      </c>
      <c r="X253" s="10"/>
      <c r="Y253" s="10"/>
      <c r="Z253" s="11">
        <f t="shared" si="118"/>
        <v>12501140</v>
      </c>
      <c r="AA253" s="14">
        <v>3351059</v>
      </c>
      <c r="AB253" s="14">
        <v>402128</v>
      </c>
      <c r="AC253" s="11">
        <f t="shared" si="119"/>
        <v>9150081</v>
      </c>
      <c r="AD253" s="10">
        <f t="shared" si="120"/>
        <v>300</v>
      </c>
      <c r="AE253" s="15">
        <v>129651</v>
      </c>
      <c r="AF253" s="16">
        <v>23338</v>
      </c>
      <c r="AG253" s="15">
        <f t="shared" si="121"/>
        <v>0</v>
      </c>
      <c r="AH253" s="15">
        <f t="shared" si="122"/>
        <v>0</v>
      </c>
      <c r="AI253" s="15">
        <f t="shared" si="123"/>
        <v>129651</v>
      </c>
      <c r="AJ253" s="15">
        <f t="shared" si="124"/>
        <v>23338</v>
      </c>
      <c r="AK253" s="10">
        <v>129651</v>
      </c>
      <c r="AL253" s="15">
        <f t="shared" si="125"/>
        <v>129651</v>
      </c>
      <c r="AM253" s="15">
        <f t="shared" si="126"/>
        <v>9279732</v>
      </c>
      <c r="AN253" s="15">
        <f t="shared" si="127"/>
        <v>1121348</v>
      </c>
      <c r="AO253" s="15">
        <f t="shared" si="102"/>
        <v>1251392</v>
      </c>
      <c r="AP253" s="17">
        <f t="shared" si="128"/>
        <v>10531124</v>
      </c>
      <c r="AQ253" s="15">
        <v>8769065</v>
      </c>
      <c r="AR253" s="15">
        <v>393</v>
      </c>
      <c r="AS253" s="18">
        <f t="shared" si="103"/>
        <v>1762059</v>
      </c>
      <c r="AT253" s="19">
        <v>0</v>
      </c>
      <c r="AU253" s="8">
        <v>8800</v>
      </c>
      <c r="AV253" s="13">
        <f t="shared" si="104"/>
        <v>3803096</v>
      </c>
      <c r="AW253" s="18">
        <f t="shared" si="105"/>
        <v>9279732</v>
      </c>
      <c r="AX253" s="15">
        <f t="shared" si="129"/>
        <v>9280000</v>
      </c>
      <c r="AY253" s="20">
        <v>0.05</v>
      </c>
      <c r="AZ253" s="13">
        <f t="shared" si="130"/>
        <v>464000</v>
      </c>
      <c r="BA253" s="15">
        <f t="shared" si="131"/>
        <v>464000</v>
      </c>
      <c r="BB253" s="21">
        <f t="shared" si="106"/>
        <v>2226059</v>
      </c>
      <c r="BC253" s="10">
        <f t="shared" si="107"/>
        <v>0</v>
      </c>
      <c r="BD253" s="10">
        <f t="shared" si="108"/>
        <v>0</v>
      </c>
      <c r="BE253" s="10">
        <v>88.6</v>
      </c>
      <c r="BF253" s="10">
        <v>40.15</v>
      </c>
      <c r="BG253" s="107">
        <v>46176</v>
      </c>
      <c r="BH253" s="107">
        <f t="shared" si="113"/>
        <v>46206</v>
      </c>
      <c r="BI253" s="23">
        <v>5</v>
      </c>
      <c r="BJ253" s="6"/>
      <c r="BK253" s="6"/>
      <c r="BL253" s="24">
        <f>VLOOKUP(A253,[2]Sheet1!$D$2:$H$933,5,0)</f>
        <v>0</v>
      </c>
      <c r="BM253" s="6" t="s">
        <v>3828</v>
      </c>
      <c r="BN253" s="6" t="s">
        <v>3829</v>
      </c>
      <c r="BO253" s="6" t="s">
        <v>3820</v>
      </c>
      <c r="BP253" s="6" t="s">
        <v>3821</v>
      </c>
      <c r="BQ253" s="6" t="s">
        <v>3830</v>
      </c>
      <c r="BR253" t="s">
        <v>3823</v>
      </c>
      <c r="BS253" t="s">
        <v>3824</v>
      </c>
      <c r="BT253" t="s">
        <v>3825</v>
      </c>
      <c r="BU253" t="s">
        <v>3826</v>
      </c>
      <c r="BV253" t="s">
        <v>3827</v>
      </c>
      <c r="BW253" t="s">
        <v>3835</v>
      </c>
      <c r="BX253">
        <v>0</v>
      </c>
      <c r="BY253" t="s">
        <v>3867</v>
      </c>
      <c r="BZ253" t="s">
        <v>3871</v>
      </c>
    </row>
    <row r="254" spans="1:78" x14ac:dyDescent="0.25">
      <c r="A254" s="7" t="s">
        <v>1104</v>
      </c>
      <c r="B254" s="7" t="s">
        <v>181</v>
      </c>
      <c r="C254" s="7" t="s">
        <v>1102</v>
      </c>
      <c r="D254" s="8" t="s">
        <v>1103</v>
      </c>
      <c r="E254" s="7" t="s">
        <v>1105</v>
      </c>
      <c r="F254" s="9">
        <v>45181</v>
      </c>
      <c r="G254" s="9" t="s">
        <v>363</v>
      </c>
      <c r="H254" s="9" t="s">
        <v>87</v>
      </c>
      <c r="I254" s="8" t="s">
        <v>67</v>
      </c>
      <c r="J254" s="10">
        <v>340.38</v>
      </c>
      <c r="K254" s="10">
        <v>340.38</v>
      </c>
      <c r="L254" s="10">
        <f t="shared" si="114"/>
        <v>0</v>
      </c>
      <c r="M254" s="10">
        <v>135.63</v>
      </c>
      <c r="N254" s="10">
        <v>135.63</v>
      </c>
      <c r="O254" s="10">
        <f t="shared" si="115"/>
        <v>0</v>
      </c>
      <c r="P254" s="11">
        <v>15333.92091192197</v>
      </c>
      <c r="Q254" s="11">
        <v>38482.34166482342</v>
      </c>
      <c r="R254" s="11">
        <v>40000</v>
      </c>
      <c r="S254" s="11">
        <v>5219360</v>
      </c>
      <c r="T254" s="11">
        <v>626324</v>
      </c>
      <c r="U254" s="12">
        <f t="shared" si="116"/>
        <v>0.12000015327549737</v>
      </c>
      <c r="V254" s="13">
        <f t="shared" si="112"/>
        <v>0</v>
      </c>
      <c r="W254" s="10">
        <f t="shared" si="117"/>
        <v>0</v>
      </c>
      <c r="X254" s="10"/>
      <c r="Y254" s="10"/>
      <c r="Z254" s="11">
        <f t="shared" si="118"/>
        <v>5219360</v>
      </c>
      <c r="AA254" s="14"/>
      <c r="AB254" s="14"/>
      <c r="AC254" s="11">
        <f t="shared" si="119"/>
        <v>5219360</v>
      </c>
      <c r="AD254" s="10">
        <f t="shared" si="120"/>
        <v>300</v>
      </c>
      <c r="AE254" s="15">
        <v>40689</v>
      </c>
      <c r="AF254" s="16">
        <v>7324</v>
      </c>
      <c r="AG254" s="15">
        <f t="shared" si="121"/>
        <v>0</v>
      </c>
      <c r="AH254" s="15">
        <f t="shared" si="122"/>
        <v>0</v>
      </c>
      <c r="AI254" s="15">
        <f t="shared" si="123"/>
        <v>40689</v>
      </c>
      <c r="AJ254" s="15">
        <f t="shared" si="124"/>
        <v>7325</v>
      </c>
      <c r="AK254" s="10">
        <v>40689</v>
      </c>
      <c r="AL254" s="15">
        <f t="shared" si="125"/>
        <v>40689</v>
      </c>
      <c r="AM254" s="15">
        <f t="shared" si="126"/>
        <v>5260049</v>
      </c>
      <c r="AN254" s="15">
        <f t="shared" si="127"/>
        <v>633649</v>
      </c>
      <c r="AO254" s="15">
        <f t="shared" ref="AO254:AO317" si="132">AN254+AL254+AR254</f>
        <v>674605</v>
      </c>
      <c r="AP254" s="17">
        <f t="shared" si="128"/>
        <v>5934654</v>
      </c>
      <c r="AQ254" s="15">
        <v>5246873</v>
      </c>
      <c r="AR254" s="15">
        <v>267</v>
      </c>
      <c r="AS254" s="18">
        <f t="shared" ref="AS254:AS317" si="133">ROUND(AP254-AQ254,0)</f>
        <v>687781</v>
      </c>
      <c r="AT254" s="19">
        <v>0</v>
      </c>
      <c r="AU254" s="8">
        <v>8800</v>
      </c>
      <c r="AV254" s="13">
        <f t="shared" ref="AV254:AV317" si="134">AU254*N254</f>
        <v>1193544</v>
      </c>
      <c r="AW254" s="18">
        <f t="shared" ref="AW254:AW317" si="135">MAX(AM254,AT254,AV254)</f>
        <v>5260049</v>
      </c>
      <c r="AX254" s="15">
        <f t="shared" si="129"/>
        <v>5261000</v>
      </c>
      <c r="AY254" s="20">
        <v>7.0000000000000007E-2</v>
      </c>
      <c r="AZ254" s="13">
        <f t="shared" si="130"/>
        <v>368270.00000000006</v>
      </c>
      <c r="BA254" s="15">
        <f t="shared" si="131"/>
        <v>368300</v>
      </c>
      <c r="BB254" s="21">
        <f t="shared" ref="BB254:BB317" si="136">BA254+AS254</f>
        <v>1056081</v>
      </c>
      <c r="BC254" s="10">
        <f t="shared" ref="BC254:BC317" si="137">L254/J254%</f>
        <v>0</v>
      </c>
      <c r="BD254" s="10">
        <f t="shared" ref="BD254:BD317" si="138">O254/M254%</f>
        <v>0</v>
      </c>
      <c r="BE254" s="10">
        <v>31.62</v>
      </c>
      <c r="BF254" s="10">
        <v>12.6</v>
      </c>
      <c r="BG254" s="107">
        <v>46176</v>
      </c>
      <c r="BH254" s="107">
        <f t="shared" si="113"/>
        <v>46206</v>
      </c>
      <c r="BI254" s="23">
        <v>7</v>
      </c>
      <c r="BJ254" s="6"/>
      <c r="BK254" s="6"/>
      <c r="BL254" s="24">
        <f>VLOOKUP(A254,[2]Sheet1!$D$2:$H$933,5,0)</f>
        <v>0</v>
      </c>
      <c r="BM254" s="6" t="s">
        <v>3828</v>
      </c>
      <c r="BN254" s="6" t="s">
        <v>3829</v>
      </c>
      <c r="BO254" s="6" t="s">
        <v>3820</v>
      </c>
      <c r="BP254" s="6" t="s">
        <v>3821</v>
      </c>
      <c r="BQ254" s="6" t="s">
        <v>3830</v>
      </c>
      <c r="BR254" t="s">
        <v>3823</v>
      </c>
      <c r="BS254" t="s">
        <v>3824</v>
      </c>
      <c r="BT254" t="s">
        <v>3825</v>
      </c>
      <c r="BU254" t="s">
        <v>3826</v>
      </c>
      <c r="BV254" t="s">
        <v>3827</v>
      </c>
      <c r="BW254" t="s">
        <v>3835</v>
      </c>
      <c r="BX254">
        <v>0</v>
      </c>
      <c r="BY254" t="s">
        <v>3868</v>
      </c>
      <c r="BZ254" t="s">
        <v>3860</v>
      </c>
    </row>
    <row r="255" spans="1:78" x14ac:dyDescent="0.25">
      <c r="A255" s="7" t="s">
        <v>1108</v>
      </c>
      <c r="B255" s="7" t="s">
        <v>181</v>
      </c>
      <c r="C255" s="7" t="s">
        <v>1106</v>
      </c>
      <c r="D255" s="8" t="s">
        <v>1107</v>
      </c>
      <c r="E255" s="7" t="s">
        <v>1109</v>
      </c>
      <c r="F255" s="9">
        <v>44963</v>
      </c>
      <c r="G255" s="9" t="s">
        <v>527</v>
      </c>
      <c r="H255" s="9" t="s">
        <v>87</v>
      </c>
      <c r="I255" s="8" t="s">
        <v>67</v>
      </c>
      <c r="J255" s="10">
        <v>270.3</v>
      </c>
      <c r="K255" s="10">
        <v>270.3</v>
      </c>
      <c r="L255" s="10">
        <f t="shared" si="114"/>
        <v>0</v>
      </c>
      <c r="M255" s="10">
        <v>107.64</v>
      </c>
      <c r="N255" s="10">
        <v>107.64</v>
      </c>
      <c r="O255" s="10">
        <f t="shared" si="115"/>
        <v>0</v>
      </c>
      <c r="P255" s="11">
        <v>10150</v>
      </c>
      <c r="Q255" s="11">
        <v>25488.154960981046</v>
      </c>
      <c r="R255" s="11">
        <v>40000</v>
      </c>
      <c r="S255" s="11">
        <v>2743545</v>
      </c>
      <c r="T255" s="11">
        <v>329226</v>
      </c>
      <c r="U255" s="12">
        <f t="shared" si="116"/>
        <v>0.12000021869515536</v>
      </c>
      <c r="V255" s="13">
        <f t="shared" si="112"/>
        <v>0</v>
      </c>
      <c r="W255" s="10">
        <f t="shared" si="117"/>
        <v>0</v>
      </c>
      <c r="X255" s="10"/>
      <c r="Y255" s="10"/>
      <c r="Z255" s="11">
        <f t="shared" si="118"/>
        <v>2743545</v>
      </c>
      <c r="AA255" s="14"/>
      <c r="AB255" s="14"/>
      <c r="AC255" s="11">
        <f t="shared" si="119"/>
        <v>2743545</v>
      </c>
      <c r="AD255" s="10">
        <f t="shared" si="120"/>
        <v>300</v>
      </c>
      <c r="AE255" s="15">
        <v>32292</v>
      </c>
      <c r="AF255" s="16">
        <v>5812</v>
      </c>
      <c r="AG255" s="15">
        <f t="shared" si="121"/>
        <v>0</v>
      </c>
      <c r="AH255" s="15">
        <f t="shared" si="122"/>
        <v>0</v>
      </c>
      <c r="AI255" s="15">
        <f t="shared" si="123"/>
        <v>32292</v>
      </c>
      <c r="AJ255" s="15">
        <f t="shared" si="124"/>
        <v>5813</v>
      </c>
      <c r="AK255" s="10">
        <v>32292</v>
      </c>
      <c r="AL255" s="15">
        <f t="shared" si="125"/>
        <v>32292</v>
      </c>
      <c r="AM255" s="15">
        <f t="shared" si="126"/>
        <v>2775837</v>
      </c>
      <c r="AN255" s="15">
        <f t="shared" si="127"/>
        <v>335039</v>
      </c>
      <c r="AO255" s="15">
        <f t="shared" si="132"/>
        <v>367598</v>
      </c>
      <c r="AP255" s="17">
        <f t="shared" si="128"/>
        <v>3143435</v>
      </c>
      <c r="AQ255" s="15">
        <v>908208</v>
      </c>
      <c r="AR255" s="15">
        <v>267</v>
      </c>
      <c r="AS255" s="18">
        <f t="shared" si="133"/>
        <v>2235227</v>
      </c>
      <c r="AT255" s="19">
        <v>0</v>
      </c>
      <c r="AU255" s="8">
        <v>8800</v>
      </c>
      <c r="AV255" s="13">
        <f t="shared" si="134"/>
        <v>947232</v>
      </c>
      <c r="AW255" s="18">
        <f t="shared" si="135"/>
        <v>2775837</v>
      </c>
      <c r="AX255" s="15">
        <f t="shared" si="129"/>
        <v>2776000</v>
      </c>
      <c r="AY255" s="20">
        <v>7.0000000000000007E-2</v>
      </c>
      <c r="AZ255" s="13">
        <f t="shared" si="130"/>
        <v>194320.00000000003</v>
      </c>
      <c r="BA255" s="15">
        <f t="shared" si="131"/>
        <v>194400</v>
      </c>
      <c r="BB255" s="21">
        <f t="shared" si="136"/>
        <v>2429627</v>
      </c>
      <c r="BC255" s="10">
        <f t="shared" si="137"/>
        <v>0</v>
      </c>
      <c r="BD255" s="10">
        <f t="shared" si="138"/>
        <v>0</v>
      </c>
      <c r="BE255" s="10">
        <v>25.11</v>
      </c>
      <c r="BF255" s="10">
        <v>10</v>
      </c>
      <c r="BG255" s="107">
        <v>46176</v>
      </c>
      <c r="BH255" s="107">
        <f t="shared" si="113"/>
        <v>46206</v>
      </c>
      <c r="BI255" s="23">
        <v>7</v>
      </c>
      <c r="BJ255" s="6"/>
      <c r="BK255" s="6"/>
      <c r="BL255" s="24">
        <f>VLOOKUP(A255,[2]Sheet1!$D$2:$H$933,5,0)</f>
        <v>0</v>
      </c>
      <c r="BM255" s="6" t="s">
        <v>3828</v>
      </c>
      <c r="BN255" s="6" t="s">
        <v>3829</v>
      </c>
      <c r="BO255" s="6" t="s">
        <v>3820</v>
      </c>
      <c r="BP255" s="6" t="s">
        <v>3821</v>
      </c>
      <c r="BQ255" s="6" t="s">
        <v>3830</v>
      </c>
      <c r="BR255" t="s">
        <v>3823</v>
      </c>
      <c r="BS255" t="s">
        <v>3824</v>
      </c>
      <c r="BT255" t="s">
        <v>3825</v>
      </c>
      <c r="BU255" t="s">
        <v>3826</v>
      </c>
      <c r="BV255" t="s">
        <v>3827</v>
      </c>
      <c r="BW255" t="s">
        <v>3835</v>
      </c>
      <c r="BX255" s="101">
        <v>883564.88595200004</v>
      </c>
      <c r="BY255" t="s">
        <v>3865</v>
      </c>
      <c r="BZ255" t="s">
        <v>3871</v>
      </c>
    </row>
    <row r="256" spans="1:78" x14ac:dyDescent="0.25">
      <c r="A256" s="7" t="s">
        <v>1112</v>
      </c>
      <c r="B256" s="7" t="s">
        <v>181</v>
      </c>
      <c r="C256" s="7" t="s">
        <v>1110</v>
      </c>
      <c r="D256" s="8" t="s">
        <v>1111</v>
      </c>
      <c r="E256" s="7" t="s">
        <v>1113</v>
      </c>
      <c r="F256" s="9">
        <v>44854</v>
      </c>
      <c r="G256" s="9" t="s">
        <v>527</v>
      </c>
      <c r="H256" s="9" t="s">
        <v>72</v>
      </c>
      <c r="I256" s="8" t="s">
        <v>78</v>
      </c>
      <c r="J256" s="10">
        <v>652.29999999999995</v>
      </c>
      <c r="K256" s="10">
        <v>652.29999999999995</v>
      </c>
      <c r="L256" s="10">
        <f t="shared" si="114"/>
        <v>0</v>
      </c>
      <c r="M256" s="10">
        <v>293.86</v>
      </c>
      <c r="N256" s="10">
        <v>293.86</v>
      </c>
      <c r="O256" s="10">
        <f t="shared" si="115"/>
        <v>0</v>
      </c>
      <c r="P256" s="11">
        <v>13518.750574888856</v>
      </c>
      <c r="Q256" s="11">
        <v>30008.442795889197</v>
      </c>
      <c r="R256" s="11">
        <v>20000</v>
      </c>
      <c r="S256" s="11">
        <v>8818281</v>
      </c>
      <c r="T256" s="11">
        <v>1058194</v>
      </c>
      <c r="U256" s="12">
        <f t="shared" si="116"/>
        <v>0.12000003175222018</v>
      </c>
      <c r="V256" s="13">
        <f t="shared" si="112"/>
        <v>0</v>
      </c>
      <c r="W256" s="10">
        <f t="shared" si="117"/>
        <v>0</v>
      </c>
      <c r="X256" s="10"/>
      <c r="Y256" s="10"/>
      <c r="Z256" s="11">
        <f t="shared" si="118"/>
        <v>8818281</v>
      </c>
      <c r="AA256" s="14">
        <v>1106484</v>
      </c>
      <c r="AB256" s="14">
        <v>132778</v>
      </c>
      <c r="AC256" s="11">
        <f t="shared" si="119"/>
        <v>7711797</v>
      </c>
      <c r="AD256" s="10">
        <f t="shared" si="120"/>
        <v>300</v>
      </c>
      <c r="AE256" s="15">
        <v>88158</v>
      </c>
      <c r="AF256" s="16">
        <v>15868</v>
      </c>
      <c r="AG256" s="15">
        <f t="shared" si="121"/>
        <v>0</v>
      </c>
      <c r="AH256" s="15">
        <f t="shared" si="122"/>
        <v>0</v>
      </c>
      <c r="AI256" s="15">
        <f t="shared" si="123"/>
        <v>88158</v>
      </c>
      <c r="AJ256" s="15">
        <f t="shared" si="124"/>
        <v>15869</v>
      </c>
      <c r="AK256" s="10">
        <v>88158</v>
      </c>
      <c r="AL256" s="15">
        <f t="shared" si="125"/>
        <v>88158</v>
      </c>
      <c r="AM256" s="15">
        <f t="shared" si="126"/>
        <v>7799955</v>
      </c>
      <c r="AN256" s="15">
        <f t="shared" si="127"/>
        <v>941285</v>
      </c>
      <c r="AO256" s="15">
        <f t="shared" si="132"/>
        <v>1029777</v>
      </c>
      <c r="AP256" s="17">
        <f t="shared" si="128"/>
        <v>8829732</v>
      </c>
      <c r="AQ256" s="15">
        <v>7441433</v>
      </c>
      <c r="AR256" s="15">
        <v>334</v>
      </c>
      <c r="AS256" s="18">
        <f t="shared" si="133"/>
        <v>1388299</v>
      </c>
      <c r="AT256" s="19">
        <v>0</v>
      </c>
      <c r="AU256" s="8">
        <v>8800</v>
      </c>
      <c r="AV256" s="13">
        <f t="shared" si="134"/>
        <v>2585968</v>
      </c>
      <c r="AW256" s="18">
        <f t="shared" si="135"/>
        <v>7799955</v>
      </c>
      <c r="AX256" s="15">
        <f t="shared" si="129"/>
        <v>7800000</v>
      </c>
      <c r="AY256" s="20">
        <v>0.06</v>
      </c>
      <c r="AZ256" s="13">
        <f t="shared" si="130"/>
        <v>468000</v>
      </c>
      <c r="BA256" s="15">
        <f t="shared" si="131"/>
        <v>468000</v>
      </c>
      <c r="BB256" s="21">
        <f t="shared" si="136"/>
        <v>1856299</v>
      </c>
      <c r="BC256" s="10">
        <f t="shared" si="137"/>
        <v>0</v>
      </c>
      <c r="BD256" s="10">
        <f t="shared" si="138"/>
        <v>0</v>
      </c>
      <c r="BE256" s="10">
        <v>60.6</v>
      </c>
      <c r="BF256" s="10">
        <v>27.3</v>
      </c>
      <c r="BG256" s="107">
        <v>46176</v>
      </c>
      <c r="BH256" s="107">
        <f t="shared" si="113"/>
        <v>46206</v>
      </c>
      <c r="BI256" s="23">
        <v>6</v>
      </c>
      <c r="BJ256" s="6"/>
      <c r="BK256" s="6"/>
      <c r="BL256" s="24">
        <f>VLOOKUP(A256,[2]Sheet1!$D$2:$H$933,5,0)</f>
        <v>0</v>
      </c>
      <c r="BM256" s="6" t="s">
        <v>3828</v>
      </c>
      <c r="BN256" s="6" t="s">
        <v>3829</v>
      </c>
      <c r="BO256" s="6" t="s">
        <v>3820</v>
      </c>
      <c r="BP256" s="6" t="s">
        <v>3821</v>
      </c>
      <c r="BQ256" s="6" t="s">
        <v>3830</v>
      </c>
      <c r="BR256" t="s">
        <v>3823</v>
      </c>
      <c r="BS256" t="s">
        <v>3824</v>
      </c>
      <c r="BT256" t="s">
        <v>3825</v>
      </c>
      <c r="BU256" t="s">
        <v>3826</v>
      </c>
      <c r="BV256" t="s">
        <v>3827</v>
      </c>
      <c r="BW256" t="s">
        <v>3835</v>
      </c>
      <c r="BX256">
        <v>0</v>
      </c>
      <c r="BY256" t="s">
        <v>3862</v>
      </c>
      <c r="BZ256" t="s">
        <v>3871</v>
      </c>
    </row>
    <row r="257" spans="1:78" x14ac:dyDescent="0.25">
      <c r="A257" s="7" t="s">
        <v>1116</v>
      </c>
      <c r="B257" s="7" t="s">
        <v>181</v>
      </c>
      <c r="C257" s="7" t="s">
        <v>1114</v>
      </c>
      <c r="D257" s="8" t="s">
        <v>1115</v>
      </c>
      <c r="E257" s="7" t="s">
        <v>1117</v>
      </c>
      <c r="F257" s="9">
        <v>45001</v>
      </c>
      <c r="G257" s="9" t="s">
        <v>527</v>
      </c>
      <c r="H257" s="9" t="s">
        <v>66</v>
      </c>
      <c r="I257" s="8" t="s">
        <v>67</v>
      </c>
      <c r="J257" s="10">
        <v>412.62</v>
      </c>
      <c r="K257" s="10">
        <v>412.62</v>
      </c>
      <c r="L257" s="10">
        <f t="shared" si="114"/>
        <v>0</v>
      </c>
      <c r="M257" s="10">
        <v>166.84</v>
      </c>
      <c r="N257" s="10">
        <v>166.84</v>
      </c>
      <c r="O257" s="10">
        <f t="shared" si="115"/>
        <v>0</v>
      </c>
      <c r="P257" s="11">
        <v>7257.3942125927006</v>
      </c>
      <c r="Q257" s="11">
        <v>17948.609446175975</v>
      </c>
      <c r="R257" s="11">
        <v>22000</v>
      </c>
      <c r="S257" s="11">
        <v>2994546</v>
      </c>
      <c r="T257" s="11">
        <v>359344</v>
      </c>
      <c r="U257" s="12">
        <f t="shared" si="116"/>
        <v>0.11999949241053569</v>
      </c>
      <c r="V257" s="13">
        <f t="shared" si="112"/>
        <v>0</v>
      </c>
      <c r="W257" s="10">
        <f t="shared" si="117"/>
        <v>0</v>
      </c>
      <c r="X257" s="10"/>
      <c r="Y257" s="10"/>
      <c r="Z257" s="11">
        <f t="shared" si="118"/>
        <v>2994546</v>
      </c>
      <c r="AA257" s="14">
        <v>472309</v>
      </c>
      <c r="AB257" s="14">
        <v>56678</v>
      </c>
      <c r="AC257" s="11">
        <f t="shared" si="119"/>
        <v>2522237</v>
      </c>
      <c r="AD257" s="10">
        <f t="shared" si="120"/>
        <v>300</v>
      </c>
      <c r="AE257" s="15">
        <v>50052</v>
      </c>
      <c r="AF257" s="16">
        <v>9010</v>
      </c>
      <c r="AG257" s="15">
        <f t="shared" si="121"/>
        <v>0</v>
      </c>
      <c r="AH257" s="15">
        <f t="shared" si="122"/>
        <v>0</v>
      </c>
      <c r="AI257" s="15">
        <f t="shared" si="123"/>
        <v>50052</v>
      </c>
      <c r="AJ257" s="15">
        <f t="shared" si="124"/>
        <v>9010</v>
      </c>
      <c r="AK257" s="10">
        <v>50052</v>
      </c>
      <c r="AL257" s="15">
        <f t="shared" si="125"/>
        <v>50052</v>
      </c>
      <c r="AM257" s="15">
        <f t="shared" si="126"/>
        <v>2572289</v>
      </c>
      <c r="AN257" s="15">
        <f t="shared" si="127"/>
        <v>311676</v>
      </c>
      <c r="AO257" s="15">
        <f t="shared" si="132"/>
        <v>361998</v>
      </c>
      <c r="AP257" s="17">
        <f t="shared" si="128"/>
        <v>2934287</v>
      </c>
      <c r="AQ257" s="15">
        <v>2489786</v>
      </c>
      <c r="AR257" s="15">
        <v>270</v>
      </c>
      <c r="AS257" s="18">
        <f t="shared" si="133"/>
        <v>444501</v>
      </c>
      <c r="AT257" s="19">
        <v>0</v>
      </c>
      <c r="AU257" s="8">
        <v>8800</v>
      </c>
      <c r="AV257" s="13">
        <f t="shared" si="134"/>
        <v>1468192</v>
      </c>
      <c r="AW257" s="18">
        <f t="shared" si="135"/>
        <v>2572289</v>
      </c>
      <c r="AX257" s="15">
        <f t="shared" si="129"/>
        <v>2573000</v>
      </c>
      <c r="AY257" s="20">
        <v>7.0000000000000007E-2</v>
      </c>
      <c r="AZ257" s="13">
        <f t="shared" si="130"/>
        <v>180110.00000000003</v>
      </c>
      <c r="BA257" s="15">
        <f t="shared" si="131"/>
        <v>180200</v>
      </c>
      <c r="BB257" s="21">
        <f t="shared" si="136"/>
        <v>624701</v>
      </c>
      <c r="BC257" s="10">
        <f t="shared" si="137"/>
        <v>0</v>
      </c>
      <c r="BD257" s="10">
        <f t="shared" si="138"/>
        <v>0</v>
      </c>
      <c r="BE257" s="10">
        <v>38.33</v>
      </c>
      <c r="BF257" s="10">
        <v>15.5</v>
      </c>
      <c r="BG257" s="107">
        <v>46176</v>
      </c>
      <c r="BH257" s="107">
        <f t="shared" si="113"/>
        <v>46206</v>
      </c>
      <c r="BI257" s="23">
        <v>7</v>
      </c>
      <c r="BJ257" s="6"/>
      <c r="BK257" s="6"/>
      <c r="BL257" s="24">
        <f>VLOOKUP(A257,[2]Sheet1!$D$2:$H$933,5,0)</f>
        <v>0</v>
      </c>
      <c r="BM257" s="6" t="s">
        <v>3828</v>
      </c>
      <c r="BN257" s="6" t="s">
        <v>3829</v>
      </c>
      <c r="BO257" s="6" t="s">
        <v>3820</v>
      </c>
      <c r="BP257" s="6" t="s">
        <v>3821</v>
      </c>
      <c r="BQ257" s="6" t="s">
        <v>3830</v>
      </c>
      <c r="BR257" t="s">
        <v>3823</v>
      </c>
      <c r="BS257" t="s">
        <v>3824</v>
      </c>
      <c r="BT257" t="s">
        <v>3825</v>
      </c>
      <c r="BU257" t="s">
        <v>3826</v>
      </c>
      <c r="BV257" t="s">
        <v>3827</v>
      </c>
      <c r="BW257" t="s">
        <v>3835</v>
      </c>
      <c r="BX257">
        <v>0</v>
      </c>
      <c r="BY257" t="s">
        <v>3866</v>
      </c>
      <c r="BZ257" t="s">
        <v>3871</v>
      </c>
    </row>
    <row r="258" spans="1:78" x14ac:dyDescent="0.25">
      <c r="A258" s="7" t="s">
        <v>1120</v>
      </c>
      <c r="B258" s="7" t="s">
        <v>181</v>
      </c>
      <c r="C258" s="7" t="s">
        <v>1118</v>
      </c>
      <c r="D258" s="8" t="s">
        <v>1119</v>
      </c>
      <c r="E258" s="7" t="s">
        <v>1121</v>
      </c>
      <c r="F258" s="9">
        <v>44953</v>
      </c>
      <c r="G258" s="9" t="s">
        <v>65</v>
      </c>
      <c r="H258" s="9" t="s">
        <v>72</v>
      </c>
      <c r="I258" s="8" t="s">
        <v>78</v>
      </c>
      <c r="J258" s="10">
        <v>720.54</v>
      </c>
      <c r="K258" s="10">
        <v>720.54</v>
      </c>
      <c r="L258" s="10">
        <f t="shared" si="114"/>
        <v>0</v>
      </c>
      <c r="M258" s="10">
        <v>330.99</v>
      </c>
      <c r="N258" s="10">
        <v>330.99</v>
      </c>
      <c r="O258" s="10">
        <f t="shared" si="115"/>
        <v>0</v>
      </c>
      <c r="P258" s="11">
        <v>12707.000305326561</v>
      </c>
      <c r="Q258" s="11">
        <v>27662.171062569865</v>
      </c>
      <c r="R258" s="11">
        <v>20000</v>
      </c>
      <c r="S258" s="11">
        <v>9155902</v>
      </c>
      <c r="T258" s="11">
        <v>1098708</v>
      </c>
      <c r="U258" s="12">
        <f t="shared" si="116"/>
        <v>0.11999997378739964</v>
      </c>
      <c r="V258" s="13">
        <f t="shared" si="112"/>
        <v>0</v>
      </c>
      <c r="W258" s="10">
        <f t="shared" si="117"/>
        <v>0</v>
      </c>
      <c r="X258" s="10"/>
      <c r="Y258" s="10"/>
      <c r="Z258" s="11">
        <f t="shared" si="118"/>
        <v>9155902</v>
      </c>
      <c r="AA258" s="14"/>
      <c r="AB258" s="14"/>
      <c r="AC258" s="11">
        <f t="shared" si="119"/>
        <v>9155902</v>
      </c>
      <c r="AD258" s="10">
        <f t="shared" si="120"/>
        <v>300</v>
      </c>
      <c r="AE258" s="15">
        <v>99297</v>
      </c>
      <c r="AF258" s="16">
        <v>17874</v>
      </c>
      <c r="AG258" s="15">
        <f t="shared" si="121"/>
        <v>0</v>
      </c>
      <c r="AH258" s="15">
        <f t="shared" si="122"/>
        <v>0</v>
      </c>
      <c r="AI258" s="15">
        <f t="shared" si="123"/>
        <v>99297</v>
      </c>
      <c r="AJ258" s="15">
        <f t="shared" si="124"/>
        <v>17874</v>
      </c>
      <c r="AK258" s="10">
        <v>99297</v>
      </c>
      <c r="AL258" s="15">
        <f t="shared" si="125"/>
        <v>99297</v>
      </c>
      <c r="AM258" s="15">
        <f t="shared" si="126"/>
        <v>9255199</v>
      </c>
      <c r="AN258" s="15">
        <f t="shared" si="127"/>
        <v>1116582</v>
      </c>
      <c r="AO258" s="15">
        <f t="shared" si="132"/>
        <v>1216289</v>
      </c>
      <c r="AP258" s="17">
        <f t="shared" si="128"/>
        <v>10471488</v>
      </c>
      <c r="AQ258" s="15">
        <v>9146749</v>
      </c>
      <c r="AR258" s="15">
        <v>410</v>
      </c>
      <c r="AS258" s="18">
        <f t="shared" si="133"/>
        <v>1324739</v>
      </c>
      <c r="AT258" s="19">
        <v>9155902</v>
      </c>
      <c r="AU258" s="8">
        <v>8800</v>
      </c>
      <c r="AV258" s="13">
        <f t="shared" si="134"/>
        <v>2912712</v>
      </c>
      <c r="AW258" s="18">
        <f t="shared" si="135"/>
        <v>9255199</v>
      </c>
      <c r="AX258" s="15">
        <f t="shared" si="129"/>
        <v>9256000</v>
      </c>
      <c r="AY258" s="20">
        <v>0.06</v>
      </c>
      <c r="AZ258" s="13">
        <f t="shared" si="130"/>
        <v>555360</v>
      </c>
      <c r="BA258" s="15">
        <f t="shared" si="131"/>
        <v>555400</v>
      </c>
      <c r="BB258" s="21">
        <f t="shared" si="136"/>
        <v>1880139</v>
      </c>
      <c r="BC258" s="10">
        <f t="shared" si="137"/>
        <v>0</v>
      </c>
      <c r="BD258" s="10">
        <f t="shared" si="138"/>
        <v>0</v>
      </c>
      <c r="BE258" s="10">
        <v>66.94</v>
      </c>
      <c r="BF258" s="10">
        <v>30.75</v>
      </c>
      <c r="BG258" s="107">
        <v>46176</v>
      </c>
      <c r="BH258" s="107">
        <f t="shared" si="113"/>
        <v>46206</v>
      </c>
      <c r="BI258" s="23">
        <v>6</v>
      </c>
      <c r="BJ258" s="6"/>
      <c r="BK258" s="6"/>
      <c r="BL258" s="24">
        <f>VLOOKUP(A258,[2]Sheet1!$D$2:$H$933,5,0)</f>
        <v>0</v>
      </c>
      <c r="BM258" s="6" t="s">
        <v>3828</v>
      </c>
      <c r="BN258" s="6" t="s">
        <v>3829</v>
      </c>
      <c r="BO258" s="6" t="s">
        <v>3820</v>
      </c>
      <c r="BP258" s="6" t="s">
        <v>3821</v>
      </c>
      <c r="BQ258" s="6" t="s">
        <v>3830</v>
      </c>
      <c r="BR258" t="s">
        <v>3823</v>
      </c>
      <c r="BS258" t="s">
        <v>3824</v>
      </c>
      <c r="BT258" t="s">
        <v>3825</v>
      </c>
      <c r="BU258" t="s">
        <v>3826</v>
      </c>
      <c r="BV258" t="s">
        <v>3827</v>
      </c>
      <c r="BW258" t="s">
        <v>3835</v>
      </c>
      <c r="BX258">
        <v>0</v>
      </c>
      <c r="BY258" t="s">
        <v>3870</v>
      </c>
      <c r="BZ258" t="s">
        <v>3860</v>
      </c>
    </row>
    <row r="259" spans="1:78" x14ac:dyDescent="0.25">
      <c r="A259" s="7" t="s">
        <v>1124</v>
      </c>
      <c r="B259" s="7" t="s">
        <v>181</v>
      </c>
      <c r="C259" s="7" t="s">
        <v>1122</v>
      </c>
      <c r="D259" s="8" t="s">
        <v>1123</v>
      </c>
      <c r="E259" s="7" t="s">
        <v>1125</v>
      </c>
      <c r="F259" s="9">
        <v>44975</v>
      </c>
      <c r="G259" s="9" t="s">
        <v>527</v>
      </c>
      <c r="H259" s="9" t="s">
        <v>92</v>
      </c>
      <c r="I259" s="8" t="s">
        <v>78</v>
      </c>
      <c r="J259" s="10">
        <v>781.9</v>
      </c>
      <c r="K259" s="10">
        <v>781.9</v>
      </c>
      <c r="L259" s="10">
        <f t="shared" si="114"/>
        <v>0</v>
      </c>
      <c r="M259" s="10">
        <v>360.59</v>
      </c>
      <c r="N259" s="10">
        <v>360.59</v>
      </c>
      <c r="O259" s="10">
        <f t="shared" si="115"/>
        <v>0</v>
      </c>
      <c r="P259" s="11">
        <v>22531.000127893592</v>
      </c>
      <c r="Q259" s="11">
        <v>48856.010982001724</v>
      </c>
      <c r="R259" s="11">
        <v>28000</v>
      </c>
      <c r="S259" s="11">
        <v>17616989</v>
      </c>
      <c r="T259" s="11">
        <v>2114040</v>
      </c>
      <c r="U259" s="12">
        <f t="shared" si="116"/>
        <v>0.12000007492767351</v>
      </c>
      <c r="V259" s="13">
        <f t="shared" si="112"/>
        <v>0</v>
      </c>
      <c r="W259" s="10">
        <f t="shared" si="117"/>
        <v>0</v>
      </c>
      <c r="X259" s="10"/>
      <c r="Y259" s="10"/>
      <c r="Z259" s="11">
        <f t="shared" si="118"/>
        <v>17616989</v>
      </c>
      <c r="AA259" s="14">
        <v>1790663</v>
      </c>
      <c r="AB259" s="14">
        <v>214880</v>
      </c>
      <c r="AC259" s="11">
        <f t="shared" si="119"/>
        <v>15826326</v>
      </c>
      <c r="AD259" s="10">
        <f t="shared" si="120"/>
        <v>300</v>
      </c>
      <c r="AE259" s="15">
        <v>108177</v>
      </c>
      <c r="AF259" s="16">
        <v>19472</v>
      </c>
      <c r="AG259" s="15">
        <f t="shared" si="121"/>
        <v>0</v>
      </c>
      <c r="AH259" s="15">
        <f t="shared" si="122"/>
        <v>0</v>
      </c>
      <c r="AI259" s="15">
        <f t="shared" si="123"/>
        <v>108176.99999999999</v>
      </c>
      <c r="AJ259" s="15">
        <f t="shared" si="124"/>
        <v>19472</v>
      </c>
      <c r="AK259" s="10">
        <v>108177</v>
      </c>
      <c r="AL259" s="15">
        <f t="shared" si="125"/>
        <v>108176.99999999999</v>
      </c>
      <c r="AM259" s="15">
        <f t="shared" si="126"/>
        <v>15934503</v>
      </c>
      <c r="AN259" s="15">
        <f t="shared" si="127"/>
        <v>1918632</v>
      </c>
      <c r="AO259" s="15">
        <f t="shared" si="132"/>
        <v>2027219</v>
      </c>
      <c r="AP259" s="17">
        <f t="shared" si="128"/>
        <v>17961722</v>
      </c>
      <c r="AQ259" s="15">
        <v>15669942.940000001</v>
      </c>
      <c r="AR259" s="15">
        <v>410</v>
      </c>
      <c r="AS259" s="18">
        <f t="shared" si="133"/>
        <v>2291779</v>
      </c>
      <c r="AT259" s="19">
        <v>0</v>
      </c>
      <c r="AU259" s="8">
        <v>8800</v>
      </c>
      <c r="AV259" s="13">
        <f t="shared" si="134"/>
        <v>3173192</v>
      </c>
      <c r="AW259" s="18">
        <f t="shared" si="135"/>
        <v>15934503</v>
      </c>
      <c r="AX259" s="15">
        <f t="shared" si="129"/>
        <v>15935000</v>
      </c>
      <c r="AY259" s="20">
        <v>7.0000000000000007E-2</v>
      </c>
      <c r="AZ259" s="13">
        <f t="shared" si="130"/>
        <v>1115450</v>
      </c>
      <c r="BA259" s="15">
        <f t="shared" si="131"/>
        <v>1115500</v>
      </c>
      <c r="BB259" s="21">
        <f t="shared" si="136"/>
        <v>3407279</v>
      </c>
      <c r="BC259" s="10">
        <f t="shared" si="137"/>
        <v>0</v>
      </c>
      <c r="BD259" s="10">
        <f t="shared" si="138"/>
        <v>0</v>
      </c>
      <c r="BE259" s="10">
        <v>72.64</v>
      </c>
      <c r="BF259" s="10">
        <v>33.5</v>
      </c>
      <c r="BG259" s="107">
        <v>46176</v>
      </c>
      <c r="BH259" s="107">
        <f t="shared" si="113"/>
        <v>46206</v>
      </c>
      <c r="BI259" s="23">
        <v>7</v>
      </c>
      <c r="BJ259" s="6"/>
      <c r="BK259" s="6"/>
      <c r="BL259" s="24">
        <f>VLOOKUP(A259,[2]Sheet1!$D$2:$H$933,5,0)</f>
        <v>0</v>
      </c>
      <c r="BM259" s="6" t="s">
        <v>3828</v>
      </c>
      <c r="BN259" s="6" t="s">
        <v>3829</v>
      </c>
      <c r="BO259" s="6" t="s">
        <v>3820</v>
      </c>
      <c r="BP259" s="6" t="s">
        <v>3821</v>
      </c>
      <c r="BQ259" s="6" t="s">
        <v>3830</v>
      </c>
      <c r="BR259" t="s">
        <v>3823</v>
      </c>
      <c r="BS259" t="s">
        <v>3824</v>
      </c>
      <c r="BT259" t="s">
        <v>3825</v>
      </c>
      <c r="BU259" t="s">
        <v>3826</v>
      </c>
      <c r="BV259" t="s">
        <v>3827</v>
      </c>
      <c r="BW259" t="s">
        <v>3835</v>
      </c>
      <c r="BX259">
        <v>0</v>
      </c>
      <c r="BY259" t="s">
        <v>3867</v>
      </c>
      <c r="BZ259" t="s">
        <v>3871</v>
      </c>
    </row>
    <row r="260" spans="1:78" x14ac:dyDescent="0.25">
      <c r="A260" s="7" t="s">
        <v>1128</v>
      </c>
      <c r="B260" s="7" t="s">
        <v>181</v>
      </c>
      <c r="C260" s="7" t="s">
        <v>1126</v>
      </c>
      <c r="D260" s="8" t="s">
        <v>1127</v>
      </c>
      <c r="E260" s="7" t="s">
        <v>1129</v>
      </c>
      <c r="F260" s="9">
        <v>44992</v>
      </c>
      <c r="G260" s="9" t="s">
        <v>77</v>
      </c>
      <c r="H260" s="9" t="s">
        <v>72</v>
      </c>
      <c r="I260" s="8" t="s">
        <v>78</v>
      </c>
      <c r="J260" s="10">
        <v>1216.33</v>
      </c>
      <c r="K260" s="10">
        <v>1216.33</v>
      </c>
      <c r="L260" s="10">
        <f t="shared" si="114"/>
        <v>0</v>
      </c>
      <c r="M260" s="10">
        <v>558.65</v>
      </c>
      <c r="N260" s="10">
        <v>565</v>
      </c>
      <c r="O260" s="10">
        <f t="shared" si="115"/>
        <v>6.3500000000000227</v>
      </c>
      <c r="P260" s="11">
        <v>9000</v>
      </c>
      <c r="Q260" s="11">
        <v>19595.3996240938</v>
      </c>
      <c r="R260" s="11">
        <v>20000</v>
      </c>
      <c r="S260" s="11">
        <v>10946970</v>
      </c>
      <c r="T260" s="11">
        <v>1313638</v>
      </c>
      <c r="U260" s="12">
        <f t="shared" si="116"/>
        <v>0.1200001461591655</v>
      </c>
      <c r="V260" s="13">
        <f t="shared" si="112"/>
        <v>0</v>
      </c>
      <c r="W260" s="10">
        <f t="shared" si="117"/>
        <v>0</v>
      </c>
      <c r="X260" s="10"/>
      <c r="Y260" s="10"/>
      <c r="Z260" s="11">
        <f t="shared" si="118"/>
        <v>10946970</v>
      </c>
      <c r="AA260" s="14"/>
      <c r="AB260" s="14"/>
      <c r="AC260" s="11">
        <f t="shared" si="119"/>
        <v>10946970</v>
      </c>
      <c r="AD260" s="10">
        <f t="shared" si="120"/>
        <v>300</v>
      </c>
      <c r="AE260" s="15">
        <v>167595</v>
      </c>
      <c r="AF260" s="16">
        <v>30168</v>
      </c>
      <c r="AG260" s="15">
        <f t="shared" si="121"/>
        <v>1905.0000000000068</v>
      </c>
      <c r="AH260" s="15">
        <f t="shared" si="122"/>
        <v>342.90000000000123</v>
      </c>
      <c r="AI260" s="15">
        <f t="shared" si="123"/>
        <v>169500</v>
      </c>
      <c r="AJ260" s="15">
        <f t="shared" si="124"/>
        <v>30510</v>
      </c>
      <c r="AK260" s="10">
        <v>167595</v>
      </c>
      <c r="AL260" s="15">
        <f t="shared" si="125"/>
        <v>169500</v>
      </c>
      <c r="AM260" s="15">
        <f t="shared" si="126"/>
        <v>11116470</v>
      </c>
      <c r="AN260" s="15">
        <f t="shared" si="127"/>
        <v>1344148</v>
      </c>
      <c r="AO260" s="15">
        <f t="shared" si="132"/>
        <v>1514022.84</v>
      </c>
      <c r="AP260" s="17">
        <f t="shared" si="128"/>
        <v>12630492.84</v>
      </c>
      <c r="AQ260" s="15">
        <v>10974415</v>
      </c>
      <c r="AR260" s="15">
        <v>374.84</v>
      </c>
      <c r="AS260" s="18">
        <f t="shared" si="133"/>
        <v>1656078</v>
      </c>
      <c r="AT260" s="19">
        <v>0</v>
      </c>
      <c r="AU260" s="8">
        <v>8800</v>
      </c>
      <c r="AV260" s="13">
        <f t="shared" si="134"/>
        <v>4972000</v>
      </c>
      <c r="AW260" s="18">
        <f t="shared" si="135"/>
        <v>11116470</v>
      </c>
      <c r="AX260" s="15">
        <f t="shared" si="129"/>
        <v>11117000</v>
      </c>
      <c r="AY260" s="20">
        <v>0.06</v>
      </c>
      <c r="AZ260" s="13">
        <f t="shared" si="130"/>
        <v>667020</v>
      </c>
      <c r="BA260" s="15">
        <f t="shared" si="131"/>
        <v>667100</v>
      </c>
      <c r="BB260" s="21">
        <f t="shared" si="136"/>
        <v>2323178</v>
      </c>
      <c r="BC260" s="10">
        <f t="shared" si="137"/>
        <v>0</v>
      </c>
      <c r="BD260" s="10">
        <f t="shared" si="138"/>
        <v>1.1366687550344621</v>
      </c>
      <c r="BE260" s="10">
        <v>113</v>
      </c>
      <c r="BF260" s="10">
        <v>52.49</v>
      </c>
      <c r="BG260" s="107">
        <v>46176</v>
      </c>
      <c r="BH260" s="107">
        <f t="shared" si="113"/>
        <v>46206</v>
      </c>
      <c r="BI260" s="23">
        <v>6</v>
      </c>
      <c r="BJ260" s="6"/>
      <c r="BK260" s="6"/>
      <c r="BL260" s="24">
        <f>VLOOKUP(A260,[2]Sheet1!$D$2:$H$933,5,0)</f>
        <v>0</v>
      </c>
      <c r="BM260" s="6" t="s">
        <v>3828</v>
      </c>
      <c r="BN260" s="6" t="s">
        <v>3829</v>
      </c>
      <c r="BO260" s="6" t="s">
        <v>3820</v>
      </c>
      <c r="BP260" s="6" t="s">
        <v>3821</v>
      </c>
      <c r="BQ260" s="6" t="s">
        <v>3830</v>
      </c>
      <c r="BR260" t="s">
        <v>3823</v>
      </c>
      <c r="BS260" t="s">
        <v>3824</v>
      </c>
      <c r="BT260" t="s">
        <v>3825</v>
      </c>
      <c r="BU260" t="s">
        <v>3826</v>
      </c>
      <c r="BV260" t="s">
        <v>3827</v>
      </c>
      <c r="BW260" t="s">
        <v>3835</v>
      </c>
      <c r="BX260">
        <v>0</v>
      </c>
      <c r="BY260" t="s">
        <v>3861</v>
      </c>
      <c r="BZ260" t="s">
        <v>3863</v>
      </c>
    </row>
    <row r="261" spans="1:78" x14ac:dyDescent="0.25">
      <c r="A261" s="7" t="s">
        <v>1132</v>
      </c>
      <c r="B261" s="7" t="s">
        <v>181</v>
      </c>
      <c r="C261" s="7" t="s">
        <v>1130</v>
      </c>
      <c r="D261" s="8" t="s">
        <v>1131</v>
      </c>
      <c r="E261" s="7" t="s">
        <v>1133</v>
      </c>
      <c r="F261" s="9">
        <v>45008</v>
      </c>
      <c r="G261" s="9" t="s">
        <v>65</v>
      </c>
      <c r="H261" s="9" t="s">
        <v>66</v>
      </c>
      <c r="I261" s="8" t="s">
        <v>78</v>
      </c>
      <c r="J261" s="10">
        <v>650.15</v>
      </c>
      <c r="K261" s="10">
        <v>650.15</v>
      </c>
      <c r="L261" s="10">
        <f t="shared" si="114"/>
        <v>0</v>
      </c>
      <c r="M261" s="10">
        <v>303.54000000000002</v>
      </c>
      <c r="N261" s="10">
        <v>303.54000000000002</v>
      </c>
      <c r="O261" s="10">
        <f t="shared" si="115"/>
        <v>0</v>
      </c>
      <c r="P261" s="11">
        <v>14445.309543951396</v>
      </c>
      <c r="Q261" s="11">
        <v>30940.297819068324</v>
      </c>
      <c r="R261" s="11">
        <v>22000</v>
      </c>
      <c r="S261" s="11">
        <v>9391618</v>
      </c>
      <c r="T261" s="11">
        <v>1126996</v>
      </c>
      <c r="U261" s="12">
        <f t="shared" si="116"/>
        <v>0.12000019591938259</v>
      </c>
      <c r="V261" s="13">
        <f t="shared" si="112"/>
        <v>0</v>
      </c>
      <c r="W261" s="10">
        <f t="shared" si="117"/>
        <v>0</v>
      </c>
      <c r="X261" s="10"/>
      <c r="Y261" s="10"/>
      <c r="Z261" s="11">
        <f t="shared" si="118"/>
        <v>9391618</v>
      </c>
      <c r="AA261" s="14"/>
      <c r="AB261" s="14"/>
      <c r="AC261" s="11">
        <f t="shared" si="119"/>
        <v>9391618</v>
      </c>
      <c r="AD261" s="10">
        <f t="shared" si="120"/>
        <v>300</v>
      </c>
      <c r="AE261" s="15">
        <v>91062</v>
      </c>
      <c r="AF261" s="16">
        <v>16392</v>
      </c>
      <c r="AG261" s="15">
        <f t="shared" si="121"/>
        <v>0</v>
      </c>
      <c r="AH261" s="15">
        <f t="shared" si="122"/>
        <v>0</v>
      </c>
      <c r="AI261" s="15">
        <f t="shared" si="123"/>
        <v>91062</v>
      </c>
      <c r="AJ261" s="15">
        <f t="shared" si="124"/>
        <v>16392</v>
      </c>
      <c r="AK261" s="10">
        <v>91062</v>
      </c>
      <c r="AL261" s="15">
        <f t="shared" si="125"/>
        <v>91062</v>
      </c>
      <c r="AM261" s="15">
        <f t="shared" si="126"/>
        <v>9482680</v>
      </c>
      <c r="AN261" s="15">
        <f t="shared" si="127"/>
        <v>1143388</v>
      </c>
      <c r="AO261" s="15">
        <f t="shared" si="132"/>
        <v>1234865</v>
      </c>
      <c r="AP261" s="17">
        <f t="shared" si="128"/>
        <v>10717545</v>
      </c>
      <c r="AQ261" s="15">
        <v>9261230</v>
      </c>
      <c r="AR261" s="15">
        <v>415</v>
      </c>
      <c r="AS261" s="18">
        <f t="shared" si="133"/>
        <v>1456315</v>
      </c>
      <c r="AT261" s="19">
        <v>0</v>
      </c>
      <c r="AU261" s="8">
        <v>8800</v>
      </c>
      <c r="AV261" s="13">
        <f t="shared" si="134"/>
        <v>2671152</v>
      </c>
      <c r="AW261" s="18">
        <f t="shared" si="135"/>
        <v>9482680</v>
      </c>
      <c r="AX261" s="15">
        <f t="shared" si="129"/>
        <v>9483000</v>
      </c>
      <c r="AY261" s="20">
        <v>0.06</v>
      </c>
      <c r="AZ261" s="13">
        <f t="shared" si="130"/>
        <v>568980</v>
      </c>
      <c r="BA261" s="15">
        <f t="shared" si="131"/>
        <v>569000</v>
      </c>
      <c r="BB261" s="21">
        <f t="shared" si="136"/>
        <v>2025315</v>
      </c>
      <c r="BC261" s="10">
        <f t="shared" si="137"/>
        <v>0</v>
      </c>
      <c r="BD261" s="10">
        <f t="shared" si="138"/>
        <v>0</v>
      </c>
      <c r="BE261" s="10">
        <v>60.4</v>
      </c>
      <c r="BF261" s="10">
        <v>28.2</v>
      </c>
      <c r="BG261" s="107">
        <v>46176</v>
      </c>
      <c r="BH261" s="107">
        <f t="shared" si="113"/>
        <v>46206</v>
      </c>
      <c r="BI261" s="23">
        <v>6</v>
      </c>
      <c r="BJ261" s="6"/>
      <c r="BK261" s="6"/>
      <c r="BL261" s="24">
        <f>VLOOKUP(A261,[2]Sheet1!$D$2:$H$933,5,0)</f>
        <v>0</v>
      </c>
      <c r="BM261" s="6" t="s">
        <v>3828</v>
      </c>
      <c r="BN261" s="6" t="s">
        <v>3829</v>
      </c>
      <c r="BO261" s="6" t="s">
        <v>3820</v>
      </c>
      <c r="BP261" s="6" t="s">
        <v>3821</v>
      </c>
      <c r="BQ261" s="6" t="s">
        <v>3830</v>
      </c>
      <c r="BR261" t="s">
        <v>3823</v>
      </c>
      <c r="BS261" t="s">
        <v>3824</v>
      </c>
      <c r="BT261" t="s">
        <v>3825</v>
      </c>
      <c r="BU261" t="s">
        <v>3826</v>
      </c>
      <c r="BV261" t="s">
        <v>3827</v>
      </c>
      <c r="BW261" t="s">
        <v>3835</v>
      </c>
      <c r="BX261">
        <v>0</v>
      </c>
      <c r="BY261" t="s">
        <v>3870</v>
      </c>
      <c r="BZ261" t="s">
        <v>3860</v>
      </c>
    </row>
    <row r="262" spans="1:78" x14ac:dyDescent="0.25">
      <c r="A262" s="7" t="s">
        <v>1137</v>
      </c>
      <c r="B262" s="7" t="s">
        <v>181</v>
      </c>
      <c r="C262" s="7" t="s">
        <v>1135</v>
      </c>
      <c r="D262" s="8" t="s">
        <v>1136</v>
      </c>
      <c r="E262" s="7" t="s">
        <v>1138</v>
      </c>
      <c r="F262" s="9">
        <v>45045</v>
      </c>
      <c r="G262" s="9" t="s">
        <v>363</v>
      </c>
      <c r="H262" s="9" t="s">
        <v>92</v>
      </c>
      <c r="I262" s="8" t="s">
        <v>78</v>
      </c>
      <c r="J262" s="10">
        <v>697.51</v>
      </c>
      <c r="K262" s="10">
        <v>697.51</v>
      </c>
      <c r="L262" s="10">
        <f t="shared" si="114"/>
        <v>0</v>
      </c>
      <c r="M262" s="10">
        <v>317.54000000000002</v>
      </c>
      <c r="N262" s="10">
        <v>317.54000000000002</v>
      </c>
      <c r="O262" s="10">
        <f t="shared" si="115"/>
        <v>0</v>
      </c>
      <c r="P262" s="11">
        <v>23723.999655918913</v>
      </c>
      <c r="Q262" s="11">
        <v>52112.259872771931</v>
      </c>
      <c r="R262" s="11">
        <v>28000</v>
      </c>
      <c r="S262" s="11">
        <v>16547727</v>
      </c>
      <c r="T262" s="11">
        <v>1985728</v>
      </c>
      <c r="U262" s="12">
        <f t="shared" si="116"/>
        <v>0.12000004592775794</v>
      </c>
      <c r="V262" s="13">
        <f t="shared" si="112"/>
        <v>0</v>
      </c>
      <c r="W262" s="10">
        <f t="shared" si="117"/>
        <v>0</v>
      </c>
      <c r="X262" s="10"/>
      <c r="Y262" s="10"/>
      <c r="Z262" s="11">
        <f t="shared" si="118"/>
        <v>16547727</v>
      </c>
      <c r="AA262" s="14">
        <v>755636</v>
      </c>
      <c r="AB262" s="14">
        <v>90676</v>
      </c>
      <c r="AC262" s="11">
        <f t="shared" si="119"/>
        <v>15792091</v>
      </c>
      <c r="AD262" s="10">
        <f t="shared" si="120"/>
        <v>300</v>
      </c>
      <c r="AE262" s="15">
        <v>95262</v>
      </c>
      <c r="AF262" s="16">
        <v>17148</v>
      </c>
      <c r="AG262" s="15">
        <f t="shared" si="121"/>
        <v>0</v>
      </c>
      <c r="AH262" s="15">
        <f t="shared" si="122"/>
        <v>0</v>
      </c>
      <c r="AI262" s="15">
        <f t="shared" si="123"/>
        <v>95262</v>
      </c>
      <c r="AJ262" s="15">
        <f t="shared" si="124"/>
        <v>17148</v>
      </c>
      <c r="AK262" s="10">
        <v>95262</v>
      </c>
      <c r="AL262" s="15">
        <f t="shared" si="125"/>
        <v>95262</v>
      </c>
      <c r="AM262" s="15">
        <f t="shared" si="126"/>
        <v>15887353</v>
      </c>
      <c r="AN262" s="15">
        <f t="shared" si="127"/>
        <v>1912200</v>
      </c>
      <c r="AO262" s="15">
        <f t="shared" si="132"/>
        <v>2007892</v>
      </c>
      <c r="AP262" s="17">
        <f t="shared" si="128"/>
        <v>17895245</v>
      </c>
      <c r="AQ262" s="15">
        <v>15747362.359999999</v>
      </c>
      <c r="AR262" s="15">
        <v>430</v>
      </c>
      <c r="AS262" s="18">
        <f t="shared" si="133"/>
        <v>2147883</v>
      </c>
      <c r="AT262" s="19">
        <v>0</v>
      </c>
      <c r="AU262" s="8">
        <v>8800</v>
      </c>
      <c r="AV262" s="13">
        <f t="shared" si="134"/>
        <v>2794352</v>
      </c>
      <c r="AW262" s="18">
        <f t="shared" si="135"/>
        <v>15887353</v>
      </c>
      <c r="AX262" s="15">
        <f t="shared" si="129"/>
        <v>15888000</v>
      </c>
      <c r="AY262" s="20">
        <v>7.0000000000000007E-2</v>
      </c>
      <c r="AZ262" s="13">
        <f t="shared" si="130"/>
        <v>1112160</v>
      </c>
      <c r="BA262" s="15">
        <f t="shared" si="131"/>
        <v>1112200</v>
      </c>
      <c r="BB262" s="21">
        <f t="shared" si="136"/>
        <v>3260083</v>
      </c>
      <c r="BC262" s="10">
        <f t="shared" si="137"/>
        <v>0</v>
      </c>
      <c r="BD262" s="10">
        <f t="shared" si="138"/>
        <v>0</v>
      </c>
      <c r="BE262" s="10">
        <v>64.8</v>
      </c>
      <c r="BF262" s="10">
        <v>29.5</v>
      </c>
      <c r="BG262" s="107">
        <v>46176</v>
      </c>
      <c r="BH262" s="107">
        <f t="shared" si="113"/>
        <v>46206</v>
      </c>
      <c r="BI262" s="23">
        <v>7</v>
      </c>
      <c r="BJ262" s="6"/>
      <c r="BK262" s="6"/>
      <c r="BL262" s="24">
        <f>VLOOKUP(A262,[2]Sheet1!$D$2:$H$933,5,0)</f>
        <v>0</v>
      </c>
      <c r="BM262" s="6" t="s">
        <v>3828</v>
      </c>
      <c r="BN262" s="6" t="s">
        <v>3829</v>
      </c>
      <c r="BO262" s="6" t="s">
        <v>3820</v>
      </c>
      <c r="BP262" s="6" t="s">
        <v>3821</v>
      </c>
      <c r="BQ262" s="6" t="s">
        <v>3830</v>
      </c>
      <c r="BR262" t="s">
        <v>3823</v>
      </c>
      <c r="BS262" t="s">
        <v>3824</v>
      </c>
      <c r="BT262" t="s">
        <v>3825</v>
      </c>
      <c r="BU262" t="s">
        <v>3826</v>
      </c>
      <c r="BV262" t="s">
        <v>3827</v>
      </c>
      <c r="BW262" t="s">
        <v>3835</v>
      </c>
      <c r="BX262">
        <v>0</v>
      </c>
      <c r="BY262" t="s">
        <v>3862</v>
      </c>
      <c r="BZ262" t="s">
        <v>3860</v>
      </c>
    </row>
    <row r="263" spans="1:78" x14ac:dyDescent="0.25">
      <c r="A263" s="7" t="s">
        <v>1141</v>
      </c>
      <c r="B263" s="7" t="s">
        <v>181</v>
      </c>
      <c r="C263" s="7" t="s">
        <v>1139</v>
      </c>
      <c r="D263" s="8" t="s">
        <v>1140</v>
      </c>
      <c r="E263" s="7" t="s">
        <v>1142</v>
      </c>
      <c r="F263" s="9">
        <v>44984</v>
      </c>
      <c r="G263" s="9" t="s">
        <v>404</v>
      </c>
      <c r="H263" s="9" t="s">
        <v>92</v>
      </c>
      <c r="I263" s="8" t="s">
        <v>78</v>
      </c>
      <c r="J263" s="10">
        <v>789</v>
      </c>
      <c r="K263" s="10">
        <v>789</v>
      </c>
      <c r="L263" s="10">
        <f t="shared" si="114"/>
        <v>0</v>
      </c>
      <c r="M263" s="10">
        <v>367.05</v>
      </c>
      <c r="N263" s="10">
        <v>367.05</v>
      </c>
      <c r="O263" s="10">
        <f t="shared" si="115"/>
        <v>0</v>
      </c>
      <c r="P263" s="11">
        <v>15423.619771863117</v>
      </c>
      <c r="Q263" s="11">
        <v>33154.16428279526</v>
      </c>
      <c r="R263" s="11">
        <v>28000</v>
      </c>
      <c r="S263" s="11">
        <v>12169236</v>
      </c>
      <c r="T263" s="11">
        <v>1460310</v>
      </c>
      <c r="U263" s="12">
        <f t="shared" si="116"/>
        <v>0.12000013805303801</v>
      </c>
      <c r="V263" s="13">
        <f t="shared" si="112"/>
        <v>0</v>
      </c>
      <c r="W263" s="10">
        <f t="shared" si="117"/>
        <v>0</v>
      </c>
      <c r="X263" s="10"/>
      <c r="Y263" s="10"/>
      <c r="Z263" s="11">
        <f t="shared" si="118"/>
        <v>12169236</v>
      </c>
      <c r="AA263" s="14">
        <v>1500861</v>
      </c>
      <c r="AB263" s="14">
        <v>180104</v>
      </c>
      <c r="AC263" s="11">
        <f t="shared" si="119"/>
        <v>10668375</v>
      </c>
      <c r="AD263" s="10">
        <f t="shared" si="120"/>
        <v>300</v>
      </c>
      <c r="AE263" s="15">
        <v>110115</v>
      </c>
      <c r="AF263" s="16">
        <v>19820</v>
      </c>
      <c r="AG263" s="15">
        <f t="shared" si="121"/>
        <v>0</v>
      </c>
      <c r="AH263" s="15">
        <f t="shared" si="122"/>
        <v>0</v>
      </c>
      <c r="AI263" s="15">
        <f t="shared" si="123"/>
        <v>110115</v>
      </c>
      <c r="AJ263" s="15">
        <f t="shared" si="124"/>
        <v>19821</v>
      </c>
      <c r="AK263" s="10">
        <v>110115</v>
      </c>
      <c r="AL263" s="15">
        <f t="shared" si="125"/>
        <v>110115</v>
      </c>
      <c r="AM263" s="15">
        <f t="shared" si="126"/>
        <v>10778490</v>
      </c>
      <c r="AN263" s="15">
        <f t="shared" si="127"/>
        <v>1300027</v>
      </c>
      <c r="AO263" s="15">
        <f t="shared" si="132"/>
        <v>1410571</v>
      </c>
      <c r="AP263" s="17">
        <f t="shared" si="128"/>
        <v>12189061</v>
      </c>
      <c r="AQ263" s="15">
        <v>9586738</v>
      </c>
      <c r="AR263" s="15">
        <v>429</v>
      </c>
      <c r="AS263" s="18">
        <f t="shared" si="133"/>
        <v>2602323</v>
      </c>
      <c r="AT263" s="19">
        <v>0</v>
      </c>
      <c r="AU263" s="8">
        <v>8800</v>
      </c>
      <c r="AV263" s="13">
        <f t="shared" si="134"/>
        <v>3230040</v>
      </c>
      <c r="AW263" s="18">
        <f t="shared" si="135"/>
        <v>10778490</v>
      </c>
      <c r="AX263" s="15">
        <f t="shared" si="129"/>
        <v>10779000</v>
      </c>
      <c r="AY263" s="20">
        <v>7.0000000000000007E-2</v>
      </c>
      <c r="AZ263" s="13">
        <f t="shared" si="130"/>
        <v>754530.00000000012</v>
      </c>
      <c r="BA263" s="15">
        <f t="shared" si="131"/>
        <v>754600</v>
      </c>
      <c r="BB263" s="21">
        <f t="shared" si="136"/>
        <v>3356923</v>
      </c>
      <c r="BC263" s="10">
        <f t="shared" si="137"/>
        <v>0</v>
      </c>
      <c r="BD263" s="10">
        <f t="shared" si="138"/>
        <v>0</v>
      </c>
      <c r="BE263" s="10">
        <v>73.3</v>
      </c>
      <c r="BF263" s="10">
        <v>34.1</v>
      </c>
      <c r="BG263" s="107">
        <v>46176</v>
      </c>
      <c r="BH263" s="107">
        <f t="shared" si="113"/>
        <v>46206</v>
      </c>
      <c r="BI263" s="23">
        <v>7</v>
      </c>
      <c r="BJ263" s="6"/>
      <c r="BK263" s="6"/>
      <c r="BL263" s="24">
        <f>VLOOKUP(A263,[2]Sheet1!$D$2:$H$933,5,0)</f>
        <v>0</v>
      </c>
      <c r="BM263" s="6" t="s">
        <v>3828</v>
      </c>
      <c r="BN263" s="6" t="s">
        <v>3829</v>
      </c>
      <c r="BO263" s="6" t="s">
        <v>3820</v>
      </c>
      <c r="BP263" s="6" t="s">
        <v>3821</v>
      </c>
      <c r="BQ263" s="6" t="s">
        <v>3830</v>
      </c>
      <c r="BR263" t="s">
        <v>3823</v>
      </c>
      <c r="BS263" t="s">
        <v>3824</v>
      </c>
      <c r="BT263" t="s">
        <v>3825</v>
      </c>
      <c r="BU263" t="s">
        <v>3826</v>
      </c>
      <c r="BV263" t="s">
        <v>3827</v>
      </c>
      <c r="BW263" t="s">
        <v>3835</v>
      </c>
      <c r="BX263">
        <v>0</v>
      </c>
      <c r="BY263" t="s">
        <v>3869</v>
      </c>
      <c r="BZ263" t="s">
        <v>3863</v>
      </c>
    </row>
    <row r="264" spans="1:78" x14ac:dyDescent="0.25">
      <c r="A264" s="7" t="s">
        <v>1145</v>
      </c>
      <c r="B264" s="7" t="s">
        <v>181</v>
      </c>
      <c r="C264" s="7" t="s">
        <v>1143</v>
      </c>
      <c r="D264" s="8" t="s">
        <v>1144</v>
      </c>
      <c r="E264" s="7" t="s">
        <v>1146</v>
      </c>
      <c r="F264" s="9">
        <v>44921</v>
      </c>
      <c r="G264" s="9" t="s">
        <v>404</v>
      </c>
      <c r="H264" s="9" t="s">
        <v>92</v>
      </c>
      <c r="I264" s="8" t="s">
        <v>78</v>
      </c>
      <c r="J264" s="10">
        <v>758.22</v>
      </c>
      <c r="K264" s="10">
        <v>758.22</v>
      </c>
      <c r="L264" s="10">
        <f t="shared" si="114"/>
        <v>0</v>
      </c>
      <c r="M264" s="10">
        <v>344.99</v>
      </c>
      <c r="N264" s="10">
        <v>344.99</v>
      </c>
      <c r="O264" s="10">
        <f t="shared" si="115"/>
        <v>0</v>
      </c>
      <c r="P264" s="11">
        <v>26369.999472448628</v>
      </c>
      <c r="Q264" s="11">
        <v>57956.059595930317</v>
      </c>
      <c r="R264" s="11">
        <v>28000</v>
      </c>
      <c r="S264" s="11">
        <v>19994261</v>
      </c>
      <c r="T264" s="11">
        <v>2399314</v>
      </c>
      <c r="U264" s="12">
        <f t="shared" si="116"/>
        <v>0.12000013403846234</v>
      </c>
      <c r="V264" s="13">
        <f t="shared" si="112"/>
        <v>0</v>
      </c>
      <c r="W264" s="10">
        <f t="shared" si="117"/>
        <v>0</v>
      </c>
      <c r="X264" s="10"/>
      <c r="Y264" s="10"/>
      <c r="Z264" s="11">
        <f t="shared" si="118"/>
        <v>19994261</v>
      </c>
      <c r="AA264" s="14">
        <v>2627299</v>
      </c>
      <c r="AB264" s="14">
        <v>315276</v>
      </c>
      <c r="AC264" s="11">
        <f t="shared" si="119"/>
        <v>17366962</v>
      </c>
      <c r="AD264" s="10">
        <f t="shared" si="120"/>
        <v>300</v>
      </c>
      <c r="AE264" s="15">
        <v>103497</v>
      </c>
      <c r="AF264" s="16">
        <v>18630</v>
      </c>
      <c r="AG264" s="15">
        <f t="shared" si="121"/>
        <v>0</v>
      </c>
      <c r="AH264" s="15">
        <f t="shared" si="122"/>
        <v>0</v>
      </c>
      <c r="AI264" s="15">
        <f t="shared" si="123"/>
        <v>103497</v>
      </c>
      <c r="AJ264" s="15">
        <f t="shared" si="124"/>
        <v>18630</v>
      </c>
      <c r="AK264" s="10">
        <v>103497</v>
      </c>
      <c r="AL264" s="15">
        <f t="shared" si="125"/>
        <v>103497</v>
      </c>
      <c r="AM264" s="15">
        <f t="shared" si="126"/>
        <v>17470459</v>
      </c>
      <c r="AN264" s="15">
        <f t="shared" si="127"/>
        <v>2102668</v>
      </c>
      <c r="AO264" s="15">
        <f t="shared" si="132"/>
        <v>2206613</v>
      </c>
      <c r="AP264" s="17">
        <f t="shared" si="128"/>
        <v>19677072</v>
      </c>
      <c r="AQ264" s="15">
        <v>17121669</v>
      </c>
      <c r="AR264" s="15">
        <v>448</v>
      </c>
      <c r="AS264" s="18">
        <f t="shared" si="133"/>
        <v>2555403</v>
      </c>
      <c r="AT264" s="19">
        <v>0</v>
      </c>
      <c r="AU264" s="8">
        <v>8800</v>
      </c>
      <c r="AV264" s="13">
        <f t="shared" si="134"/>
        <v>3035912</v>
      </c>
      <c r="AW264" s="18">
        <f t="shared" si="135"/>
        <v>17470459</v>
      </c>
      <c r="AX264" s="15">
        <f t="shared" si="129"/>
        <v>17471000</v>
      </c>
      <c r="AY264" s="20">
        <v>0.06</v>
      </c>
      <c r="AZ264" s="13">
        <f t="shared" si="130"/>
        <v>1048260</v>
      </c>
      <c r="BA264" s="15">
        <f t="shared" si="131"/>
        <v>1048300</v>
      </c>
      <c r="BB264" s="21">
        <f t="shared" si="136"/>
        <v>3603703</v>
      </c>
      <c r="BC264" s="10">
        <f t="shared" si="137"/>
        <v>0</v>
      </c>
      <c r="BD264" s="10">
        <f t="shared" si="138"/>
        <v>0</v>
      </c>
      <c r="BE264" s="10">
        <v>70.44</v>
      </c>
      <c r="BF264" s="10">
        <v>32.049999999999997</v>
      </c>
      <c r="BG264" s="107">
        <v>46176</v>
      </c>
      <c r="BH264" s="107">
        <f t="shared" si="113"/>
        <v>46206</v>
      </c>
      <c r="BI264" s="23">
        <v>6</v>
      </c>
      <c r="BJ264" s="6"/>
      <c r="BK264" s="6"/>
      <c r="BL264" s="24">
        <f>VLOOKUP(A264,[2]Sheet1!$D$2:$H$933,5,0)</f>
        <v>0</v>
      </c>
      <c r="BM264" s="6" t="s">
        <v>3828</v>
      </c>
      <c r="BN264" s="6" t="s">
        <v>3829</v>
      </c>
      <c r="BO264" s="6" t="s">
        <v>3820</v>
      </c>
      <c r="BP264" s="6" t="s">
        <v>3821</v>
      </c>
      <c r="BQ264" s="6" t="s">
        <v>3830</v>
      </c>
      <c r="BR264" t="s">
        <v>3823</v>
      </c>
      <c r="BS264" t="s">
        <v>3824</v>
      </c>
      <c r="BT264" t="s">
        <v>3825</v>
      </c>
      <c r="BU264" t="s">
        <v>3826</v>
      </c>
      <c r="BV264" t="s">
        <v>3827</v>
      </c>
      <c r="BW264" t="s">
        <v>3835</v>
      </c>
      <c r="BX264">
        <v>0</v>
      </c>
      <c r="BY264" t="s">
        <v>3865</v>
      </c>
      <c r="BZ264" t="s">
        <v>3863</v>
      </c>
    </row>
    <row r="265" spans="1:78" x14ac:dyDescent="0.25">
      <c r="A265" s="7" t="s">
        <v>1149</v>
      </c>
      <c r="B265" s="7" t="s">
        <v>181</v>
      </c>
      <c r="C265" s="7" t="s">
        <v>1147</v>
      </c>
      <c r="D265" s="8" t="s">
        <v>1148</v>
      </c>
      <c r="E265" s="7" t="s">
        <v>1150</v>
      </c>
      <c r="F265" s="9">
        <v>44999</v>
      </c>
      <c r="G265" s="9" t="s">
        <v>404</v>
      </c>
      <c r="H265" s="9" t="s">
        <v>66</v>
      </c>
      <c r="I265" s="8" t="s">
        <v>78</v>
      </c>
      <c r="J265" s="10">
        <v>677.06</v>
      </c>
      <c r="K265" s="10">
        <v>677.06</v>
      </c>
      <c r="L265" s="10">
        <f t="shared" si="114"/>
        <v>0</v>
      </c>
      <c r="M265" s="10">
        <v>315.39</v>
      </c>
      <c r="N265" s="10">
        <v>315.39</v>
      </c>
      <c r="O265" s="10">
        <f t="shared" si="115"/>
        <v>0</v>
      </c>
      <c r="P265" s="11">
        <v>15164.506838389509</v>
      </c>
      <c r="Q265" s="11">
        <v>32554.23761057738</v>
      </c>
      <c r="R265" s="11">
        <v>22000</v>
      </c>
      <c r="S265" s="11">
        <v>10267281</v>
      </c>
      <c r="T265" s="11">
        <v>1232076</v>
      </c>
      <c r="U265" s="12">
        <f t="shared" si="116"/>
        <v>0.12000022206463425</v>
      </c>
      <c r="V265" s="13">
        <f t="shared" si="112"/>
        <v>0</v>
      </c>
      <c r="W265" s="10">
        <f t="shared" si="117"/>
        <v>0</v>
      </c>
      <c r="X265" s="10"/>
      <c r="Y265" s="10"/>
      <c r="Z265" s="11">
        <f t="shared" si="118"/>
        <v>10267281</v>
      </c>
      <c r="AA265" s="14"/>
      <c r="AB265" s="14"/>
      <c r="AC265" s="11">
        <f t="shared" si="119"/>
        <v>10267281</v>
      </c>
      <c r="AD265" s="10">
        <f t="shared" si="120"/>
        <v>300</v>
      </c>
      <c r="AE265" s="15">
        <v>94617</v>
      </c>
      <c r="AF265" s="16">
        <v>17032</v>
      </c>
      <c r="AG265" s="15">
        <f t="shared" si="121"/>
        <v>0</v>
      </c>
      <c r="AH265" s="15">
        <f t="shared" si="122"/>
        <v>0</v>
      </c>
      <c r="AI265" s="15">
        <f t="shared" si="123"/>
        <v>94617</v>
      </c>
      <c r="AJ265" s="15">
        <f t="shared" si="124"/>
        <v>17032</v>
      </c>
      <c r="AK265" s="10">
        <v>94617</v>
      </c>
      <c r="AL265" s="15">
        <f t="shared" si="125"/>
        <v>94617</v>
      </c>
      <c r="AM265" s="15">
        <f t="shared" si="126"/>
        <v>10361898</v>
      </c>
      <c r="AN265" s="15">
        <f t="shared" si="127"/>
        <v>1249108</v>
      </c>
      <c r="AO265" s="15">
        <f t="shared" si="132"/>
        <v>1344185</v>
      </c>
      <c r="AP265" s="17">
        <f t="shared" si="128"/>
        <v>11706083</v>
      </c>
      <c r="AQ265" s="15">
        <v>10257015</v>
      </c>
      <c r="AR265" s="15">
        <v>460</v>
      </c>
      <c r="AS265" s="18">
        <f t="shared" si="133"/>
        <v>1449068</v>
      </c>
      <c r="AT265" s="19">
        <v>0</v>
      </c>
      <c r="AU265" s="8">
        <v>8800</v>
      </c>
      <c r="AV265" s="13">
        <f t="shared" si="134"/>
        <v>2775432</v>
      </c>
      <c r="AW265" s="18">
        <f t="shared" si="135"/>
        <v>10361898</v>
      </c>
      <c r="AX265" s="15">
        <f t="shared" si="129"/>
        <v>10362000</v>
      </c>
      <c r="AY265" s="20">
        <v>0.05</v>
      </c>
      <c r="AZ265" s="13">
        <f t="shared" si="130"/>
        <v>518100</v>
      </c>
      <c r="BA265" s="15">
        <f t="shared" si="131"/>
        <v>518100</v>
      </c>
      <c r="BB265" s="21">
        <f t="shared" si="136"/>
        <v>1967168</v>
      </c>
      <c r="BC265" s="10">
        <f t="shared" si="137"/>
        <v>0</v>
      </c>
      <c r="BD265" s="10">
        <f t="shared" si="138"/>
        <v>0</v>
      </c>
      <c r="BE265" s="10">
        <v>62.9</v>
      </c>
      <c r="BF265" s="10">
        <v>29.3</v>
      </c>
      <c r="BG265" s="107">
        <v>46176</v>
      </c>
      <c r="BH265" s="107">
        <f t="shared" si="113"/>
        <v>46206</v>
      </c>
      <c r="BI265" s="23">
        <v>5</v>
      </c>
      <c r="BJ265" s="6"/>
      <c r="BK265" s="6"/>
      <c r="BL265" s="24">
        <f>VLOOKUP(A265,[2]Sheet1!$D$2:$H$933,5,0)</f>
        <v>0</v>
      </c>
      <c r="BM265" s="6" t="s">
        <v>3828</v>
      </c>
      <c r="BN265" s="6" t="s">
        <v>3829</v>
      </c>
      <c r="BO265" s="6" t="s">
        <v>3820</v>
      </c>
      <c r="BP265" s="6" t="s">
        <v>3821</v>
      </c>
      <c r="BQ265" s="6" t="s">
        <v>3830</v>
      </c>
      <c r="BR265" t="s">
        <v>3823</v>
      </c>
      <c r="BS265" t="s">
        <v>3824</v>
      </c>
      <c r="BT265" t="s">
        <v>3825</v>
      </c>
      <c r="BU265" t="s">
        <v>3826</v>
      </c>
      <c r="BV265" t="s">
        <v>3827</v>
      </c>
      <c r="BW265" t="s">
        <v>3835</v>
      </c>
      <c r="BX265">
        <v>0</v>
      </c>
      <c r="BY265" t="s">
        <v>3861</v>
      </c>
      <c r="BZ265" t="s">
        <v>3863</v>
      </c>
    </row>
    <row r="266" spans="1:78" x14ac:dyDescent="0.25">
      <c r="A266" s="7" t="s">
        <v>1153</v>
      </c>
      <c r="B266" s="7" t="s">
        <v>181</v>
      </c>
      <c r="C266" s="7" t="s">
        <v>1151</v>
      </c>
      <c r="D266" s="8" t="s">
        <v>1152</v>
      </c>
      <c r="E266" s="7" t="s">
        <v>1154</v>
      </c>
      <c r="F266" s="9">
        <v>45082</v>
      </c>
      <c r="G266" s="9" t="s">
        <v>65</v>
      </c>
      <c r="H266" s="9" t="s">
        <v>87</v>
      </c>
      <c r="I266" s="8" t="s">
        <v>78</v>
      </c>
      <c r="J266" s="10">
        <v>861.12</v>
      </c>
      <c r="K266" s="10">
        <v>861.12</v>
      </c>
      <c r="L266" s="10">
        <f t="shared" si="114"/>
        <v>0</v>
      </c>
      <c r="M266" s="10">
        <v>399.34</v>
      </c>
      <c r="N266" s="10">
        <v>399.34</v>
      </c>
      <c r="O266" s="10">
        <f t="shared" si="115"/>
        <v>0</v>
      </c>
      <c r="P266" s="11">
        <v>12000</v>
      </c>
      <c r="Q266" s="11">
        <v>25876.295888215558</v>
      </c>
      <c r="R266" s="11">
        <v>40000</v>
      </c>
      <c r="S266" s="11">
        <v>10333440</v>
      </c>
      <c r="T266" s="11">
        <v>1240014</v>
      </c>
      <c r="U266" s="12">
        <f t="shared" si="116"/>
        <v>0.12000011612783353</v>
      </c>
      <c r="V266" s="13">
        <f t="shared" si="112"/>
        <v>0</v>
      </c>
      <c r="W266" s="10">
        <f t="shared" si="117"/>
        <v>0</v>
      </c>
      <c r="X266" s="10"/>
      <c r="Y266" s="10"/>
      <c r="Z266" s="11">
        <f t="shared" si="118"/>
        <v>10333440</v>
      </c>
      <c r="AA266" s="14"/>
      <c r="AB266" s="14"/>
      <c r="AC266" s="11">
        <f t="shared" si="119"/>
        <v>10333440</v>
      </c>
      <c r="AD266" s="10">
        <f t="shared" si="120"/>
        <v>300</v>
      </c>
      <c r="AE266" s="15">
        <v>119802</v>
      </c>
      <c r="AF266" s="16">
        <v>21564</v>
      </c>
      <c r="AG266" s="15">
        <f t="shared" si="121"/>
        <v>0</v>
      </c>
      <c r="AH266" s="15">
        <f t="shared" si="122"/>
        <v>0</v>
      </c>
      <c r="AI266" s="15">
        <f t="shared" si="123"/>
        <v>119801.99999999999</v>
      </c>
      <c r="AJ266" s="15">
        <f t="shared" si="124"/>
        <v>21565</v>
      </c>
      <c r="AK266" s="10">
        <v>119802</v>
      </c>
      <c r="AL266" s="15">
        <f t="shared" si="125"/>
        <v>119801.99999999999</v>
      </c>
      <c r="AM266" s="15">
        <f t="shared" si="126"/>
        <v>10453242</v>
      </c>
      <c r="AN266" s="15">
        <f t="shared" si="127"/>
        <v>1261579</v>
      </c>
      <c r="AO266" s="15">
        <f t="shared" si="132"/>
        <v>1381842</v>
      </c>
      <c r="AP266" s="17">
        <f t="shared" si="128"/>
        <v>11835084</v>
      </c>
      <c r="AQ266" s="15">
        <v>10323519</v>
      </c>
      <c r="AR266" s="15">
        <v>461</v>
      </c>
      <c r="AS266" s="18">
        <f t="shared" si="133"/>
        <v>1511565</v>
      </c>
      <c r="AT266" s="19">
        <v>0</v>
      </c>
      <c r="AU266" s="8">
        <v>8800</v>
      </c>
      <c r="AV266" s="13">
        <f t="shared" si="134"/>
        <v>3514192</v>
      </c>
      <c r="AW266" s="18">
        <f t="shared" si="135"/>
        <v>10453242</v>
      </c>
      <c r="AX266" s="15">
        <f t="shared" si="129"/>
        <v>10454000</v>
      </c>
      <c r="AY266" s="20">
        <v>0.06</v>
      </c>
      <c r="AZ266" s="13">
        <f t="shared" si="130"/>
        <v>627240</v>
      </c>
      <c r="BA266" s="15">
        <f t="shared" si="131"/>
        <v>627300</v>
      </c>
      <c r="BB266" s="21">
        <f t="shared" si="136"/>
        <v>2138865</v>
      </c>
      <c r="BC266" s="10">
        <f t="shared" si="137"/>
        <v>0</v>
      </c>
      <c r="BD266" s="10">
        <f t="shared" si="138"/>
        <v>0</v>
      </c>
      <c r="BE266" s="10">
        <v>80</v>
      </c>
      <c r="BF266" s="10">
        <v>37.1</v>
      </c>
      <c r="BG266" s="107">
        <v>46176</v>
      </c>
      <c r="BH266" s="107">
        <f t="shared" si="113"/>
        <v>46206</v>
      </c>
      <c r="BI266" s="23">
        <v>6</v>
      </c>
      <c r="BJ266" s="6"/>
      <c r="BK266" s="6"/>
      <c r="BL266" s="24">
        <f>VLOOKUP(A266,[2]Sheet1!$D$2:$H$933,5,0)</f>
        <v>0</v>
      </c>
      <c r="BM266" s="6" t="s">
        <v>3828</v>
      </c>
      <c r="BN266" s="6" t="s">
        <v>3829</v>
      </c>
      <c r="BO266" s="6" t="s">
        <v>3820</v>
      </c>
      <c r="BP266" s="6" t="s">
        <v>3821</v>
      </c>
      <c r="BQ266" s="6" t="s">
        <v>3830</v>
      </c>
      <c r="BR266" t="s">
        <v>3823</v>
      </c>
      <c r="BS266" t="s">
        <v>3824</v>
      </c>
      <c r="BT266" t="s">
        <v>3825</v>
      </c>
      <c r="BU266" t="s">
        <v>3826</v>
      </c>
      <c r="BV266" t="s">
        <v>3827</v>
      </c>
      <c r="BW266" t="s">
        <v>3835</v>
      </c>
      <c r="BX266">
        <v>0</v>
      </c>
      <c r="BY266" t="s">
        <v>3868</v>
      </c>
      <c r="BZ266" t="s">
        <v>3860</v>
      </c>
    </row>
    <row r="267" spans="1:78" x14ac:dyDescent="0.25">
      <c r="A267" s="7" t="s">
        <v>1157</v>
      </c>
      <c r="B267" s="7" t="s">
        <v>181</v>
      </c>
      <c r="C267" s="7" t="s">
        <v>1155</v>
      </c>
      <c r="D267" s="8" t="s">
        <v>1156</v>
      </c>
      <c r="E267" s="7" t="s">
        <v>1158</v>
      </c>
      <c r="F267" s="9">
        <v>44900</v>
      </c>
      <c r="G267" s="9" t="s">
        <v>527</v>
      </c>
      <c r="H267" s="9" t="s">
        <v>66</v>
      </c>
      <c r="I267" s="8" t="s">
        <v>67</v>
      </c>
      <c r="J267" s="10">
        <v>224.85</v>
      </c>
      <c r="K267" s="10">
        <v>224.85</v>
      </c>
      <c r="L267" s="10">
        <f t="shared" si="114"/>
        <v>0</v>
      </c>
      <c r="M267" s="10">
        <v>89.34</v>
      </c>
      <c r="N267" s="10">
        <v>89.34</v>
      </c>
      <c r="O267" s="10">
        <f t="shared" si="115"/>
        <v>0</v>
      </c>
      <c r="P267" s="11">
        <v>22571.999110518125</v>
      </c>
      <c r="Q267" s="11">
        <v>56808.976942019253</v>
      </c>
      <c r="R267" s="11">
        <v>22000</v>
      </c>
      <c r="S267" s="11">
        <v>5075314</v>
      </c>
      <c r="T267" s="11">
        <v>609040</v>
      </c>
      <c r="U267" s="12">
        <f t="shared" si="116"/>
        <v>0.12000045711457459</v>
      </c>
      <c r="V267" s="13">
        <f t="shared" si="112"/>
        <v>0</v>
      </c>
      <c r="W267" s="10">
        <f t="shared" si="117"/>
        <v>0</v>
      </c>
      <c r="X267" s="10"/>
      <c r="Y267" s="10"/>
      <c r="Z267" s="11">
        <f t="shared" si="118"/>
        <v>5075314</v>
      </c>
      <c r="AA267" s="14">
        <v>370657</v>
      </c>
      <c r="AB267" s="14">
        <v>44478</v>
      </c>
      <c r="AC267" s="11">
        <f t="shared" si="119"/>
        <v>4704657</v>
      </c>
      <c r="AD267" s="10">
        <f t="shared" si="120"/>
        <v>300</v>
      </c>
      <c r="AE267" s="15">
        <v>26802</v>
      </c>
      <c r="AF267" s="16">
        <v>4824</v>
      </c>
      <c r="AG267" s="15">
        <f t="shared" si="121"/>
        <v>0</v>
      </c>
      <c r="AH267" s="15">
        <f t="shared" si="122"/>
        <v>0</v>
      </c>
      <c r="AI267" s="15">
        <f t="shared" si="123"/>
        <v>26802</v>
      </c>
      <c r="AJ267" s="15">
        <f t="shared" si="124"/>
        <v>4825</v>
      </c>
      <c r="AK267" s="10">
        <v>26802</v>
      </c>
      <c r="AL267" s="15">
        <f t="shared" si="125"/>
        <v>26802</v>
      </c>
      <c r="AM267" s="15">
        <f t="shared" si="126"/>
        <v>4731459</v>
      </c>
      <c r="AN267" s="15">
        <f t="shared" si="127"/>
        <v>569387</v>
      </c>
      <c r="AO267" s="15">
        <f t="shared" si="132"/>
        <v>596524.96</v>
      </c>
      <c r="AP267" s="17">
        <f t="shared" si="128"/>
        <v>5327983.96</v>
      </c>
      <c r="AQ267" s="15">
        <v>4684187.5600000005</v>
      </c>
      <c r="AR267" s="15">
        <v>335.96</v>
      </c>
      <c r="AS267" s="18">
        <f t="shared" si="133"/>
        <v>643796</v>
      </c>
      <c r="AT267" s="19">
        <v>0</v>
      </c>
      <c r="AU267" s="8">
        <v>8800</v>
      </c>
      <c r="AV267" s="13">
        <f t="shared" si="134"/>
        <v>786192</v>
      </c>
      <c r="AW267" s="18">
        <f t="shared" si="135"/>
        <v>4731459</v>
      </c>
      <c r="AX267" s="15">
        <f t="shared" si="129"/>
        <v>4732000</v>
      </c>
      <c r="AY267" s="20">
        <v>0.06</v>
      </c>
      <c r="AZ267" s="13">
        <f t="shared" si="130"/>
        <v>283920</v>
      </c>
      <c r="BA267" s="15">
        <f t="shared" si="131"/>
        <v>284000</v>
      </c>
      <c r="BB267" s="21">
        <f t="shared" si="136"/>
        <v>927796</v>
      </c>
      <c r="BC267" s="10">
        <f t="shared" si="137"/>
        <v>0</v>
      </c>
      <c r="BD267" s="10">
        <f t="shared" si="138"/>
        <v>0</v>
      </c>
      <c r="BE267" s="10">
        <v>20.89</v>
      </c>
      <c r="BF267" s="10">
        <v>8.3000000000000007</v>
      </c>
      <c r="BG267" s="107">
        <v>46176</v>
      </c>
      <c r="BH267" s="107">
        <f t="shared" si="113"/>
        <v>46206</v>
      </c>
      <c r="BI267" s="23">
        <v>6</v>
      </c>
      <c r="BJ267" s="6"/>
      <c r="BK267" s="6"/>
      <c r="BL267" s="24">
        <f>VLOOKUP(A267,[2]Sheet1!$D$2:$H$933,5,0)</f>
        <v>0</v>
      </c>
      <c r="BM267" s="6" t="s">
        <v>3828</v>
      </c>
      <c r="BN267" s="6" t="s">
        <v>3829</v>
      </c>
      <c r="BO267" s="6" t="s">
        <v>3820</v>
      </c>
      <c r="BP267" s="6" t="s">
        <v>3821</v>
      </c>
      <c r="BQ267" s="6" t="s">
        <v>3830</v>
      </c>
      <c r="BR267" t="s">
        <v>3823</v>
      </c>
      <c r="BS267" t="s">
        <v>3824</v>
      </c>
      <c r="BT267" t="s">
        <v>3825</v>
      </c>
      <c r="BU267" t="s">
        <v>3826</v>
      </c>
      <c r="BV267" t="s">
        <v>3827</v>
      </c>
      <c r="BW267" t="s">
        <v>3835</v>
      </c>
      <c r="BX267">
        <v>0</v>
      </c>
      <c r="BY267" t="s">
        <v>3866</v>
      </c>
      <c r="BZ267" t="s">
        <v>3871</v>
      </c>
    </row>
    <row r="268" spans="1:78" x14ac:dyDescent="0.25">
      <c r="A268" s="7" t="s">
        <v>1161</v>
      </c>
      <c r="B268" s="7" t="s">
        <v>181</v>
      </c>
      <c r="C268" s="7" t="s">
        <v>1159</v>
      </c>
      <c r="D268" s="8" t="s">
        <v>1160</v>
      </c>
      <c r="E268" s="7" t="s">
        <v>1162</v>
      </c>
      <c r="F268" s="9">
        <v>44956</v>
      </c>
      <c r="G268" s="9" t="s">
        <v>717</v>
      </c>
      <c r="H268" s="9" t="s">
        <v>87</v>
      </c>
      <c r="I268" s="8" t="s">
        <v>78</v>
      </c>
      <c r="J268" s="10">
        <v>663.06</v>
      </c>
      <c r="K268" s="10">
        <v>688</v>
      </c>
      <c r="L268" s="10">
        <f t="shared" si="114"/>
        <v>24.940000000000055</v>
      </c>
      <c r="M268" s="10">
        <v>298.16000000000003</v>
      </c>
      <c r="N268" s="10">
        <v>310</v>
      </c>
      <c r="O268" s="10">
        <f t="shared" si="115"/>
        <v>11.839999999999975</v>
      </c>
      <c r="P268" s="11">
        <v>15384.999849184087</v>
      </c>
      <c r="Q268" s="11">
        <v>34213.771129594847</v>
      </c>
      <c r="R268" s="11">
        <v>40000</v>
      </c>
      <c r="S268" s="11">
        <v>10201178</v>
      </c>
      <c r="T268" s="11">
        <v>1224140</v>
      </c>
      <c r="U268" s="12">
        <f t="shared" si="116"/>
        <v>0.11999986668206358</v>
      </c>
      <c r="V268" s="13">
        <f>L268*R268</f>
        <v>997600.00000000221</v>
      </c>
      <c r="W268" s="10">
        <f t="shared" si="117"/>
        <v>119711.86700202689</v>
      </c>
      <c r="X268" s="15"/>
      <c r="Y268" s="15"/>
      <c r="Z268" s="11">
        <f t="shared" si="118"/>
        <v>11198778.000000002</v>
      </c>
      <c r="AA268" s="14"/>
      <c r="AB268" s="14"/>
      <c r="AC268" s="11">
        <f t="shared" si="119"/>
        <v>11198778.000000002</v>
      </c>
      <c r="AD268" s="10">
        <f t="shared" si="120"/>
        <v>300</v>
      </c>
      <c r="AE268" s="15">
        <v>89448</v>
      </c>
      <c r="AF268" s="16">
        <v>16100</v>
      </c>
      <c r="AG268" s="15">
        <f t="shared" si="121"/>
        <v>3551.9999999999927</v>
      </c>
      <c r="AH268" s="15">
        <f t="shared" si="122"/>
        <v>639.35999999999865</v>
      </c>
      <c r="AI268" s="15">
        <f t="shared" si="123"/>
        <v>93000</v>
      </c>
      <c r="AJ268" s="15">
        <f t="shared" si="124"/>
        <v>16740</v>
      </c>
      <c r="AK268" s="10">
        <v>89448</v>
      </c>
      <c r="AL268" s="15">
        <f t="shared" si="125"/>
        <v>93000</v>
      </c>
      <c r="AM268" s="15">
        <f t="shared" si="126"/>
        <v>11291778</v>
      </c>
      <c r="AN268" s="15">
        <f t="shared" si="127"/>
        <v>1360592</v>
      </c>
      <c r="AO268" s="15">
        <f t="shared" si="132"/>
        <v>1453676.32</v>
      </c>
      <c r="AP268" s="17">
        <f t="shared" si="128"/>
        <v>12745454.32</v>
      </c>
      <c r="AQ268" s="15">
        <v>10282575.4</v>
      </c>
      <c r="AR268" s="15">
        <v>84.32</v>
      </c>
      <c r="AS268" s="18">
        <f t="shared" si="133"/>
        <v>2462879</v>
      </c>
      <c r="AT268" s="19">
        <v>0</v>
      </c>
      <c r="AU268" s="8">
        <v>8800</v>
      </c>
      <c r="AV268" s="13">
        <f t="shared" si="134"/>
        <v>2728000</v>
      </c>
      <c r="AW268" s="18">
        <f t="shared" si="135"/>
        <v>11291778</v>
      </c>
      <c r="AX268" s="15">
        <f t="shared" si="129"/>
        <v>11292000</v>
      </c>
      <c r="AY268" s="20">
        <v>0.06</v>
      </c>
      <c r="AZ268" s="13">
        <f t="shared" si="130"/>
        <v>677520</v>
      </c>
      <c r="BA268" s="15">
        <f t="shared" si="131"/>
        <v>677600</v>
      </c>
      <c r="BB268" s="21">
        <f t="shared" si="136"/>
        <v>3140479</v>
      </c>
      <c r="BC268" s="10">
        <f t="shared" si="137"/>
        <v>3.7613488975356764</v>
      </c>
      <c r="BD268" s="10">
        <f t="shared" si="138"/>
        <v>3.9710222699221807</v>
      </c>
      <c r="BE268" s="10">
        <v>63.92</v>
      </c>
      <c r="BF268" s="10">
        <v>28.8</v>
      </c>
      <c r="BG268" s="107">
        <v>46176</v>
      </c>
      <c r="BH268" s="107">
        <f t="shared" si="113"/>
        <v>46206</v>
      </c>
      <c r="BI268" s="23">
        <v>6</v>
      </c>
      <c r="BJ268" s="6"/>
      <c r="BK268" s="6"/>
      <c r="BL268" s="24">
        <f>VLOOKUP(A268,[2]Sheet1!$D$2:$H$933,5,0)</f>
        <v>0</v>
      </c>
      <c r="BM268" s="6" t="s">
        <v>3828</v>
      </c>
      <c r="BN268" s="6" t="s">
        <v>3829</v>
      </c>
      <c r="BO268" s="6" t="s">
        <v>3820</v>
      </c>
      <c r="BP268" s="6" t="s">
        <v>3821</v>
      </c>
      <c r="BQ268" s="6" t="s">
        <v>3830</v>
      </c>
      <c r="BR268" t="s">
        <v>3823</v>
      </c>
      <c r="BS268" t="s">
        <v>3824</v>
      </c>
      <c r="BT268" t="s">
        <v>3825</v>
      </c>
      <c r="BU268" t="s">
        <v>3826</v>
      </c>
      <c r="BV268" t="s">
        <v>3827</v>
      </c>
      <c r="BW268" t="s">
        <v>3835</v>
      </c>
      <c r="BX268">
        <v>0</v>
      </c>
      <c r="BY268" t="s">
        <v>3866</v>
      </c>
      <c r="BZ268" t="s">
        <v>3872</v>
      </c>
    </row>
    <row r="269" spans="1:78" x14ac:dyDescent="0.25">
      <c r="A269" s="31" t="s">
        <v>1165</v>
      </c>
      <c r="B269" s="31" t="s">
        <v>181</v>
      </c>
      <c r="C269" s="31" t="s">
        <v>1163</v>
      </c>
      <c r="D269" s="32" t="s">
        <v>1164</v>
      </c>
      <c r="E269" s="31" t="s">
        <v>1166</v>
      </c>
      <c r="F269" s="33">
        <v>44997</v>
      </c>
      <c r="G269" s="33" t="s">
        <v>65</v>
      </c>
      <c r="H269" s="33" t="s">
        <v>1167</v>
      </c>
      <c r="I269" s="32" t="s">
        <v>635</v>
      </c>
      <c r="J269" s="34">
        <v>2084.13</v>
      </c>
      <c r="K269" s="34">
        <v>2084.13</v>
      </c>
      <c r="L269" s="34">
        <f t="shared" si="114"/>
        <v>0</v>
      </c>
      <c r="M269" s="34">
        <v>229.27</v>
      </c>
      <c r="N269" s="34">
        <v>229.27</v>
      </c>
      <c r="O269" s="34">
        <f t="shared" si="115"/>
        <v>0</v>
      </c>
      <c r="P269" s="35">
        <v>8500</v>
      </c>
      <c r="Q269" s="35">
        <v>77267.435774414436</v>
      </c>
      <c r="R269" s="35">
        <v>20000</v>
      </c>
      <c r="S269" s="35">
        <v>17715105</v>
      </c>
      <c r="T269" s="35">
        <v>2125814</v>
      </c>
      <c r="U269" s="36">
        <f t="shared" si="116"/>
        <v>0.12000007902860299</v>
      </c>
      <c r="V269" s="37">
        <f t="shared" ref="V269:V276" si="139">L269*P269</f>
        <v>0</v>
      </c>
      <c r="W269" s="34">
        <f t="shared" si="117"/>
        <v>0</v>
      </c>
      <c r="X269" s="34"/>
      <c r="Y269" s="34"/>
      <c r="Z269" s="35">
        <f t="shared" si="118"/>
        <v>17715105</v>
      </c>
      <c r="AA269" s="38">
        <v>249309</v>
      </c>
      <c r="AB269" s="38">
        <v>29917</v>
      </c>
      <c r="AC269" s="35">
        <f t="shared" si="119"/>
        <v>17465796</v>
      </c>
      <c r="AD269" s="34">
        <f t="shared" si="120"/>
        <v>300</v>
      </c>
      <c r="AE269" s="39">
        <v>68781</v>
      </c>
      <c r="AF269" s="40">
        <v>12380</v>
      </c>
      <c r="AG269" s="39">
        <f t="shared" si="121"/>
        <v>0</v>
      </c>
      <c r="AH269" s="39">
        <f t="shared" si="122"/>
        <v>0</v>
      </c>
      <c r="AI269" s="39">
        <f t="shared" si="123"/>
        <v>68781</v>
      </c>
      <c r="AJ269" s="39">
        <f t="shared" si="124"/>
        <v>12381</v>
      </c>
      <c r="AK269" s="34">
        <v>68781</v>
      </c>
      <c r="AL269" s="39">
        <f t="shared" si="125"/>
        <v>68781</v>
      </c>
      <c r="AM269" s="39">
        <f t="shared" si="126"/>
        <v>17534577</v>
      </c>
      <c r="AN269" s="39">
        <f t="shared" si="127"/>
        <v>2108278</v>
      </c>
      <c r="AO269" s="39">
        <f t="shared" si="132"/>
        <v>2177373</v>
      </c>
      <c r="AP269" s="41">
        <f t="shared" si="128"/>
        <v>19711950</v>
      </c>
      <c r="AQ269" s="39">
        <v>17856826.210000001</v>
      </c>
      <c r="AR269" s="15">
        <v>314</v>
      </c>
      <c r="AS269" s="42">
        <f t="shared" si="133"/>
        <v>1855124</v>
      </c>
      <c r="AT269" s="43">
        <v>0</v>
      </c>
      <c r="AU269" s="32">
        <v>8800</v>
      </c>
      <c r="AV269" s="37">
        <f t="shared" si="134"/>
        <v>2017576</v>
      </c>
      <c r="AW269" s="42">
        <f t="shared" si="135"/>
        <v>17534577</v>
      </c>
      <c r="AX269" s="39">
        <f t="shared" si="129"/>
        <v>17535000</v>
      </c>
      <c r="AY269" s="44">
        <v>0.06</v>
      </c>
      <c r="AZ269" s="37">
        <f t="shared" si="130"/>
        <v>1052100</v>
      </c>
      <c r="BA269" s="39">
        <f t="shared" si="131"/>
        <v>1052100</v>
      </c>
      <c r="BB269" s="45">
        <f t="shared" si="136"/>
        <v>2907224</v>
      </c>
      <c r="BC269" s="34">
        <f t="shared" si="137"/>
        <v>0</v>
      </c>
      <c r="BD269" s="34">
        <f t="shared" si="138"/>
        <v>0</v>
      </c>
      <c r="BE269" s="34">
        <v>193.62</v>
      </c>
      <c r="BF269" s="34">
        <v>21.3</v>
      </c>
      <c r="BG269" s="107">
        <v>46176</v>
      </c>
      <c r="BH269" s="108">
        <f t="shared" si="113"/>
        <v>46206</v>
      </c>
      <c r="BI269" s="46">
        <v>6</v>
      </c>
      <c r="BJ269" s="47" t="s">
        <v>208</v>
      </c>
      <c r="BK269" s="47"/>
      <c r="BL269" s="24">
        <f>VLOOKUP(A269,[2]Sheet1!$D$2:$H$933,5,0)</f>
        <v>0</v>
      </c>
      <c r="BM269" s="6" t="s">
        <v>3828</v>
      </c>
      <c r="BN269" s="6" t="s">
        <v>3829</v>
      </c>
      <c r="BO269" s="6" t="s">
        <v>3820</v>
      </c>
      <c r="BP269" s="6" t="s">
        <v>3821</v>
      </c>
      <c r="BQ269" s="6" t="s">
        <v>3830</v>
      </c>
      <c r="BR269" t="s">
        <v>3823</v>
      </c>
      <c r="BS269" t="s">
        <v>3824</v>
      </c>
      <c r="BT269" t="s">
        <v>3825</v>
      </c>
      <c r="BU269" t="s">
        <v>3826</v>
      </c>
      <c r="BV269" t="s">
        <v>3827</v>
      </c>
      <c r="BW269" t="s">
        <v>3835</v>
      </c>
      <c r="BX269" s="101"/>
      <c r="BY269" t="s">
        <v>3865</v>
      </c>
      <c r="BZ269" t="s">
        <v>3860</v>
      </c>
    </row>
    <row r="270" spans="1:78" x14ac:dyDescent="0.25">
      <c r="A270" s="7" t="s">
        <v>1170</v>
      </c>
      <c r="B270" s="7" t="s">
        <v>181</v>
      </c>
      <c r="C270" s="7" t="s">
        <v>1168</v>
      </c>
      <c r="D270" s="8" t="s">
        <v>1169</v>
      </c>
      <c r="E270" s="7" t="s">
        <v>1171</v>
      </c>
      <c r="F270" s="9">
        <v>45062</v>
      </c>
      <c r="G270" s="9" t="s">
        <v>65</v>
      </c>
      <c r="H270" s="9" t="s">
        <v>66</v>
      </c>
      <c r="I270" s="8" t="s">
        <v>78</v>
      </c>
      <c r="J270" s="10">
        <v>795.46</v>
      </c>
      <c r="K270" s="10">
        <v>795.46</v>
      </c>
      <c r="L270" s="10">
        <f t="shared" si="114"/>
        <v>0</v>
      </c>
      <c r="M270" s="10">
        <v>372.43</v>
      </c>
      <c r="N270" s="10">
        <v>372.43</v>
      </c>
      <c r="O270" s="10">
        <f t="shared" si="115"/>
        <v>0</v>
      </c>
      <c r="P270" s="11">
        <v>10176.000050285369</v>
      </c>
      <c r="Q270" s="11">
        <v>21734.556829471308</v>
      </c>
      <c r="R270" s="11">
        <v>22000</v>
      </c>
      <c r="S270" s="11">
        <v>8094601</v>
      </c>
      <c r="T270" s="11">
        <v>971354</v>
      </c>
      <c r="U270" s="12">
        <f t="shared" si="116"/>
        <v>0.12000023225357247</v>
      </c>
      <c r="V270" s="13">
        <f t="shared" si="139"/>
        <v>0</v>
      </c>
      <c r="W270" s="10">
        <f t="shared" si="117"/>
        <v>0</v>
      </c>
      <c r="X270" s="10"/>
      <c r="Y270" s="10"/>
      <c r="Z270" s="11">
        <f t="shared" si="118"/>
        <v>8094601</v>
      </c>
      <c r="AA270" s="14"/>
      <c r="AB270" s="14"/>
      <c r="AC270" s="11">
        <f t="shared" si="119"/>
        <v>8094601</v>
      </c>
      <c r="AD270" s="10">
        <f t="shared" si="120"/>
        <v>300</v>
      </c>
      <c r="AE270" s="15">
        <v>111729</v>
      </c>
      <c r="AF270" s="16">
        <v>20112</v>
      </c>
      <c r="AG270" s="15">
        <f t="shared" si="121"/>
        <v>0</v>
      </c>
      <c r="AH270" s="15">
        <f t="shared" si="122"/>
        <v>0</v>
      </c>
      <c r="AI270" s="15">
        <f t="shared" si="123"/>
        <v>111729</v>
      </c>
      <c r="AJ270" s="15">
        <f t="shared" si="124"/>
        <v>20112</v>
      </c>
      <c r="AK270" s="10">
        <v>111729</v>
      </c>
      <c r="AL270" s="15">
        <f t="shared" si="125"/>
        <v>111729</v>
      </c>
      <c r="AM270" s="15">
        <f t="shared" si="126"/>
        <v>8206330</v>
      </c>
      <c r="AN270" s="15">
        <f t="shared" si="127"/>
        <v>991466</v>
      </c>
      <c r="AO270" s="15">
        <f t="shared" si="132"/>
        <v>1103606</v>
      </c>
      <c r="AP270" s="17">
        <f t="shared" si="128"/>
        <v>9309936</v>
      </c>
      <c r="AQ270" s="15">
        <v>8102697</v>
      </c>
      <c r="AR270" s="15">
        <v>411</v>
      </c>
      <c r="AS270" s="18">
        <f t="shared" si="133"/>
        <v>1207239</v>
      </c>
      <c r="AT270" s="19">
        <v>0</v>
      </c>
      <c r="AU270" s="8">
        <v>8800</v>
      </c>
      <c r="AV270" s="13">
        <f t="shared" si="134"/>
        <v>3277384</v>
      </c>
      <c r="AW270" s="18">
        <f t="shared" si="135"/>
        <v>8206330</v>
      </c>
      <c r="AX270" s="15">
        <f t="shared" si="129"/>
        <v>8207000</v>
      </c>
      <c r="AY270" s="20">
        <v>0.06</v>
      </c>
      <c r="AZ270" s="13">
        <f t="shared" si="130"/>
        <v>492420</v>
      </c>
      <c r="BA270" s="15">
        <f t="shared" si="131"/>
        <v>492500</v>
      </c>
      <c r="BB270" s="21">
        <f t="shared" si="136"/>
        <v>1699739</v>
      </c>
      <c r="BC270" s="10">
        <f t="shared" si="137"/>
        <v>0</v>
      </c>
      <c r="BD270" s="10">
        <f t="shared" si="138"/>
        <v>0</v>
      </c>
      <c r="BE270" s="10">
        <v>73.900000000000006</v>
      </c>
      <c r="BF270" s="10">
        <v>34.6</v>
      </c>
      <c r="BG270" s="107">
        <v>46176</v>
      </c>
      <c r="BH270" s="107">
        <f t="shared" si="113"/>
        <v>46206</v>
      </c>
      <c r="BI270" s="23">
        <v>6</v>
      </c>
      <c r="BJ270" s="6"/>
      <c r="BK270" s="6"/>
      <c r="BL270" s="24">
        <f>VLOOKUP(A270,[2]Sheet1!$D$2:$H$933,5,0)</f>
        <v>0</v>
      </c>
      <c r="BM270" s="6" t="s">
        <v>3828</v>
      </c>
      <c r="BN270" s="6" t="s">
        <v>3829</v>
      </c>
      <c r="BO270" s="6" t="s">
        <v>3820</v>
      </c>
      <c r="BP270" s="6" t="s">
        <v>3821</v>
      </c>
      <c r="BQ270" s="6" t="s">
        <v>3830</v>
      </c>
      <c r="BR270" t="s">
        <v>3823</v>
      </c>
      <c r="BS270" t="s">
        <v>3824</v>
      </c>
      <c r="BT270" t="s">
        <v>3825</v>
      </c>
      <c r="BU270" t="s">
        <v>3826</v>
      </c>
      <c r="BV270" t="s">
        <v>3827</v>
      </c>
      <c r="BW270" t="s">
        <v>3835</v>
      </c>
      <c r="BX270">
        <v>0</v>
      </c>
      <c r="BY270" t="s">
        <v>3859</v>
      </c>
      <c r="BZ270" t="s">
        <v>3860</v>
      </c>
    </row>
    <row r="271" spans="1:78" x14ac:dyDescent="0.25">
      <c r="A271" s="7" t="s">
        <v>1174</v>
      </c>
      <c r="B271" s="7" t="s">
        <v>181</v>
      </c>
      <c r="C271" s="7" t="s">
        <v>1172</v>
      </c>
      <c r="D271" s="8" t="s">
        <v>1173</v>
      </c>
      <c r="E271" s="7" t="s">
        <v>1175</v>
      </c>
      <c r="F271" s="9">
        <v>44985</v>
      </c>
      <c r="G271" s="9" t="s">
        <v>527</v>
      </c>
      <c r="H271" s="9" t="s">
        <v>92</v>
      </c>
      <c r="I271" s="8" t="s">
        <v>67</v>
      </c>
      <c r="J271" s="10">
        <v>224.85</v>
      </c>
      <c r="K271" s="10">
        <v>224.85</v>
      </c>
      <c r="L271" s="10">
        <f t="shared" si="114"/>
        <v>0</v>
      </c>
      <c r="M271" s="10">
        <v>89.34</v>
      </c>
      <c r="N271" s="10">
        <v>89.34</v>
      </c>
      <c r="O271" s="10">
        <f t="shared" si="115"/>
        <v>0</v>
      </c>
      <c r="P271" s="11">
        <v>13470.002223704692</v>
      </c>
      <c r="Q271" s="11">
        <v>33901.16409223192</v>
      </c>
      <c r="R271" s="11">
        <v>28000</v>
      </c>
      <c r="S271" s="11">
        <v>3028730</v>
      </c>
      <c r="T271" s="11">
        <v>363446</v>
      </c>
      <c r="U271" s="12">
        <f t="shared" si="116"/>
        <v>0.11999947172577285</v>
      </c>
      <c r="V271" s="13">
        <f t="shared" si="139"/>
        <v>0</v>
      </c>
      <c r="W271" s="10">
        <f t="shared" si="117"/>
        <v>0</v>
      </c>
      <c r="X271" s="10"/>
      <c r="Y271" s="10"/>
      <c r="Z271" s="11">
        <f t="shared" si="118"/>
        <v>3028730</v>
      </c>
      <c r="AA271" s="14">
        <v>1060055</v>
      </c>
      <c r="AB271" s="14">
        <v>127206</v>
      </c>
      <c r="AC271" s="11">
        <f t="shared" si="119"/>
        <v>1968675</v>
      </c>
      <c r="AD271" s="10">
        <f t="shared" si="120"/>
        <v>300</v>
      </c>
      <c r="AE271" s="15">
        <v>26802</v>
      </c>
      <c r="AF271" s="16">
        <v>4824</v>
      </c>
      <c r="AG271" s="15">
        <f t="shared" si="121"/>
        <v>0</v>
      </c>
      <c r="AH271" s="15">
        <f t="shared" si="122"/>
        <v>0</v>
      </c>
      <c r="AI271" s="15">
        <f t="shared" si="123"/>
        <v>26802</v>
      </c>
      <c r="AJ271" s="15">
        <f t="shared" si="124"/>
        <v>4825</v>
      </c>
      <c r="AK271" s="10">
        <v>26802</v>
      </c>
      <c r="AL271" s="15">
        <f t="shared" si="125"/>
        <v>26802</v>
      </c>
      <c r="AM271" s="15">
        <f t="shared" si="126"/>
        <v>1995477</v>
      </c>
      <c r="AN271" s="15">
        <f t="shared" si="127"/>
        <v>241065</v>
      </c>
      <c r="AO271" s="15">
        <f t="shared" si="132"/>
        <v>268342</v>
      </c>
      <c r="AP271" s="17">
        <f t="shared" si="128"/>
        <v>2263819</v>
      </c>
      <c r="AQ271" s="15">
        <v>1770424</v>
      </c>
      <c r="AR271" s="15">
        <v>475</v>
      </c>
      <c r="AS271" s="18">
        <f t="shared" si="133"/>
        <v>493395</v>
      </c>
      <c r="AT271" s="19">
        <v>0</v>
      </c>
      <c r="AU271" s="8">
        <v>8800</v>
      </c>
      <c r="AV271" s="13">
        <f t="shared" si="134"/>
        <v>786192</v>
      </c>
      <c r="AW271" s="18">
        <f t="shared" si="135"/>
        <v>1995477</v>
      </c>
      <c r="AX271" s="15">
        <f t="shared" si="129"/>
        <v>1996000</v>
      </c>
      <c r="AY271" s="20">
        <v>0.05</v>
      </c>
      <c r="AZ271" s="13">
        <f t="shared" si="130"/>
        <v>99800</v>
      </c>
      <c r="BA271" s="15">
        <f t="shared" si="131"/>
        <v>99800</v>
      </c>
      <c r="BB271" s="21">
        <f t="shared" si="136"/>
        <v>593195</v>
      </c>
      <c r="BC271" s="10">
        <f t="shared" si="137"/>
        <v>0</v>
      </c>
      <c r="BD271" s="10">
        <f t="shared" si="138"/>
        <v>0</v>
      </c>
      <c r="BE271" s="10">
        <v>20.89</v>
      </c>
      <c r="BF271" s="10">
        <v>8.3000000000000007</v>
      </c>
      <c r="BG271" s="107">
        <v>46176</v>
      </c>
      <c r="BH271" s="107">
        <f t="shared" si="113"/>
        <v>46206</v>
      </c>
      <c r="BI271" s="23">
        <v>5</v>
      </c>
      <c r="BJ271" s="6"/>
      <c r="BK271" s="6"/>
      <c r="BL271" s="24">
        <f>VLOOKUP(A271,[2]Sheet1!$D$2:$H$933,5,0)</f>
        <v>0</v>
      </c>
      <c r="BM271" s="6" t="s">
        <v>3828</v>
      </c>
      <c r="BN271" s="6" t="s">
        <v>3829</v>
      </c>
      <c r="BO271" s="6" t="s">
        <v>3820</v>
      </c>
      <c r="BP271" s="6" t="s">
        <v>3821</v>
      </c>
      <c r="BQ271" s="6" t="s">
        <v>3830</v>
      </c>
      <c r="BR271" t="s">
        <v>3823</v>
      </c>
      <c r="BS271" t="s">
        <v>3824</v>
      </c>
      <c r="BT271" t="s">
        <v>3825</v>
      </c>
      <c r="BU271" t="s">
        <v>3826</v>
      </c>
      <c r="BV271" t="s">
        <v>3827</v>
      </c>
      <c r="BW271" t="s">
        <v>3835</v>
      </c>
      <c r="BX271">
        <v>0</v>
      </c>
      <c r="BY271" t="s">
        <v>3867</v>
      </c>
      <c r="BZ271" t="s">
        <v>3871</v>
      </c>
    </row>
    <row r="272" spans="1:78" x14ac:dyDescent="0.25">
      <c r="A272" s="7" t="s">
        <v>1178</v>
      </c>
      <c r="B272" s="7" t="s">
        <v>181</v>
      </c>
      <c r="C272" s="7" t="s">
        <v>1176</v>
      </c>
      <c r="D272" s="8" t="s">
        <v>1177</v>
      </c>
      <c r="E272" s="7" t="s">
        <v>1179</v>
      </c>
      <c r="F272" s="9">
        <v>44896</v>
      </c>
      <c r="G272" s="9" t="s">
        <v>404</v>
      </c>
      <c r="H272" s="9" t="s">
        <v>72</v>
      </c>
      <c r="I272" s="8" t="s">
        <v>78</v>
      </c>
      <c r="J272" s="10">
        <v>652.29999999999995</v>
      </c>
      <c r="K272" s="10">
        <v>652.29999999999995</v>
      </c>
      <c r="L272" s="10">
        <f t="shared" si="114"/>
        <v>0</v>
      </c>
      <c r="M272" s="10">
        <v>293.86</v>
      </c>
      <c r="N272" s="10">
        <v>293.86</v>
      </c>
      <c r="O272" s="10">
        <f t="shared" si="115"/>
        <v>0</v>
      </c>
      <c r="P272" s="11">
        <v>10150</v>
      </c>
      <c r="Q272" s="11">
        <v>22530.609814197236</v>
      </c>
      <c r="R272" s="11">
        <v>20000</v>
      </c>
      <c r="S272" s="11">
        <v>6620845</v>
      </c>
      <c r="T272" s="11">
        <v>794502</v>
      </c>
      <c r="U272" s="12">
        <f t="shared" si="116"/>
        <v>0.12000009062287367</v>
      </c>
      <c r="V272" s="13">
        <f t="shared" si="139"/>
        <v>0</v>
      </c>
      <c r="W272" s="10">
        <f t="shared" si="117"/>
        <v>0</v>
      </c>
      <c r="X272" s="10"/>
      <c r="Y272" s="10"/>
      <c r="Z272" s="11">
        <f t="shared" si="118"/>
        <v>6620845</v>
      </c>
      <c r="AA272" s="14"/>
      <c r="AB272" s="14"/>
      <c r="AC272" s="11">
        <f t="shared" si="119"/>
        <v>6620845</v>
      </c>
      <c r="AD272" s="10">
        <f t="shared" si="120"/>
        <v>300</v>
      </c>
      <c r="AE272" s="15">
        <v>88158</v>
      </c>
      <c r="AF272" s="16">
        <v>15868</v>
      </c>
      <c r="AG272" s="15">
        <f t="shared" si="121"/>
        <v>0</v>
      </c>
      <c r="AH272" s="15">
        <f t="shared" si="122"/>
        <v>0</v>
      </c>
      <c r="AI272" s="15">
        <f t="shared" si="123"/>
        <v>88158</v>
      </c>
      <c r="AJ272" s="15">
        <f t="shared" si="124"/>
        <v>15869</v>
      </c>
      <c r="AK272" s="10">
        <v>88158</v>
      </c>
      <c r="AL272" s="15">
        <f t="shared" si="125"/>
        <v>88158</v>
      </c>
      <c r="AM272" s="15">
        <f t="shared" si="126"/>
        <v>6709003</v>
      </c>
      <c r="AN272" s="15">
        <f t="shared" si="127"/>
        <v>810371</v>
      </c>
      <c r="AO272" s="15">
        <f t="shared" si="132"/>
        <v>898726.92</v>
      </c>
      <c r="AP272" s="17">
        <f t="shared" si="128"/>
        <v>7607729.9199999999</v>
      </c>
      <c r="AQ272" s="15">
        <v>6643814.5599999996</v>
      </c>
      <c r="AR272" s="15">
        <v>197.92</v>
      </c>
      <c r="AS272" s="18">
        <f t="shared" si="133"/>
        <v>963915</v>
      </c>
      <c r="AT272" s="19">
        <v>0</v>
      </c>
      <c r="AU272" s="8">
        <v>8800</v>
      </c>
      <c r="AV272" s="13">
        <f t="shared" si="134"/>
        <v>2585968</v>
      </c>
      <c r="AW272" s="18">
        <f t="shared" si="135"/>
        <v>6709003</v>
      </c>
      <c r="AX272" s="15">
        <f t="shared" si="129"/>
        <v>6710000</v>
      </c>
      <c r="AY272" s="20">
        <v>7.0000000000000007E-2</v>
      </c>
      <c r="AZ272" s="13">
        <f t="shared" si="130"/>
        <v>469700.00000000006</v>
      </c>
      <c r="BA272" s="15">
        <f t="shared" si="131"/>
        <v>469700</v>
      </c>
      <c r="BB272" s="21">
        <f t="shared" si="136"/>
        <v>1433615</v>
      </c>
      <c r="BC272" s="10">
        <f t="shared" si="137"/>
        <v>0</v>
      </c>
      <c r="BD272" s="10">
        <f t="shared" si="138"/>
        <v>0</v>
      </c>
      <c r="BE272" s="10">
        <v>60.6</v>
      </c>
      <c r="BF272" s="10">
        <v>27.3</v>
      </c>
      <c r="BG272" s="107">
        <v>46176</v>
      </c>
      <c r="BH272" s="107">
        <f t="shared" si="113"/>
        <v>46206</v>
      </c>
      <c r="BI272" s="23">
        <v>7</v>
      </c>
      <c r="BJ272" s="6"/>
      <c r="BK272" s="6"/>
      <c r="BL272" s="24">
        <f>VLOOKUP(A272,[2]Sheet1!$D$2:$H$933,5,0)</f>
        <v>0</v>
      </c>
      <c r="BM272" s="6" t="s">
        <v>3828</v>
      </c>
      <c r="BN272" s="6" t="s">
        <v>3829</v>
      </c>
      <c r="BO272" s="6" t="s">
        <v>3820</v>
      </c>
      <c r="BP272" s="6" t="s">
        <v>3821</v>
      </c>
      <c r="BQ272" s="6" t="s">
        <v>3830</v>
      </c>
      <c r="BR272" t="s">
        <v>3823</v>
      </c>
      <c r="BS272" t="s">
        <v>3824</v>
      </c>
      <c r="BT272" t="s">
        <v>3825</v>
      </c>
      <c r="BU272" t="s">
        <v>3826</v>
      </c>
      <c r="BV272" t="s">
        <v>3827</v>
      </c>
      <c r="BW272" t="s">
        <v>3835</v>
      </c>
      <c r="BX272">
        <v>0</v>
      </c>
      <c r="BY272" t="s">
        <v>3869</v>
      </c>
      <c r="BZ272" t="s">
        <v>3863</v>
      </c>
    </row>
    <row r="273" spans="1:78" x14ac:dyDescent="0.25">
      <c r="A273" s="7" t="s">
        <v>1182</v>
      </c>
      <c r="B273" s="7" t="s">
        <v>181</v>
      </c>
      <c r="C273" s="7" t="s">
        <v>1180</v>
      </c>
      <c r="D273" s="8" t="s">
        <v>1181</v>
      </c>
      <c r="E273" s="7" t="s">
        <v>225</v>
      </c>
      <c r="F273" s="9">
        <v>45016</v>
      </c>
      <c r="G273" s="9" t="s">
        <v>404</v>
      </c>
      <c r="H273" s="9" t="s">
        <v>87</v>
      </c>
      <c r="I273" s="8" t="s">
        <v>78</v>
      </c>
      <c r="J273" s="10">
        <v>875.11</v>
      </c>
      <c r="K273" s="10">
        <v>875.11</v>
      </c>
      <c r="L273" s="10">
        <f t="shared" si="114"/>
        <v>0</v>
      </c>
      <c r="M273" s="10">
        <v>404.73</v>
      </c>
      <c r="N273" s="10">
        <v>404.73</v>
      </c>
      <c r="O273" s="10">
        <f t="shared" si="115"/>
        <v>0</v>
      </c>
      <c r="P273" s="11">
        <v>22300</v>
      </c>
      <c r="Q273" s="11">
        <v>48217.213945099196</v>
      </c>
      <c r="R273" s="11">
        <v>40000</v>
      </c>
      <c r="S273" s="11">
        <v>19514953</v>
      </c>
      <c r="T273" s="11">
        <v>2341796</v>
      </c>
      <c r="U273" s="12">
        <f t="shared" si="116"/>
        <v>0.12000008403812194</v>
      </c>
      <c r="V273" s="13">
        <f t="shared" si="139"/>
        <v>0</v>
      </c>
      <c r="W273" s="10">
        <f t="shared" si="117"/>
        <v>0</v>
      </c>
      <c r="X273" s="10"/>
      <c r="Y273" s="10"/>
      <c r="Z273" s="11">
        <f t="shared" si="118"/>
        <v>19514953</v>
      </c>
      <c r="AA273" s="14"/>
      <c r="AB273" s="14"/>
      <c r="AC273" s="11">
        <f t="shared" si="119"/>
        <v>19514953</v>
      </c>
      <c r="AD273" s="10">
        <f t="shared" si="120"/>
        <v>300</v>
      </c>
      <c r="AE273" s="15">
        <v>121419</v>
      </c>
      <c r="AF273" s="16">
        <v>21856</v>
      </c>
      <c r="AG273" s="15">
        <f t="shared" si="121"/>
        <v>0</v>
      </c>
      <c r="AH273" s="15">
        <f t="shared" si="122"/>
        <v>0</v>
      </c>
      <c r="AI273" s="15">
        <f t="shared" si="123"/>
        <v>121419</v>
      </c>
      <c r="AJ273" s="15">
        <f t="shared" si="124"/>
        <v>21856</v>
      </c>
      <c r="AK273" s="10">
        <v>121419</v>
      </c>
      <c r="AL273" s="15">
        <f t="shared" si="125"/>
        <v>121419</v>
      </c>
      <c r="AM273" s="15">
        <f t="shared" si="126"/>
        <v>19636372</v>
      </c>
      <c r="AN273" s="15">
        <f t="shared" si="127"/>
        <v>2363652</v>
      </c>
      <c r="AO273" s="15">
        <f t="shared" si="132"/>
        <v>2485556</v>
      </c>
      <c r="AP273" s="17">
        <f t="shared" si="128"/>
        <v>22121928</v>
      </c>
      <c r="AQ273" s="15">
        <v>19573571.48</v>
      </c>
      <c r="AR273" s="15">
        <v>485</v>
      </c>
      <c r="AS273" s="18">
        <f t="shared" si="133"/>
        <v>2548357</v>
      </c>
      <c r="AT273" s="19">
        <v>19636374</v>
      </c>
      <c r="AU273" s="8">
        <v>8800</v>
      </c>
      <c r="AV273" s="13">
        <f t="shared" si="134"/>
        <v>3561624</v>
      </c>
      <c r="AW273" s="18">
        <f t="shared" si="135"/>
        <v>19636374</v>
      </c>
      <c r="AX273" s="15">
        <f t="shared" si="129"/>
        <v>19637000</v>
      </c>
      <c r="AY273" s="20">
        <v>0.05</v>
      </c>
      <c r="AZ273" s="13">
        <f t="shared" si="130"/>
        <v>981850</v>
      </c>
      <c r="BA273" s="15">
        <f t="shared" si="131"/>
        <v>981900</v>
      </c>
      <c r="BB273" s="21">
        <f t="shared" si="136"/>
        <v>3530257</v>
      </c>
      <c r="BC273" s="10">
        <f t="shared" si="137"/>
        <v>0</v>
      </c>
      <c r="BD273" s="10">
        <f t="shared" si="138"/>
        <v>0</v>
      </c>
      <c r="BE273" s="10">
        <v>81.3</v>
      </c>
      <c r="BF273" s="10">
        <v>37.6</v>
      </c>
      <c r="BG273" s="107">
        <v>46176</v>
      </c>
      <c r="BH273" s="107">
        <f t="shared" si="113"/>
        <v>46206</v>
      </c>
      <c r="BI273" s="23">
        <v>5</v>
      </c>
      <c r="BJ273" s="6"/>
      <c r="BK273" s="6"/>
      <c r="BL273" s="24">
        <f>VLOOKUP(A273,[2]Sheet1!$D$2:$H$933,5,0)</f>
        <v>0</v>
      </c>
      <c r="BM273" s="6" t="s">
        <v>3828</v>
      </c>
      <c r="BN273" s="6" t="s">
        <v>3829</v>
      </c>
      <c r="BO273" s="6" t="s">
        <v>3820</v>
      </c>
      <c r="BP273" s="6" t="s">
        <v>3821</v>
      </c>
      <c r="BQ273" s="6" t="s">
        <v>3830</v>
      </c>
      <c r="BR273" t="s">
        <v>3823</v>
      </c>
      <c r="BS273" t="s">
        <v>3824</v>
      </c>
      <c r="BT273" t="s">
        <v>3825</v>
      </c>
      <c r="BU273" t="s">
        <v>3826</v>
      </c>
      <c r="BV273" t="s">
        <v>3827</v>
      </c>
      <c r="BW273" t="s">
        <v>3835</v>
      </c>
      <c r="BX273">
        <v>0</v>
      </c>
      <c r="BY273" t="s">
        <v>3865</v>
      </c>
      <c r="BZ273" t="s">
        <v>3863</v>
      </c>
    </row>
    <row r="274" spans="1:78" x14ac:dyDescent="0.25">
      <c r="A274" s="7" t="s">
        <v>1185</v>
      </c>
      <c r="B274" s="7" t="s">
        <v>181</v>
      </c>
      <c r="C274" s="7" t="s">
        <v>1183</v>
      </c>
      <c r="D274" s="8" t="s">
        <v>1184</v>
      </c>
      <c r="E274" s="7" t="s">
        <v>1186</v>
      </c>
      <c r="F274" s="9">
        <v>44896</v>
      </c>
      <c r="G274" s="9" t="s">
        <v>404</v>
      </c>
      <c r="H274" s="9" t="s">
        <v>72</v>
      </c>
      <c r="I274" s="8" t="s">
        <v>78</v>
      </c>
      <c r="J274" s="10">
        <v>652.29999999999995</v>
      </c>
      <c r="K274" s="10">
        <v>652.29999999999995</v>
      </c>
      <c r="L274" s="10">
        <f t="shared" si="114"/>
        <v>0</v>
      </c>
      <c r="M274" s="10">
        <v>293.86</v>
      </c>
      <c r="N274" s="10">
        <v>293.86</v>
      </c>
      <c r="O274" s="10">
        <f t="shared" si="115"/>
        <v>0</v>
      </c>
      <c r="P274" s="11">
        <v>11874.999233481527</v>
      </c>
      <c r="Q274" s="11">
        <v>26359.701898863404</v>
      </c>
      <c r="R274" s="11">
        <v>20000</v>
      </c>
      <c r="S274" s="11">
        <v>7746062</v>
      </c>
      <c r="T274" s="11">
        <v>929528</v>
      </c>
      <c r="U274" s="12">
        <f t="shared" si="116"/>
        <v>0.1200000722947996</v>
      </c>
      <c r="V274" s="13">
        <f t="shared" si="139"/>
        <v>0</v>
      </c>
      <c r="W274" s="10">
        <f t="shared" si="117"/>
        <v>0</v>
      </c>
      <c r="X274" s="10"/>
      <c r="Y274" s="10"/>
      <c r="Z274" s="11">
        <f t="shared" si="118"/>
        <v>7746062</v>
      </c>
      <c r="AA274" s="14"/>
      <c r="AB274" s="14"/>
      <c r="AC274" s="11">
        <f t="shared" si="119"/>
        <v>7746062</v>
      </c>
      <c r="AD274" s="10">
        <f t="shared" si="120"/>
        <v>300</v>
      </c>
      <c r="AE274" s="15">
        <v>88158</v>
      </c>
      <c r="AF274" s="16">
        <v>15868</v>
      </c>
      <c r="AG274" s="15">
        <f t="shared" si="121"/>
        <v>0</v>
      </c>
      <c r="AH274" s="15">
        <f t="shared" si="122"/>
        <v>0</v>
      </c>
      <c r="AI274" s="15">
        <f t="shared" si="123"/>
        <v>88158</v>
      </c>
      <c r="AJ274" s="15">
        <f t="shared" si="124"/>
        <v>15869</v>
      </c>
      <c r="AK274" s="10">
        <v>88158</v>
      </c>
      <c r="AL274" s="15">
        <f t="shared" si="125"/>
        <v>88158</v>
      </c>
      <c r="AM274" s="15">
        <f t="shared" si="126"/>
        <v>7834220</v>
      </c>
      <c r="AN274" s="15">
        <f t="shared" si="127"/>
        <v>945397</v>
      </c>
      <c r="AO274" s="15">
        <f t="shared" si="132"/>
        <v>1033881</v>
      </c>
      <c r="AP274" s="17">
        <f t="shared" si="128"/>
        <v>8868101</v>
      </c>
      <c r="AQ274" s="15">
        <v>7808032</v>
      </c>
      <c r="AR274" s="15">
        <v>326</v>
      </c>
      <c r="AS274" s="18">
        <f t="shared" si="133"/>
        <v>1060069</v>
      </c>
      <c r="AT274" s="19">
        <v>0</v>
      </c>
      <c r="AU274" s="8">
        <v>8800</v>
      </c>
      <c r="AV274" s="13">
        <f t="shared" si="134"/>
        <v>2585968</v>
      </c>
      <c r="AW274" s="18">
        <f t="shared" si="135"/>
        <v>7834220</v>
      </c>
      <c r="AX274" s="15">
        <f t="shared" si="129"/>
        <v>7835000</v>
      </c>
      <c r="AY274" s="20">
        <v>0.05</v>
      </c>
      <c r="AZ274" s="13">
        <f t="shared" si="130"/>
        <v>391750</v>
      </c>
      <c r="BA274" s="15">
        <f t="shared" si="131"/>
        <v>391800</v>
      </c>
      <c r="BB274" s="21">
        <f t="shared" si="136"/>
        <v>1451869</v>
      </c>
      <c r="BC274" s="10">
        <f t="shared" si="137"/>
        <v>0</v>
      </c>
      <c r="BD274" s="10">
        <f t="shared" si="138"/>
        <v>0</v>
      </c>
      <c r="BE274" s="10">
        <v>60.6</v>
      </c>
      <c r="BF274" s="10">
        <v>27.3</v>
      </c>
      <c r="BG274" s="107">
        <v>46176</v>
      </c>
      <c r="BH274" s="107">
        <f t="shared" si="113"/>
        <v>46206</v>
      </c>
      <c r="BI274" s="23">
        <v>5</v>
      </c>
      <c r="BJ274" s="6"/>
      <c r="BK274" s="6"/>
      <c r="BL274" s="24">
        <f>VLOOKUP(A274,[2]Sheet1!$D$2:$H$933,5,0)</f>
        <v>0</v>
      </c>
      <c r="BM274" s="6" t="s">
        <v>3828</v>
      </c>
      <c r="BN274" s="6" t="s">
        <v>3829</v>
      </c>
      <c r="BO274" s="6" t="s">
        <v>3820</v>
      </c>
      <c r="BP274" s="6" t="s">
        <v>3821</v>
      </c>
      <c r="BQ274" s="6" t="s">
        <v>3830</v>
      </c>
      <c r="BR274" t="s">
        <v>3823</v>
      </c>
      <c r="BS274" t="s">
        <v>3824</v>
      </c>
      <c r="BT274" t="s">
        <v>3825</v>
      </c>
      <c r="BU274" t="s">
        <v>3826</v>
      </c>
      <c r="BV274" t="s">
        <v>3827</v>
      </c>
      <c r="BW274" t="s">
        <v>3835</v>
      </c>
      <c r="BX274">
        <v>0</v>
      </c>
      <c r="BY274" t="s">
        <v>3866</v>
      </c>
      <c r="BZ274" t="s">
        <v>3863</v>
      </c>
    </row>
    <row r="275" spans="1:78" x14ac:dyDescent="0.25">
      <c r="A275" s="7" t="s">
        <v>1189</v>
      </c>
      <c r="B275" s="7" t="s">
        <v>181</v>
      </c>
      <c r="C275" s="7" t="s">
        <v>1187</v>
      </c>
      <c r="D275" s="8" t="s">
        <v>1188</v>
      </c>
      <c r="E275" s="7" t="s">
        <v>1190</v>
      </c>
      <c r="F275" s="9">
        <v>45061</v>
      </c>
      <c r="G275" s="9" t="s">
        <v>363</v>
      </c>
      <c r="H275" s="9" t="s">
        <v>92</v>
      </c>
      <c r="I275" s="8" t="s">
        <v>78</v>
      </c>
      <c r="J275" s="10">
        <v>697.51</v>
      </c>
      <c r="K275" s="10">
        <v>697.51</v>
      </c>
      <c r="L275" s="10">
        <f t="shared" si="114"/>
        <v>0</v>
      </c>
      <c r="M275" s="10">
        <v>317.54000000000002</v>
      </c>
      <c r="N275" s="10">
        <v>317.54000000000002</v>
      </c>
      <c r="O275" s="10">
        <f t="shared" si="115"/>
        <v>0</v>
      </c>
      <c r="P275" s="11">
        <v>15642.671789651762</v>
      </c>
      <c r="Q275" s="11">
        <v>34360.773445865088</v>
      </c>
      <c r="R275" s="11">
        <v>28000</v>
      </c>
      <c r="S275" s="11">
        <v>10910920</v>
      </c>
      <c r="T275" s="11">
        <v>1309310</v>
      </c>
      <c r="U275" s="12">
        <f t="shared" si="116"/>
        <v>0.11999996333948008</v>
      </c>
      <c r="V275" s="13">
        <f t="shared" si="139"/>
        <v>0</v>
      </c>
      <c r="W275" s="10">
        <f t="shared" si="117"/>
        <v>0</v>
      </c>
      <c r="X275" s="10"/>
      <c r="Y275" s="10"/>
      <c r="Z275" s="11">
        <f t="shared" si="118"/>
        <v>10910920</v>
      </c>
      <c r="AA275" s="14"/>
      <c r="AB275" s="14"/>
      <c r="AC275" s="11">
        <f t="shared" si="119"/>
        <v>10910920</v>
      </c>
      <c r="AD275" s="10">
        <f t="shared" si="120"/>
        <v>300</v>
      </c>
      <c r="AE275" s="15">
        <v>95262</v>
      </c>
      <c r="AF275" s="16">
        <v>17148</v>
      </c>
      <c r="AG275" s="15">
        <f t="shared" si="121"/>
        <v>0</v>
      </c>
      <c r="AH275" s="15">
        <f t="shared" si="122"/>
        <v>0</v>
      </c>
      <c r="AI275" s="15">
        <f t="shared" si="123"/>
        <v>95262</v>
      </c>
      <c r="AJ275" s="15">
        <f t="shared" si="124"/>
        <v>17148</v>
      </c>
      <c r="AK275" s="10">
        <v>95262</v>
      </c>
      <c r="AL275" s="15">
        <f t="shared" si="125"/>
        <v>95262</v>
      </c>
      <c r="AM275" s="15">
        <f t="shared" si="126"/>
        <v>11006182</v>
      </c>
      <c r="AN275" s="15">
        <f t="shared" si="127"/>
        <v>1326458</v>
      </c>
      <c r="AO275" s="15">
        <f t="shared" si="132"/>
        <v>1422213</v>
      </c>
      <c r="AP275" s="17">
        <f t="shared" si="128"/>
        <v>12428395</v>
      </c>
      <c r="AQ275" s="15">
        <v>10970016</v>
      </c>
      <c r="AR275" s="15">
        <v>493</v>
      </c>
      <c r="AS275" s="18">
        <f t="shared" si="133"/>
        <v>1458379</v>
      </c>
      <c r="AT275" s="19">
        <v>0</v>
      </c>
      <c r="AU275" s="8">
        <v>8800</v>
      </c>
      <c r="AV275" s="13">
        <f t="shared" si="134"/>
        <v>2794352</v>
      </c>
      <c r="AW275" s="18">
        <f t="shared" si="135"/>
        <v>11006182</v>
      </c>
      <c r="AX275" s="15">
        <f t="shared" si="129"/>
        <v>11007000</v>
      </c>
      <c r="AY275" s="20">
        <v>0.05</v>
      </c>
      <c r="AZ275" s="13">
        <f t="shared" si="130"/>
        <v>550350</v>
      </c>
      <c r="BA275" s="15">
        <f t="shared" si="131"/>
        <v>550400</v>
      </c>
      <c r="BB275" s="21">
        <f t="shared" si="136"/>
        <v>2008779</v>
      </c>
      <c r="BC275" s="10">
        <f t="shared" si="137"/>
        <v>0</v>
      </c>
      <c r="BD275" s="10">
        <f t="shared" si="138"/>
        <v>0</v>
      </c>
      <c r="BE275" s="10">
        <v>64.8</v>
      </c>
      <c r="BF275" s="10">
        <v>29.5</v>
      </c>
      <c r="BG275" s="107">
        <v>46176</v>
      </c>
      <c r="BH275" s="107">
        <f t="shared" si="113"/>
        <v>46206</v>
      </c>
      <c r="BI275" s="23">
        <v>5</v>
      </c>
      <c r="BJ275" s="6"/>
      <c r="BK275" s="6"/>
      <c r="BL275" s="24">
        <f>VLOOKUP(A275,[2]Sheet1!$D$2:$H$933,5,0)</f>
        <v>0</v>
      </c>
      <c r="BM275" s="6" t="s">
        <v>3828</v>
      </c>
      <c r="BN275" s="6" t="s">
        <v>3829</v>
      </c>
      <c r="BO275" s="6" t="s">
        <v>3820</v>
      </c>
      <c r="BP275" s="6" t="s">
        <v>3821</v>
      </c>
      <c r="BQ275" s="6" t="s">
        <v>3830</v>
      </c>
      <c r="BR275" t="s">
        <v>3823</v>
      </c>
      <c r="BS275" t="s">
        <v>3824</v>
      </c>
      <c r="BT275" t="s">
        <v>3825</v>
      </c>
      <c r="BU275" t="s">
        <v>3826</v>
      </c>
      <c r="BV275" t="s">
        <v>3827</v>
      </c>
      <c r="BW275" t="s">
        <v>3835</v>
      </c>
      <c r="BX275">
        <v>0</v>
      </c>
      <c r="BY275" t="s">
        <v>3859</v>
      </c>
      <c r="BZ275" t="s">
        <v>3860</v>
      </c>
    </row>
    <row r="276" spans="1:78" x14ac:dyDescent="0.25">
      <c r="A276" s="7" t="s">
        <v>1193</v>
      </c>
      <c r="B276" s="7" t="s">
        <v>181</v>
      </c>
      <c r="C276" s="7" t="s">
        <v>1191</v>
      </c>
      <c r="D276" s="8" t="s">
        <v>1192</v>
      </c>
      <c r="E276" s="7" t="s">
        <v>1194</v>
      </c>
      <c r="F276" s="9">
        <v>44987</v>
      </c>
      <c r="G276" s="9" t="s">
        <v>363</v>
      </c>
      <c r="H276" s="9" t="s">
        <v>87</v>
      </c>
      <c r="I276" s="8" t="s">
        <v>67</v>
      </c>
      <c r="J276" s="10">
        <v>220.06</v>
      </c>
      <c r="K276" s="10">
        <v>220.06</v>
      </c>
      <c r="L276" s="10">
        <f t="shared" si="114"/>
        <v>0</v>
      </c>
      <c r="M276" s="10">
        <v>88.26</v>
      </c>
      <c r="N276" s="10">
        <v>88.26</v>
      </c>
      <c r="O276" s="10">
        <f t="shared" si="115"/>
        <v>0</v>
      </c>
      <c r="P276" s="11">
        <v>23967.999636462784</v>
      </c>
      <c r="Q276" s="11">
        <v>59759.777928846583</v>
      </c>
      <c r="R276" s="11">
        <v>40000</v>
      </c>
      <c r="S276" s="11">
        <v>5274398</v>
      </c>
      <c r="T276" s="11">
        <v>632928</v>
      </c>
      <c r="U276" s="12">
        <f t="shared" si="116"/>
        <v>0.12000004550282325</v>
      </c>
      <c r="V276" s="13">
        <f t="shared" si="139"/>
        <v>0</v>
      </c>
      <c r="W276" s="10">
        <f t="shared" si="117"/>
        <v>0</v>
      </c>
      <c r="X276" s="10"/>
      <c r="Y276" s="10"/>
      <c r="Z276" s="11">
        <f t="shared" si="118"/>
        <v>5274398</v>
      </c>
      <c r="AA276" s="14"/>
      <c r="AB276" s="14"/>
      <c r="AC276" s="11">
        <f t="shared" si="119"/>
        <v>5274398</v>
      </c>
      <c r="AD276" s="10">
        <f t="shared" si="120"/>
        <v>300</v>
      </c>
      <c r="AE276" s="15">
        <v>26478</v>
      </c>
      <c r="AF276" s="16">
        <v>4766</v>
      </c>
      <c r="AG276" s="15">
        <f t="shared" si="121"/>
        <v>0</v>
      </c>
      <c r="AH276" s="15">
        <f t="shared" si="122"/>
        <v>0</v>
      </c>
      <c r="AI276" s="15">
        <f t="shared" si="123"/>
        <v>26478</v>
      </c>
      <c r="AJ276" s="15">
        <f t="shared" si="124"/>
        <v>4767</v>
      </c>
      <c r="AK276" s="10">
        <v>26478</v>
      </c>
      <c r="AL276" s="15">
        <f t="shared" si="125"/>
        <v>26478</v>
      </c>
      <c r="AM276" s="15">
        <f t="shared" si="126"/>
        <v>5300876</v>
      </c>
      <c r="AN276" s="15">
        <f t="shared" si="127"/>
        <v>637695</v>
      </c>
      <c r="AO276" s="15">
        <f t="shared" si="132"/>
        <v>664543</v>
      </c>
      <c r="AP276" s="17">
        <f t="shared" si="128"/>
        <v>5965419</v>
      </c>
      <c r="AQ276" s="15">
        <v>5203957.5199999996</v>
      </c>
      <c r="AR276" s="15">
        <v>370</v>
      </c>
      <c r="AS276" s="18">
        <f t="shared" si="133"/>
        <v>761461</v>
      </c>
      <c r="AT276" s="19">
        <v>0</v>
      </c>
      <c r="AU276" s="8">
        <v>8800</v>
      </c>
      <c r="AV276" s="13">
        <f t="shared" si="134"/>
        <v>776688</v>
      </c>
      <c r="AW276" s="18">
        <f t="shared" si="135"/>
        <v>5300876</v>
      </c>
      <c r="AX276" s="15">
        <f t="shared" si="129"/>
        <v>5301000</v>
      </c>
      <c r="AY276" s="20">
        <v>0.05</v>
      </c>
      <c r="AZ276" s="13">
        <f t="shared" si="130"/>
        <v>265050</v>
      </c>
      <c r="BA276" s="15">
        <f t="shared" si="131"/>
        <v>265100</v>
      </c>
      <c r="BB276" s="21">
        <f t="shared" si="136"/>
        <v>1026561</v>
      </c>
      <c r="BC276" s="10">
        <f t="shared" si="137"/>
        <v>0</v>
      </c>
      <c r="BD276" s="10">
        <f t="shared" si="138"/>
        <v>0</v>
      </c>
      <c r="BE276" s="10">
        <v>20.440000000000001</v>
      </c>
      <c r="BF276" s="10">
        <v>8.1999999999999993</v>
      </c>
      <c r="BG276" s="107">
        <v>46176</v>
      </c>
      <c r="BH276" s="107">
        <f t="shared" si="113"/>
        <v>46206</v>
      </c>
      <c r="BI276" s="23">
        <v>5</v>
      </c>
      <c r="BJ276" s="6"/>
      <c r="BK276" s="6"/>
      <c r="BL276" s="24">
        <f>VLOOKUP(A276,[2]Sheet1!$D$2:$H$933,5,0)</f>
        <v>0</v>
      </c>
      <c r="BM276" s="6" t="s">
        <v>3828</v>
      </c>
      <c r="BN276" s="6" t="s">
        <v>3829</v>
      </c>
      <c r="BO276" s="6" t="s">
        <v>3820</v>
      </c>
      <c r="BP276" s="6" t="s">
        <v>3821</v>
      </c>
      <c r="BQ276" s="6" t="s">
        <v>3830</v>
      </c>
      <c r="BR276" t="s">
        <v>3823</v>
      </c>
      <c r="BS276" t="s">
        <v>3824</v>
      </c>
      <c r="BT276" t="s">
        <v>3825</v>
      </c>
      <c r="BU276" t="s">
        <v>3826</v>
      </c>
      <c r="BV276" t="s">
        <v>3827</v>
      </c>
      <c r="BW276" t="s">
        <v>3835</v>
      </c>
      <c r="BX276">
        <v>0</v>
      </c>
      <c r="BY276" t="s">
        <v>3859</v>
      </c>
      <c r="BZ276" t="s">
        <v>3860</v>
      </c>
    </row>
    <row r="277" spans="1:78" x14ac:dyDescent="0.25">
      <c r="A277" s="7" t="s">
        <v>1197</v>
      </c>
      <c r="B277" s="7" t="s">
        <v>181</v>
      </c>
      <c r="C277" s="7" t="s">
        <v>1195</v>
      </c>
      <c r="D277" s="8" t="s">
        <v>1196</v>
      </c>
      <c r="E277" s="7" t="s">
        <v>1198</v>
      </c>
      <c r="F277" s="9">
        <v>44995</v>
      </c>
      <c r="G277" s="9" t="s">
        <v>717</v>
      </c>
      <c r="H277" s="9" t="s">
        <v>87</v>
      </c>
      <c r="I277" s="8" t="s">
        <v>78</v>
      </c>
      <c r="J277" s="10">
        <v>663.06</v>
      </c>
      <c r="K277" s="10">
        <v>688</v>
      </c>
      <c r="L277" s="10">
        <f t="shared" si="114"/>
        <v>24.940000000000055</v>
      </c>
      <c r="M277" s="10">
        <v>298.16000000000003</v>
      </c>
      <c r="N277" s="10">
        <v>310</v>
      </c>
      <c r="O277" s="10">
        <f t="shared" si="115"/>
        <v>11.839999999999975</v>
      </c>
      <c r="P277" s="11">
        <v>18700</v>
      </c>
      <c r="Q277" s="11">
        <v>41585.799570700292</v>
      </c>
      <c r="R277" s="11">
        <v>40000</v>
      </c>
      <c r="S277" s="11">
        <v>12399222</v>
      </c>
      <c r="T277" s="11">
        <v>1487906</v>
      </c>
      <c r="U277" s="12">
        <f t="shared" si="116"/>
        <v>0.11999994838385827</v>
      </c>
      <c r="V277" s="13">
        <f>L277*R277</f>
        <v>997600.00000000221</v>
      </c>
      <c r="W277" s="10">
        <f t="shared" si="117"/>
        <v>119711.94850773728</v>
      </c>
      <c r="X277" s="15"/>
      <c r="Y277" s="15"/>
      <c r="Z277" s="11">
        <f t="shared" si="118"/>
        <v>13396822.000000002</v>
      </c>
      <c r="AA277" s="14"/>
      <c r="AB277" s="14"/>
      <c r="AC277" s="11">
        <f t="shared" si="119"/>
        <v>13396822.000000002</v>
      </c>
      <c r="AD277" s="10">
        <f t="shared" si="120"/>
        <v>300</v>
      </c>
      <c r="AE277" s="15">
        <v>89448</v>
      </c>
      <c r="AF277" s="16">
        <v>16100</v>
      </c>
      <c r="AG277" s="15">
        <f t="shared" si="121"/>
        <v>3551.9999999999927</v>
      </c>
      <c r="AH277" s="15">
        <f t="shared" si="122"/>
        <v>639.35999999999865</v>
      </c>
      <c r="AI277" s="15">
        <f t="shared" si="123"/>
        <v>93000</v>
      </c>
      <c r="AJ277" s="15">
        <f t="shared" si="124"/>
        <v>16740</v>
      </c>
      <c r="AK277" s="10">
        <v>89448</v>
      </c>
      <c r="AL277" s="15">
        <f t="shared" si="125"/>
        <v>93000</v>
      </c>
      <c r="AM277" s="15">
        <f t="shared" si="126"/>
        <v>13489822</v>
      </c>
      <c r="AN277" s="15">
        <f t="shared" si="127"/>
        <v>1624358</v>
      </c>
      <c r="AO277" s="15">
        <f t="shared" si="132"/>
        <v>1717852</v>
      </c>
      <c r="AP277" s="17">
        <f t="shared" si="128"/>
        <v>15207674</v>
      </c>
      <c r="AQ277" s="15">
        <v>12399268</v>
      </c>
      <c r="AR277" s="15">
        <v>494</v>
      </c>
      <c r="AS277" s="18">
        <f t="shared" si="133"/>
        <v>2808406</v>
      </c>
      <c r="AT277" s="19">
        <v>0</v>
      </c>
      <c r="AU277" s="8">
        <v>8800</v>
      </c>
      <c r="AV277" s="13">
        <f t="shared" si="134"/>
        <v>2728000</v>
      </c>
      <c r="AW277" s="18">
        <f t="shared" si="135"/>
        <v>13489822</v>
      </c>
      <c r="AX277" s="15">
        <f t="shared" si="129"/>
        <v>13490000</v>
      </c>
      <c r="AY277" s="20">
        <v>0.06</v>
      </c>
      <c r="AZ277" s="13">
        <f t="shared" si="130"/>
        <v>809400</v>
      </c>
      <c r="BA277" s="15">
        <f t="shared" si="131"/>
        <v>809400</v>
      </c>
      <c r="BB277" s="21">
        <f t="shared" si="136"/>
        <v>3617806</v>
      </c>
      <c r="BC277" s="10">
        <f t="shared" si="137"/>
        <v>3.7613488975356764</v>
      </c>
      <c r="BD277" s="10">
        <f t="shared" si="138"/>
        <v>3.9710222699221807</v>
      </c>
      <c r="BE277" s="10">
        <v>63.92</v>
      </c>
      <c r="BF277" s="10">
        <v>28.8</v>
      </c>
      <c r="BG277" s="107">
        <v>46176</v>
      </c>
      <c r="BH277" s="107">
        <f t="shared" si="113"/>
        <v>46206</v>
      </c>
      <c r="BI277" s="23">
        <v>6</v>
      </c>
      <c r="BJ277" s="6"/>
      <c r="BK277" s="6"/>
      <c r="BL277" s="24">
        <f>VLOOKUP(A277,[2]Sheet1!$D$2:$H$933,5,0)</f>
        <v>0</v>
      </c>
      <c r="BM277" s="6" t="s">
        <v>3828</v>
      </c>
      <c r="BN277" s="6" t="s">
        <v>3829</v>
      </c>
      <c r="BO277" s="6" t="s">
        <v>3820</v>
      </c>
      <c r="BP277" s="6" t="s">
        <v>3821</v>
      </c>
      <c r="BQ277" s="6" t="s">
        <v>3830</v>
      </c>
      <c r="BR277" t="s">
        <v>3823</v>
      </c>
      <c r="BS277" t="s">
        <v>3824</v>
      </c>
      <c r="BT277" t="s">
        <v>3825</v>
      </c>
      <c r="BU277" t="s">
        <v>3826</v>
      </c>
      <c r="BV277" t="s">
        <v>3827</v>
      </c>
      <c r="BW277" t="s">
        <v>3835</v>
      </c>
      <c r="BX277">
        <v>0</v>
      </c>
      <c r="BY277" t="s">
        <v>3866</v>
      </c>
      <c r="BZ277" t="s">
        <v>3872</v>
      </c>
    </row>
    <row r="278" spans="1:78" x14ac:dyDescent="0.25">
      <c r="A278" s="7" t="s">
        <v>1201</v>
      </c>
      <c r="B278" s="7" t="s">
        <v>181</v>
      </c>
      <c r="C278" s="7" t="s">
        <v>1199</v>
      </c>
      <c r="D278" s="8" t="s">
        <v>1200</v>
      </c>
      <c r="E278" s="7" t="s">
        <v>1202</v>
      </c>
      <c r="F278" s="9">
        <v>45021</v>
      </c>
      <c r="G278" s="9" t="s">
        <v>65</v>
      </c>
      <c r="H278" s="9" t="s">
        <v>66</v>
      </c>
      <c r="I278" s="8" t="s">
        <v>78</v>
      </c>
      <c r="J278" s="10">
        <v>635.08000000000004</v>
      </c>
      <c r="K278" s="10">
        <v>635.08000000000004</v>
      </c>
      <c r="L278" s="10">
        <f t="shared" si="114"/>
        <v>0</v>
      </c>
      <c r="M278" s="10">
        <v>296.01</v>
      </c>
      <c r="N278" s="10">
        <v>296.01</v>
      </c>
      <c r="O278" s="10">
        <f t="shared" si="115"/>
        <v>0</v>
      </c>
      <c r="P278" s="11">
        <v>12037.000062984191</v>
      </c>
      <c r="Q278" s="11">
        <v>25824.999155433939</v>
      </c>
      <c r="R278" s="11">
        <v>22000</v>
      </c>
      <c r="S278" s="11">
        <v>7644458</v>
      </c>
      <c r="T278" s="11">
        <v>917336</v>
      </c>
      <c r="U278" s="12">
        <f t="shared" si="116"/>
        <v>0.12000013604627038</v>
      </c>
      <c r="V278" s="13">
        <f t="shared" ref="V278:V288" si="140">L278*P278</f>
        <v>0</v>
      </c>
      <c r="W278" s="10">
        <f t="shared" si="117"/>
        <v>0</v>
      </c>
      <c r="X278" s="10"/>
      <c r="Y278" s="10"/>
      <c r="Z278" s="11">
        <f t="shared" si="118"/>
        <v>7644458</v>
      </c>
      <c r="AA278" s="14"/>
      <c r="AB278" s="14"/>
      <c r="AC278" s="11">
        <f t="shared" si="119"/>
        <v>7644458</v>
      </c>
      <c r="AD278" s="10">
        <f t="shared" si="120"/>
        <v>300</v>
      </c>
      <c r="AE278" s="15">
        <v>88803</v>
      </c>
      <c r="AF278" s="16">
        <v>15984</v>
      </c>
      <c r="AG278" s="15">
        <f t="shared" si="121"/>
        <v>0</v>
      </c>
      <c r="AH278" s="15">
        <f t="shared" si="122"/>
        <v>0</v>
      </c>
      <c r="AI278" s="15">
        <f t="shared" si="123"/>
        <v>88803</v>
      </c>
      <c r="AJ278" s="15">
        <f t="shared" si="124"/>
        <v>15985</v>
      </c>
      <c r="AK278" s="10">
        <v>88803</v>
      </c>
      <c r="AL278" s="15">
        <f t="shared" si="125"/>
        <v>88803</v>
      </c>
      <c r="AM278" s="15">
        <f t="shared" si="126"/>
        <v>7733261</v>
      </c>
      <c r="AN278" s="15">
        <f t="shared" si="127"/>
        <v>933321</v>
      </c>
      <c r="AO278" s="15">
        <f t="shared" si="132"/>
        <v>1022459</v>
      </c>
      <c r="AP278" s="17">
        <f t="shared" si="128"/>
        <v>8755720</v>
      </c>
      <c r="AQ278" s="15">
        <v>7713958</v>
      </c>
      <c r="AR278" s="15">
        <v>335</v>
      </c>
      <c r="AS278" s="18">
        <f t="shared" si="133"/>
        <v>1041762</v>
      </c>
      <c r="AT278" s="19">
        <v>0</v>
      </c>
      <c r="AU278" s="8">
        <v>8800</v>
      </c>
      <c r="AV278" s="13">
        <f t="shared" si="134"/>
        <v>2604888</v>
      </c>
      <c r="AW278" s="18">
        <f t="shared" si="135"/>
        <v>7733261</v>
      </c>
      <c r="AX278" s="15">
        <f t="shared" si="129"/>
        <v>7734000</v>
      </c>
      <c r="AY278" s="20">
        <v>7.0000000000000007E-2</v>
      </c>
      <c r="AZ278" s="13">
        <f t="shared" si="130"/>
        <v>541380</v>
      </c>
      <c r="BA278" s="15">
        <f t="shared" si="131"/>
        <v>541400</v>
      </c>
      <c r="BB278" s="21">
        <f t="shared" si="136"/>
        <v>1583162</v>
      </c>
      <c r="BC278" s="10">
        <f t="shared" si="137"/>
        <v>0</v>
      </c>
      <c r="BD278" s="10">
        <f t="shared" si="138"/>
        <v>0</v>
      </c>
      <c r="BE278" s="10">
        <v>59</v>
      </c>
      <c r="BF278" s="10">
        <v>27.5</v>
      </c>
      <c r="BG278" s="107">
        <v>46176</v>
      </c>
      <c r="BH278" s="107">
        <f t="shared" si="113"/>
        <v>46206</v>
      </c>
      <c r="BI278" s="23">
        <v>7</v>
      </c>
      <c r="BJ278" s="6"/>
      <c r="BK278" s="6"/>
      <c r="BL278" s="24">
        <f>VLOOKUP(A278,[2]Sheet1!$D$2:$H$933,5,0)</f>
        <v>0</v>
      </c>
      <c r="BM278" s="6" t="s">
        <v>3828</v>
      </c>
      <c r="BN278" s="6" t="s">
        <v>3829</v>
      </c>
      <c r="BO278" s="6" t="s">
        <v>3820</v>
      </c>
      <c r="BP278" s="6" t="s">
        <v>3821</v>
      </c>
      <c r="BQ278" s="6" t="s">
        <v>3830</v>
      </c>
      <c r="BR278" t="s">
        <v>3823</v>
      </c>
      <c r="BS278" t="s">
        <v>3824</v>
      </c>
      <c r="BT278" t="s">
        <v>3825</v>
      </c>
      <c r="BU278" t="s">
        <v>3826</v>
      </c>
      <c r="BV278" t="s">
        <v>3827</v>
      </c>
      <c r="BW278" t="s">
        <v>3835</v>
      </c>
      <c r="BX278">
        <v>0</v>
      </c>
      <c r="BY278" t="s">
        <v>3867</v>
      </c>
      <c r="BZ278" t="s">
        <v>3860</v>
      </c>
    </row>
    <row r="279" spans="1:78" x14ac:dyDescent="0.25">
      <c r="A279" s="7" t="s">
        <v>1205</v>
      </c>
      <c r="B279" s="7" t="s">
        <v>181</v>
      </c>
      <c r="C279" s="7" t="s">
        <v>1203</v>
      </c>
      <c r="D279" s="8" t="s">
        <v>1204</v>
      </c>
      <c r="E279" s="7" t="s">
        <v>1206</v>
      </c>
      <c r="F279" s="9">
        <v>45016</v>
      </c>
      <c r="G279" s="9" t="s">
        <v>363</v>
      </c>
      <c r="H279" s="9" t="s">
        <v>87</v>
      </c>
      <c r="I279" s="8" t="s">
        <v>67</v>
      </c>
      <c r="J279" s="10">
        <v>201.17</v>
      </c>
      <c r="K279" s="10">
        <v>201.17</v>
      </c>
      <c r="L279" s="10">
        <f t="shared" si="114"/>
        <v>0</v>
      </c>
      <c r="M279" s="10">
        <v>73.73</v>
      </c>
      <c r="N279" s="10">
        <v>73.73</v>
      </c>
      <c r="O279" s="10">
        <f t="shared" si="115"/>
        <v>0</v>
      </c>
      <c r="P279" s="11">
        <v>19039.001839240445</v>
      </c>
      <c r="Q279" s="11">
        <v>51947.321307473212</v>
      </c>
      <c r="R279" s="11">
        <v>40000</v>
      </c>
      <c r="S279" s="11">
        <v>3830076</v>
      </c>
      <c r="T279" s="11">
        <v>459608</v>
      </c>
      <c r="U279" s="12">
        <f t="shared" si="116"/>
        <v>0.1199997075776042</v>
      </c>
      <c r="V279" s="13">
        <f t="shared" si="140"/>
        <v>0</v>
      </c>
      <c r="W279" s="10">
        <f t="shared" si="117"/>
        <v>0</v>
      </c>
      <c r="X279" s="10"/>
      <c r="Y279" s="10"/>
      <c r="Z279" s="11">
        <f t="shared" si="118"/>
        <v>3830076</v>
      </c>
      <c r="AA279" s="14"/>
      <c r="AB279" s="14"/>
      <c r="AC279" s="11">
        <f t="shared" si="119"/>
        <v>3830076</v>
      </c>
      <c r="AD279" s="10">
        <f t="shared" si="120"/>
        <v>300</v>
      </c>
      <c r="AE279" s="15">
        <v>22119</v>
      </c>
      <c r="AF279" s="16">
        <v>3982</v>
      </c>
      <c r="AG279" s="15">
        <f t="shared" si="121"/>
        <v>0</v>
      </c>
      <c r="AH279" s="15">
        <f t="shared" si="122"/>
        <v>0</v>
      </c>
      <c r="AI279" s="15">
        <f t="shared" si="123"/>
        <v>22119</v>
      </c>
      <c r="AJ279" s="15">
        <f t="shared" si="124"/>
        <v>3982</v>
      </c>
      <c r="AK279" s="10">
        <v>22119</v>
      </c>
      <c r="AL279" s="15">
        <f t="shared" si="125"/>
        <v>22119</v>
      </c>
      <c r="AM279" s="15">
        <f t="shared" si="126"/>
        <v>3852195</v>
      </c>
      <c r="AN279" s="15">
        <f t="shared" si="127"/>
        <v>463590</v>
      </c>
      <c r="AO279" s="15">
        <f t="shared" si="132"/>
        <v>486044</v>
      </c>
      <c r="AP279" s="17">
        <f t="shared" si="128"/>
        <v>4338239</v>
      </c>
      <c r="AQ279" s="15">
        <v>3692533</v>
      </c>
      <c r="AR279" s="15">
        <v>335</v>
      </c>
      <c r="AS279" s="18">
        <f t="shared" si="133"/>
        <v>645706</v>
      </c>
      <c r="AT279" s="19">
        <v>0</v>
      </c>
      <c r="AU279" s="8">
        <v>8800</v>
      </c>
      <c r="AV279" s="13">
        <f t="shared" si="134"/>
        <v>648824</v>
      </c>
      <c r="AW279" s="18">
        <f t="shared" si="135"/>
        <v>3852195</v>
      </c>
      <c r="AX279" s="15">
        <f t="shared" si="129"/>
        <v>3853000</v>
      </c>
      <c r="AY279" s="20">
        <v>0.05</v>
      </c>
      <c r="AZ279" s="13">
        <f t="shared" si="130"/>
        <v>192650</v>
      </c>
      <c r="BA279" s="15">
        <f t="shared" si="131"/>
        <v>192700</v>
      </c>
      <c r="BB279" s="21">
        <f t="shared" si="136"/>
        <v>838406</v>
      </c>
      <c r="BC279" s="10">
        <f t="shared" si="137"/>
        <v>0</v>
      </c>
      <c r="BD279" s="10">
        <f t="shared" si="138"/>
        <v>0</v>
      </c>
      <c r="BE279" s="10">
        <v>18.690000000000001</v>
      </c>
      <c r="BF279" s="10">
        <v>6.85</v>
      </c>
      <c r="BG279" s="107">
        <v>46176</v>
      </c>
      <c r="BH279" s="107">
        <f t="shared" si="113"/>
        <v>46206</v>
      </c>
      <c r="BI279" s="23">
        <v>5</v>
      </c>
      <c r="BJ279" s="6"/>
      <c r="BK279" s="6"/>
      <c r="BL279" s="24">
        <f>VLOOKUP(A279,[2]Sheet1!$D$2:$H$933,5,0)</f>
        <v>0</v>
      </c>
      <c r="BM279" s="6" t="s">
        <v>3828</v>
      </c>
      <c r="BN279" s="6" t="s">
        <v>3829</v>
      </c>
      <c r="BO279" s="6" t="s">
        <v>3820</v>
      </c>
      <c r="BP279" s="6" t="s">
        <v>3821</v>
      </c>
      <c r="BQ279" s="6" t="s">
        <v>3830</v>
      </c>
      <c r="BR279" t="s">
        <v>3823</v>
      </c>
      <c r="BS279" t="s">
        <v>3824</v>
      </c>
      <c r="BT279" t="s">
        <v>3825</v>
      </c>
      <c r="BU279" t="s">
        <v>3826</v>
      </c>
      <c r="BV279" t="s">
        <v>3827</v>
      </c>
      <c r="BW279" t="s">
        <v>3835</v>
      </c>
      <c r="BX279">
        <v>0</v>
      </c>
      <c r="BY279" t="s">
        <v>3870</v>
      </c>
      <c r="BZ279" t="s">
        <v>3860</v>
      </c>
    </row>
    <row r="280" spans="1:78" x14ac:dyDescent="0.25">
      <c r="A280" s="7" t="s">
        <v>1209</v>
      </c>
      <c r="B280" s="7" t="s">
        <v>181</v>
      </c>
      <c r="C280" s="7" t="s">
        <v>1207</v>
      </c>
      <c r="D280" s="8" t="s">
        <v>1208</v>
      </c>
      <c r="E280" s="7" t="s">
        <v>1210</v>
      </c>
      <c r="F280" s="9">
        <v>44995</v>
      </c>
      <c r="G280" s="9" t="s">
        <v>527</v>
      </c>
      <c r="H280" s="9" t="s">
        <v>87</v>
      </c>
      <c r="I280" s="8" t="s">
        <v>78</v>
      </c>
      <c r="J280" s="10">
        <v>876.19</v>
      </c>
      <c r="K280" s="10">
        <v>876.19</v>
      </c>
      <c r="L280" s="10">
        <f t="shared" si="114"/>
        <v>0</v>
      </c>
      <c r="M280" s="10">
        <v>404.19</v>
      </c>
      <c r="N280" s="10">
        <v>404.19</v>
      </c>
      <c r="O280" s="10">
        <f t="shared" si="115"/>
        <v>0</v>
      </c>
      <c r="P280" s="11">
        <v>12869.999657608509</v>
      </c>
      <c r="Q280" s="11">
        <v>27899.168707785942</v>
      </c>
      <c r="R280" s="11">
        <v>40000</v>
      </c>
      <c r="S280" s="11">
        <v>11276565</v>
      </c>
      <c r="T280" s="11">
        <v>1353188</v>
      </c>
      <c r="U280" s="12">
        <f t="shared" si="116"/>
        <v>0.12000001773589741</v>
      </c>
      <c r="V280" s="13">
        <f t="shared" si="140"/>
        <v>0</v>
      </c>
      <c r="W280" s="10">
        <f t="shared" si="117"/>
        <v>0</v>
      </c>
      <c r="X280" s="10"/>
      <c r="Y280" s="10"/>
      <c r="Z280" s="11">
        <f t="shared" si="118"/>
        <v>11276565</v>
      </c>
      <c r="AA280" s="14"/>
      <c r="AB280" s="14"/>
      <c r="AC280" s="11">
        <f t="shared" si="119"/>
        <v>11276565</v>
      </c>
      <c r="AD280" s="10">
        <f t="shared" si="120"/>
        <v>300</v>
      </c>
      <c r="AE280" s="15">
        <v>121257</v>
      </c>
      <c r="AF280" s="16">
        <v>21826</v>
      </c>
      <c r="AG280" s="15">
        <f t="shared" si="121"/>
        <v>0</v>
      </c>
      <c r="AH280" s="15">
        <f t="shared" si="122"/>
        <v>0</v>
      </c>
      <c r="AI280" s="15">
        <f t="shared" si="123"/>
        <v>121257</v>
      </c>
      <c r="AJ280" s="15">
        <f t="shared" si="124"/>
        <v>21827</v>
      </c>
      <c r="AK280" s="10">
        <v>121257</v>
      </c>
      <c r="AL280" s="15">
        <f t="shared" si="125"/>
        <v>121257</v>
      </c>
      <c r="AM280" s="15">
        <f t="shared" si="126"/>
        <v>11397822</v>
      </c>
      <c r="AN280" s="15">
        <f t="shared" si="127"/>
        <v>1375015</v>
      </c>
      <c r="AO280" s="15">
        <f t="shared" si="132"/>
        <v>1496776</v>
      </c>
      <c r="AP280" s="17">
        <f t="shared" si="128"/>
        <v>12894598</v>
      </c>
      <c r="AQ280" s="15">
        <v>11265283</v>
      </c>
      <c r="AR280" s="15">
        <v>504</v>
      </c>
      <c r="AS280" s="18">
        <f t="shared" si="133"/>
        <v>1629315</v>
      </c>
      <c r="AT280" s="19">
        <v>0</v>
      </c>
      <c r="AU280" s="8">
        <v>8800</v>
      </c>
      <c r="AV280" s="13">
        <f t="shared" si="134"/>
        <v>3556872</v>
      </c>
      <c r="AW280" s="18">
        <f t="shared" si="135"/>
        <v>11397822</v>
      </c>
      <c r="AX280" s="15">
        <f t="shared" si="129"/>
        <v>11398000</v>
      </c>
      <c r="AY280" s="20">
        <v>7.0000000000000007E-2</v>
      </c>
      <c r="AZ280" s="13">
        <f t="shared" si="130"/>
        <v>797860.00000000012</v>
      </c>
      <c r="BA280" s="15">
        <f t="shared" si="131"/>
        <v>797900</v>
      </c>
      <c r="BB280" s="21">
        <f t="shared" si="136"/>
        <v>2427215</v>
      </c>
      <c r="BC280" s="10">
        <f t="shared" si="137"/>
        <v>0</v>
      </c>
      <c r="BD280" s="10">
        <f t="shared" si="138"/>
        <v>0</v>
      </c>
      <c r="BE280" s="10">
        <v>81.400000000000006</v>
      </c>
      <c r="BF280" s="10">
        <v>37.549999999999997</v>
      </c>
      <c r="BG280" s="107">
        <v>46176</v>
      </c>
      <c r="BH280" s="107">
        <f t="shared" si="113"/>
        <v>46206</v>
      </c>
      <c r="BI280" s="23">
        <v>7</v>
      </c>
      <c r="BJ280" s="6"/>
      <c r="BK280" s="6"/>
      <c r="BL280" s="24">
        <f>VLOOKUP(A280,[2]Sheet1!$D$2:$H$933,5,0)</f>
        <v>0</v>
      </c>
      <c r="BM280" s="6" t="s">
        <v>3828</v>
      </c>
      <c r="BN280" s="6" t="s">
        <v>3829</v>
      </c>
      <c r="BO280" s="6" t="s">
        <v>3820</v>
      </c>
      <c r="BP280" s="6" t="s">
        <v>3821</v>
      </c>
      <c r="BQ280" s="6" t="s">
        <v>3830</v>
      </c>
      <c r="BR280" t="s">
        <v>3823</v>
      </c>
      <c r="BS280" t="s">
        <v>3824</v>
      </c>
      <c r="BT280" t="s">
        <v>3825</v>
      </c>
      <c r="BU280" t="s">
        <v>3826</v>
      </c>
      <c r="BV280" t="s">
        <v>3827</v>
      </c>
      <c r="BW280" t="s">
        <v>3835</v>
      </c>
      <c r="BX280">
        <v>0</v>
      </c>
      <c r="BY280" t="s">
        <v>3866</v>
      </c>
      <c r="BZ280" t="s">
        <v>3871</v>
      </c>
    </row>
    <row r="281" spans="1:78" x14ac:dyDescent="0.25">
      <c r="A281" s="7" t="s">
        <v>1213</v>
      </c>
      <c r="B281" s="7" t="s">
        <v>181</v>
      </c>
      <c r="C281" s="7" t="s">
        <v>1211</v>
      </c>
      <c r="D281" s="8" t="s">
        <v>1212</v>
      </c>
      <c r="E281" s="7" t="s">
        <v>1214</v>
      </c>
      <c r="F281" s="9">
        <v>45041</v>
      </c>
      <c r="G281" s="9" t="s">
        <v>404</v>
      </c>
      <c r="H281" s="9" t="s">
        <v>87</v>
      </c>
      <c r="I281" s="8" t="s">
        <v>78</v>
      </c>
      <c r="J281" s="10">
        <v>1151.0999999999999</v>
      </c>
      <c r="K281" s="10">
        <v>1151.0999999999999</v>
      </c>
      <c r="L281" s="10">
        <f t="shared" si="114"/>
        <v>0</v>
      </c>
      <c r="M281" s="10">
        <v>523.13</v>
      </c>
      <c r="N281" s="10">
        <v>523.13</v>
      </c>
      <c r="O281" s="10">
        <f t="shared" si="115"/>
        <v>0</v>
      </c>
      <c r="P281" s="11">
        <v>10000</v>
      </c>
      <c r="Q281" s="11">
        <v>22004.090761378626</v>
      </c>
      <c r="R281" s="11">
        <v>40000</v>
      </c>
      <c r="S281" s="11">
        <v>11511000</v>
      </c>
      <c r="T281" s="11">
        <v>1381320</v>
      </c>
      <c r="U281" s="12">
        <f t="shared" si="116"/>
        <v>0.12</v>
      </c>
      <c r="V281" s="13">
        <f t="shared" si="140"/>
        <v>0</v>
      </c>
      <c r="W281" s="10">
        <f t="shared" si="117"/>
        <v>0</v>
      </c>
      <c r="X281" s="10"/>
      <c r="Y281" s="10"/>
      <c r="Z281" s="11">
        <f t="shared" si="118"/>
        <v>11511000</v>
      </c>
      <c r="AA281" s="14"/>
      <c r="AB281" s="14"/>
      <c r="AC281" s="11">
        <f t="shared" si="119"/>
        <v>11511000</v>
      </c>
      <c r="AD281" s="10">
        <f t="shared" si="120"/>
        <v>300</v>
      </c>
      <c r="AE281" s="15">
        <v>156939</v>
      </c>
      <c r="AF281" s="16">
        <v>28250</v>
      </c>
      <c r="AG281" s="15">
        <f t="shared" si="121"/>
        <v>0</v>
      </c>
      <c r="AH281" s="15">
        <f t="shared" si="122"/>
        <v>0</v>
      </c>
      <c r="AI281" s="15">
        <f t="shared" si="123"/>
        <v>156939</v>
      </c>
      <c r="AJ281" s="15">
        <f t="shared" si="124"/>
        <v>28250</v>
      </c>
      <c r="AK281" s="10">
        <v>156939</v>
      </c>
      <c r="AL281" s="15">
        <f t="shared" si="125"/>
        <v>156939</v>
      </c>
      <c r="AM281" s="15">
        <f t="shared" si="126"/>
        <v>11667939</v>
      </c>
      <c r="AN281" s="15">
        <f t="shared" si="127"/>
        <v>1409570</v>
      </c>
      <c r="AO281" s="15">
        <f t="shared" si="132"/>
        <v>1567018</v>
      </c>
      <c r="AP281" s="17">
        <f t="shared" si="128"/>
        <v>13234957</v>
      </c>
      <c r="AQ281" s="15">
        <v>11380561</v>
      </c>
      <c r="AR281" s="15">
        <v>509</v>
      </c>
      <c r="AS281" s="18">
        <f t="shared" si="133"/>
        <v>1854396</v>
      </c>
      <c r="AT281" s="19">
        <v>0</v>
      </c>
      <c r="AU281" s="8">
        <v>8800</v>
      </c>
      <c r="AV281" s="13">
        <f t="shared" si="134"/>
        <v>4603544</v>
      </c>
      <c r="AW281" s="18">
        <f t="shared" si="135"/>
        <v>11667939</v>
      </c>
      <c r="AX281" s="15">
        <f t="shared" si="129"/>
        <v>11668000</v>
      </c>
      <c r="AY281" s="20">
        <v>0.06</v>
      </c>
      <c r="AZ281" s="13">
        <f t="shared" si="130"/>
        <v>700080</v>
      </c>
      <c r="BA281" s="15">
        <f t="shared" si="131"/>
        <v>700100</v>
      </c>
      <c r="BB281" s="21">
        <f t="shared" si="136"/>
        <v>2554496</v>
      </c>
      <c r="BC281" s="10">
        <f t="shared" si="137"/>
        <v>0</v>
      </c>
      <c r="BD281" s="10">
        <f t="shared" si="138"/>
        <v>0</v>
      </c>
      <c r="BE281" s="10">
        <v>106.94</v>
      </c>
      <c r="BF281" s="10">
        <v>48.6</v>
      </c>
      <c r="BG281" s="107">
        <v>46176</v>
      </c>
      <c r="BH281" s="107">
        <f t="shared" si="113"/>
        <v>46206</v>
      </c>
      <c r="BI281" s="23">
        <v>6</v>
      </c>
      <c r="BJ281" s="6"/>
      <c r="BK281" s="6"/>
      <c r="BL281" s="24">
        <f>VLOOKUP(A281,[2]Sheet1!$D$2:$H$933,5,0)</f>
        <v>0</v>
      </c>
      <c r="BM281" s="6" t="s">
        <v>3828</v>
      </c>
      <c r="BN281" s="6" t="s">
        <v>3829</v>
      </c>
      <c r="BO281" s="6" t="s">
        <v>3820</v>
      </c>
      <c r="BP281" s="6" t="s">
        <v>3821</v>
      </c>
      <c r="BQ281" s="6" t="s">
        <v>3830</v>
      </c>
      <c r="BR281" t="s">
        <v>3823</v>
      </c>
      <c r="BS281" t="s">
        <v>3824</v>
      </c>
      <c r="BT281" t="s">
        <v>3825</v>
      </c>
      <c r="BU281" t="s">
        <v>3826</v>
      </c>
      <c r="BV281" t="s">
        <v>3827</v>
      </c>
      <c r="BW281" t="s">
        <v>3835</v>
      </c>
      <c r="BX281">
        <v>0</v>
      </c>
      <c r="BY281" t="s">
        <v>3861</v>
      </c>
      <c r="BZ281" t="s">
        <v>3863</v>
      </c>
    </row>
    <row r="282" spans="1:78" x14ac:dyDescent="0.25">
      <c r="A282" s="7" t="s">
        <v>1217</v>
      </c>
      <c r="B282" s="7" t="s">
        <v>181</v>
      </c>
      <c r="C282" s="7" t="s">
        <v>1215</v>
      </c>
      <c r="D282" s="8" t="s">
        <v>1216</v>
      </c>
      <c r="E282" s="7" t="s">
        <v>1218</v>
      </c>
      <c r="F282" s="9">
        <v>44958</v>
      </c>
      <c r="G282" s="9" t="s">
        <v>404</v>
      </c>
      <c r="H282" s="9" t="s">
        <v>72</v>
      </c>
      <c r="I282" s="8" t="s">
        <v>78</v>
      </c>
      <c r="J282" s="10">
        <v>1177.3699999999999</v>
      </c>
      <c r="K282" s="10">
        <v>1177.3699999999999</v>
      </c>
      <c r="L282" s="10">
        <f t="shared" si="114"/>
        <v>0</v>
      </c>
      <c r="M282" s="10">
        <v>540.35</v>
      </c>
      <c r="N282" s="10">
        <v>540.35</v>
      </c>
      <c r="O282" s="10">
        <f t="shared" si="115"/>
        <v>0</v>
      </c>
      <c r="P282" s="11">
        <v>10450.000424675336</v>
      </c>
      <c r="Q282" s="11">
        <v>22769.532710280371</v>
      </c>
      <c r="R282" s="11">
        <v>20000</v>
      </c>
      <c r="S282" s="11">
        <v>12303517</v>
      </c>
      <c r="T282" s="11">
        <v>1476424</v>
      </c>
      <c r="U282" s="12">
        <f t="shared" si="116"/>
        <v>0.1200001593040429</v>
      </c>
      <c r="V282" s="13">
        <f t="shared" si="140"/>
        <v>0</v>
      </c>
      <c r="W282" s="10">
        <f t="shared" si="117"/>
        <v>0</v>
      </c>
      <c r="X282" s="10"/>
      <c r="Y282" s="10"/>
      <c r="Z282" s="11">
        <f t="shared" si="118"/>
        <v>12303517</v>
      </c>
      <c r="AA282" s="14"/>
      <c r="AB282" s="14"/>
      <c r="AC282" s="11">
        <f t="shared" si="119"/>
        <v>12303517</v>
      </c>
      <c r="AD282" s="10">
        <f t="shared" si="120"/>
        <v>300</v>
      </c>
      <c r="AE282" s="15">
        <v>162105</v>
      </c>
      <c r="AF282" s="16">
        <v>29178</v>
      </c>
      <c r="AG282" s="15">
        <f t="shared" si="121"/>
        <v>0</v>
      </c>
      <c r="AH282" s="15">
        <f t="shared" si="122"/>
        <v>0</v>
      </c>
      <c r="AI282" s="15">
        <f t="shared" si="123"/>
        <v>162105</v>
      </c>
      <c r="AJ282" s="15">
        <f t="shared" si="124"/>
        <v>29179</v>
      </c>
      <c r="AK282" s="10">
        <v>162105</v>
      </c>
      <c r="AL282" s="15">
        <f t="shared" si="125"/>
        <v>162105</v>
      </c>
      <c r="AM282" s="15">
        <f t="shared" si="126"/>
        <v>12465622</v>
      </c>
      <c r="AN282" s="15">
        <f t="shared" si="127"/>
        <v>1505603</v>
      </c>
      <c r="AO282" s="15">
        <f t="shared" si="132"/>
        <v>1668229</v>
      </c>
      <c r="AP282" s="17">
        <f t="shared" si="128"/>
        <v>14133851</v>
      </c>
      <c r="AQ282" s="15">
        <v>12297183</v>
      </c>
      <c r="AR282" s="15">
        <v>521</v>
      </c>
      <c r="AS282" s="18">
        <f t="shared" si="133"/>
        <v>1836668</v>
      </c>
      <c r="AT282" s="19">
        <v>0</v>
      </c>
      <c r="AU282" s="8">
        <v>8800</v>
      </c>
      <c r="AV282" s="13">
        <f t="shared" si="134"/>
        <v>4755080</v>
      </c>
      <c r="AW282" s="18">
        <f t="shared" si="135"/>
        <v>12465622</v>
      </c>
      <c r="AX282" s="15">
        <f t="shared" si="129"/>
        <v>12466000</v>
      </c>
      <c r="AY282" s="20">
        <v>7.0000000000000007E-2</v>
      </c>
      <c r="AZ282" s="13">
        <f t="shared" si="130"/>
        <v>872620.00000000012</v>
      </c>
      <c r="BA282" s="15">
        <f t="shared" si="131"/>
        <v>872700</v>
      </c>
      <c r="BB282" s="21">
        <f t="shared" si="136"/>
        <v>2709368</v>
      </c>
      <c r="BC282" s="10">
        <f t="shared" si="137"/>
        <v>0</v>
      </c>
      <c r="BD282" s="10">
        <f t="shared" si="138"/>
        <v>0</v>
      </c>
      <c r="BE282" s="10">
        <v>109.38</v>
      </c>
      <c r="BF282" s="10">
        <v>50.2</v>
      </c>
      <c r="BG282" s="107">
        <v>46176</v>
      </c>
      <c r="BH282" s="107">
        <f t="shared" si="113"/>
        <v>46206</v>
      </c>
      <c r="BI282" s="23">
        <v>7</v>
      </c>
      <c r="BJ282" s="6"/>
      <c r="BK282" s="6"/>
      <c r="BL282" s="24">
        <f>VLOOKUP(A282,[2]Sheet1!$D$2:$H$933,5,0)</f>
        <v>0</v>
      </c>
      <c r="BM282" s="6" t="s">
        <v>3828</v>
      </c>
      <c r="BN282" s="6" t="s">
        <v>3829</v>
      </c>
      <c r="BO282" s="6" t="s">
        <v>3820</v>
      </c>
      <c r="BP282" s="6" t="s">
        <v>3821</v>
      </c>
      <c r="BQ282" s="6" t="s">
        <v>3830</v>
      </c>
      <c r="BR282" t="s">
        <v>3823</v>
      </c>
      <c r="BS282" t="s">
        <v>3824</v>
      </c>
      <c r="BT282" t="s">
        <v>3825</v>
      </c>
      <c r="BU282" t="s">
        <v>3826</v>
      </c>
      <c r="BV282" t="s">
        <v>3827</v>
      </c>
      <c r="BW282" t="s">
        <v>3835</v>
      </c>
      <c r="BX282">
        <v>0</v>
      </c>
      <c r="BY282" t="s">
        <v>3861</v>
      </c>
      <c r="BZ282" t="s">
        <v>3863</v>
      </c>
    </row>
    <row r="283" spans="1:78" x14ac:dyDescent="0.25">
      <c r="A283" s="7" t="s">
        <v>1221</v>
      </c>
      <c r="B283" s="7" t="s">
        <v>181</v>
      </c>
      <c r="C283" s="7" t="s">
        <v>1219</v>
      </c>
      <c r="D283" s="8" t="s">
        <v>1220</v>
      </c>
      <c r="E283" s="7" t="s">
        <v>1222</v>
      </c>
      <c r="F283" s="9">
        <v>44883</v>
      </c>
      <c r="G283" s="9" t="s">
        <v>404</v>
      </c>
      <c r="H283" s="9" t="s">
        <v>72</v>
      </c>
      <c r="I283" s="8" t="s">
        <v>78</v>
      </c>
      <c r="J283" s="10">
        <v>937.97</v>
      </c>
      <c r="K283" s="10">
        <v>937.97</v>
      </c>
      <c r="L283" s="10">
        <f t="shared" si="114"/>
        <v>0</v>
      </c>
      <c r="M283" s="10">
        <v>425.72</v>
      </c>
      <c r="N283" s="10">
        <v>425.72</v>
      </c>
      <c r="O283" s="10">
        <f t="shared" si="115"/>
        <v>0</v>
      </c>
      <c r="P283" s="11">
        <v>10748.676396899687</v>
      </c>
      <c r="Q283" s="11">
        <v>23682.082119703089</v>
      </c>
      <c r="R283" s="11">
        <v>20000</v>
      </c>
      <c r="S283" s="11">
        <v>10081936</v>
      </c>
      <c r="T283" s="11">
        <v>1209834</v>
      </c>
      <c r="U283" s="12">
        <f t="shared" si="116"/>
        <v>0.12000016663466223</v>
      </c>
      <c r="V283" s="13">
        <f t="shared" si="140"/>
        <v>0</v>
      </c>
      <c r="W283" s="10">
        <f t="shared" si="117"/>
        <v>0</v>
      </c>
      <c r="X283" s="10"/>
      <c r="Y283" s="10"/>
      <c r="Z283" s="11">
        <f t="shared" si="118"/>
        <v>10081936</v>
      </c>
      <c r="AA283" s="14"/>
      <c r="AB283" s="14"/>
      <c r="AC283" s="11">
        <f t="shared" si="119"/>
        <v>10081936</v>
      </c>
      <c r="AD283" s="10">
        <f t="shared" si="120"/>
        <v>300</v>
      </c>
      <c r="AE283" s="15">
        <v>127716</v>
      </c>
      <c r="AF283" s="16">
        <v>22988</v>
      </c>
      <c r="AG283" s="15">
        <f t="shared" si="121"/>
        <v>0</v>
      </c>
      <c r="AH283" s="15">
        <f t="shared" si="122"/>
        <v>0</v>
      </c>
      <c r="AI283" s="15">
        <f t="shared" si="123"/>
        <v>127716.00000000001</v>
      </c>
      <c r="AJ283" s="15">
        <f t="shared" si="124"/>
        <v>22989</v>
      </c>
      <c r="AK283" s="10">
        <v>127716</v>
      </c>
      <c r="AL283" s="15">
        <f t="shared" si="125"/>
        <v>127716.00000000001</v>
      </c>
      <c r="AM283" s="15">
        <f t="shared" si="126"/>
        <v>10209652</v>
      </c>
      <c r="AN283" s="15">
        <f t="shared" si="127"/>
        <v>1232823</v>
      </c>
      <c r="AO283" s="15">
        <f t="shared" si="132"/>
        <v>1360988</v>
      </c>
      <c r="AP283" s="17">
        <f t="shared" si="128"/>
        <v>11570640</v>
      </c>
      <c r="AQ283" s="15">
        <v>10072219</v>
      </c>
      <c r="AR283" s="15">
        <v>449</v>
      </c>
      <c r="AS283" s="18">
        <f t="shared" si="133"/>
        <v>1498421</v>
      </c>
      <c r="AT283" s="19">
        <v>0</v>
      </c>
      <c r="AU283" s="8">
        <v>8800</v>
      </c>
      <c r="AV283" s="13">
        <f t="shared" si="134"/>
        <v>3746336.0000000005</v>
      </c>
      <c r="AW283" s="18">
        <f t="shared" si="135"/>
        <v>10209652</v>
      </c>
      <c r="AX283" s="15">
        <f t="shared" si="129"/>
        <v>10210000</v>
      </c>
      <c r="AY283" s="20">
        <v>7.0000000000000007E-2</v>
      </c>
      <c r="AZ283" s="13">
        <f t="shared" si="130"/>
        <v>714700.00000000012</v>
      </c>
      <c r="BA283" s="15">
        <f t="shared" si="131"/>
        <v>714700</v>
      </c>
      <c r="BB283" s="21">
        <f t="shared" si="136"/>
        <v>2213121</v>
      </c>
      <c r="BC283" s="10">
        <f t="shared" si="137"/>
        <v>0</v>
      </c>
      <c r="BD283" s="10">
        <f t="shared" si="138"/>
        <v>0</v>
      </c>
      <c r="BE283" s="10">
        <v>87.14</v>
      </c>
      <c r="BF283" s="10">
        <v>39.549999999999997</v>
      </c>
      <c r="BG283" s="107">
        <v>46176</v>
      </c>
      <c r="BH283" s="107">
        <f t="shared" si="113"/>
        <v>46206</v>
      </c>
      <c r="BI283" s="23">
        <v>7</v>
      </c>
      <c r="BJ283" s="6"/>
      <c r="BK283" s="6"/>
      <c r="BL283" s="24">
        <f>VLOOKUP(A283,[2]Sheet1!$D$2:$H$933,5,0)</f>
        <v>0</v>
      </c>
      <c r="BM283" s="6" t="s">
        <v>3828</v>
      </c>
      <c r="BN283" s="6" t="s">
        <v>3829</v>
      </c>
      <c r="BO283" s="6" t="s">
        <v>3820</v>
      </c>
      <c r="BP283" s="6" t="s">
        <v>3821</v>
      </c>
      <c r="BQ283" s="6" t="s">
        <v>3830</v>
      </c>
      <c r="BR283" t="s">
        <v>3823</v>
      </c>
      <c r="BS283" t="s">
        <v>3824</v>
      </c>
      <c r="BT283" t="s">
        <v>3825</v>
      </c>
      <c r="BU283" t="s">
        <v>3826</v>
      </c>
      <c r="BV283" t="s">
        <v>3827</v>
      </c>
      <c r="BW283" t="s">
        <v>3835</v>
      </c>
      <c r="BX283" s="101">
        <v>937970</v>
      </c>
      <c r="BY283" t="s">
        <v>3862</v>
      </c>
      <c r="BZ283" t="s">
        <v>3863</v>
      </c>
    </row>
    <row r="284" spans="1:78" x14ac:dyDescent="0.25">
      <c r="A284" s="7" t="s">
        <v>1225</v>
      </c>
      <c r="B284" s="7" t="s">
        <v>181</v>
      </c>
      <c r="C284" s="7" t="s">
        <v>1223</v>
      </c>
      <c r="D284" s="8" t="s">
        <v>1224</v>
      </c>
      <c r="E284" s="7" t="s">
        <v>1226</v>
      </c>
      <c r="F284" s="9">
        <v>44996</v>
      </c>
      <c r="G284" s="9" t="s">
        <v>65</v>
      </c>
      <c r="H284" s="9" t="s">
        <v>1167</v>
      </c>
      <c r="I284" s="8" t="s">
        <v>635</v>
      </c>
      <c r="J284" s="10">
        <v>2084.13</v>
      </c>
      <c r="K284" s="10">
        <v>2084.13</v>
      </c>
      <c r="L284" s="10">
        <f t="shared" si="114"/>
        <v>0</v>
      </c>
      <c r="M284" s="10">
        <v>229.27</v>
      </c>
      <c r="N284" s="10">
        <v>229.27</v>
      </c>
      <c r="O284" s="10">
        <f t="shared" si="115"/>
        <v>0</v>
      </c>
      <c r="P284" s="11">
        <v>5853.0000527798165</v>
      </c>
      <c r="Q284" s="11">
        <v>53205.447725389276</v>
      </c>
      <c r="R284" s="11">
        <v>20000</v>
      </c>
      <c r="S284" s="11">
        <v>12198413</v>
      </c>
      <c r="T284" s="11">
        <v>1463808</v>
      </c>
      <c r="U284" s="12">
        <f t="shared" si="116"/>
        <v>0.11999987211451195</v>
      </c>
      <c r="V284" s="13">
        <f t="shared" si="140"/>
        <v>0</v>
      </c>
      <c r="W284" s="10">
        <f t="shared" si="117"/>
        <v>0</v>
      </c>
      <c r="X284" s="10"/>
      <c r="Y284" s="10"/>
      <c r="Z284" s="11">
        <f t="shared" si="118"/>
        <v>12198413</v>
      </c>
      <c r="AA284" s="14"/>
      <c r="AB284" s="14"/>
      <c r="AC284" s="11">
        <f t="shared" si="119"/>
        <v>12198413</v>
      </c>
      <c r="AD284" s="10">
        <f t="shared" si="120"/>
        <v>300</v>
      </c>
      <c r="AE284" s="15">
        <v>68781</v>
      </c>
      <c r="AF284" s="16">
        <v>12380</v>
      </c>
      <c r="AG284" s="15">
        <f t="shared" si="121"/>
        <v>0</v>
      </c>
      <c r="AH284" s="15">
        <f t="shared" si="122"/>
        <v>0</v>
      </c>
      <c r="AI284" s="15">
        <f t="shared" si="123"/>
        <v>68781</v>
      </c>
      <c r="AJ284" s="15">
        <f t="shared" si="124"/>
        <v>12381</v>
      </c>
      <c r="AK284" s="10">
        <v>68781</v>
      </c>
      <c r="AL284" s="15">
        <f t="shared" si="125"/>
        <v>68781</v>
      </c>
      <c r="AM284" s="15">
        <f t="shared" si="126"/>
        <v>12267194</v>
      </c>
      <c r="AN284" s="15">
        <f t="shared" si="127"/>
        <v>1476189</v>
      </c>
      <c r="AO284" s="15">
        <f t="shared" si="132"/>
        <v>1545515</v>
      </c>
      <c r="AP284" s="17">
        <f t="shared" si="128"/>
        <v>13812709</v>
      </c>
      <c r="AQ284" s="15">
        <v>12186212</v>
      </c>
      <c r="AR284" s="15">
        <v>545</v>
      </c>
      <c r="AS284" s="18">
        <f t="shared" si="133"/>
        <v>1626497</v>
      </c>
      <c r="AT284" s="19">
        <v>0</v>
      </c>
      <c r="AU284" s="8">
        <v>8800</v>
      </c>
      <c r="AV284" s="13">
        <f t="shared" si="134"/>
        <v>2017576</v>
      </c>
      <c r="AW284" s="18">
        <f t="shared" si="135"/>
        <v>12267194</v>
      </c>
      <c r="AX284" s="15">
        <f t="shared" si="129"/>
        <v>12268000</v>
      </c>
      <c r="AY284" s="20">
        <v>7.0000000000000007E-2</v>
      </c>
      <c r="AZ284" s="13">
        <f t="shared" si="130"/>
        <v>858760.00000000012</v>
      </c>
      <c r="BA284" s="15">
        <f t="shared" si="131"/>
        <v>858800</v>
      </c>
      <c r="BB284" s="21">
        <f t="shared" si="136"/>
        <v>2485297</v>
      </c>
      <c r="BC284" s="10">
        <f t="shared" si="137"/>
        <v>0</v>
      </c>
      <c r="BD284" s="10">
        <f t="shared" si="138"/>
        <v>0</v>
      </c>
      <c r="BE284" s="10">
        <v>193.62</v>
      </c>
      <c r="BF284" s="10">
        <v>21.3</v>
      </c>
      <c r="BG284" s="107">
        <v>46176</v>
      </c>
      <c r="BH284" s="107">
        <f t="shared" si="113"/>
        <v>46206</v>
      </c>
      <c r="BI284" s="23">
        <v>7</v>
      </c>
      <c r="BJ284" s="6"/>
      <c r="BK284" s="6"/>
      <c r="BL284" s="24">
        <f>VLOOKUP(A284,[2]Sheet1!$D$2:$H$933,5,0)</f>
        <v>0</v>
      </c>
      <c r="BM284" s="6" t="s">
        <v>3828</v>
      </c>
      <c r="BN284" s="6" t="s">
        <v>3829</v>
      </c>
      <c r="BO284" s="6" t="s">
        <v>3820</v>
      </c>
      <c r="BP284" s="6" t="s">
        <v>3821</v>
      </c>
      <c r="BQ284" s="6" t="s">
        <v>3830</v>
      </c>
      <c r="BR284" t="s">
        <v>3823</v>
      </c>
      <c r="BS284" t="s">
        <v>3824</v>
      </c>
      <c r="BT284" t="s">
        <v>3825</v>
      </c>
      <c r="BU284" t="s">
        <v>3826</v>
      </c>
      <c r="BV284" t="s">
        <v>3827</v>
      </c>
      <c r="BW284" t="s">
        <v>3835</v>
      </c>
      <c r="BX284">
        <v>0</v>
      </c>
      <c r="BY284" t="s">
        <v>3870</v>
      </c>
      <c r="BZ284" t="s">
        <v>3860</v>
      </c>
    </row>
    <row r="285" spans="1:78" x14ac:dyDescent="0.25">
      <c r="A285" s="7" t="s">
        <v>1229</v>
      </c>
      <c r="B285" s="7" t="s">
        <v>181</v>
      </c>
      <c r="C285" s="7" t="s">
        <v>1227</v>
      </c>
      <c r="D285" s="8" t="s">
        <v>1228</v>
      </c>
      <c r="E285" s="7" t="s">
        <v>1230</v>
      </c>
      <c r="F285" s="9">
        <v>45047</v>
      </c>
      <c r="G285" s="9" t="s">
        <v>363</v>
      </c>
      <c r="H285" s="9" t="s">
        <v>92</v>
      </c>
      <c r="I285" s="8" t="s">
        <v>78</v>
      </c>
      <c r="J285" s="10">
        <v>883.29</v>
      </c>
      <c r="K285" s="10">
        <v>841.53</v>
      </c>
      <c r="L285" s="10">
        <f t="shared" si="114"/>
        <v>-41.759999999999991</v>
      </c>
      <c r="M285" s="10">
        <v>390.73</v>
      </c>
      <c r="N285" s="10">
        <v>379.97</v>
      </c>
      <c r="O285" s="10">
        <f t="shared" si="115"/>
        <v>-10.759999999999991</v>
      </c>
      <c r="P285" s="11">
        <v>14000</v>
      </c>
      <c r="Q285" s="11">
        <v>31648.606454585006</v>
      </c>
      <c r="R285" s="11">
        <v>28000</v>
      </c>
      <c r="S285" s="11">
        <v>12366060</v>
      </c>
      <c r="T285" s="11">
        <v>1483928</v>
      </c>
      <c r="U285" s="12">
        <f t="shared" si="116"/>
        <v>0.12000006469320058</v>
      </c>
      <c r="V285" s="13">
        <f t="shared" si="140"/>
        <v>-584639.99999999988</v>
      </c>
      <c r="W285" s="10">
        <f t="shared" si="117"/>
        <v>-70156.837822232774</v>
      </c>
      <c r="X285" s="15"/>
      <c r="Y285" s="15"/>
      <c r="Z285" s="11">
        <f t="shared" si="118"/>
        <v>11781420</v>
      </c>
      <c r="AA285" s="14"/>
      <c r="AB285" s="14"/>
      <c r="AC285" s="11">
        <f t="shared" si="119"/>
        <v>11781420</v>
      </c>
      <c r="AD285" s="10">
        <f t="shared" si="120"/>
        <v>300</v>
      </c>
      <c r="AE285" s="15">
        <v>117219</v>
      </c>
      <c r="AF285" s="16">
        <v>21100</v>
      </c>
      <c r="AG285" s="15">
        <f t="shared" si="121"/>
        <v>-3227.9999999999973</v>
      </c>
      <c r="AH285" s="15">
        <f t="shared" si="122"/>
        <v>-581.03999999999951</v>
      </c>
      <c r="AI285" s="15">
        <f t="shared" si="123"/>
        <v>113991.00000000001</v>
      </c>
      <c r="AJ285" s="15">
        <f t="shared" si="124"/>
        <v>20519</v>
      </c>
      <c r="AK285" s="10">
        <v>117219</v>
      </c>
      <c r="AL285" s="15">
        <f t="shared" si="125"/>
        <v>113991.00000000001</v>
      </c>
      <c r="AM285" s="15">
        <f t="shared" si="126"/>
        <v>11895411</v>
      </c>
      <c r="AN285" s="15">
        <f t="shared" si="127"/>
        <v>1434291</v>
      </c>
      <c r="AO285" s="15">
        <f t="shared" si="132"/>
        <v>1548834</v>
      </c>
      <c r="AP285" s="17">
        <f t="shared" si="128"/>
        <v>13444245</v>
      </c>
      <c r="AQ285" s="15">
        <v>12353696</v>
      </c>
      <c r="AR285" s="15">
        <v>552</v>
      </c>
      <c r="AS285" s="18">
        <f t="shared" si="133"/>
        <v>1090549</v>
      </c>
      <c r="AT285" s="19">
        <v>0</v>
      </c>
      <c r="AU285" s="8">
        <v>8800</v>
      </c>
      <c r="AV285" s="13">
        <f t="shared" si="134"/>
        <v>3343736.0000000005</v>
      </c>
      <c r="AW285" s="18">
        <f t="shared" si="135"/>
        <v>11895411</v>
      </c>
      <c r="AX285" s="15">
        <f t="shared" si="129"/>
        <v>11896000</v>
      </c>
      <c r="AY285" s="20">
        <v>7.0000000000000007E-2</v>
      </c>
      <c r="AZ285" s="13">
        <f t="shared" si="130"/>
        <v>832720.00000000012</v>
      </c>
      <c r="BA285" s="15">
        <f t="shared" si="131"/>
        <v>832800</v>
      </c>
      <c r="BB285" s="21">
        <f t="shared" si="136"/>
        <v>1923349</v>
      </c>
      <c r="BC285" s="10">
        <f t="shared" si="137"/>
        <v>-4.7277790985972885</v>
      </c>
      <c r="BD285" s="10">
        <f t="shared" si="138"/>
        <v>-2.7538197732449494</v>
      </c>
      <c r="BE285" s="10">
        <v>78.180000000000007</v>
      </c>
      <c r="BF285" s="10">
        <v>35.299999999999997</v>
      </c>
      <c r="BG285" s="107">
        <v>46176</v>
      </c>
      <c r="BH285" s="107">
        <f t="shared" si="113"/>
        <v>46206</v>
      </c>
      <c r="BI285" s="23">
        <v>7</v>
      </c>
      <c r="BJ285" s="6"/>
      <c r="BK285" s="6"/>
      <c r="BL285" s="24">
        <f>VLOOKUP(A285,[2]Sheet1!$D$2:$H$933,5,0)</f>
        <v>0</v>
      </c>
      <c r="BM285" s="6" t="s">
        <v>3828</v>
      </c>
      <c r="BN285" s="6" t="s">
        <v>3829</v>
      </c>
      <c r="BO285" s="6" t="s">
        <v>3820</v>
      </c>
      <c r="BP285" s="6" t="s">
        <v>3821</v>
      </c>
      <c r="BQ285" s="6" t="s">
        <v>3830</v>
      </c>
      <c r="BR285" t="s">
        <v>3823</v>
      </c>
      <c r="BS285" t="s">
        <v>3824</v>
      </c>
      <c r="BT285" t="s">
        <v>3825</v>
      </c>
      <c r="BU285" t="s">
        <v>3826</v>
      </c>
      <c r="BV285" t="s">
        <v>3827</v>
      </c>
      <c r="BW285" t="s">
        <v>3835</v>
      </c>
      <c r="BX285">
        <v>0</v>
      </c>
      <c r="BY285" t="s">
        <v>3862</v>
      </c>
      <c r="BZ285" t="s">
        <v>3860</v>
      </c>
    </row>
    <row r="286" spans="1:78" x14ac:dyDescent="0.25">
      <c r="A286" s="7" t="s">
        <v>1233</v>
      </c>
      <c r="B286" s="7" t="s">
        <v>181</v>
      </c>
      <c r="C286" s="7" t="s">
        <v>1231</v>
      </c>
      <c r="D286" s="8" t="s">
        <v>1232</v>
      </c>
      <c r="E286" s="7" t="s">
        <v>1234</v>
      </c>
      <c r="F286" s="9">
        <v>44896</v>
      </c>
      <c r="G286" s="9" t="s">
        <v>404</v>
      </c>
      <c r="H286" s="9" t="s">
        <v>66</v>
      </c>
      <c r="I286" s="8" t="s">
        <v>78</v>
      </c>
      <c r="J286" s="10">
        <v>775.01</v>
      </c>
      <c r="K286" s="10">
        <v>775.01</v>
      </c>
      <c r="L286" s="10">
        <f t="shared" si="114"/>
        <v>0</v>
      </c>
      <c r="M286" s="10">
        <v>358.44</v>
      </c>
      <c r="N286" s="10">
        <v>358.44</v>
      </c>
      <c r="O286" s="10">
        <f t="shared" si="115"/>
        <v>0</v>
      </c>
      <c r="P286" s="11">
        <v>16150.000645152966</v>
      </c>
      <c r="Q286" s="11">
        <v>34919.127329539115</v>
      </c>
      <c r="R286" s="11">
        <v>22000</v>
      </c>
      <c r="S286" s="11">
        <v>12516412</v>
      </c>
      <c r="T286" s="11">
        <v>1501970</v>
      </c>
      <c r="U286" s="12">
        <f t="shared" si="116"/>
        <v>0.12000004474125651</v>
      </c>
      <c r="V286" s="13">
        <f t="shared" si="140"/>
        <v>0</v>
      </c>
      <c r="W286" s="10">
        <f t="shared" si="117"/>
        <v>0</v>
      </c>
      <c r="X286" s="10"/>
      <c r="Y286" s="10"/>
      <c r="Z286" s="11">
        <f t="shared" si="118"/>
        <v>12516412</v>
      </c>
      <c r="AA286" s="14"/>
      <c r="AB286" s="14"/>
      <c r="AC286" s="11">
        <f t="shared" si="119"/>
        <v>12516412</v>
      </c>
      <c r="AD286" s="10">
        <f t="shared" si="120"/>
        <v>300</v>
      </c>
      <c r="AE286" s="15">
        <v>107532</v>
      </c>
      <c r="AF286" s="16">
        <v>19356</v>
      </c>
      <c r="AG286" s="15">
        <f t="shared" si="121"/>
        <v>0</v>
      </c>
      <c r="AH286" s="15">
        <f t="shared" si="122"/>
        <v>0</v>
      </c>
      <c r="AI286" s="15">
        <f t="shared" si="123"/>
        <v>107532</v>
      </c>
      <c r="AJ286" s="15">
        <f t="shared" si="124"/>
        <v>19356</v>
      </c>
      <c r="AK286" s="10">
        <v>107532</v>
      </c>
      <c r="AL286" s="15">
        <f t="shared" si="125"/>
        <v>107532</v>
      </c>
      <c r="AM286" s="15">
        <f t="shared" si="126"/>
        <v>12623944</v>
      </c>
      <c r="AN286" s="15">
        <f t="shared" si="127"/>
        <v>1521326</v>
      </c>
      <c r="AO286" s="15">
        <f t="shared" si="132"/>
        <v>1629418</v>
      </c>
      <c r="AP286" s="17">
        <f t="shared" si="128"/>
        <v>14253362</v>
      </c>
      <c r="AQ286" s="15">
        <v>12503894</v>
      </c>
      <c r="AR286" s="15">
        <v>560</v>
      </c>
      <c r="AS286" s="18">
        <f t="shared" si="133"/>
        <v>1749468</v>
      </c>
      <c r="AT286" s="19">
        <v>0</v>
      </c>
      <c r="AU286" s="8">
        <v>8800</v>
      </c>
      <c r="AV286" s="13">
        <f t="shared" si="134"/>
        <v>3154272</v>
      </c>
      <c r="AW286" s="18">
        <f t="shared" si="135"/>
        <v>12623944</v>
      </c>
      <c r="AX286" s="15">
        <f t="shared" si="129"/>
        <v>12624000</v>
      </c>
      <c r="AY286" s="20">
        <v>0.05</v>
      </c>
      <c r="AZ286" s="13">
        <f t="shared" si="130"/>
        <v>631200</v>
      </c>
      <c r="BA286" s="15">
        <f t="shared" si="131"/>
        <v>631200</v>
      </c>
      <c r="BB286" s="21">
        <f t="shared" si="136"/>
        <v>2380668</v>
      </c>
      <c r="BC286" s="10">
        <f t="shared" si="137"/>
        <v>0</v>
      </c>
      <c r="BD286" s="10">
        <f t="shared" si="138"/>
        <v>0</v>
      </c>
      <c r="BE286" s="10">
        <v>72</v>
      </c>
      <c r="BF286" s="10">
        <v>33.299999999999997</v>
      </c>
      <c r="BG286" s="107">
        <v>46176</v>
      </c>
      <c r="BH286" s="107">
        <f t="shared" si="113"/>
        <v>46206</v>
      </c>
      <c r="BI286" s="23">
        <v>5</v>
      </c>
      <c r="BJ286" s="6"/>
      <c r="BK286" s="6"/>
      <c r="BL286" s="24">
        <f>VLOOKUP(A286,[2]Sheet1!$D$2:$H$933,5,0)</f>
        <v>0</v>
      </c>
      <c r="BM286" s="6" t="s">
        <v>3828</v>
      </c>
      <c r="BN286" s="6" t="s">
        <v>3829</v>
      </c>
      <c r="BO286" s="6" t="s">
        <v>3820</v>
      </c>
      <c r="BP286" s="6" t="s">
        <v>3821</v>
      </c>
      <c r="BQ286" s="6" t="s">
        <v>3830</v>
      </c>
      <c r="BR286" t="s">
        <v>3823</v>
      </c>
      <c r="BS286" t="s">
        <v>3824</v>
      </c>
      <c r="BT286" t="s">
        <v>3825</v>
      </c>
      <c r="BU286" t="s">
        <v>3826</v>
      </c>
      <c r="BV286" t="s">
        <v>3827</v>
      </c>
      <c r="BW286" t="s">
        <v>3835</v>
      </c>
      <c r="BX286">
        <v>0</v>
      </c>
      <c r="BY286" t="s">
        <v>3866</v>
      </c>
      <c r="BZ286" t="s">
        <v>3863</v>
      </c>
    </row>
    <row r="287" spans="1:78" x14ac:dyDescent="0.25">
      <c r="A287" s="7" t="s">
        <v>1237</v>
      </c>
      <c r="B287" s="7" t="s">
        <v>181</v>
      </c>
      <c r="C287" s="7" t="s">
        <v>1235</v>
      </c>
      <c r="D287" s="8" t="s">
        <v>1236</v>
      </c>
      <c r="E287" s="7" t="s">
        <v>1238</v>
      </c>
      <c r="F287" s="9">
        <v>44994</v>
      </c>
      <c r="G287" s="9" t="s">
        <v>717</v>
      </c>
      <c r="H287" s="9" t="s">
        <v>87</v>
      </c>
      <c r="I287" s="8" t="s">
        <v>78</v>
      </c>
      <c r="J287" s="10">
        <v>828.83</v>
      </c>
      <c r="K287" s="10">
        <v>828.83</v>
      </c>
      <c r="L287" s="10">
        <f t="shared" si="114"/>
        <v>0</v>
      </c>
      <c r="M287" s="10">
        <v>367.05</v>
      </c>
      <c r="N287" s="10">
        <v>367.05</v>
      </c>
      <c r="O287" s="10">
        <f t="shared" si="115"/>
        <v>0</v>
      </c>
      <c r="P287" s="11">
        <v>26537.219936537043</v>
      </c>
      <c r="Q287" s="11">
        <v>59923.29110475412</v>
      </c>
      <c r="R287" s="11">
        <v>40000</v>
      </c>
      <c r="S287" s="11">
        <v>21994844</v>
      </c>
      <c r="T287" s="11">
        <v>2639382</v>
      </c>
      <c r="U287" s="12">
        <f t="shared" si="116"/>
        <v>0.12000003273494461</v>
      </c>
      <c r="V287" s="13">
        <f t="shared" si="140"/>
        <v>0</v>
      </c>
      <c r="W287" s="10">
        <f t="shared" si="117"/>
        <v>0</v>
      </c>
      <c r="X287" s="10"/>
      <c r="Y287" s="10"/>
      <c r="Z287" s="11">
        <f t="shared" si="118"/>
        <v>21994844</v>
      </c>
      <c r="AA287" s="14">
        <v>660843</v>
      </c>
      <c r="AB287" s="14">
        <v>79302</v>
      </c>
      <c r="AC287" s="11">
        <f t="shared" si="119"/>
        <v>21334001</v>
      </c>
      <c r="AD287" s="10">
        <f t="shared" si="120"/>
        <v>300</v>
      </c>
      <c r="AE287" s="15">
        <v>110115</v>
      </c>
      <c r="AF287" s="16">
        <v>19820</v>
      </c>
      <c r="AG287" s="15">
        <f t="shared" si="121"/>
        <v>0</v>
      </c>
      <c r="AH287" s="15">
        <f t="shared" si="122"/>
        <v>0</v>
      </c>
      <c r="AI287" s="15">
        <f t="shared" si="123"/>
        <v>110115</v>
      </c>
      <c r="AJ287" s="15">
        <f t="shared" si="124"/>
        <v>19821</v>
      </c>
      <c r="AK287" s="10">
        <v>110115</v>
      </c>
      <c r="AL287" s="15">
        <f t="shared" si="125"/>
        <v>110115</v>
      </c>
      <c r="AM287" s="15">
        <f t="shared" si="126"/>
        <v>21444116</v>
      </c>
      <c r="AN287" s="15">
        <f t="shared" si="127"/>
        <v>2579901</v>
      </c>
      <c r="AO287" s="15">
        <f t="shared" si="132"/>
        <v>2690580</v>
      </c>
      <c r="AP287" s="17">
        <f t="shared" si="128"/>
        <v>24134696</v>
      </c>
      <c r="AQ287" s="15">
        <v>20416416</v>
      </c>
      <c r="AR287" s="15">
        <v>564</v>
      </c>
      <c r="AS287" s="18">
        <f t="shared" si="133"/>
        <v>3718280</v>
      </c>
      <c r="AT287" s="19">
        <v>0</v>
      </c>
      <c r="AU287" s="8">
        <v>8800</v>
      </c>
      <c r="AV287" s="13">
        <f t="shared" si="134"/>
        <v>3230040</v>
      </c>
      <c r="AW287" s="18">
        <f t="shared" si="135"/>
        <v>21444116</v>
      </c>
      <c r="AX287" s="15">
        <f t="shared" si="129"/>
        <v>21445000</v>
      </c>
      <c r="AY287" s="20">
        <v>0.06</v>
      </c>
      <c r="AZ287" s="13">
        <f t="shared" si="130"/>
        <v>1286700</v>
      </c>
      <c r="BA287" s="15">
        <f t="shared" si="131"/>
        <v>1286700</v>
      </c>
      <c r="BB287" s="21">
        <f t="shared" si="136"/>
        <v>5004980</v>
      </c>
      <c r="BC287" s="10">
        <f t="shared" si="137"/>
        <v>0</v>
      </c>
      <c r="BD287" s="10">
        <f t="shared" si="138"/>
        <v>0</v>
      </c>
      <c r="BE287" s="10">
        <v>77</v>
      </c>
      <c r="BF287" s="10">
        <v>34.1</v>
      </c>
      <c r="BG287" s="107">
        <v>46176</v>
      </c>
      <c r="BH287" s="107">
        <f t="shared" si="113"/>
        <v>46206</v>
      </c>
      <c r="BI287" s="23">
        <v>6</v>
      </c>
      <c r="BJ287" s="6"/>
      <c r="BK287" s="6"/>
      <c r="BL287" s="24">
        <f>VLOOKUP(A287,[2]Sheet1!$D$2:$H$933,5,0)</f>
        <v>0</v>
      </c>
      <c r="BM287" s="6" t="s">
        <v>3828</v>
      </c>
      <c r="BN287" s="6" t="s">
        <v>3829</v>
      </c>
      <c r="BO287" s="6" t="s">
        <v>3820</v>
      </c>
      <c r="BP287" s="6" t="s">
        <v>3821</v>
      </c>
      <c r="BQ287" s="6" t="s">
        <v>3830</v>
      </c>
      <c r="BR287" t="s">
        <v>3823</v>
      </c>
      <c r="BS287" t="s">
        <v>3824</v>
      </c>
      <c r="BT287" t="s">
        <v>3825</v>
      </c>
      <c r="BU287" t="s">
        <v>3826</v>
      </c>
      <c r="BV287" t="s">
        <v>3827</v>
      </c>
      <c r="BW287" t="s">
        <v>3835</v>
      </c>
      <c r="BX287">
        <v>0</v>
      </c>
      <c r="BY287" t="s">
        <v>3866</v>
      </c>
      <c r="BZ287" t="s">
        <v>3872</v>
      </c>
    </row>
    <row r="288" spans="1:78" x14ac:dyDescent="0.25">
      <c r="A288" s="7" t="s">
        <v>1241</v>
      </c>
      <c r="B288" s="7" t="s">
        <v>181</v>
      </c>
      <c r="C288" s="7" t="s">
        <v>1239</v>
      </c>
      <c r="D288" s="8" t="s">
        <v>1240</v>
      </c>
      <c r="E288" s="7" t="s">
        <v>1242</v>
      </c>
      <c r="F288" s="9">
        <v>44933</v>
      </c>
      <c r="G288" s="9" t="s">
        <v>404</v>
      </c>
      <c r="H288" s="9" t="s">
        <v>1167</v>
      </c>
      <c r="I288" s="8" t="s">
        <v>635</v>
      </c>
      <c r="J288" s="10">
        <v>2084.13</v>
      </c>
      <c r="K288" s="10">
        <v>2084.13</v>
      </c>
      <c r="L288" s="10">
        <f t="shared" si="114"/>
        <v>0</v>
      </c>
      <c r="M288" s="10">
        <v>229.27</v>
      </c>
      <c r="N288" s="10">
        <v>229.27</v>
      </c>
      <c r="O288" s="10">
        <f t="shared" si="115"/>
        <v>0</v>
      </c>
      <c r="P288" s="11">
        <v>7791.0000815688081</v>
      </c>
      <c r="Q288" s="11">
        <v>70822.423343655944</v>
      </c>
      <c r="R288" s="11">
        <v>20000</v>
      </c>
      <c r="S288" s="11">
        <v>16237457</v>
      </c>
      <c r="T288" s="11">
        <v>1948498</v>
      </c>
      <c r="U288" s="12">
        <f t="shared" si="116"/>
        <v>0.12000019461175479</v>
      </c>
      <c r="V288" s="13">
        <f t="shared" si="140"/>
        <v>0</v>
      </c>
      <c r="W288" s="10">
        <f t="shared" si="117"/>
        <v>0</v>
      </c>
      <c r="X288" s="10"/>
      <c r="Y288" s="10"/>
      <c r="Z288" s="11">
        <f t="shared" si="118"/>
        <v>16237457</v>
      </c>
      <c r="AA288" s="14">
        <v>3695350</v>
      </c>
      <c r="AB288" s="14">
        <v>443442</v>
      </c>
      <c r="AC288" s="11">
        <f t="shared" si="119"/>
        <v>12542107</v>
      </c>
      <c r="AD288" s="10">
        <f t="shared" si="120"/>
        <v>300</v>
      </c>
      <c r="AE288" s="15">
        <v>68781</v>
      </c>
      <c r="AF288" s="16">
        <v>12380</v>
      </c>
      <c r="AG288" s="15">
        <f t="shared" si="121"/>
        <v>0</v>
      </c>
      <c r="AH288" s="15">
        <f t="shared" si="122"/>
        <v>0</v>
      </c>
      <c r="AI288" s="15">
        <f t="shared" si="123"/>
        <v>68781</v>
      </c>
      <c r="AJ288" s="15">
        <f t="shared" si="124"/>
        <v>12381</v>
      </c>
      <c r="AK288" s="10">
        <v>68781</v>
      </c>
      <c r="AL288" s="15">
        <f t="shared" si="125"/>
        <v>68781</v>
      </c>
      <c r="AM288" s="15">
        <f t="shared" si="126"/>
        <v>12610888</v>
      </c>
      <c r="AN288" s="15">
        <f t="shared" si="127"/>
        <v>1517437</v>
      </c>
      <c r="AO288" s="15">
        <f t="shared" si="132"/>
        <v>1586761</v>
      </c>
      <c r="AP288" s="17">
        <f t="shared" si="128"/>
        <v>14197649</v>
      </c>
      <c r="AQ288" s="15">
        <v>12119385</v>
      </c>
      <c r="AR288" s="15">
        <v>543</v>
      </c>
      <c r="AS288" s="18">
        <f t="shared" si="133"/>
        <v>2078264</v>
      </c>
      <c r="AT288" s="19">
        <v>0</v>
      </c>
      <c r="AU288" s="8">
        <v>8800</v>
      </c>
      <c r="AV288" s="13">
        <f t="shared" si="134"/>
        <v>2017576</v>
      </c>
      <c r="AW288" s="18">
        <f t="shared" si="135"/>
        <v>12610888</v>
      </c>
      <c r="AX288" s="15">
        <f t="shared" si="129"/>
        <v>12611000</v>
      </c>
      <c r="AY288" s="20">
        <v>0.05</v>
      </c>
      <c r="AZ288" s="13">
        <f t="shared" si="130"/>
        <v>630550</v>
      </c>
      <c r="BA288" s="15">
        <f t="shared" si="131"/>
        <v>630600</v>
      </c>
      <c r="BB288" s="21">
        <f t="shared" si="136"/>
        <v>2708864</v>
      </c>
      <c r="BC288" s="10">
        <f t="shared" si="137"/>
        <v>0</v>
      </c>
      <c r="BD288" s="10">
        <f t="shared" si="138"/>
        <v>0</v>
      </c>
      <c r="BE288" s="10">
        <v>193.62</v>
      </c>
      <c r="BF288" s="10">
        <v>21.3</v>
      </c>
      <c r="BG288" s="107">
        <v>46176</v>
      </c>
      <c r="BH288" s="107">
        <f t="shared" si="113"/>
        <v>46206</v>
      </c>
      <c r="BI288" s="23">
        <v>5</v>
      </c>
      <c r="BJ288" s="6"/>
      <c r="BK288" s="6"/>
      <c r="BL288" s="24">
        <f>VLOOKUP(A288,[2]Sheet1!$D$2:$H$933,5,0)</f>
        <v>0</v>
      </c>
      <c r="BM288" s="6" t="s">
        <v>3828</v>
      </c>
      <c r="BN288" s="6" t="s">
        <v>3829</v>
      </c>
      <c r="BO288" s="6" t="s">
        <v>3820</v>
      </c>
      <c r="BP288" s="6" t="s">
        <v>3821</v>
      </c>
      <c r="BQ288" s="6" t="s">
        <v>3830</v>
      </c>
      <c r="BR288" t="s">
        <v>3823</v>
      </c>
      <c r="BS288" t="s">
        <v>3824</v>
      </c>
      <c r="BT288" t="s">
        <v>3825</v>
      </c>
      <c r="BU288" t="s">
        <v>3826</v>
      </c>
      <c r="BV288" t="s">
        <v>3827</v>
      </c>
      <c r="BW288" t="s">
        <v>3835</v>
      </c>
      <c r="BX288">
        <v>0</v>
      </c>
      <c r="BY288" t="s">
        <v>3865</v>
      </c>
      <c r="BZ288" t="s">
        <v>3863</v>
      </c>
    </row>
    <row r="289" spans="1:78" x14ac:dyDescent="0.25">
      <c r="A289" s="31" t="s">
        <v>1245</v>
      </c>
      <c r="B289" s="31" t="s">
        <v>181</v>
      </c>
      <c r="C289" s="31" t="s">
        <v>1243</v>
      </c>
      <c r="D289" s="32" t="s">
        <v>1244</v>
      </c>
      <c r="E289" s="31" t="s">
        <v>1246</v>
      </c>
      <c r="F289" s="33">
        <v>44896</v>
      </c>
      <c r="G289" s="33" t="s">
        <v>717</v>
      </c>
      <c r="H289" s="33" t="s">
        <v>66</v>
      </c>
      <c r="I289" s="32" t="s">
        <v>78</v>
      </c>
      <c r="J289" s="34">
        <v>596.33000000000004</v>
      </c>
      <c r="K289" s="34">
        <v>674</v>
      </c>
      <c r="L289" s="34">
        <f t="shared" si="114"/>
        <v>77.669999999999959</v>
      </c>
      <c r="M289" s="34">
        <v>266.95</v>
      </c>
      <c r="N289" s="34">
        <v>302</v>
      </c>
      <c r="O289" s="34">
        <f t="shared" si="115"/>
        <v>35.050000000000011</v>
      </c>
      <c r="P289" s="35">
        <v>10369.999832307614</v>
      </c>
      <c r="Q289" s="35">
        <v>23165.16950739839</v>
      </c>
      <c r="R289" s="35">
        <v>22000</v>
      </c>
      <c r="S289" s="35">
        <v>6183942</v>
      </c>
      <c r="T289" s="35">
        <v>742074</v>
      </c>
      <c r="U289" s="36">
        <f t="shared" si="116"/>
        <v>0.12000015524078331</v>
      </c>
      <c r="V289" s="37">
        <f>L289*R289</f>
        <v>1708739.9999999991</v>
      </c>
      <c r="W289" s="34">
        <f t="shared" si="117"/>
        <v>205049.06526613596</v>
      </c>
      <c r="X289" s="39"/>
      <c r="Y289" s="39"/>
      <c r="Z289" s="35">
        <f t="shared" si="118"/>
        <v>7892681.9999999991</v>
      </c>
      <c r="AA289" s="38">
        <v>638393</v>
      </c>
      <c r="AB289" s="38">
        <v>76607</v>
      </c>
      <c r="AC289" s="35">
        <f t="shared" si="119"/>
        <v>7254288.9999999991</v>
      </c>
      <c r="AD289" s="34">
        <f t="shared" si="120"/>
        <v>300</v>
      </c>
      <c r="AE289" s="39">
        <v>80085</v>
      </c>
      <c r="AF289" s="40">
        <v>14416</v>
      </c>
      <c r="AG289" s="39">
        <f t="shared" si="121"/>
        <v>10515.000000000004</v>
      </c>
      <c r="AH289" s="39">
        <f t="shared" si="122"/>
        <v>1892.7000000000005</v>
      </c>
      <c r="AI289" s="39">
        <f t="shared" si="123"/>
        <v>90600</v>
      </c>
      <c r="AJ289" s="39">
        <f t="shared" si="124"/>
        <v>16308</v>
      </c>
      <c r="AK289" s="34">
        <v>80085</v>
      </c>
      <c r="AL289" s="39">
        <f t="shared" si="125"/>
        <v>90600</v>
      </c>
      <c r="AM289" s="39">
        <f t="shared" si="126"/>
        <v>7344889</v>
      </c>
      <c r="AN289" s="39">
        <f t="shared" si="127"/>
        <v>886825</v>
      </c>
      <c r="AO289" s="39">
        <f t="shared" si="132"/>
        <v>977824</v>
      </c>
      <c r="AP289" s="41">
        <f t="shared" si="128"/>
        <v>8322713</v>
      </c>
      <c r="AQ289" s="39">
        <v>6233369</v>
      </c>
      <c r="AR289" s="15">
        <v>399</v>
      </c>
      <c r="AS289" s="42">
        <f t="shared" si="133"/>
        <v>2089344</v>
      </c>
      <c r="AT289" s="43">
        <v>0</v>
      </c>
      <c r="AU289" s="32">
        <v>8800</v>
      </c>
      <c r="AV289" s="37">
        <f t="shared" si="134"/>
        <v>2657600</v>
      </c>
      <c r="AW289" s="42">
        <f t="shared" si="135"/>
        <v>7344889</v>
      </c>
      <c r="AX289" s="39">
        <f t="shared" si="129"/>
        <v>7345000</v>
      </c>
      <c r="AY289" s="44">
        <v>7.0000000000000007E-2</v>
      </c>
      <c r="AZ289" s="37">
        <f t="shared" si="130"/>
        <v>514150.00000000006</v>
      </c>
      <c r="BA289" s="39">
        <f t="shared" si="131"/>
        <v>514200</v>
      </c>
      <c r="BB289" s="45">
        <f t="shared" si="136"/>
        <v>2603544</v>
      </c>
      <c r="BC289" s="34">
        <f t="shared" si="137"/>
        <v>13.024667549846553</v>
      </c>
      <c r="BD289" s="34">
        <f t="shared" si="138"/>
        <v>13.129799587937821</v>
      </c>
      <c r="BE289" s="34">
        <v>62.62</v>
      </c>
      <c r="BF289" s="34">
        <v>28.06</v>
      </c>
      <c r="BG289" s="107">
        <v>46176</v>
      </c>
      <c r="BH289" s="108">
        <f t="shared" si="113"/>
        <v>46206</v>
      </c>
      <c r="BI289" s="46">
        <v>7</v>
      </c>
      <c r="BJ289" s="47" t="s">
        <v>208</v>
      </c>
      <c r="BK289" s="47"/>
      <c r="BL289" s="24">
        <f>VLOOKUP(A289,[2]Sheet1!$D$2:$H$933,5,0)</f>
        <v>0</v>
      </c>
      <c r="BM289" s="6" t="s">
        <v>3828</v>
      </c>
      <c r="BN289" s="6" t="s">
        <v>3829</v>
      </c>
      <c r="BO289" s="6" t="s">
        <v>3820</v>
      </c>
      <c r="BP289" s="6" t="s">
        <v>3821</v>
      </c>
      <c r="BQ289" s="6" t="s">
        <v>3830</v>
      </c>
      <c r="BR289" t="s">
        <v>3823</v>
      </c>
      <c r="BS289" t="s">
        <v>3824</v>
      </c>
      <c r="BT289" t="s">
        <v>3825</v>
      </c>
      <c r="BU289" t="s">
        <v>3826</v>
      </c>
      <c r="BV289" t="s">
        <v>3827</v>
      </c>
      <c r="BW289" t="s">
        <v>3835</v>
      </c>
      <c r="BX289" s="101"/>
      <c r="BY289" t="s">
        <v>3865</v>
      </c>
      <c r="BZ289" t="s">
        <v>3872</v>
      </c>
    </row>
    <row r="290" spans="1:78" x14ac:dyDescent="0.25">
      <c r="A290" s="7" t="s">
        <v>1249</v>
      </c>
      <c r="B290" s="7" t="s">
        <v>181</v>
      </c>
      <c r="C290" s="7" t="s">
        <v>1247</v>
      </c>
      <c r="D290" s="8" t="s">
        <v>1248</v>
      </c>
      <c r="E290" s="7" t="s">
        <v>1250</v>
      </c>
      <c r="F290" s="9">
        <v>45061</v>
      </c>
      <c r="G290" s="9" t="s">
        <v>363</v>
      </c>
      <c r="H290" s="9" t="s">
        <v>92</v>
      </c>
      <c r="I290" s="8" t="s">
        <v>78</v>
      </c>
      <c r="J290" s="10">
        <v>1252.93</v>
      </c>
      <c r="K290" s="10">
        <v>1274</v>
      </c>
      <c r="L290" s="10">
        <f t="shared" si="114"/>
        <v>21.069999999999936</v>
      </c>
      <c r="M290" s="10">
        <v>580.17999999999995</v>
      </c>
      <c r="N290" s="10">
        <v>589.65</v>
      </c>
      <c r="O290" s="10">
        <f t="shared" si="115"/>
        <v>9.4700000000000273</v>
      </c>
      <c r="P290" s="11">
        <v>11022.999688729617</v>
      </c>
      <c r="Q290" s="11">
        <v>23804.762315143576</v>
      </c>
      <c r="R290" s="11">
        <v>28000</v>
      </c>
      <c r="S290" s="11">
        <v>13811047</v>
      </c>
      <c r="T290" s="11">
        <v>1657326</v>
      </c>
      <c r="U290" s="12">
        <f t="shared" si="116"/>
        <v>0.12000002606609042</v>
      </c>
      <c r="V290" s="13">
        <f>L290*R290</f>
        <v>589959.99999999825</v>
      </c>
      <c r="W290" s="10">
        <f t="shared" si="117"/>
        <v>70795.215377950488</v>
      </c>
      <c r="X290" s="15"/>
      <c r="Y290" s="15"/>
      <c r="Z290" s="11">
        <f t="shared" si="118"/>
        <v>14401006.999999998</v>
      </c>
      <c r="AA290" s="14"/>
      <c r="AB290" s="14"/>
      <c r="AC290" s="11">
        <f t="shared" si="119"/>
        <v>14401006.999999998</v>
      </c>
      <c r="AD290" s="10">
        <f t="shared" si="120"/>
        <v>300</v>
      </c>
      <c r="AE290" s="15">
        <v>174054</v>
      </c>
      <c r="AF290" s="16">
        <v>31330</v>
      </c>
      <c r="AG290" s="15">
        <f t="shared" si="121"/>
        <v>2841.0000000000082</v>
      </c>
      <c r="AH290" s="15">
        <f t="shared" si="122"/>
        <v>511.38000000000147</v>
      </c>
      <c r="AI290" s="15">
        <f t="shared" si="123"/>
        <v>176895</v>
      </c>
      <c r="AJ290" s="15">
        <f t="shared" si="124"/>
        <v>31842</v>
      </c>
      <c r="AK290" s="10">
        <v>174054</v>
      </c>
      <c r="AL290" s="15">
        <f t="shared" si="125"/>
        <v>176895</v>
      </c>
      <c r="AM290" s="15">
        <f t="shared" si="126"/>
        <v>14577902</v>
      </c>
      <c r="AN290" s="15">
        <f t="shared" si="127"/>
        <v>1759964</v>
      </c>
      <c r="AO290" s="15">
        <f t="shared" si="132"/>
        <v>1937443.36</v>
      </c>
      <c r="AP290" s="17">
        <f t="shared" si="128"/>
        <v>16515345.359999999</v>
      </c>
      <c r="AQ290" s="15">
        <v>13811050</v>
      </c>
      <c r="AR290" s="15">
        <v>584.36</v>
      </c>
      <c r="AS290" s="18">
        <f t="shared" si="133"/>
        <v>2704295</v>
      </c>
      <c r="AT290" s="19">
        <v>0</v>
      </c>
      <c r="AU290" s="8">
        <v>8800</v>
      </c>
      <c r="AV290" s="13">
        <f t="shared" si="134"/>
        <v>5188920</v>
      </c>
      <c r="AW290" s="18">
        <f t="shared" si="135"/>
        <v>14577902</v>
      </c>
      <c r="AX290" s="15">
        <f t="shared" si="129"/>
        <v>14578000</v>
      </c>
      <c r="AY290" s="20">
        <v>7.0000000000000007E-2</v>
      </c>
      <c r="AZ290" s="13">
        <f t="shared" si="130"/>
        <v>1020460.0000000001</v>
      </c>
      <c r="BA290" s="15">
        <f t="shared" si="131"/>
        <v>1020500</v>
      </c>
      <c r="BB290" s="21">
        <f t="shared" si="136"/>
        <v>3724795</v>
      </c>
      <c r="BC290" s="10">
        <f t="shared" si="137"/>
        <v>1.6816581931951453</v>
      </c>
      <c r="BD290" s="10">
        <f t="shared" si="138"/>
        <v>1.6322520597056136</v>
      </c>
      <c r="BE290" s="10">
        <v>118.36</v>
      </c>
      <c r="BF290" s="10">
        <v>54.78</v>
      </c>
      <c r="BG290" s="107">
        <v>46176</v>
      </c>
      <c r="BH290" s="107">
        <f t="shared" si="113"/>
        <v>46206</v>
      </c>
      <c r="BI290" s="23">
        <v>7</v>
      </c>
      <c r="BJ290" s="6"/>
      <c r="BK290" s="6"/>
      <c r="BL290" s="24">
        <f>VLOOKUP(A290,[2]Sheet1!$D$2:$H$933,5,0)</f>
        <v>0</v>
      </c>
      <c r="BM290" s="6" t="s">
        <v>3828</v>
      </c>
      <c r="BN290" s="6" t="s">
        <v>3829</v>
      </c>
      <c r="BO290" s="6" t="s">
        <v>3820</v>
      </c>
      <c r="BP290" s="6" t="s">
        <v>3821</v>
      </c>
      <c r="BQ290" s="6" t="s">
        <v>3830</v>
      </c>
      <c r="BR290" t="s">
        <v>3823</v>
      </c>
      <c r="BS290" t="s">
        <v>3824</v>
      </c>
      <c r="BT290" t="s">
        <v>3825</v>
      </c>
      <c r="BU290" t="s">
        <v>3826</v>
      </c>
      <c r="BV290" t="s">
        <v>3827</v>
      </c>
      <c r="BW290" t="s">
        <v>3835</v>
      </c>
      <c r="BX290">
        <v>0</v>
      </c>
      <c r="BY290" t="s">
        <v>3859</v>
      </c>
      <c r="BZ290" t="s">
        <v>3860</v>
      </c>
    </row>
    <row r="291" spans="1:78" x14ac:dyDescent="0.25">
      <c r="A291" s="7" t="s">
        <v>1253</v>
      </c>
      <c r="B291" s="7" t="s">
        <v>181</v>
      </c>
      <c r="C291" s="7" t="s">
        <v>1251</v>
      </c>
      <c r="D291" s="8" t="s">
        <v>1252</v>
      </c>
      <c r="E291" s="7" t="s">
        <v>1254</v>
      </c>
      <c r="F291" s="9">
        <v>45123</v>
      </c>
      <c r="G291" s="9" t="s">
        <v>404</v>
      </c>
      <c r="H291" s="9" t="s">
        <v>66</v>
      </c>
      <c r="I291" s="8" t="s">
        <v>78</v>
      </c>
      <c r="J291" s="10">
        <v>973.5</v>
      </c>
      <c r="K291" s="10">
        <v>973.5</v>
      </c>
      <c r="L291" s="10">
        <f t="shared" si="114"/>
        <v>0</v>
      </c>
      <c r="M291" s="10">
        <v>453.16</v>
      </c>
      <c r="N291" s="10">
        <v>453.16</v>
      </c>
      <c r="O291" s="10">
        <f t="shared" si="115"/>
        <v>0</v>
      </c>
      <c r="P291" s="11">
        <v>13720.702619414484</v>
      </c>
      <c r="Q291" s="11">
        <v>29475.470032659545</v>
      </c>
      <c r="R291" s="11">
        <v>22000</v>
      </c>
      <c r="S291" s="11">
        <v>13357104</v>
      </c>
      <c r="T291" s="11">
        <v>1602852</v>
      </c>
      <c r="U291" s="12">
        <f t="shared" si="116"/>
        <v>0.11999996406406659</v>
      </c>
      <c r="V291" s="13">
        <f>L291*P291</f>
        <v>0</v>
      </c>
      <c r="W291" s="10">
        <f t="shared" si="117"/>
        <v>0</v>
      </c>
      <c r="X291" s="10"/>
      <c r="Y291" s="10"/>
      <c r="Z291" s="11">
        <f t="shared" si="118"/>
        <v>13357104</v>
      </c>
      <c r="AA291" s="14"/>
      <c r="AB291" s="14"/>
      <c r="AC291" s="11">
        <f t="shared" si="119"/>
        <v>13357104</v>
      </c>
      <c r="AD291" s="10">
        <f t="shared" si="120"/>
        <v>300</v>
      </c>
      <c r="AE291" s="15">
        <v>135948</v>
      </c>
      <c r="AF291" s="16">
        <v>24470</v>
      </c>
      <c r="AG291" s="15">
        <f t="shared" si="121"/>
        <v>0</v>
      </c>
      <c r="AH291" s="15">
        <f t="shared" si="122"/>
        <v>0</v>
      </c>
      <c r="AI291" s="15">
        <f t="shared" si="123"/>
        <v>135948</v>
      </c>
      <c r="AJ291" s="15">
        <f t="shared" si="124"/>
        <v>24471</v>
      </c>
      <c r="AK291" s="10">
        <v>135948</v>
      </c>
      <c r="AL291" s="15">
        <f t="shared" si="125"/>
        <v>135948</v>
      </c>
      <c r="AM291" s="15">
        <f t="shared" si="126"/>
        <v>13493052</v>
      </c>
      <c r="AN291" s="15">
        <f t="shared" si="127"/>
        <v>1627323</v>
      </c>
      <c r="AO291" s="15">
        <f t="shared" si="132"/>
        <v>1763271</v>
      </c>
      <c r="AP291" s="17">
        <f t="shared" si="128"/>
        <v>15256323</v>
      </c>
      <c r="AQ291" s="15">
        <v>13615371</v>
      </c>
      <c r="AR291" s="15">
        <v>0</v>
      </c>
      <c r="AS291" s="18">
        <f t="shared" si="133"/>
        <v>1640952</v>
      </c>
      <c r="AT291" s="19">
        <v>0</v>
      </c>
      <c r="AU291" s="8">
        <v>8800</v>
      </c>
      <c r="AV291" s="13">
        <f t="shared" si="134"/>
        <v>3987808</v>
      </c>
      <c r="AW291" s="18">
        <f t="shared" si="135"/>
        <v>13493052</v>
      </c>
      <c r="AX291" s="15">
        <f t="shared" si="129"/>
        <v>13494000</v>
      </c>
      <c r="AY291" s="20">
        <v>0.06</v>
      </c>
      <c r="AZ291" s="13">
        <f t="shared" si="130"/>
        <v>809640</v>
      </c>
      <c r="BA291" s="15">
        <f t="shared" si="131"/>
        <v>809700</v>
      </c>
      <c r="BB291" s="21">
        <f t="shared" si="136"/>
        <v>2450652</v>
      </c>
      <c r="BC291" s="10">
        <f t="shared" si="137"/>
        <v>0</v>
      </c>
      <c r="BD291" s="10">
        <f t="shared" si="138"/>
        <v>0</v>
      </c>
      <c r="BE291" s="10">
        <v>90.44</v>
      </c>
      <c r="BF291" s="10">
        <v>42.1</v>
      </c>
      <c r="BG291" s="107">
        <v>46176</v>
      </c>
      <c r="BH291" s="107">
        <f t="shared" si="113"/>
        <v>46206</v>
      </c>
      <c r="BI291" s="23">
        <v>6</v>
      </c>
      <c r="BJ291" s="6"/>
      <c r="BK291" s="6"/>
      <c r="BL291" s="24">
        <f>VLOOKUP(A291,[2]Sheet1!$D$2:$H$933,5,0)</f>
        <v>0</v>
      </c>
      <c r="BM291" s="6" t="s">
        <v>3828</v>
      </c>
      <c r="BN291" s="6" t="s">
        <v>3829</v>
      </c>
      <c r="BO291" s="6" t="s">
        <v>3820</v>
      </c>
      <c r="BP291" s="6" t="s">
        <v>3821</v>
      </c>
      <c r="BQ291" s="6" t="s">
        <v>3830</v>
      </c>
      <c r="BR291" t="s">
        <v>3823</v>
      </c>
      <c r="BS291" t="s">
        <v>3824</v>
      </c>
      <c r="BT291" t="s">
        <v>3825</v>
      </c>
      <c r="BU291" t="s">
        <v>3826</v>
      </c>
      <c r="BV291" t="s">
        <v>3827</v>
      </c>
      <c r="BW291" t="s">
        <v>3835</v>
      </c>
      <c r="BX291">
        <v>0</v>
      </c>
      <c r="BY291" t="s">
        <v>3869</v>
      </c>
      <c r="BZ291" t="s">
        <v>3863</v>
      </c>
    </row>
    <row r="292" spans="1:78" x14ac:dyDescent="0.25">
      <c r="A292" s="7" t="s">
        <v>1257</v>
      </c>
      <c r="B292" s="7" t="s">
        <v>181</v>
      </c>
      <c r="C292" s="7" t="s">
        <v>1255</v>
      </c>
      <c r="D292" s="8" t="s">
        <v>1256</v>
      </c>
      <c r="E292" s="7" t="s">
        <v>1258</v>
      </c>
      <c r="F292" s="9">
        <v>44861</v>
      </c>
      <c r="G292" s="9" t="s">
        <v>717</v>
      </c>
      <c r="H292" s="9" t="s">
        <v>87</v>
      </c>
      <c r="I292" s="8" t="s">
        <v>78</v>
      </c>
      <c r="J292" s="10">
        <v>462.85</v>
      </c>
      <c r="K292" s="10">
        <v>462.85</v>
      </c>
      <c r="L292" s="10">
        <f t="shared" si="114"/>
        <v>0</v>
      </c>
      <c r="M292" s="10">
        <v>207.75</v>
      </c>
      <c r="N292" s="10">
        <v>207.75</v>
      </c>
      <c r="O292" s="10">
        <f t="shared" si="115"/>
        <v>0</v>
      </c>
      <c r="P292" s="11">
        <v>24537.999351841849</v>
      </c>
      <c r="Q292" s="11">
        <v>54668.654632972321</v>
      </c>
      <c r="R292" s="11">
        <v>40000</v>
      </c>
      <c r="S292" s="11">
        <v>11357413</v>
      </c>
      <c r="T292" s="11">
        <v>1362892</v>
      </c>
      <c r="U292" s="12">
        <f t="shared" si="116"/>
        <v>0.12000021483765713</v>
      </c>
      <c r="V292" s="13">
        <f>L292*P292</f>
        <v>0</v>
      </c>
      <c r="W292" s="10">
        <f t="shared" si="117"/>
        <v>0</v>
      </c>
      <c r="X292" s="10"/>
      <c r="Y292" s="10"/>
      <c r="Z292" s="11">
        <f t="shared" si="118"/>
        <v>11357413</v>
      </c>
      <c r="AA292" s="14">
        <v>2768616</v>
      </c>
      <c r="AB292" s="14">
        <v>332234</v>
      </c>
      <c r="AC292" s="11">
        <f t="shared" si="119"/>
        <v>8588797</v>
      </c>
      <c r="AD292" s="10">
        <f t="shared" si="120"/>
        <v>300</v>
      </c>
      <c r="AE292" s="15">
        <v>62325</v>
      </c>
      <c r="AF292" s="16">
        <v>11218</v>
      </c>
      <c r="AG292" s="15">
        <f t="shared" si="121"/>
        <v>0</v>
      </c>
      <c r="AH292" s="15">
        <f t="shared" si="122"/>
        <v>0</v>
      </c>
      <c r="AI292" s="15">
        <f t="shared" si="123"/>
        <v>62325</v>
      </c>
      <c r="AJ292" s="15">
        <f t="shared" si="124"/>
        <v>11219</v>
      </c>
      <c r="AK292" s="10">
        <v>62325</v>
      </c>
      <c r="AL292" s="15">
        <f t="shared" si="125"/>
        <v>62325</v>
      </c>
      <c r="AM292" s="15">
        <f t="shared" si="126"/>
        <v>8651122</v>
      </c>
      <c r="AN292" s="15">
        <f t="shared" si="127"/>
        <v>1041877</v>
      </c>
      <c r="AO292" s="15">
        <f t="shared" si="132"/>
        <v>1104710</v>
      </c>
      <c r="AP292" s="17">
        <f t="shared" si="128"/>
        <v>9755832</v>
      </c>
      <c r="AQ292" s="15">
        <v>8245208</v>
      </c>
      <c r="AR292" s="15">
        <v>508</v>
      </c>
      <c r="AS292" s="18">
        <f t="shared" si="133"/>
        <v>1510624</v>
      </c>
      <c r="AT292" s="19">
        <v>0</v>
      </c>
      <c r="AU292" s="8">
        <v>8800</v>
      </c>
      <c r="AV292" s="13">
        <f t="shared" si="134"/>
        <v>1828200</v>
      </c>
      <c r="AW292" s="18">
        <f t="shared" si="135"/>
        <v>8651122</v>
      </c>
      <c r="AX292" s="15">
        <f t="shared" si="129"/>
        <v>8652000</v>
      </c>
      <c r="AY292" s="20">
        <v>7.0000000000000007E-2</v>
      </c>
      <c r="AZ292" s="13">
        <f t="shared" si="130"/>
        <v>605640</v>
      </c>
      <c r="BA292" s="15">
        <f t="shared" si="131"/>
        <v>605700</v>
      </c>
      <c r="BB292" s="21">
        <f t="shared" si="136"/>
        <v>2116324</v>
      </c>
      <c r="BC292" s="10">
        <f t="shared" si="137"/>
        <v>0</v>
      </c>
      <c r="BD292" s="10">
        <f t="shared" si="138"/>
        <v>0</v>
      </c>
      <c r="BE292" s="10">
        <v>43</v>
      </c>
      <c r="BF292" s="10">
        <v>19.3</v>
      </c>
      <c r="BG292" s="107">
        <v>46176</v>
      </c>
      <c r="BH292" s="107">
        <f t="shared" si="113"/>
        <v>46206</v>
      </c>
      <c r="BI292" s="23">
        <v>7</v>
      </c>
      <c r="BJ292" s="6"/>
      <c r="BK292" s="6"/>
      <c r="BL292" s="24">
        <f>VLOOKUP(A292,[2]Sheet1!$D$2:$H$933,5,0)</f>
        <v>0</v>
      </c>
      <c r="BM292" s="6" t="s">
        <v>3828</v>
      </c>
      <c r="BN292" s="6" t="s">
        <v>3829</v>
      </c>
      <c r="BO292" s="6" t="s">
        <v>3820</v>
      </c>
      <c r="BP292" s="6" t="s">
        <v>3821</v>
      </c>
      <c r="BQ292" s="6" t="s">
        <v>3830</v>
      </c>
      <c r="BR292" t="s">
        <v>3823</v>
      </c>
      <c r="BS292" t="s">
        <v>3824</v>
      </c>
      <c r="BT292" t="s">
        <v>3825</v>
      </c>
      <c r="BU292" t="s">
        <v>3826</v>
      </c>
      <c r="BV292" t="s">
        <v>3827</v>
      </c>
      <c r="BW292" t="s">
        <v>3835</v>
      </c>
      <c r="BX292">
        <v>0</v>
      </c>
      <c r="BY292" t="s">
        <v>3866</v>
      </c>
      <c r="BZ292" t="s">
        <v>3872</v>
      </c>
    </row>
    <row r="293" spans="1:78" x14ac:dyDescent="0.25">
      <c r="A293" s="7" t="s">
        <v>1261</v>
      </c>
      <c r="B293" s="7" t="s">
        <v>181</v>
      </c>
      <c r="C293" s="7" t="s">
        <v>1259</v>
      </c>
      <c r="D293" s="8" t="s">
        <v>1260</v>
      </c>
      <c r="E293" s="7" t="s">
        <v>1262</v>
      </c>
      <c r="F293" s="9">
        <v>44929</v>
      </c>
      <c r="G293" s="9" t="s">
        <v>65</v>
      </c>
      <c r="H293" s="9" t="s">
        <v>66</v>
      </c>
      <c r="I293" s="8" t="s">
        <v>78</v>
      </c>
      <c r="J293" s="10">
        <v>477.28</v>
      </c>
      <c r="K293" s="10">
        <v>477.28</v>
      </c>
      <c r="L293" s="10">
        <f t="shared" si="114"/>
        <v>0</v>
      </c>
      <c r="M293" s="10">
        <v>220.66</v>
      </c>
      <c r="N293" s="10">
        <v>220.66</v>
      </c>
      <c r="O293" s="10">
        <f t="shared" si="115"/>
        <v>0</v>
      </c>
      <c r="P293" s="11">
        <v>15610.802883003689</v>
      </c>
      <c r="Q293" s="11">
        <v>33765.630381582523</v>
      </c>
      <c r="R293" s="11">
        <v>22000</v>
      </c>
      <c r="S293" s="11">
        <v>7450724</v>
      </c>
      <c r="T293" s="11">
        <v>894088</v>
      </c>
      <c r="U293" s="12">
        <f t="shared" si="116"/>
        <v>0.1200001503209621</v>
      </c>
      <c r="V293" s="13">
        <f>L293*P293</f>
        <v>0</v>
      </c>
      <c r="W293" s="10">
        <f t="shared" si="117"/>
        <v>0</v>
      </c>
      <c r="X293" s="10"/>
      <c r="Y293" s="10"/>
      <c r="Z293" s="11">
        <f t="shared" si="118"/>
        <v>7450724</v>
      </c>
      <c r="AA293" s="14"/>
      <c r="AB293" s="14"/>
      <c r="AC293" s="11">
        <f t="shared" si="119"/>
        <v>7450724</v>
      </c>
      <c r="AD293" s="10">
        <f t="shared" si="120"/>
        <v>300</v>
      </c>
      <c r="AE293" s="15">
        <v>66198</v>
      </c>
      <c r="AF293" s="16">
        <v>11916</v>
      </c>
      <c r="AG293" s="15">
        <f t="shared" si="121"/>
        <v>0</v>
      </c>
      <c r="AH293" s="15">
        <f t="shared" si="122"/>
        <v>0</v>
      </c>
      <c r="AI293" s="15">
        <f t="shared" si="123"/>
        <v>66198</v>
      </c>
      <c r="AJ293" s="15">
        <f t="shared" si="124"/>
        <v>11916</v>
      </c>
      <c r="AK293" s="10">
        <v>66198</v>
      </c>
      <c r="AL293" s="15">
        <f t="shared" si="125"/>
        <v>66198</v>
      </c>
      <c r="AM293" s="15">
        <f t="shared" si="126"/>
        <v>7516922</v>
      </c>
      <c r="AN293" s="15">
        <f t="shared" si="127"/>
        <v>906004</v>
      </c>
      <c r="AO293" s="15">
        <f t="shared" si="132"/>
        <v>972727</v>
      </c>
      <c r="AP293" s="17">
        <f t="shared" si="128"/>
        <v>8489649</v>
      </c>
      <c r="AQ293" s="15">
        <v>7155026</v>
      </c>
      <c r="AR293" s="15">
        <v>525</v>
      </c>
      <c r="AS293" s="18">
        <f t="shared" si="133"/>
        <v>1334623</v>
      </c>
      <c r="AT293" s="19">
        <v>0</v>
      </c>
      <c r="AU293" s="8">
        <v>8800</v>
      </c>
      <c r="AV293" s="13">
        <f t="shared" si="134"/>
        <v>1941808</v>
      </c>
      <c r="AW293" s="18">
        <f t="shared" si="135"/>
        <v>7516922</v>
      </c>
      <c r="AX293" s="15">
        <f t="shared" si="129"/>
        <v>7517000</v>
      </c>
      <c r="AY293" s="20">
        <v>7.0000000000000007E-2</v>
      </c>
      <c r="AZ293" s="13">
        <f t="shared" si="130"/>
        <v>526190</v>
      </c>
      <c r="BA293" s="15">
        <f t="shared" si="131"/>
        <v>526200</v>
      </c>
      <c r="BB293" s="21">
        <f t="shared" si="136"/>
        <v>1860823</v>
      </c>
      <c r="BC293" s="10">
        <f t="shared" si="137"/>
        <v>0</v>
      </c>
      <c r="BD293" s="10">
        <f t="shared" si="138"/>
        <v>0</v>
      </c>
      <c r="BE293" s="10">
        <v>44.34</v>
      </c>
      <c r="BF293" s="10">
        <v>20.5</v>
      </c>
      <c r="BG293" s="107">
        <v>46176</v>
      </c>
      <c r="BH293" s="107">
        <f t="shared" si="113"/>
        <v>46206</v>
      </c>
      <c r="BI293" s="23">
        <v>7</v>
      </c>
      <c r="BJ293" s="6"/>
      <c r="BK293" s="6"/>
      <c r="BL293" s="24">
        <f>VLOOKUP(A293,[2]Sheet1!$D$2:$H$933,5,0)</f>
        <v>0</v>
      </c>
      <c r="BM293" s="6" t="s">
        <v>3828</v>
      </c>
      <c r="BN293" s="6" t="s">
        <v>3829</v>
      </c>
      <c r="BO293" s="6" t="s">
        <v>3820</v>
      </c>
      <c r="BP293" s="6" t="s">
        <v>3821</v>
      </c>
      <c r="BQ293" s="6" t="s">
        <v>3830</v>
      </c>
      <c r="BR293" t="s">
        <v>3823</v>
      </c>
      <c r="BS293" t="s">
        <v>3824</v>
      </c>
      <c r="BT293" t="s">
        <v>3825</v>
      </c>
      <c r="BU293" t="s">
        <v>3826</v>
      </c>
      <c r="BV293" t="s">
        <v>3827</v>
      </c>
      <c r="BW293" t="s">
        <v>3835</v>
      </c>
      <c r="BX293">
        <v>0</v>
      </c>
      <c r="BY293" t="s">
        <v>3862</v>
      </c>
      <c r="BZ293" t="s">
        <v>3860</v>
      </c>
    </row>
    <row r="294" spans="1:78" x14ac:dyDescent="0.25">
      <c r="A294" s="31" t="s">
        <v>1265</v>
      </c>
      <c r="B294" s="31" t="s">
        <v>181</v>
      </c>
      <c r="C294" s="31" t="s">
        <v>1263</v>
      </c>
      <c r="D294" s="32" t="s">
        <v>1264</v>
      </c>
      <c r="E294" s="31" t="s">
        <v>1093</v>
      </c>
      <c r="F294" s="33">
        <v>44854</v>
      </c>
      <c r="G294" s="33" t="s">
        <v>717</v>
      </c>
      <c r="H294" s="33" t="s">
        <v>92</v>
      </c>
      <c r="I294" s="32" t="s">
        <v>78</v>
      </c>
      <c r="J294" s="34">
        <v>596.33000000000004</v>
      </c>
      <c r="K294" s="34">
        <v>674</v>
      </c>
      <c r="L294" s="34">
        <f t="shared" si="114"/>
        <v>77.669999999999959</v>
      </c>
      <c r="M294" s="34">
        <v>266.95</v>
      </c>
      <c r="N294" s="34">
        <v>302</v>
      </c>
      <c r="O294" s="34">
        <f t="shared" si="115"/>
        <v>35.050000000000011</v>
      </c>
      <c r="P294" s="35">
        <v>20800</v>
      </c>
      <c r="Q294" s="35">
        <v>46464.371605169508</v>
      </c>
      <c r="R294" s="35">
        <v>28000</v>
      </c>
      <c r="S294" s="35">
        <v>12403664</v>
      </c>
      <c r="T294" s="35">
        <v>1488440</v>
      </c>
      <c r="U294" s="36">
        <f t="shared" si="116"/>
        <v>0.12000002579882847</v>
      </c>
      <c r="V294" s="37">
        <f>L294*R294</f>
        <v>2174759.9999999991</v>
      </c>
      <c r="W294" s="34">
        <f t="shared" si="117"/>
        <v>260971.25610626009</v>
      </c>
      <c r="X294" s="39"/>
      <c r="Y294" s="39"/>
      <c r="Z294" s="35">
        <f t="shared" si="118"/>
        <v>14578424</v>
      </c>
      <c r="AA294" s="38">
        <v>4429153</v>
      </c>
      <c r="AB294" s="38">
        <v>531499</v>
      </c>
      <c r="AC294" s="35">
        <f t="shared" si="119"/>
        <v>10149271</v>
      </c>
      <c r="AD294" s="34">
        <f t="shared" si="120"/>
        <v>300</v>
      </c>
      <c r="AE294" s="39">
        <v>80085</v>
      </c>
      <c r="AF294" s="40">
        <v>14416</v>
      </c>
      <c r="AG294" s="39">
        <f t="shared" si="121"/>
        <v>10515.000000000004</v>
      </c>
      <c r="AH294" s="39">
        <f t="shared" si="122"/>
        <v>1892.7000000000005</v>
      </c>
      <c r="AI294" s="39">
        <f t="shared" si="123"/>
        <v>90600</v>
      </c>
      <c r="AJ294" s="39">
        <f t="shared" si="124"/>
        <v>16308</v>
      </c>
      <c r="AK294" s="34">
        <v>80085</v>
      </c>
      <c r="AL294" s="39">
        <f t="shared" si="125"/>
        <v>90600</v>
      </c>
      <c r="AM294" s="39">
        <f t="shared" si="126"/>
        <v>10239871</v>
      </c>
      <c r="AN294" s="39">
        <f t="shared" si="127"/>
        <v>1234221</v>
      </c>
      <c r="AO294" s="39">
        <f t="shared" si="132"/>
        <v>1325376</v>
      </c>
      <c r="AP294" s="41">
        <f t="shared" si="128"/>
        <v>11565247</v>
      </c>
      <c r="AQ294" s="39">
        <v>7853248</v>
      </c>
      <c r="AR294" s="15">
        <v>555</v>
      </c>
      <c r="AS294" s="42">
        <f t="shared" si="133"/>
        <v>3711999</v>
      </c>
      <c r="AT294" s="43">
        <v>0</v>
      </c>
      <c r="AU294" s="32">
        <v>8800</v>
      </c>
      <c r="AV294" s="37">
        <f t="shared" si="134"/>
        <v>2657600</v>
      </c>
      <c r="AW294" s="42">
        <f t="shared" si="135"/>
        <v>10239871</v>
      </c>
      <c r="AX294" s="39">
        <f t="shared" si="129"/>
        <v>10240000</v>
      </c>
      <c r="AY294" s="44">
        <v>7.0000000000000007E-2</v>
      </c>
      <c r="AZ294" s="37">
        <f t="shared" si="130"/>
        <v>716800.00000000012</v>
      </c>
      <c r="BA294" s="39">
        <f t="shared" si="131"/>
        <v>716800</v>
      </c>
      <c r="BB294" s="45">
        <f t="shared" si="136"/>
        <v>4428799</v>
      </c>
      <c r="BC294" s="34">
        <f t="shared" si="137"/>
        <v>13.024667549846553</v>
      </c>
      <c r="BD294" s="34">
        <f t="shared" si="138"/>
        <v>13.129799587937821</v>
      </c>
      <c r="BE294" s="34">
        <v>62.62</v>
      </c>
      <c r="BF294" s="34">
        <v>28.06</v>
      </c>
      <c r="BG294" s="107">
        <v>46176</v>
      </c>
      <c r="BH294" s="108">
        <f t="shared" si="113"/>
        <v>46206</v>
      </c>
      <c r="BI294" s="46">
        <v>7</v>
      </c>
      <c r="BJ294" s="47" t="s">
        <v>754</v>
      </c>
      <c r="BK294" s="47"/>
      <c r="BL294" s="24">
        <f>VLOOKUP(A294,[2]Sheet1!$D$2:$H$933,5,0)</f>
        <v>0</v>
      </c>
      <c r="BM294" s="6" t="s">
        <v>3828</v>
      </c>
      <c r="BN294" s="6" t="s">
        <v>3829</v>
      </c>
      <c r="BO294" s="6" t="s">
        <v>3820</v>
      </c>
      <c r="BP294" s="6" t="s">
        <v>3821</v>
      </c>
      <c r="BQ294" s="6" t="s">
        <v>3830</v>
      </c>
      <c r="BR294" t="s">
        <v>3823</v>
      </c>
      <c r="BS294" t="s">
        <v>3824</v>
      </c>
      <c r="BT294" t="s">
        <v>3825</v>
      </c>
      <c r="BU294" t="s">
        <v>3826</v>
      </c>
      <c r="BV294" t="s">
        <v>3827</v>
      </c>
      <c r="BW294" t="s">
        <v>3835</v>
      </c>
      <c r="BX294" s="101"/>
      <c r="BY294" t="s">
        <v>3866</v>
      </c>
      <c r="BZ294" t="s">
        <v>3872</v>
      </c>
    </row>
    <row r="295" spans="1:78" x14ac:dyDescent="0.25">
      <c r="A295" s="7" t="s">
        <v>1268</v>
      </c>
      <c r="B295" s="7" t="s">
        <v>181</v>
      </c>
      <c r="C295" s="7" t="s">
        <v>1266</v>
      </c>
      <c r="D295" s="8" t="s">
        <v>1267</v>
      </c>
      <c r="E295" s="7" t="s">
        <v>1269</v>
      </c>
      <c r="F295" s="9">
        <v>44896</v>
      </c>
      <c r="G295" s="9" t="s">
        <v>77</v>
      </c>
      <c r="H295" s="9" t="s">
        <v>66</v>
      </c>
      <c r="I295" s="8" t="s">
        <v>78</v>
      </c>
      <c r="J295" s="10">
        <v>449.07</v>
      </c>
      <c r="K295" s="10">
        <v>441.75</v>
      </c>
      <c r="L295" s="10">
        <f t="shared" si="114"/>
        <v>-7.3199999999999932</v>
      </c>
      <c r="M295" s="10">
        <v>181.91</v>
      </c>
      <c r="N295" s="10">
        <v>190</v>
      </c>
      <c r="O295" s="10">
        <f t="shared" si="115"/>
        <v>8.0900000000000034</v>
      </c>
      <c r="P295" s="11">
        <v>18296.180996281204</v>
      </c>
      <c r="Q295" s="11">
        <v>45166.653839810897</v>
      </c>
      <c r="R295" s="11">
        <v>22000</v>
      </c>
      <c r="S295" s="11">
        <v>8216266</v>
      </c>
      <c r="T295" s="11">
        <v>985952</v>
      </c>
      <c r="U295" s="12">
        <f t="shared" si="116"/>
        <v>0.12000000973678311</v>
      </c>
      <c r="V295" s="13">
        <f t="shared" ref="V295:V302" si="141">L295*P295</f>
        <v>-133928.0448927783</v>
      </c>
      <c r="W295" s="10">
        <f t="shared" si="117"/>
        <v>-16071.366691161722</v>
      </c>
      <c r="X295" s="15"/>
      <c r="Y295" s="15"/>
      <c r="Z295" s="11">
        <f t="shared" si="118"/>
        <v>8082337.9551072214</v>
      </c>
      <c r="AA295" s="14">
        <v>427345</v>
      </c>
      <c r="AB295" s="14">
        <v>51282</v>
      </c>
      <c r="AC295" s="11">
        <f t="shared" si="119"/>
        <v>7654992.9551072214</v>
      </c>
      <c r="AD295" s="10">
        <f t="shared" si="120"/>
        <v>300</v>
      </c>
      <c r="AE295" s="15">
        <v>54573</v>
      </c>
      <c r="AF295" s="16">
        <v>9824</v>
      </c>
      <c r="AG295" s="15">
        <f t="shared" si="121"/>
        <v>2427.0000000000009</v>
      </c>
      <c r="AH295" s="15">
        <f t="shared" si="122"/>
        <v>436.86000000000013</v>
      </c>
      <c r="AI295" s="15">
        <f t="shared" si="123"/>
        <v>57000</v>
      </c>
      <c r="AJ295" s="15">
        <f t="shared" si="124"/>
        <v>10260</v>
      </c>
      <c r="AK295" s="10">
        <v>54573</v>
      </c>
      <c r="AL295" s="15">
        <f t="shared" si="125"/>
        <v>57000</v>
      </c>
      <c r="AM295" s="15">
        <f t="shared" si="126"/>
        <v>7711993</v>
      </c>
      <c r="AN295" s="15">
        <f t="shared" si="127"/>
        <v>928859</v>
      </c>
      <c r="AO295" s="15">
        <f t="shared" si="132"/>
        <v>986304</v>
      </c>
      <c r="AP295" s="17">
        <f t="shared" si="128"/>
        <v>8698297</v>
      </c>
      <c r="AQ295" s="15">
        <v>8128024</v>
      </c>
      <c r="AR295" s="15">
        <v>445</v>
      </c>
      <c r="AS295" s="18">
        <f t="shared" si="133"/>
        <v>570273</v>
      </c>
      <c r="AT295" s="19">
        <v>0</v>
      </c>
      <c r="AU295" s="8">
        <v>8800</v>
      </c>
      <c r="AV295" s="13">
        <f t="shared" si="134"/>
        <v>1672000</v>
      </c>
      <c r="AW295" s="18">
        <f t="shared" si="135"/>
        <v>7711993</v>
      </c>
      <c r="AX295" s="15">
        <f t="shared" si="129"/>
        <v>7712000</v>
      </c>
      <c r="AY295" s="20">
        <v>7.0000000000000007E-2</v>
      </c>
      <c r="AZ295" s="13">
        <f t="shared" si="130"/>
        <v>539840</v>
      </c>
      <c r="BA295" s="15">
        <f t="shared" si="131"/>
        <v>539900</v>
      </c>
      <c r="BB295" s="21">
        <f t="shared" si="136"/>
        <v>1110173</v>
      </c>
      <c r="BC295" s="10">
        <f t="shared" si="137"/>
        <v>-1.630035406506779</v>
      </c>
      <c r="BD295" s="10">
        <f t="shared" si="138"/>
        <v>4.4472541366609883</v>
      </c>
      <c r="BE295" s="10">
        <v>41.04</v>
      </c>
      <c r="BF295" s="10">
        <v>17.649999999999999</v>
      </c>
      <c r="BG295" s="107">
        <v>46176</v>
      </c>
      <c r="BH295" s="107">
        <f t="shared" si="113"/>
        <v>46206</v>
      </c>
      <c r="BI295" s="23">
        <v>7</v>
      </c>
      <c r="BJ295" s="6"/>
      <c r="BK295" s="6"/>
      <c r="BL295" s="24">
        <f>VLOOKUP(A295,[2]Sheet1!$D$2:$H$933,5,0)</f>
        <v>0</v>
      </c>
      <c r="BM295" s="6" t="s">
        <v>3828</v>
      </c>
      <c r="BN295" s="6" t="s">
        <v>3829</v>
      </c>
      <c r="BO295" s="6" t="s">
        <v>3820</v>
      </c>
      <c r="BP295" s="6" t="s">
        <v>3821</v>
      </c>
      <c r="BQ295" s="6" t="s">
        <v>3830</v>
      </c>
      <c r="BR295" t="s">
        <v>3823</v>
      </c>
      <c r="BS295" t="s">
        <v>3824</v>
      </c>
      <c r="BT295" t="s">
        <v>3825</v>
      </c>
      <c r="BU295" t="s">
        <v>3826</v>
      </c>
      <c r="BV295" t="s">
        <v>3827</v>
      </c>
      <c r="BW295" t="s">
        <v>3835</v>
      </c>
      <c r="BX295">
        <v>0</v>
      </c>
      <c r="BY295" t="s">
        <v>3864</v>
      </c>
      <c r="BZ295" t="s">
        <v>3863</v>
      </c>
    </row>
    <row r="296" spans="1:78" x14ac:dyDescent="0.25">
      <c r="A296" s="7" t="s">
        <v>1272</v>
      </c>
      <c r="B296" s="7" t="s">
        <v>181</v>
      </c>
      <c r="C296" s="7" t="s">
        <v>1270</v>
      </c>
      <c r="D296" s="8" t="s">
        <v>1271</v>
      </c>
      <c r="E296" s="7" t="s">
        <v>1273</v>
      </c>
      <c r="F296" s="9">
        <v>45236</v>
      </c>
      <c r="G296" s="9" t="s">
        <v>77</v>
      </c>
      <c r="H296" s="9" t="s">
        <v>87</v>
      </c>
      <c r="I296" s="8" t="s">
        <v>78</v>
      </c>
      <c r="J296" s="10">
        <v>652.29999999999995</v>
      </c>
      <c r="K296" s="10">
        <v>652.29999999999995</v>
      </c>
      <c r="L296" s="10">
        <f t="shared" si="114"/>
        <v>0</v>
      </c>
      <c r="M296" s="10">
        <v>289.55</v>
      </c>
      <c r="N296" s="10">
        <v>289.55</v>
      </c>
      <c r="O296" s="10">
        <f t="shared" si="115"/>
        <v>0</v>
      </c>
      <c r="P296" s="11">
        <v>23233.663958301397</v>
      </c>
      <c r="Q296" s="11">
        <v>52340.939388706611</v>
      </c>
      <c r="R296" s="11">
        <v>40000</v>
      </c>
      <c r="S296" s="11">
        <v>15155319</v>
      </c>
      <c r="T296" s="11">
        <v>1818636</v>
      </c>
      <c r="U296" s="12">
        <f t="shared" si="116"/>
        <v>0.11999984955776913</v>
      </c>
      <c r="V296" s="13">
        <f t="shared" si="141"/>
        <v>0</v>
      </c>
      <c r="W296" s="10">
        <f t="shared" si="117"/>
        <v>0</v>
      </c>
      <c r="X296" s="10"/>
      <c r="Y296" s="10"/>
      <c r="Z296" s="11">
        <f t="shared" si="118"/>
        <v>15155319</v>
      </c>
      <c r="AA296" s="14"/>
      <c r="AB296" s="14"/>
      <c r="AC296" s="11">
        <f t="shared" si="119"/>
        <v>15155319</v>
      </c>
      <c r="AD296" s="10">
        <f t="shared" si="120"/>
        <v>300</v>
      </c>
      <c r="AE296" s="15">
        <v>86865</v>
      </c>
      <c r="AF296" s="16">
        <v>15636</v>
      </c>
      <c r="AG296" s="15">
        <f t="shared" si="121"/>
        <v>0</v>
      </c>
      <c r="AH296" s="15">
        <f t="shared" si="122"/>
        <v>0</v>
      </c>
      <c r="AI296" s="15">
        <f t="shared" si="123"/>
        <v>86865</v>
      </c>
      <c r="AJ296" s="15">
        <f t="shared" si="124"/>
        <v>15636</v>
      </c>
      <c r="AK296" s="10">
        <v>86865</v>
      </c>
      <c r="AL296" s="15">
        <f t="shared" si="125"/>
        <v>86865</v>
      </c>
      <c r="AM296" s="15">
        <f t="shared" si="126"/>
        <v>15242184</v>
      </c>
      <c r="AN296" s="15">
        <f t="shared" si="127"/>
        <v>1834272</v>
      </c>
      <c r="AO296" s="15">
        <f t="shared" si="132"/>
        <v>1921824</v>
      </c>
      <c r="AP296" s="17">
        <f t="shared" si="128"/>
        <v>17164008</v>
      </c>
      <c r="AQ296" s="15">
        <v>15313719</v>
      </c>
      <c r="AR296" s="15">
        <v>687</v>
      </c>
      <c r="AS296" s="18">
        <f t="shared" si="133"/>
        <v>1850289</v>
      </c>
      <c r="AT296" s="19">
        <v>0</v>
      </c>
      <c r="AU296" s="8">
        <v>8800</v>
      </c>
      <c r="AV296" s="13">
        <f t="shared" si="134"/>
        <v>2548040</v>
      </c>
      <c r="AW296" s="18">
        <f t="shared" si="135"/>
        <v>15242184</v>
      </c>
      <c r="AX296" s="15">
        <f t="shared" si="129"/>
        <v>15243000</v>
      </c>
      <c r="AY296" s="20">
        <v>0.06</v>
      </c>
      <c r="AZ296" s="13">
        <f t="shared" si="130"/>
        <v>914580</v>
      </c>
      <c r="BA296" s="15">
        <f t="shared" si="131"/>
        <v>914600</v>
      </c>
      <c r="BB296" s="21">
        <f t="shared" si="136"/>
        <v>2764889</v>
      </c>
      <c r="BC296" s="10">
        <f t="shared" si="137"/>
        <v>0</v>
      </c>
      <c r="BD296" s="10">
        <f t="shared" si="138"/>
        <v>0</v>
      </c>
      <c r="BE296" s="10">
        <v>60.6</v>
      </c>
      <c r="BF296" s="10">
        <v>26.9</v>
      </c>
      <c r="BG296" s="107">
        <v>46176</v>
      </c>
      <c r="BH296" s="107">
        <f t="shared" si="113"/>
        <v>46206</v>
      </c>
      <c r="BI296" s="23">
        <v>6</v>
      </c>
      <c r="BJ296" s="6"/>
      <c r="BK296" s="6"/>
      <c r="BL296" s="24">
        <f>VLOOKUP(A296,[2]Sheet1!$D$2:$H$933,5,0)</f>
        <v>0</v>
      </c>
      <c r="BM296" s="6" t="s">
        <v>3828</v>
      </c>
      <c r="BN296" s="6" t="s">
        <v>3829</v>
      </c>
      <c r="BO296" s="6" t="s">
        <v>3820</v>
      </c>
      <c r="BP296" s="6" t="s">
        <v>3821</v>
      </c>
      <c r="BQ296" s="6" t="s">
        <v>3830</v>
      </c>
      <c r="BR296" t="s">
        <v>3823</v>
      </c>
      <c r="BS296" t="s">
        <v>3824</v>
      </c>
      <c r="BT296" t="s">
        <v>3825</v>
      </c>
      <c r="BU296" t="s">
        <v>3826</v>
      </c>
      <c r="BV296" t="s">
        <v>3827</v>
      </c>
      <c r="BW296" t="s">
        <v>3835</v>
      </c>
      <c r="BX296">
        <v>0</v>
      </c>
      <c r="BY296" t="s">
        <v>3869</v>
      </c>
      <c r="BZ296" t="s">
        <v>3863</v>
      </c>
    </row>
    <row r="297" spans="1:78" x14ac:dyDescent="0.25">
      <c r="A297" s="7" t="s">
        <v>1276</v>
      </c>
      <c r="B297" s="7" t="s">
        <v>181</v>
      </c>
      <c r="C297" s="7" t="s">
        <v>1274</v>
      </c>
      <c r="D297" s="8" t="s">
        <v>1275</v>
      </c>
      <c r="E297" s="7" t="s">
        <v>1277</v>
      </c>
      <c r="F297" s="9">
        <v>45014</v>
      </c>
      <c r="G297" s="9" t="s">
        <v>65</v>
      </c>
      <c r="H297" s="9" t="s">
        <v>87</v>
      </c>
      <c r="I297" s="8" t="s">
        <v>78</v>
      </c>
      <c r="J297" s="10">
        <v>1546.36</v>
      </c>
      <c r="K297" s="10">
        <v>1546.36</v>
      </c>
      <c r="L297" s="10">
        <f t="shared" si="114"/>
        <v>0</v>
      </c>
      <c r="M297" s="10">
        <v>724.85</v>
      </c>
      <c r="N297" s="10">
        <v>724.85</v>
      </c>
      <c r="O297" s="10">
        <f t="shared" si="115"/>
        <v>0</v>
      </c>
      <c r="P297" s="11">
        <v>10000</v>
      </c>
      <c r="Q297" s="11">
        <v>21333.517279437125</v>
      </c>
      <c r="R297" s="11">
        <v>40000</v>
      </c>
      <c r="S297" s="11">
        <v>15463600</v>
      </c>
      <c r="T297" s="11">
        <v>1855634</v>
      </c>
      <c r="U297" s="12">
        <f t="shared" si="116"/>
        <v>0.12000012933598904</v>
      </c>
      <c r="V297" s="13">
        <f t="shared" si="141"/>
        <v>0</v>
      </c>
      <c r="W297" s="10">
        <f t="shared" si="117"/>
        <v>0</v>
      </c>
      <c r="X297" s="10"/>
      <c r="Y297" s="10"/>
      <c r="Z297" s="11">
        <f t="shared" si="118"/>
        <v>15463600</v>
      </c>
      <c r="AA297" s="14"/>
      <c r="AB297" s="14"/>
      <c r="AC297" s="11">
        <f t="shared" si="119"/>
        <v>15463600</v>
      </c>
      <c r="AD297" s="10">
        <f t="shared" si="120"/>
        <v>300</v>
      </c>
      <c r="AE297" s="15">
        <v>217455</v>
      </c>
      <c r="AF297" s="16">
        <v>39142</v>
      </c>
      <c r="AG297" s="15">
        <f t="shared" si="121"/>
        <v>0</v>
      </c>
      <c r="AH297" s="15">
        <f t="shared" si="122"/>
        <v>0</v>
      </c>
      <c r="AI297" s="15">
        <f t="shared" si="123"/>
        <v>217455</v>
      </c>
      <c r="AJ297" s="15">
        <f t="shared" si="124"/>
        <v>39142</v>
      </c>
      <c r="AK297" s="10">
        <v>217455</v>
      </c>
      <c r="AL297" s="15">
        <f t="shared" si="125"/>
        <v>217455</v>
      </c>
      <c r="AM297" s="15">
        <f t="shared" si="126"/>
        <v>15681055</v>
      </c>
      <c r="AN297" s="15">
        <f t="shared" si="127"/>
        <v>1894776</v>
      </c>
      <c r="AO297" s="15">
        <f t="shared" si="132"/>
        <v>2112923</v>
      </c>
      <c r="AP297" s="17">
        <f t="shared" si="128"/>
        <v>17793978</v>
      </c>
      <c r="AQ297" s="15">
        <v>15448138</v>
      </c>
      <c r="AR297" s="15">
        <v>692</v>
      </c>
      <c r="AS297" s="18">
        <f t="shared" si="133"/>
        <v>2345840</v>
      </c>
      <c r="AT297" s="19">
        <v>0</v>
      </c>
      <c r="AU297" s="8">
        <v>8800</v>
      </c>
      <c r="AV297" s="13">
        <f t="shared" si="134"/>
        <v>6378680</v>
      </c>
      <c r="AW297" s="18">
        <f t="shared" si="135"/>
        <v>15681055</v>
      </c>
      <c r="AX297" s="15">
        <f t="shared" si="129"/>
        <v>15682000</v>
      </c>
      <c r="AY297" s="20">
        <v>7.0000000000000007E-2</v>
      </c>
      <c r="AZ297" s="13">
        <f t="shared" si="130"/>
        <v>1097740</v>
      </c>
      <c r="BA297" s="15">
        <f t="shared" si="131"/>
        <v>1097800</v>
      </c>
      <c r="BB297" s="21">
        <f t="shared" si="136"/>
        <v>3443640</v>
      </c>
      <c r="BC297" s="10">
        <f t="shared" si="137"/>
        <v>0</v>
      </c>
      <c r="BD297" s="10">
        <f t="shared" si="138"/>
        <v>0</v>
      </c>
      <c r="BE297" s="10">
        <v>143.66</v>
      </c>
      <c r="BF297" s="10">
        <v>67.34</v>
      </c>
      <c r="BG297" s="107">
        <v>46176</v>
      </c>
      <c r="BH297" s="107">
        <f t="shared" si="113"/>
        <v>46206</v>
      </c>
      <c r="BI297" s="23">
        <v>7</v>
      </c>
      <c r="BJ297" s="6"/>
      <c r="BK297" s="6"/>
      <c r="BL297" s="24">
        <f>VLOOKUP(A297,[2]Sheet1!$D$2:$H$933,5,0)</f>
        <v>0</v>
      </c>
      <c r="BM297" s="6" t="s">
        <v>3828</v>
      </c>
      <c r="BN297" s="6" t="s">
        <v>3829</v>
      </c>
      <c r="BO297" s="6" t="s">
        <v>3820</v>
      </c>
      <c r="BP297" s="6" t="s">
        <v>3821</v>
      </c>
      <c r="BQ297" s="6" t="s">
        <v>3830</v>
      </c>
      <c r="BR297" t="s">
        <v>3823</v>
      </c>
      <c r="BS297" t="s">
        <v>3824</v>
      </c>
      <c r="BT297" t="s">
        <v>3825</v>
      </c>
      <c r="BU297" t="s">
        <v>3826</v>
      </c>
      <c r="BV297" t="s">
        <v>3827</v>
      </c>
      <c r="BW297" t="s">
        <v>3835</v>
      </c>
      <c r="BX297">
        <v>0</v>
      </c>
      <c r="BY297" t="s">
        <v>3870</v>
      </c>
      <c r="BZ297" t="s">
        <v>3860</v>
      </c>
    </row>
    <row r="298" spans="1:78" x14ac:dyDescent="0.25">
      <c r="A298" s="7" t="s">
        <v>1280</v>
      </c>
      <c r="B298" s="7" t="s">
        <v>181</v>
      </c>
      <c r="C298" s="7" t="s">
        <v>1278</v>
      </c>
      <c r="D298" s="8" t="s">
        <v>1279</v>
      </c>
      <c r="E298" s="7" t="s">
        <v>1281</v>
      </c>
      <c r="F298" s="9">
        <v>45049</v>
      </c>
      <c r="G298" s="9" t="s">
        <v>65</v>
      </c>
      <c r="H298" s="9" t="s">
        <v>87</v>
      </c>
      <c r="I298" s="8" t="s">
        <v>78</v>
      </c>
      <c r="J298" s="10">
        <v>861.12</v>
      </c>
      <c r="K298" s="10">
        <v>861.12</v>
      </c>
      <c r="L298" s="10">
        <f t="shared" si="114"/>
        <v>0</v>
      </c>
      <c r="M298" s="10">
        <v>399.34</v>
      </c>
      <c r="N298" s="10">
        <v>399.34</v>
      </c>
      <c r="O298" s="10">
        <f t="shared" si="115"/>
        <v>0</v>
      </c>
      <c r="P298" s="11">
        <v>19000</v>
      </c>
      <c r="Q298" s="11">
        <v>40970.801823007969</v>
      </c>
      <c r="R298" s="11">
        <v>40000</v>
      </c>
      <c r="S298" s="11">
        <v>16361280</v>
      </c>
      <c r="T298" s="11">
        <v>1963354</v>
      </c>
      <c r="U298" s="12">
        <f t="shared" si="116"/>
        <v>0.12000002444796495</v>
      </c>
      <c r="V298" s="13">
        <f t="shared" si="141"/>
        <v>0</v>
      </c>
      <c r="W298" s="10">
        <f t="shared" si="117"/>
        <v>0</v>
      </c>
      <c r="X298" s="10"/>
      <c r="Y298" s="10"/>
      <c r="Z298" s="11">
        <f t="shared" si="118"/>
        <v>16361280</v>
      </c>
      <c r="AA298" s="14"/>
      <c r="AB298" s="14"/>
      <c r="AC298" s="11">
        <f t="shared" si="119"/>
        <v>16361280</v>
      </c>
      <c r="AD298" s="10">
        <f t="shared" si="120"/>
        <v>300</v>
      </c>
      <c r="AE298" s="15">
        <v>119802</v>
      </c>
      <c r="AF298" s="16">
        <v>21564</v>
      </c>
      <c r="AG298" s="15">
        <f t="shared" si="121"/>
        <v>0</v>
      </c>
      <c r="AH298" s="15">
        <f t="shared" si="122"/>
        <v>0</v>
      </c>
      <c r="AI298" s="15">
        <f t="shared" si="123"/>
        <v>119801.99999999999</v>
      </c>
      <c r="AJ298" s="15">
        <f t="shared" si="124"/>
        <v>21565</v>
      </c>
      <c r="AK298" s="10">
        <v>119802</v>
      </c>
      <c r="AL298" s="15">
        <f t="shared" si="125"/>
        <v>119801.99999999999</v>
      </c>
      <c r="AM298" s="15">
        <f t="shared" si="126"/>
        <v>16481082</v>
      </c>
      <c r="AN298" s="15">
        <f t="shared" si="127"/>
        <v>1984919</v>
      </c>
      <c r="AO298" s="15">
        <f t="shared" si="132"/>
        <v>2105453</v>
      </c>
      <c r="AP298" s="17">
        <f t="shared" si="128"/>
        <v>18586535</v>
      </c>
      <c r="AQ298" s="15">
        <v>16344919</v>
      </c>
      <c r="AR298" s="15">
        <v>732</v>
      </c>
      <c r="AS298" s="18">
        <f t="shared" si="133"/>
        <v>2241616</v>
      </c>
      <c r="AT298" s="19">
        <v>0</v>
      </c>
      <c r="AU298" s="8">
        <v>8800</v>
      </c>
      <c r="AV298" s="13">
        <f t="shared" si="134"/>
        <v>3514192</v>
      </c>
      <c r="AW298" s="18">
        <f t="shared" si="135"/>
        <v>16481082</v>
      </c>
      <c r="AX298" s="15">
        <f t="shared" si="129"/>
        <v>16482000</v>
      </c>
      <c r="AY298" s="20">
        <v>0.06</v>
      </c>
      <c r="AZ298" s="13">
        <f t="shared" si="130"/>
        <v>988920</v>
      </c>
      <c r="BA298" s="15">
        <f t="shared" si="131"/>
        <v>989000</v>
      </c>
      <c r="BB298" s="21">
        <f t="shared" si="136"/>
        <v>3230616</v>
      </c>
      <c r="BC298" s="10">
        <f t="shared" si="137"/>
        <v>0</v>
      </c>
      <c r="BD298" s="10">
        <f t="shared" si="138"/>
        <v>0</v>
      </c>
      <c r="BE298" s="10">
        <v>80</v>
      </c>
      <c r="BF298" s="10">
        <v>37.1</v>
      </c>
      <c r="BG298" s="107">
        <v>46176</v>
      </c>
      <c r="BH298" s="107">
        <f t="shared" si="113"/>
        <v>46206</v>
      </c>
      <c r="BI298" s="23">
        <v>6</v>
      </c>
      <c r="BJ298" s="6"/>
      <c r="BK298" s="6"/>
      <c r="BL298" s="24">
        <f>VLOOKUP(A298,[2]Sheet1!$D$2:$H$933,5,0)</f>
        <v>0</v>
      </c>
      <c r="BM298" s="6" t="s">
        <v>3828</v>
      </c>
      <c r="BN298" s="6" t="s">
        <v>3829</v>
      </c>
      <c r="BO298" s="6" t="s">
        <v>3820</v>
      </c>
      <c r="BP298" s="6" t="s">
        <v>3821</v>
      </c>
      <c r="BQ298" s="6" t="s">
        <v>3830</v>
      </c>
      <c r="BR298" t="s">
        <v>3823</v>
      </c>
      <c r="BS298" t="s">
        <v>3824</v>
      </c>
      <c r="BT298" t="s">
        <v>3825</v>
      </c>
      <c r="BU298" t="s">
        <v>3826</v>
      </c>
      <c r="BV298" t="s">
        <v>3827</v>
      </c>
      <c r="BW298" t="s">
        <v>3835</v>
      </c>
      <c r="BX298">
        <v>0</v>
      </c>
      <c r="BY298" t="s">
        <v>3861</v>
      </c>
      <c r="BZ298" t="s">
        <v>3860</v>
      </c>
    </row>
    <row r="299" spans="1:78" x14ac:dyDescent="0.25">
      <c r="A299" s="7" t="s">
        <v>1284</v>
      </c>
      <c r="B299" s="7" t="s">
        <v>181</v>
      </c>
      <c r="C299" s="7" t="s">
        <v>1282</v>
      </c>
      <c r="D299" s="8" t="s">
        <v>1283</v>
      </c>
      <c r="E299" s="7" t="s">
        <v>1285</v>
      </c>
      <c r="F299" s="9">
        <v>44967</v>
      </c>
      <c r="G299" s="9" t="s">
        <v>527</v>
      </c>
      <c r="H299" s="9" t="s">
        <v>92</v>
      </c>
      <c r="I299" s="8" t="s">
        <v>78</v>
      </c>
      <c r="J299" s="10">
        <v>805.15</v>
      </c>
      <c r="K299" s="10">
        <v>805.15</v>
      </c>
      <c r="L299" s="10">
        <f t="shared" si="114"/>
        <v>0</v>
      </c>
      <c r="M299" s="10">
        <v>373.51</v>
      </c>
      <c r="N299" s="10">
        <v>373.51</v>
      </c>
      <c r="O299" s="10">
        <f t="shared" si="115"/>
        <v>0</v>
      </c>
      <c r="P299" s="11">
        <v>13398.000372601378</v>
      </c>
      <c r="Q299" s="11">
        <v>28881.154453696021</v>
      </c>
      <c r="R299" s="11">
        <v>28000</v>
      </c>
      <c r="S299" s="11">
        <v>10787400</v>
      </c>
      <c r="T299" s="11">
        <v>1294488</v>
      </c>
      <c r="U299" s="12">
        <f t="shared" si="116"/>
        <v>0.12</v>
      </c>
      <c r="V299" s="13">
        <f t="shared" si="141"/>
        <v>0</v>
      </c>
      <c r="W299" s="10">
        <f t="shared" si="117"/>
        <v>0</v>
      </c>
      <c r="X299" s="10"/>
      <c r="Y299" s="10"/>
      <c r="Z299" s="11">
        <f t="shared" si="118"/>
        <v>10787400</v>
      </c>
      <c r="AA299" s="14"/>
      <c r="AB299" s="14"/>
      <c r="AC299" s="11">
        <f t="shared" si="119"/>
        <v>10787400</v>
      </c>
      <c r="AD299" s="10">
        <f t="shared" si="120"/>
        <v>300</v>
      </c>
      <c r="AE299" s="15">
        <v>112053</v>
      </c>
      <c r="AF299" s="16">
        <v>20170</v>
      </c>
      <c r="AG299" s="15">
        <f t="shared" si="121"/>
        <v>0</v>
      </c>
      <c r="AH299" s="15">
        <f t="shared" si="122"/>
        <v>0</v>
      </c>
      <c r="AI299" s="15">
        <f t="shared" si="123"/>
        <v>112053</v>
      </c>
      <c r="AJ299" s="15">
        <f t="shared" si="124"/>
        <v>20170</v>
      </c>
      <c r="AK299" s="10">
        <v>112053</v>
      </c>
      <c r="AL299" s="15">
        <f t="shared" si="125"/>
        <v>112053</v>
      </c>
      <c r="AM299" s="15">
        <f t="shared" si="126"/>
        <v>10899453</v>
      </c>
      <c r="AN299" s="15">
        <f t="shared" si="127"/>
        <v>1314658</v>
      </c>
      <c r="AO299" s="15">
        <f t="shared" si="132"/>
        <v>1427283.08</v>
      </c>
      <c r="AP299" s="17">
        <f t="shared" si="128"/>
        <v>12326736.08</v>
      </c>
      <c r="AQ299" s="15">
        <v>10788559.460000001</v>
      </c>
      <c r="AR299" s="15">
        <v>572.08000000000004</v>
      </c>
      <c r="AS299" s="18">
        <f t="shared" si="133"/>
        <v>1538177</v>
      </c>
      <c r="AT299" s="19">
        <v>0</v>
      </c>
      <c r="AU299" s="8">
        <v>8800</v>
      </c>
      <c r="AV299" s="13">
        <f t="shared" si="134"/>
        <v>3286888</v>
      </c>
      <c r="AW299" s="18">
        <f t="shared" si="135"/>
        <v>10899453</v>
      </c>
      <c r="AX299" s="15">
        <f t="shared" si="129"/>
        <v>10900000</v>
      </c>
      <c r="AY299" s="20">
        <v>0.05</v>
      </c>
      <c r="AZ299" s="13">
        <f t="shared" si="130"/>
        <v>545000</v>
      </c>
      <c r="BA299" s="15">
        <f t="shared" si="131"/>
        <v>545000</v>
      </c>
      <c r="BB299" s="21">
        <f t="shared" si="136"/>
        <v>2083177</v>
      </c>
      <c r="BC299" s="10">
        <f t="shared" si="137"/>
        <v>0</v>
      </c>
      <c r="BD299" s="10">
        <f t="shared" si="138"/>
        <v>0</v>
      </c>
      <c r="BE299" s="10">
        <v>74.8</v>
      </c>
      <c r="BF299" s="10">
        <v>34.700000000000003</v>
      </c>
      <c r="BG299" s="107">
        <v>46176</v>
      </c>
      <c r="BH299" s="107">
        <f t="shared" si="113"/>
        <v>46206</v>
      </c>
      <c r="BI299" s="23">
        <v>5</v>
      </c>
      <c r="BJ299" s="6"/>
      <c r="BK299" s="6"/>
      <c r="BL299" s="24">
        <f>VLOOKUP(A299,[2]Sheet1!$D$2:$H$933,5,0)</f>
        <v>0</v>
      </c>
      <c r="BM299" s="6" t="s">
        <v>3828</v>
      </c>
      <c r="BN299" s="6" t="s">
        <v>3829</v>
      </c>
      <c r="BO299" s="6" t="s">
        <v>3820</v>
      </c>
      <c r="BP299" s="6" t="s">
        <v>3821</v>
      </c>
      <c r="BQ299" s="6" t="s">
        <v>3830</v>
      </c>
      <c r="BR299" t="s">
        <v>3823</v>
      </c>
      <c r="BS299" t="s">
        <v>3824</v>
      </c>
      <c r="BT299" t="s">
        <v>3825</v>
      </c>
      <c r="BU299" t="s">
        <v>3826</v>
      </c>
      <c r="BV299" t="s">
        <v>3827</v>
      </c>
      <c r="BW299" t="s">
        <v>3835</v>
      </c>
      <c r="BX299">
        <v>0</v>
      </c>
      <c r="BY299" t="s">
        <v>3867</v>
      </c>
      <c r="BZ299" t="s">
        <v>3871</v>
      </c>
    </row>
    <row r="300" spans="1:78" x14ac:dyDescent="0.25">
      <c r="A300" s="7" t="s">
        <v>1288</v>
      </c>
      <c r="B300" s="7" t="s">
        <v>181</v>
      </c>
      <c r="C300" s="7" t="s">
        <v>1286</v>
      </c>
      <c r="D300" s="8" t="s">
        <v>1287</v>
      </c>
      <c r="E300" s="7" t="s">
        <v>1289</v>
      </c>
      <c r="F300" s="9">
        <v>44963</v>
      </c>
      <c r="G300" s="9" t="s">
        <v>77</v>
      </c>
      <c r="H300" s="9" t="s">
        <v>87</v>
      </c>
      <c r="I300" s="8" t="s">
        <v>78</v>
      </c>
      <c r="J300" s="10">
        <v>368.34</v>
      </c>
      <c r="K300" s="10">
        <v>368.34</v>
      </c>
      <c r="L300" s="10">
        <f t="shared" si="114"/>
        <v>0</v>
      </c>
      <c r="M300" s="10">
        <v>163.61000000000001</v>
      </c>
      <c r="N300" s="10">
        <v>163.61000000000001</v>
      </c>
      <c r="O300" s="10">
        <f t="shared" si="115"/>
        <v>0</v>
      </c>
      <c r="P300" s="11">
        <v>21000</v>
      </c>
      <c r="Q300" s="11">
        <v>47277.916997738517</v>
      </c>
      <c r="R300" s="11">
        <v>40000</v>
      </c>
      <c r="S300" s="11">
        <v>7735140</v>
      </c>
      <c r="T300" s="11">
        <v>928216</v>
      </c>
      <c r="U300" s="12">
        <f t="shared" si="116"/>
        <v>0.11999989657588615</v>
      </c>
      <c r="V300" s="13">
        <f t="shared" si="141"/>
        <v>0</v>
      </c>
      <c r="W300" s="10">
        <f t="shared" si="117"/>
        <v>0</v>
      </c>
      <c r="X300" s="10"/>
      <c r="Y300" s="10"/>
      <c r="Z300" s="11">
        <f t="shared" si="118"/>
        <v>7735140</v>
      </c>
      <c r="AA300" s="14">
        <v>933900</v>
      </c>
      <c r="AB300" s="14">
        <v>112068</v>
      </c>
      <c r="AC300" s="11">
        <f t="shared" si="119"/>
        <v>6801240</v>
      </c>
      <c r="AD300" s="10">
        <f t="shared" si="120"/>
        <v>300</v>
      </c>
      <c r="AE300" s="15">
        <v>49083</v>
      </c>
      <c r="AF300" s="16">
        <v>8834</v>
      </c>
      <c r="AG300" s="15">
        <f t="shared" si="121"/>
        <v>0</v>
      </c>
      <c r="AH300" s="15">
        <f t="shared" si="122"/>
        <v>0</v>
      </c>
      <c r="AI300" s="15">
        <f t="shared" si="123"/>
        <v>49083.000000000007</v>
      </c>
      <c r="AJ300" s="15">
        <f t="shared" si="124"/>
        <v>8835</v>
      </c>
      <c r="AK300" s="10">
        <v>49083</v>
      </c>
      <c r="AL300" s="15">
        <f t="shared" si="125"/>
        <v>49083.000000000007</v>
      </c>
      <c r="AM300" s="15">
        <f t="shared" si="126"/>
        <v>6850323</v>
      </c>
      <c r="AN300" s="15">
        <f t="shared" si="127"/>
        <v>824983</v>
      </c>
      <c r="AO300" s="15">
        <f t="shared" si="132"/>
        <v>874673</v>
      </c>
      <c r="AP300" s="17">
        <f t="shared" si="128"/>
        <v>7724996</v>
      </c>
      <c r="AQ300" s="15">
        <v>6681523</v>
      </c>
      <c r="AR300" s="15">
        <v>607</v>
      </c>
      <c r="AS300" s="18">
        <f t="shared" si="133"/>
        <v>1043473</v>
      </c>
      <c r="AT300" s="19">
        <v>0</v>
      </c>
      <c r="AU300" s="8">
        <v>8800</v>
      </c>
      <c r="AV300" s="13">
        <f t="shared" si="134"/>
        <v>1439768.0000000002</v>
      </c>
      <c r="AW300" s="18">
        <f t="shared" si="135"/>
        <v>6850323</v>
      </c>
      <c r="AX300" s="15">
        <f t="shared" si="129"/>
        <v>6851000</v>
      </c>
      <c r="AY300" s="20">
        <v>0.06</v>
      </c>
      <c r="AZ300" s="13">
        <f t="shared" si="130"/>
        <v>411060</v>
      </c>
      <c r="BA300" s="15">
        <f t="shared" si="131"/>
        <v>411100</v>
      </c>
      <c r="BB300" s="21">
        <f t="shared" si="136"/>
        <v>1454573</v>
      </c>
      <c r="BC300" s="10">
        <f t="shared" si="137"/>
        <v>0</v>
      </c>
      <c r="BD300" s="10">
        <f t="shared" si="138"/>
        <v>0</v>
      </c>
      <c r="BE300" s="10">
        <v>34.22</v>
      </c>
      <c r="BF300" s="10">
        <v>15.2</v>
      </c>
      <c r="BG300" s="107">
        <v>46176</v>
      </c>
      <c r="BH300" s="107">
        <f t="shared" ref="BH300:BH362" si="142">BG300+30</f>
        <v>46206</v>
      </c>
      <c r="BI300" s="23">
        <v>6</v>
      </c>
      <c r="BJ300" s="6"/>
      <c r="BK300" s="6"/>
      <c r="BL300" s="24">
        <f>VLOOKUP(A300,[2]Sheet1!$D$2:$H$933,5,0)</f>
        <v>0</v>
      </c>
      <c r="BM300" s="6" t="s">
        <v>3828</v>
      </c>
      <c r="BN300" s="6" t="s">
        <v>3829</v>
      </c>
      <c r="BO300" s="6" t="s">
        <v>3820</v>
      </c>
      <c r="BP300" s="6" t="s">
        <v>3821</v>
      </c>
      <c r="BQ300" s="6" t="s">
        <v>3830</v>
      </c>
      <c r="BR300" t="s">
        <v>3823</v>
      </c>
      <c r="BS300" t="s">
        <v>3824</v>
      </c>
      <c r="BT300" t="s">
        <v>3825</v>
      </c>
      <c r="BU300" t="s">
        <v>3826</v>
      </c>
      <c r="BV300" t="s">
        <v>3827</v>
      </c>
      <c r="BW300" t="s">
        <v>3835</v>
      </c>
      <c r="BX300">
        <v>0</v>
      </c>
      <c r="BY300" t="s">
        <v>3867</v>
      </c>
      <c r="BZ300" t="s">
        <v>3863</v>
      </c>
    </row>
    <row r="301" spans="1:78" x14ac:dyDescent="0.25">
      <c r="A301" s="7" t="s">
        <v>1292</v>
      </c>
      <c r="B301" s="7" t="s">
        <v>181</v>
      </c>
      <c r="C301" s="7" t="s">
        <v>1290</v>
      </c>
      <c r="D301" s="8" t="s">
        <v>1291</v>
      </c>
      <c r="E301" s="7" t="s">
        <v>1293</v>
      </c>
      <c r="F301" s="9">
        <v>45040</v>
      </c>
      <c r="G301" s="9" t="s">
        <v>363</v>
      </c>
      <c r="H301" s="9" t="s">
        <v>87</v>
      </c>
      <c r="I301" s="8" t="s">
        <v>78</v>
      </c>
      <c r="J301" s="10">
        <v>530.66999999999996</v>
      </c>
      <c r="K301" s="10">
        <v>530.66999999999996</v>
      </c>
      <c r="L301" s="10">
        <f t="shared" si="114"/>
        <v>0</v>
      </c>
      <c r="M301" s="10">
        <v>241.11</v>
      </c>
      <c r="N301" s="10">
        <v>241.11</v>
      </c>
      <c r="O301" s="10">
        <f t="shared" si="115"/>
        <v>0</v>
      </c>
      <c r="P301" s="11">
        <v>12182.390185991295</v>
      </c>
      <c r="Q301" s="11">
        <v>26812.77839990046</v>
      </c>
      <c r="R301" s="11">
        <v>40000</v>
      </c>
      <c r="S301" s="11">
        <v>6464829</v>
      </c>
      <c r="T301" s="11">
        <v>775780</v>
      </c>
      <c r="U301" s="12">
        <f t="shared" si="116"/>
        <v>0.12000008043522883</v>
      </c>
      <c r="V301" s="13">
        <f t="shared" si="141"/>
        <v>0</v>
      </c>
      <c r="W301" s="10">
        <f t="shared" si="117"/>
        <v>0</v>
      </c>
      <c r="X301" s="10"/>
      <c r="Y301" s="10"/>
      <c r="Z301" s="11">
        <f t="shared" si="118"/>
        <v>6464829</v>
      </c>
      <c r="AA301" s="14"/>
      <c r="AB301" s="14"/>
      <c r="AC301" s="11">
        <f t="shared" si="119"/>
        <v>6464829</v>
      </c>
      <c r="AD301" s="10">
        <f t="shared" si="120"/>
        <v>300</v>
      </c>
      <c r="AE301" s="15">
        <v>72333</v>
      </c>
      <c r="AF301" s="16">
        <v>13020</v>
      </c>
      <c r="AG301" s="15">
        <f t="shared" si="121"/>
        <v>0</v>
      </c>
      <c r="AH301" s="15">
        <f t="shared" si="122"/>
        <v>0</v>
      </c>
      <c r="AI301" s="15">
        <f t="shared" si="123"/>
        <v>72333</v>
      </c>
      <c r="AJ301" s="15">
        <f t="shared" si="124"/>
        <v>13020</v>
      </c>
      <c r="AK301" s="10">
        <v>72333</v>
      </c>
      <c r="AL301" s="15">
        <f t="shared" si="125"/>
        <v>72333</v>
      </c>
      <c r="AM301" s="15">
        <f t="shared" si="126"/>
        <v>6537162</v>
      </c>
      <c r="AN301" s="15">
        <f t="shared" si="127"/>
        <v>788800</v>
      </c>
      <c r="AO301" s="15">
        <f t="shared" si="132"/>
        <v>861733</v>
      </c>
      <c r="AP301" s="17">
        <f t="shared" si="128"/>
        <v>7398895</v>
      </c>
      <c r="AQ301" s="15">
        <v>6069510.0499999998</v>
      </c>
      <c r="AR301" s="15">
        <v>600</v>
      </c>
      <c r="AS301" s="18">
        <f t="shared" si="133"/>
        <v>1329385</v>
      </c>
      <c r="AT301" s="19">
        <v>0</v>
      </c>
      <c r="AU301" s="8">
        <v>8800</v>
      </c>
      <c r="AV301" s="13">
        <f t="shared" si="134"/>
        <v>2121768</v>
      </c>
      <c r="AW301" s="18">
        <f t="shared" si="135"/>
        <v>6537162</v>
      </c>
      <c r="AX301" s="15">
        <f t="shared" si="129"/>
        <v>6538000</v>
      </c>
      <c r="AY301" s="20">
        <v>0.05</v>
      </c>
      <c r="AZ301" s="13">
        <f t="shared" si="130"/>
        <v>326900</v>
      </c>
      <c r="BA301" s="15">
        <f t="shared" si="131"/>
        <v>326900</v>
      </c>
      <c r="BB301" s="21">
        <f t="shared" si="136"/>
        <v>1656285</v>
      </c>
      <c r="BC301" s="10">
        <f t="shared" si="137"/>
        <v>0</v>
      </c>
      <c r="BD301" s="10">
        <f t="shared" si="138"/>
        <v>0</v>
      </c>
      <c r="BE301" s="10">
        <v>49.3</v>
      </c>
      <c r="BF301" s="10">
        <v>22.4</v>
      </c>
      <c r="BG301" s="107">
        <v>46176</v>
      </c>
      <c r="BH301" s="107">
        <f t="shared" si="142"/>
        <v>46206</v>
      </c>
      <c r="BI301" s="23">
        <v>5</v>
      </c>
      <c r="BJ301" s="6"/>
      <c r="BK301" s="24"/>
      <c r="BL301" s="24">
        <f>VLOOKUP(A301,[2]Sheet1!$D$2:$H$933,5,0)</f>
        <v>0</v>
      </c>
      <c r="BM301" s="6" t="s">
        <v>3828</v>
      </c>
      <c r="BN301" s="6" t="s">
        <v>3829</v>
      </c>
      <c r="BO301" s="6" t="s">
        <v>3820</v>
      </c>
      <c r="BP301" s="6" t="s">
        <v>3821</v>
      </c>
      <c r="BQ301" s="6" t="s">
        <v>3830</v>
      </c>
      <c r="BR301" t="s">
        <v>3823</v>
      </c>
      <c r="BS301" t="s">
        <v>3824</v>
      </c>
      <c r="BT301" t="s">
        <v>3825</v>
      </c>
      <c r="BU301" t="s">
        <v>3826</v>
      </c>
      <c r="BV301" t="s">
        <v>3827</v>
      </c>
      <c r="BW301" t="s">
        <v>3835</v>
      </c>
      <c r="BX301">
        <v>0</v>
      </c>
      <c r="BY301" t="s">
        <v>3861</v>
      </c>
      <c r="BZ301" t="s">
        <v>3860</v>
      </c>
    </row>
    <row r="302" spans="1:78" x14ac:dyDescent="0.25">
      <c r="A302" s="7" t="s">
        <v>1296</v>
      </c>
      <c r="B302" s="7" t="s">
        <v>181</v>
      </c>
      <c r="C302" s="7" t="s">
        <v>1294</v>
      </c>
      <c r="D302" s="8" t="s">
        <v>1295</v>
      </c>
      <c r="E302" s="7" t="s">
        <v>462</v>
      </c>
      <c r="F302" s="9">
        <v>45041</v>
      </c>
      <c r="G302" s="9" t="s">
        <v>527</v>
      </c>
      <c r="H302" s="9" t="s">
        <v>66</v>
      </c>
      <c r="I302" s="8" t="s">
        <v>67</v>
      </c>
      <c r="J302" s="10">
        <v>394.68</v>
      </c>
      <c r="K302" s="10">
        <v>394.68</v>
      </c>
      <c r="L302" s="10">
        <f t="shared" si="114"/>
        <v>0</v>
      </c>
      <c r="M302" s="10">
        <v>158.22999999999999</v>
      </c>
      <c r="N302" s="10">
        <v>158.22999999999999</v>
      </c>
      <c r="O302" s="10">
        <f t="shared" si="115"/>
        <v>0</v>
      </c>
      <c r="P302" s="11">
        <v>22138.000405391711</v>
      </c>
      <c r="Q302" s="11">
        <v>55219.781330973899</v>
      </c>
      <c r="R302" s="11">
        <v>22000</v>
      </c>
      <c r="S302" s="11">
        <v>8737426</v>
      </c>
      <c r="T302" s="11">
        <v>1048492</v>
      </c>
      <c r="U302" s="12">
        <f t="shared" si="116"/>
        <v>0.12000010071616057</v>
      </c>
      <c r="V302" s="13">
        <f t="shared" si="141"/>
        <v>0</v>
      </c>
      <c r="W302" s="10">
        <f t="shared" si="117"/>
        <v>0</v>
      </c>
      <c r="X302" s="10"/>
      <c r="Y302" s="10"/>
      <c r="Z302" s="11">
        <f t="shared" si="118"/>
        <v>8737426</v>
      </c>
      <c r="AA302" s="14">
        <v>1511575</v>
      </c>
      <c r="AB302" s="14">
        <v>181390</v>
      </c>
      <c r="AC302" s="11">
        <f t="shared" si="119"/>
        <v>7225851</v>
      </c>
      <c r="AD302" s="10">
        <f t="shared" si="120"/>
        <v>300</v>
      </c>
      <c r="AE302" s="15">
        <v>47469</v>
      </c>
      <c r="AF302" s="16">
        <v>8544</v>
      </c>
      <c r="AG302" s="15">
        <f t="shared" si="121"/>
        <v>0</v>
      </c>
      <c r="AH302" s="15">
        <f t="shared" si="122"/>
        <v>0</v>
      </c>
      <c r="AI302" s="15">
        <f t="shared" si="123"/>
        <v>47469</v>
      </c>
      <c r="AJ302" s="15">
        <f t="shared" si="124"/>
        <v>8545</v>
      </c>
      <c r="AK302" s="10">
        <v>47469</v>
      </c>
      <c r="AL302" s="15">
        <f t="shared" si="125"/>
        <v>47469</v>
      </c>
      <c r="AM302" s="15">
        <f t="shared" si="126"/>
        <v>7273320</v>
      </c>
      <c r="AN302" s="15">
        <f t="shared" si="127"/>
        <v>875647</v>
      </c>
      <c r="AO302" s="15">
        <f t="shared" si="132"/>
        <v>923757</v>
      </c>
      <c r="AP302" s="17">
        <f t="shared" si="128"/>
        <v>8197077</v>
      </c>
      <c r="AQ302" s="15">
        <v>7051848</v>
      </c>
      <c r="AR302" s="15">
        <v>641</v>
      </c>
      <c r="AS302" s="18">
        <f t="shared" si="133"/>
        <v>1145229</v>
      </c>
      <c r="AT302" s="19">
        <v>0</v>
      </c>
      <c r="AU302" s="8">
        <v>8800</v>
      </c>
      <c r="AV302" s="13">
        <f t="shared" si="134"/>
        <v>1392424</v>
      </c>
      <c r="AW302" s="18">
        <f t="shared" si="135"/>
        <v>7273320</v>
      </c>
      <c r="AX302" s="15">
        <f t="shared" si="129"/>
        <v>7274000</v>
      </c>
      <c r="AY302" s="20">
        <v>7.0000000000000007E-2</v>
      </c>
      <c r="AZ302" s="13">
        <f t="shared" si="130"/>
        <v>509180.00000000006</v>
      </c>
      <c r="BA302" s="15">
        <f t="shared" si="131"/>
        <v>509200</v>
      </c>
      <c r="BB302" s="21">
        <f t="shared" si="136"/>
        <v>1654429</v>
      </c>
      <c r="BC302" s="10">
        <f t="shared" si="137"/>
        <v>0</v>
      </c>
      <c r="BD302" s="10">
        <f t="shared" si="138"/>
        <v>0</v>
      </c>
      <c r="BE302" s="10">
        <v>36.67</v>
      </c>
      <c r="BF302" s="10">
        <v>14.7</v>
      </c>
      <c r="BG302" s="107">
        <v>46176</v>
      </c>
      <c r="BH302" s="107">
        <f t="shared" si="142"/>
        <v>46206</v>
      </c>
      <c r="BI302" s="23">
        <v>7</v>
      </c>
      <c r="BJ302" s="6"/>
      <c r="BK302" s="6"/>
      <c r="BL302" s="24">
        <f>VLOOKUP(A302,[2]Sheet1!$D$2:$H$933,5,0)</f>
        <v>0</v>
      </c>
      <c r="BM302" s="6" t="s">
        <v>3828</v>
      </c>
      <c r="BN302" s="6" t="s">
        <v>3829</v>
      </c>
      <c r="BO302" s="6" t="s">
        <v>3820</v>
      </c>
      <c r="BP302" s="6" t="s">
        <v>3821</v>
      </c>
      <c r="BQ302" s="6" t="s">
        <v>3830</v>
      </c>
      <c r="BR302" t="s">
        <v>3823</v>
      </c>
      <c r="BS302" t="s">
        <v>3824</v>
      </c>
      <c r="BT302" t="s">
        <v>3825</v>
      </c>
      <c r="BU302" t="s">
        <v>3826</v>
      </c>
      <c r="BV302" t="s">
        <v>3827</v>
      </c>
      <c r="BW302" t="s">
        <v>3835</v>
      </c>
      <c r="BX302">
        <v>0</v>
      </c>
      <c r="BY302" t="s">
        <v>3862</v>
      </c>
      <c r="BZ302" t="s">
        <v>3871</v>
      </c>
    </row>
    <row r="303" spans="1:78" x14ac:dyDescent="0.25">
      <c r="A303" s="31" t="s">
        <v>1299</v>
      </c>
      <c r="B303" s="31" t="s">
        <v>181</v>
      </c>
      <c r="C303" s="31" t="s">
        <v>1297</v>
      </c>
      <c r="D303" s="32" t="s">
        <v>1298</v>
      </c>
      <c r="E303" s="31" t="s">
        <v>1300</v>
      </c>
      <c r="F303" s="33">
        <v>44853</v>
      </c>
      <c r="G303" s="33" t="s">
        <v>717</v>
      </c>
      <c r="H303" s="33" t="s">
        <v>92</v>
      </c>
      <c r="I303" s="32" t="s">
        <v>78</v>
      </c>
      <c r="J303" s="34">
        <v>596.33000000000004</v>
      </c>
      <c r="K303" s="34">
        <v>610</v>
      </c>
      <c r="L303" s="34">
        <f t="shared" si="114"/>
        <v>13.669999999999959</v>
      </c>
      <c r="M303" s="34">
        <v>266.95</v>
      </c>
      <c r="N303" s="34">
        <v>275</v>
      </c>
      <c r="O303" s="34">
        <f t="shared" si="115"/>
        <v>8.0500000000000114</v>
      </c>
      <c r="P303" s="35">
        <v>25149.999161538071</v>
      </c>
      <c r="Q303" s="35">
        <v>56181.67821689455</v>
      </c>
      <c r="R303" s="35">
        <v>28000</v>
      </c>
      <c r="S303" s="35">
        <v>14997699</v>
      </c>
      <c r="T303" s="35">
        <v>1799724</v>
      </c>
      <c r="U303" s="36">
        <f t="shared" si="116"/>
        <v>0.12000000800122738</v>
      </c>
      <c r="V303" s="37">
        <f>L303*R303</f>
        <v>382759.99999999884</v>
      </c>
      <c r="W303" s="34">
        <f t="shared" si="117"/>
        <v>45931.203062549655</v>
      </c>
      <c r="X303" s="39"/>
      <c r="Y303" s="39"/>
      <c r="Z303" s="35">
        <f t="shared" si="118"/>
        <v>15380458.999999998</v>
      </c>
      <c r="AA303" s="38">
        <v>3554370</v>
      </c>
      <c r="AB303" s="38">
        <v>426525</v>
      </c>
      <c r="AC303" s="35">
        <f t="shared" si="119"/>
        <v>11826088.999999998</v>
      </c>
      <c r="AD303" s="34">
        <f t="shared" si="120"/>
        <v>300</v>
      </c>
      <c r="AE303" s="39">
        <v>80085</v>
      </c>
      <c r="AF303" s="40">
        <v>14416</v>
      </c>
      <c r="AG303" s="39">
        <f t="shared" si="121"/>
        <v>2415.0000000000036</v>
      </c>
      <c r="AH303" s="39">
        <f t="shared" si="122"/>
        <v>434.70000000000061</v>
      </c>
      <c r="AI303" s="39">
        <f t="shared" si="123"/>
        <v>82500</v>
      </c>
      <c r="AJ303" s="39">
        <f t="shared" si="124"/>
        <v>14850</v>
      </c>
      <c r="AK303" s="34">
        <v>80085</v>
      </c>
      <c r="AL303" s="39">
        <f t="shared" si="125"/>
        <v>82500</v>
      </c>
      <c r="AM303" s="39">
        <f t="shared" si="126"/>
        <v>11908589</v>
      </c>
      <c r="AN303" s="39">
        <f t="shared" si="127"/>
        <v>1433981</v>
      </c>
      <c r="AO303" s="39">
        <f t="shared" si="132"/>
        <v>1517152</v>
      </c>
      <c r="AP303" s="41">
        <f t="shared" si="128"/>
        <v>13425741</v>
      </c>
      <c r="AQ303" s="39">
        <v>11424448</v>
      </c>
      <c r="AR303" s="15">
        <v>671</v>
      </c>
      <c r="AS303" s="42">
        <f t="shared" si="133"/>
        <v>2001293</v>
      </c>
      <c r="AT303" s="43">
        <v>0</v>
      </c>
      <c r="AU303" s="32">
        <v>8800</v>
      </c>
      <c r="AV303" s="37">
        <f t="shared" si="134"/>
        <v>2420000</v>
      </c>
      <c r="AW303" s="42">
        <f t="shared" si="135"/>
        <v>11908589</v>
      </c>
      <c r="AX303" s="39">
        <f t="shared" si="129"/>
        <v>11909000</v>
      </c>
      <c r="AY303" s="44">
        <v>7.0000000000000007E-2</v>
      </c>
      <c r="AZ303" s="37">
        <f t="shared" si="130"/>
        <v>833630.00000000012</v>
      </c>
      <c r="BA303" s="39">
        <f t="shared" si="131"/>
        <v>833700</v>
      </c>
      <c r="BB303" s="45">
        <f t="shared" si="136"/>
        <v>2834993</v>
      </c>
      <c r="BC303" s="34">
        <f t="shared" si="137"/>
        <v>2.2923549041637949</v>
      </c>
      <c r="BD303" s="34">
        <f t="shared" si="138"/>
        <v>3.0155459823937112</v>
      </c>
      <c r="BE303" s="34">
        <v>56.67</v>
      </c>
      <c r="BF303" s="34">
        <v>25.55</v>
      </c>
      <c r="BG303" s="107">
        <v>46176</v>
      </c>
      <c r="BH303" s="108">
        <f t="shared" si="142"/>
        <v>46206</v>
      </c>
      <c r="BI303" s="46">
        <v>7</v>
      </c>
      <c r="BJ303" s="47" t="s">
        <v>754</v>
      </c>
      <c r="BK303" s="47"/>
      <c r="BL303" s="24">
        <f>VLOOKUP(A303,[2]Sheet1!$D$2:$H$933,5,0)</f>
        <v>0</v>
      </c>
      <c r="BM303" s="6" t="s">
        <v>3828</v>
      </c>
      <c r="BN303" s="6" t="s">
        <v>3829</v>
      </c>
      <c r="BO303" s="6" t="s">
        <v>3820</v>
      </c>
      <c r="BP303" s="6" t="s">
        <v>3821</v>
      </c>
      <c r="BQ303" s="6" t="s">
        <v>3830</v>
      </c>
      <c r="BR303" t="s">
        <v>3823</v>
      </c>
      <c r="BS303" t="s">
        <v>3824</v>
      </c>
      <c r="BT303" t="s">
        <v>3825</v>
      </c>
      <c r="BU303" t="s">
        <v>3826</v>
      </c>
      <c r="BV303" t="s">
        <v>3827</v>
      </c>
      <c r="BW303" t="s">
        <v>3835</v>
      </c>
      <c r="BX303" s="101"/>
      <c r="BY303" t="s">
        <v>3866</v>
      </c>
      <c r="BZ303" t="s">
        <v>3872</v>
      </c>
    </row>
    <row r="304" spans="1:78" x14ac:dyDescent="0.25">
      <c r="A304" s="65" t="s">
        <v>1303</v>
      </c>
      <c r="B304" s="7" t="s">
        <v>181</v>
      </c>
      <c r="C304" s="7" t="s">
        <v>1301</v>
      </c>
      <c r="D304" s="8" t="s">
        <v>1302</v>
      </c>
      <c r="E304" s="7" t="s">
        <v>1304</v>
      </c>
      <c r="F304" s="9">
        <v>45048</v>
      </c>
      <c r="G304" s="9" t="s">
        <v>404</v>
      </c>
      <c r="H304" s="9" t="s">
        <v>87</v>
      </c>
      <c r="I304" s="8" t="s">
        <v>78</v>
      </c>
      <c r="J304" s="10">
        <v>581.04</v>
      </c>
      <c r="K304" s="10">
        <v>581.04</v>
      </c>
      <c r="L304" s="10">
        <f t="shared" si="114"/>
        <v>0</v>
      </c>
      <c r="M304" s="10">
        <v>262.64</v>
      </c>
      <c r="N304" s="10">
        <v>262.64</v>
      </c>
      <c r="O304" s="10">
        <f t="shared" si="115"/>
        <v>0</v>
      </c>
      <c r="P304" s="11">
        <v>16400</v>
      </c>
      <c r="Q304" s="11">
        <v>36281.815412732256</v>
      </c>
      <c r="R304" s="11">
        <v>40000</v>
      </c>
      <c r="S304" s="11">
        <v>9529056</v>
      </c>
      <c r="T304" s="11">
        <v>1143486</v>
      </c>
      <c r="U304" s="12">
        <f t="shared" si="116"/>
        <v>0.11999992444162359</v>
      </c>
      <c r="V304" s="13">
        <f t="shared" ref="V304:V318" si="143">L304*P304</f>
        <v>0</v>
      </c>
      <c r="W304" s="10">
        <f t="shared" si="117"/>
        <v>0</v>
      </c>
      <c r="X304" s="10"/>
      <c r="Y304" s="10"/>
      <c r="Z304" s="11">
        <f t="shared" si="118"/>
        <v>9529056</v>
      </c>
      <c r="AA304" s="14"/>
      <c r="AB304" s="14"/>
      <c r="AC304" s="11">
        <f t="shared" si="119"/>
        <v>9529056</v>
      </c>
      <c r="AD304" s="10">
        <f t="shared" si="120"/>
        <v>300</v>
      </c>
      <c r="AE304" s="15">
        <v>78792</v>
      </c>
      <c r="AF304" s="16">
        <v>14182</v>
      </c>
      <c r="AG304" s="15">
        <f t="shared" si="121"/>
        <v>0</v>
      </c>
      <c r="AH304" s="15">
        <f t="shared" si="122"/>
        <v>0</v>
      </c>
      <c r="AI304" s="15">
        <f t="shared" si="123"/>
        <v>78792</v>
      </c>
      <c r="AJ304" s="15">
        <f t="shared" si="124"/>
        <v>14183</v>
      </c>
      <c r="AK304" s="10">
        <v>78792</v>
      </c>
      <c r="AL304" s="15">
        <f t="shared" si="125"/>
        <v>78792</v>
      </c>
      <c r="AM304" s="15">
        <f t="shared" si="126"/>
        <v>9607848</v>
      </c>
      <c r="AN304" s="15">
        <f t="shared" si="127"/>
        <v>1157669</v>
      </c>
      <c r="AO304" s="15">
        <f t="shared" si="132"/>
        <v>1237123.8400000001</v>
      </c>
      <c r="AP304" s="17">
        <f t="shared" si="128"/>
        <v>10844971.84</v>
      </c>
      <c r="AQ304" s="15">
        <v>9536237</v>
      </c>
      <c r="AR304" s="15">
        <v>662.84</v>
      </c>
      <c r="AS304" s="18">
        <f t="shared" si="133"/>
        <v>1308735</v>
      </c>
      <c r="AT304" s="19">
        <v>0</v>
      </c>
      <c r="AU304" s="8">
        <v>8800</v>
      </c>
      <c r="AV304" s="13">
        <f t="shared" si="134"/>
        <v>2311232</v>
      </c>
      <c r="AW304" s="18">
        <f t="shared" si="135"/>
        <v>9607848</v>
      </c>
      <c r="AX304" s="15">
        <f t="shared" si="129"/>
        <v>9608000</v>
      </c>
      <c r="AY304" s="20">
        <v>7.0000000000000007E-2</v>
      </c>
      <c r="AZ304" s="13">
        <f t="shared" si="130"/>
        <v>672560.00000000012</v>
      </c>
      <c r="BA304" s="15">
        <f t="shared" si="131"/>
        <v>672600</v>
      </c>
      <c r="BB304" s="21">
        <f t="shared" si="136"/>
        <v>1981335</v>
      </c>
      <c r="BC304" s="10">
        <f t="shared" si="137"/>
        <v>0</v>
      </c>
      <c r="BD304" s="10">
        <f t="shared" si="138"/>
        <v>0</v>
      </c>
      <c r="BE304" s="10">
        <v>53.98</v>
      </c>
      <c r="BF304" s="10">
        <v>24.4</v>
      </c>
      <c r="BG304" s="107">
        <v>46176</v>
      </c>
      <c r="BH304" s="107">
        <f t="shared" si="142"/>
        <v>46206</v>
      </c>
      <c r="BI304" s="23">
        <v>7</v>
      </c>
      <c r="BJ304" s="6"/>
      <c r="BK304" s="6"/>
      <c r="BL304" s="24">
        <f>VLOOKUP(A304,[2]Sheet1!$D$2:$H$933,5,0)</f>
        <v>0</v>
      </c>
      <c r="BM304" s="6" t="s">
        <v>3828</v>
      </c>
      <c r="BN304" s="6" t="s">
        <v>3829</v>
      </c>
      <c r="BO304" s="6" t="s">
        <v>3820</v>
      </c>
      <c r="BP304" s="6" t="s">
        <v>3821</v>
      </c>
      <c r="BQ304" s="6" t="s">
        <v>3830</v>
      </c>
      <c r="BR304" t="s">
        <v>3823</v>
      </c>
      <c r="BS304" t="s">
        <v>3824</v>
      </c>
      <c r="BT304" t="s">
        <v>3825</v>
      </c>
      <c r="BU304" t="s">
        <v>3826</v>
      </c>
      <c r="BV304" t="s">
        <v>3827</v>
      </c>
      <c r="BW304" t="s">
        <v>3835</v>
      </c>
      <c r="BX304">
        <v>0</v>
      </c>
      <c r="BY304" t="s">
        <v>3862</v>
      </c>
      <c r="BZ304" t="s">
        <v>3863</v>
      </c>
    </row>
    <row r="305" spans="1:78" x14ac:dyDescent="0.25">
      <c r="A305" s="7" t="s">
        <v>1307</v>
      </c>
      <c r="B305" s="7" t="s">
        <v>181</v>
      </c>
      <c r="C305" s="7" t="s">
        <v>1305</v>
      </c>
      <c r="D305" s="8" t="s">
        <v>1306</v>
      </c>
      <c r="E305" s="7" t="s">
        <v>1308</v>
      </c>
      <c r="F305" s="9">
        <v>44942</v>
      </c>
      <c r="G305" s="9" t="s">
        <v>527</v>
      </c>
      <c r="H305" s="9" t="s">
        <v>72</v>
      </c>
      <c r="I305" s="8" t="s">
        <v>78</v>
      </c>
      <c r="J305" s="10">
        <v>652.29999999999995</v>
      </c>
      <c r="K305" s="10">
        <v>652.29999999999995</v>
      </c>
      <c r="L305" s="10">
        <f t="shared" si="114"/>
        <v>0</v>
      </c>
      <c r="M305" s="10">
        <v>293.86</v>
      </c>
      <c r="N305" s="10">
        <v>293.86</v>
      </c>
      <c r="O305" s="10">
        <f t="shared" si="115"/>
        <v>0</v>
      </c>
      <c r="P305" s="11">
        <v>9000</v>
      </c>
      <c r="Q305" s="11">
        <v>19977.880623426121</v>
      </c>
      <c r="R305" s="11">
        <v>20000</v>
      </c>
      <c r="S305" s="11">
        <v>5870700</v>
      </c>
      <c r="T305" s="11">
        <v>704484</v>
      </c>
      <c r="U305" s="12">
        <f t="shared" si="116"/>
        <v>0.12</v>
      </c>
      <c r="V305" s="13">
        <f t="shared" si="143"/>
        <v>0</v>
      </c>
      <c r="W305" s="10">
        <f t="shared" si="117"/>
        <v>0</v>
      </c>
      <c r="X305" s="10"/>
      <c r="Y305" s="10"/>
      <c r="Z305" s="11">
        <f t="shared" si="118"/>
        <v>5870700</v>
      </c>
      <c r="AA305" s="14">
        <v>1690462</v>
      </c>
      <c r="AB305" s="14">
        <v>202856</v>
      </c>
      <c r="AC305" s="11">
        <f t="shared" si="119"/>
        <v>4180238</v>
      </c>
      <c r="AD305" s="10">
        <f t="shared" si="120"/>
        <v>300</v>
      </c>
      <c r="AE305" s="15">
        <v>88158</v>
      </c>
      <c r="AF305" s="16">
        <v>15868</v>
      </c>
      <c r="AG305" s="15">
        <f t="shared" si="121"/>
        <v>0</v>
      </c>
      <c r="AH305" s="15">
        <f t="shared" si="122"/>
        <v>0</v>
      </c>
      <c r="AI305" s="15">
        <f t="shared" si="123"/>
        <v>88158</v>
      </c>
      <c r="AJ305" s="15">
        <f t="shared" si="124"/>
        <v>15869</v>
      </c>
      <c r="AK305" s="10">
        <v>88158</v>
      </c>
      <c r="AL305" s="15">
        <f t="shared" si="125"/>
        <v>88158</v>
      </c>
      <c r="AM305" s="15">
        <f t="shared" si="126"/>
        <v>4268396</v>
      </c>
      <c r="AN305" s="15">
        <f t="shared" si="127"/>
        <v>517497</v>
      </c>
      <c r="AO305" s="15">
        <f t="shared" si="132"/>
        <v>606211</v>
      </c>
      <c r="AP305" s="17">
        <f t="shared" si="128"/>
        <v>4874607</v>
      </c>
      <c r="AQ305" s="15">
        <v>4024904.0999999996</v>
      </c>
      <c r="AR305" s="15">
        <v>556</v>
      </c>
      <c r="AS305" s="18">
        <f t="shared" si="133"/>
        <v>849703</v>
      </c>
      <c r="AT305" s="19">
        <v>0</v>
      </c>
      <c r="AU305" s="8">
        <v>8800</v>
      </c>
      <c r="AV305" s="13">
        <f t="shared" si="134"/>
        <v>2585968</v>
      </c>
      <c r="AW305" s="18">
        <f t="shared" si="135"/>
        <v>4268396</v>
      </c>
      <c r="AX305" s="15">
        <f t="shared" si="129"/>
        <v>4269000</v>
      </c>
      <c r="AY305" s="20">
        <v>7.0000000000000007E-2</v>
      </c>
      <c r="AZ305" s="13">
        <f t="shared" si="130"/>
        <v>298830</v>
      </c>
      <c r="BA305" s="15">
        <f t="shared" si="131"/>
        <v>298900</v>
      </c>
      <c r="BB305" s="21">
        <f t="shared" si="136"/>
        <v>1148603</v>
      </c>
      <c r="BC305" s="10">
        <f t="shared" si="137"/>
        <v>0</v>
      </c>
      <c r="BD305" s="10">
        <f t="shared" si="138"/>
        <v>0</v>
      </c>
      <c r="BE305" s="10">
        <v>60.6</v>
      </c>
      <c r="BF305" s="10">
        <v>27.3</v>
      </c>
      <c r="BG305" s="107">
        <v>46176</v>
      </c>
      <c r="BH305" s="107">
        <f t="shared" si="142"/>
        <v>46206</v>
      </c>
      <c r="BI305" s="23">
        <v>7</v>
      </c>
      <c r="BJ305" s="6"/>
      <c r="BK305" s="6"/>
      <c r="BL305" s="24">
        <f>VLOOKUP(A305,[2]Sheet1!$D$2:$H$933,5,0)</f>
        <v>0</v>
      </c>
      <c r="BM305" s="6" t="s">
        <v>3828</v>
      </c>
      <c r="BN305" s="6" t="s">
        <v>3829</v>
      </c>
      <c r="BO305" s="6" t="s">
        <v>3820</v>
      </c>
      <c r="BP305" s="6" t="s">
        <v>3821</v>
      </c>
      <c r="BQ305" s="6" t="s">
        <v>3830</v>
      </c>
      <c r="BR305" t="s">
        <v>3823</v>
      </c>
      <c r="BS305" t="s">
        <v>3824</v>
      </c>
      <c r="BT305" t="s">
        <v>3825</v>
      </c>
      <c r="BU305" t="s">
        <v>3826</v>
      </c>
      <c r="BV305" t="s">
        <v>3827</v>
      </c>
      <c r="BW305" t="s">
        <v>3835</v>
      </c>
      <c r="BX305">
        <v>0</v>
      </c>
      <c r="BY305" t="s">
        <v>3867</v>
      </c>
      <c r="BZ305" t="s">
        <v>3871</v>
      </c>
    </row>
    <row r="306" spans="1:78" x14ac:dyDescent="0.25">
      <c r="A306" s="7" t="s">
        <v>1311</v>
      </c>
      <c r="B306" s="7" t="s">
        <v>181</v>
      </c>
      <c r="C306" s="7" t="s">
        <v>1309</v>
      </c>
      <c r="D306" s="8" t="s">
        <v>1310</v>
      </c>
      <c r="E306" s="7" t="s">
        <v>1312</v>
      </c>
      <c r="F306" s="9">
        <v>44958</v>
      </c>
      <c r="G306" s="9" t="s">
        <v>527</v>
      </c>
      <c r="H306" s="9" t="s">
        <v>66</v>
      </c>
      <c r="I306" s="8" t="s">
        <v>67</v>
      </c>
      <c r="J306" s="10">
        <v>226.04</v>
      </c>
      <c r="K306" s="10">
        <v>226.04</v>
      </c>
      <c r="L306" s="10">
        <f t="shared" si="114"/>
        <v>0</v>
      </c>
      <c r="M306" s="10">
        <v>86.11</v>
      </c>
      <c r="N306" s="10">
        <v>86.11</v>
      </c>
      <c r="O306" s="10">
        <f t="shared" si="115"/>
        <v>0</v>
      </c>
      <c r="P306" s="11">
        <v>19964.479738099453</v>
      </c>
      <c r="Q306" s="11">
        <v>52407.049123214492</v>
      </c>
      <c r="R306" s="11">
        <v>22000</v>
      </c>
      <c r="S306" s="11">
        <v>4512771</v>
      </c>
      <c r="T306" s="11">
        <v>541532</v>
      </c>
      <c r="U306" s="12">
        <f t="shared" si="116"/>
        <v>0.11999988477146303</v>
      </c>
      <c r="V306" s="13">
        <f t="shared" si="143"/>
        <v>0</v>
      </c>
      <c r="W306" s="10">
        <f t="shared" si="117"/>
        <v>0</v>
      </c>
      <c r="X306" s="10"/>
      <c r="Y306" s="10"/>
      <c r="Z306" s="11">
        <f t="shared" si="118"/>
        <v>4512771</v>
      </c>
      <c r="AA306" s="14">
        <v>213617</v>
      </c>
      <c r="AB306" s="14">
        <v>25634</v>
      </c>
      <c r="AC306" s="11">
        <f t="shared" si="119"/>
        <v>4299154</v>
      </c>
      <c r="AD306" s="10">
        <f t="shared" si="120"/>
        <v>300</v>
      </c>
      <c r="AE306" s="15">
        <v>25833</v>
      </c>
      <c r="AF306" s="16">
        <v>4650</v>
      </c>
      <c r="AG306" s="15">
        <f t="shared" si="121"/>
        <v>0</v>
      </c>
      <c r="AH306" s="15">
        <f t="shared" si="122"/>
        <v>0</v>
      </c>
      <c r="AI306" s="15">
        <f t="shared" si="123"/>
        <v>25833</v>
      </c>
      <c r="AJ306" s="15">
        <f t="shared" si="124"/>
        <v>4650</v>
      </c>
      <c r="AK306" s="10">
        <v>25833</v>
      </c>
      <c r="AL306" s="15">
        <f t="shared" si="125"/>
        <v>25833</v>
      </c>
      <c r="AM306" s="15">
        <f t="shared" si="126"/>
        <v>4324987</v>
      </c>
      <c r="AN306" s="15">
        <f t="shared" si="127"/>
        <v>520548</v>
      </c>
      <c r="AO306" s="15">
        <f t="shared" si="132"/>
        <v>546942</v>
      </c>
      <c r="AP306" s="17">
        <f t="shared" si="128"/>
        <v>4871929</v>
      </c>
      <c r="AQ306" s="15">
        <v>4310183</v>
      </c>
      <c r="AR306" s="15">
        <v>561</v>
      </c>
      <c r="AS306" s="18">
        <f t="shared" si="133"/>
        <v>561746</v>
      </c>
      <c r="AT306" s="19">
        <v>0</v>
      </c>
      <c r="AU306" s="8">
        <v>8800</v>
      </c>
      <c r="AV306" s="13">
        <f t="shared" si="134"/>
        <v>757768</v>
      </c>
      <c r="AW306" s="18">
        <f t="shared" si="135"/>
        <v>4324987</v>
      </c>
      <c r="AX306" s="15">
        <f t="shared" si="129"/>
        <v>4325000</v>
      </c>
      <c r="AY306" s="20">
        <v>0.06</v>
      </c>
      <c r="AZ306" s="13">
        <f t="shared" si="130"/>
        <v>259500</v>
      </c>
      <c r="BA306" s="15">
        <f t="shared" si="131"/>
        <v>259500</v>
      </c>
      <c r="BB306" s="21">
        <f t="shared" si="136"/>
        <v>821246</v>
      </c>
      <c r="BC306" s="10">
        <f t="shared" si="137"/>
        <v>0</v>
      </c>
      <c r="BD306" s="10">
        <f t="shared" si="138"/>
        <v>0</v>
      </c>
      <c r="BE306" s="10">
        <v>21</v>
      </c>
      <c r="BF306" s="10">
        <v>8</v>
      </c>
      <c r="BG306" s="107">
        <v>46176</v>
      </c>
      <c r="BH306" s="107">
        <f t="shared" si="142"/>
        <v>46206</v>
      </c>
      <c r="BI306" s="23">
        <v>6</v>
      </c>
      <c r="BJ306" s="6"/>
      <c r="BK306" s="6"/>
      <c r="BL306" s="24">
        <f>VLOOKUP(A306,[2]Sheet1!$D$2:$H$933,5,0)</f>
        <v>0</v>
      </c>
      <c r="BM306" s="6" t="s">
        <v>3828</v>
      </c>
      <c r="BN306" s="6" t="s">
        <v>3829</v>
      </c>
      <c r="BO306" s="6" t="s">
        <v>3820</v>
      </c>
      <c r="BP306" s="6" t="s">
        <v>3821</v>
      </c>
      <c r="BQ306" s="6" t="s">
        <v>3830</v>
      </c>
      <c r="BR306" t="s">
        <v>3823</v>
      </c>
      <c r="BS306" t="s">
        <v>3824</v>
      </c>
      <c r="BT306" t="s">
        <v>3825</v>
      </c>
      <c r="BU306" t="s">
        <v>3826</v>
      </c>
      <c r="BV306" t="s">
        <v>3827</v>
      </c>
      <c r="BW306" t="s">
        <v>3835</v>
      </c>
      <c r="BX306">
        <v>0</v>
      </c>
      <c r="BY306" t="s">
        <v>3867</v>
      </c>
      <c r="BZ306" t="s">
        <v>3871</v>
      </c>
    </row>
    <row r="307" spans="1:78" x14ac:dyDescent="0.25">
      <c r="A307" s="7" t="s">
        <v>1315</v>
      </c>
      <c r="B307" s="7" t="s">
        <v>181</v>
      </c>
      <c r="C307" s="7" t="s">
        <v>1313</v>
      </c>
      <c r="D307" s="8" t="s">
        <v>1314</v>
      </c>
      <c r="E307" s="7" t="s">
        <v>1316</v>
      </c>
      <c r="F307" s="9">
        <v>45008</v>
      </c>
      <c r="G307" s="9" t="s">
        <v>527</v>
      </c>
      <c r="H307" s="9" t="s">
        <v>92</v>
      </c>
      <c r="I307" s="8" t="s">
        <v>67</v>
      </c>
      <c r="J307" s="10">
        <v>224.85</v>
      </c>
      <c r="K307" s="10">
        <v>224.85</v>
      </c>
      <c r="L307" s="10">
        <f t="shared" si="114"/>
        <v>0</v>
      </c>
      <c r="M307" s="10">
        <v>89.34</v>
      </c>
      <c r="N307" s="10">
        <v>89.34</v>
      </c>
      <c r="O307" s="10">
        <f t="shared" si="115"/>
        <v>0</v>
      </c>
      <c r="P307" s="11">
        <v>12451.839003780298</v>
      </c>
      <c r="Q307" s="11">
        <v>31338.661293933288</v>
      </c>
      <c r="R307" s="11">
        <v>28000</v>
      </c>
      <c r="S307" s="11">
        <v>2799796</v>
      </c>
      <c r="T307" s="11">
        <v>335976</v>
      </c>
      <c r="U307" s="12">
        <f t="shared" si="116"/>
        <v>0.12000017144106213</v>
      </c>
      <c r="V307" s="13">
        <f t="shared" si="143"/>
        <v>0</v>
      </c>
      <c r="W307" s="10">
        <f t="shared" si="117"/>
        <v>0</v>
      </c>
      <c r="X307" s="10"/>
      <c r="Y307" s="10"/>
      <c r="Z307" s="11">
        <f t="shared" si="118"/>
        <v>2799796</v>
      </c>
      <c r="AA307" s="14">
        <v>153588</v>
      </c>
      <c r="AB307" s="14">
        <v>18430</v>
      </c>
      <c r="AC307" s="11">
        <f t="shared" si="119"/>
        <v>2646208</v>
      </c>
      <c r="AD307" s="10">
        <f t="shared" si="120"/>
        <v>300</v>
      </c>
      <c r="AE307" s="15">
        <v>26802</v>
      </c>
      <c r="AF307" s="16">
        <v>4824</v>
      </c>
      <c r="AG307" s="15">
        <f t="shared" si="121"/>
        <v>0</v>
      </c>
      <c r="AH307" s="15">
        <f t="shared" si="122"/>
        <v>0</v>
      </c>
      <c r="AI307" s="15">
        <f t="shared" si="123"/>
        <v>26802</v>
      </c>
      <c r="AJ307" s="15">
        <f t="shared" si="124"/>
        <v>4825</v>
      </c>
      <c r="AK307" s="10">
        <v>26802</v>
      </c>
      <c r="AL307" s="15">
        <f t="shared" si="125"/>
        <v>26802</v>
      </c>
      <c r="AM307" s="15">
        <f t="shared" si="126"/>
        <v>2673010</v>
      </c>
      <c r="AN307" s="15">
        <f t="shared" si="127"/>
        <v>322371</v>
      </c>
      <c r="AO307" s="15">
        <f t="shared" si="132"/>
        <v>349739.44</v>
      </c>
      <c r="AP307" s="17">
        <f t="shared" si="128"/>
        <v>3022749.44</v>
      </c>
      <c r="AQ307" s="15">
        <v>2650743.4</v>
      </c>
      <c r="AR307" s="15">
        <v>566.44000000000005</v>
      </c>
      <c r="AS307" s="18">
        <f t="shared" si="133"/>
        <v>372006</v>
      </c>
      <c r="AT307" s="19">
        <v>0</v>
      </c>
      <c r="AU307" s="8">
        <v>8800</v>
      </c>
      <c r="AV307" s="13">
        <f t="shared" si="134"/>
        <v>786192</v>
      </c>
      <c r="AW307" s="18">
        <f t="shared" si="135"/>
        <v>2673010</v>
      </c>
      <c r="AX307" s="15">
        <f t="shared" si="129"/>
        <v>2674000</v>
      </c>
      <c r="AY307" s="20">
        <v>0.06</v>
      </c>
      <c r="AZ307" s="13">
        <f t="shared" si="130"/>
        <v>160440</v>
      </c>
      <c r="BA307" s="15">
        <f t="shared" si="131"/>
        <v>160500</v>
      </c>
      <c r="BB307" s="21">
        <f t="shared" si="136"/>
        <v>532506</v>
      </c>
      <c r="BC307" s="10">
        <f t="shared" si="137"/>
        <v>0</v>
      </c>
      <c r="BD307" s="10">
        <f t="shared" si="138"/>
        <v>0</v>
      </c>
      <c r="BE307" s="10">
        <v>20.89</v>
      </c>
      <c r="BF307" s="10">
        <v>8.3000000000000007</v>
      </c>
      <c r="BG307" s="107">
        <v>46176</v>
      </c>
      <c r="BH307" s="107">
        <f t="shared" si="142"/>
        <v>46206</v>
      </c>
      <c r="BI307" s="23">
        <v>6</v>
      </c>
      <c r="BJ307" s="6"/>
      <c r="BK307" s="6"/>
      <c r="BL307" s="24">
        <f>VLOOKUP(A307,[2]Sheet1!$D$2:$H$933,5,0)</f>
        <v>0</v>
      </c>
      <c r="BM307" s="6" t="s">
        <v>3828</v>
      </c>
      <c r="BN307" s="6" t="s">
        <v>3829</v>
      </c>
      <c r="BO307" s="6" t="s">
        <v>3820</v>
      </c>
      <c r="BP307" s="6" t="s">
        <v>3821</v>
      </c>
      <c r="BQ307" s="6" t="s">
        <v>3830</v>
      </c>
      <c r="BR307" t="s">
        <v>3823</v>
      </c>
      <c r="BS307" t="s">
        <v>3824</v>
      </c>
      <c r="BT307" t="s">
        <v>3825</v>
      </c>
      <c r="BU307" t="s">
        <v>3826</v>
      </c>
      <c r="BV307" t="s">
        <v>3827</v>
      </c>
      <c r="BW307" t="s">
        <v>3835</v>
      </c>
      <c r="BX307">
        <v>0</v>
      </c>
      <c r="BY307" t="s">
        <v>3866</v>
      </c>
      <c r="BZ307" t="s">
        <v>3871</v>
      </c>
    </row>
    <row r="308" spans="1:78" x14ac:dyDescent="0.25">
      <c r="A308" s="7" t="s">
        <v>1319</v>
      </c>
      <c r="B308" s="7" t="s">
        <v>181</v>
      </c>
      <c r="C308" s="7" t="s">
        <v>1317</v>
      </c>
      <c r="D308" s="8" t="s">
        <v>1318</v>
      </c>
      <c r="E308" s="7" t="s">
        <v>1320</v>
      </c>
      <c r="F308" s="9">
        <v>45013</v>
      </c>
      <c r="G308" s="9" t="s">
        <v>65</v>
      </c>
      <c r="H308" s="9" t="s">
        <v>66</v>
      </c>
      <c r="I308" s="8" t="s">
        <v>78</v>
      </c>
      <c r="J308" s="10">
        <v>795.46</v>
      </c>
      <c r="K308" s="10">
        <v>795.46</v>
      </c>
      <c r="L308" s="10">
        <f t="shared" si="114"/>
        <v>0</v>
      </c>
      <c r="M308" s="10">
        <v>372.43</v>
      </c>
      <c r="N308" s="10">
        <v>372.43</v>
      </c>
      <c r="O308" s="10">
        <f t="shared" si="115"/>
        <v>0</v>
      </c>
      <c r="P308" s="11">
        <v>12200</v>
      </c>
      <c r="Q308" s="11">
        <v>26057.546384555488</v>
      </c>
      <c r="R308" s="11">
        <v>22000</v>
      </c>
      <c r="S308" s="11">
        <v>9704612</v>
      </c>
      <c r="T308" s="11">
        <v>1164554</v>
      </c>
      <c r="U308" s="12">
        <f t="shared" si="116"/>
        <v>0.12000005770452235</v>
      </c>
      <c r="V308" s="13">
        <f t="shared" si="143"/>
        <v>0</v>
      </c>
      <c r="W308" s="10">
        <f t="shared" si="117"/>
        <v>0</v>
      </c>
      <c r="X308" s="10"/>
      <c r="Y308" s="10"/>
      <c r="Z308" s="11">
        <f t="shared" si="118"/>
        <v>9704612</v>
      </c>
      <c r="AA308" s="14"/>
      <c r="AB308" s="14"/>
      <c r="AC308" s="11">
        <f t="shared" si="119"/>
        <v>9704612</v>
      </c>
      <c r="AD308" s="10">
        <f t="shared" si="120"/>
        <v>300</v>
      </c>
      <c r="AE308" s="15">
        <v>111729</v>
      </c>
      <c r="AF308" s="16">
        <v>20112</v>
      </c>
      <c r="AG308" s="15">
        <f t="shared" si="121"/>
        <v>0</v>
      </c>
      <c r="AH308" s="15">
        <f t="shared" si="122"/>
        <v>0</v>
      </c>
      <c r="AI308" s="15">
        <f t="shared" si="123"/>
        <v>111729</v>
      </c>
      <c r="AJ308" s="15">
        <f t="shared" si="124"/>
        <v>20112</v>
      </c>
      <c r="AK308" s="10">
        <v>111729</v>
      </c>
      <c r="AL308" s="15">
        <f t="shared" si="125"/>
        <v>111729</v>
      </c>
      <c r="AM308" s="15">
        <f t="shared" si="126"/>
        <v>9816341</v>
      </c>
      <c r="AN308" s="15">
        <f t="shared" si="127"/>
        <v>1184666</v>
      </c>
      <c r="AO308" s="15">
        <f t="shared" si="132"/>
        <v>1296994</v>
      </c>
      <c r="AP308" s="17">
        <f t="shared" si="128"/>
        <v>11113335</v>
      </c>
      <c r="AQ308" s="15">
        <v>9782550</v>
      </c>
      <c r="AR308" s="15">
        <v>599</v>
      </c>
      <c r="AS308" s="18">
        <f t="shared" si="133"/>
        <v>1330785</v>
      </c>
      <c r="AT308" s="19">
        <v>0</v>
      </c>
      <c r="AU308" s="8">
        <v>8800</v>
      </c>
      <c r="AV308" s="13">
        <f t="shared" si="134"/>
        <v>3277384</v>
      </c>
      <c r="AW308" s="18">
        <f t="shared" si="135"/>
        <v>9816341</v>
      </c>
      <c r="AX308" s="15">
        <f t="shared" si="129"/>
        <v>9817000</v>
      </c>
      <c r="AY308" s="20">
        <v>7.0000000000000007E-2</v>
      </c>
      <c r="AZ308" s="13">
        <f t="shared" si="130"/>
        <v>687190.00000000012</v>
      </c>
      <c r="BA308" s="15">
        <f t="shared" si="131"/>
        <v>687200</v>
      </c>
      <c r="BB308" s="21">
        <f t="shared" si="136"/>
        <v>2017985</v>
      </c>
      <c r="BC308" s="10">
        <f t="shared" si="137"/>
        <v>0</v>
      </c>
      <c r="BD308" s="10">
        <f t="shared" si="138"/>
        <v>0</v>
      </c>
      <c r="BE308" s="10">
        <v>73.900000000000006</v>
      </c>
      <c r="BF308" s="10">
        <v>34.6</v>
      </c>
      <c r="BG308" s="107">
        <v>46176</v>
      </c>
      <c r="BH308" s="107">
        <f t="shared" si="142"/>
        <v>46206</v>
      </c>
      <c r="BI308" s="23">
        <v>7</v>
      </c>
      <c r="BJ308" s="6"/>
      <c r="BK308" s="6"/>
      <c r="BL308" s="24">
        <f>VLOOKUP(A308,[2]Sheet1!$D$2:$H$933,5,0)</f>
        <v>0</v>
      </c>
      <c r="BM308" s="6" t="s">
        <v>3828</v>
      </c>
      <c r="BN308" s="6" t="s">
        <v>3829</v>
      </c>
      <c r="BO308" s="6" t="s">
        <v>3820</v>
      </c>
      <c r="BP308" s="6" t="s">
        <v>3821</v>
      </c>
      <c r="BQ308" s="6" t="s">
        <v>3830</v>
      </c>
      <c r="BR308" t="s">
        <v>3823</v>
      </c>
      <c r="BS308" t="s">
        <v>3824</v>
      </c>
      <c r="BT308" t="s">
        <v>3825</v>
      </c>
      <c r="BU308" t="s">
        <v>3826</v>
      </c>
      <c r="BV308" t="s">
        <v>3827</v>
      </c>
      <c r="BW308" t="s">
        <v>3835</v>
      </c>
      <c r="BX308">
        <v>0</v>
      </c>
      <c r="BY308" t="s">
        <v>3870</v>
      </c>
      <c r="BZ308" t="s">
        <v>3860</v>
      </c>
    </row>
    <row r="309" spans="1:78" x14ac:dyDescent="0.25">
      <c r="A309" s="7" t="s">
        <v>1323</v>
      </c>
      <c r="B309" s="7" t="s">
        <v>181</v>
      </c>
      <c r="C309" s="7" t="s">
        <v>1321</v>
      </c>
      <c r="D309" s="8" t="s">
        <v>1322</v>
      </c>
      <c r="E309" s="7" t="s">
        <v>1324</v>
      </c>
      <c r="F309" s="9">
        <v>44962</v>
      </c>
      <c r="G309" s="9" t="s">
        <v>527</v>
      </c>
      <c r="H309" s="9" t="s">
        <v>66</v>
      </c>
      <c r="I309" s="8" t="s">
        <v>78</v>
      </c>
      <c r="J309" s="10">
        <v>825.81</v>
      </c>
      <c r="K309" s="10">
        <v>825.81</v>
      </c>
      <c r="L309" s="10">
        <f t="shared" si="114"/>
        <v>0</v>
      </c>
      <c r="M309" s="10">
        <v>370.39</v>
      </c>
      <c r="N309" s="10">
        <v>370.39</v>
      </c>
      <c r="O309" s="10">
        <f t="shared" si="115"/>
        <v>0</v>
      </c>
      <c r="P309" s="11">
        <v>13730.888461026145</v>
      </c>
      <c r="Q309" s="11">
        <v>30613.960960069118</v>
      </c>
      <c r="R309" s="11">
        <v>22000</v>
      </c>
      <c r="S309" s="11">
        <v>11339105</v>
      </c>
      <c r="T309" s="11">
        <v>1360694</v>
      </c>
      <c r="U309" s="12">
        <f t="shared" si="116"/>
        <v>0.12000012346653462</v>
      </c>
      <c r="V309" s="13">
        <f t="shared" si="143"/>
        <v>0</v>
      </c>
      <c r="W309" s="10">
        <f t="shared" si="117"/>
        <v>0</v>
      </c>
      <c r="X309" s="10"/>
      <c r="Y309" s="10"/>
      <c r="Z309" s="11">
        <f t="shared" si="118"/>
        <v>11339105</v>
      </c>
      <c r="AA309" s="14"/>
      <c r="AB309" s="14"/>
      <c r="AC309" s="11">
        <f t="shared" si="119"/>
        <v>11339105</v>
      </c>
      <c r="AD309" s="10">
        <f t="shared" si="120"/>
        <v>300</v>
      </c>
      <c r="AE309" s="15">
        <v>111117</v>
      </c>
      <c r="AF309" s="16">
        <v>20002</v>
      </c>
      <c r="AG309" s="15">
        <f t="shared" si="121"/>
        <v>0</v>
      </c>
      <c r="AH309" s="15">
        <f t="shared" si="122"/>
        <v>0</v>
      </c>
      <c r="AI309" s="15">
        <f t="shared" si="123"/>
        <v>111117</v>
      </c>
      <c r="AJ309" s="15">
        <f t="shared" si="124"/>
        <v>20002</v>
      </c>
      <c r="AK309" s="10">
        <v>111117</v>
      </c>
      <c r="AL309" s="15">
        <f t="shared" si="125"/>
        <v>111117</v>
      </c>
      <c r="AM309" s="15">
        <f t="shared" si="126"/>
        <v>11450222</v>
      </c>
      <c r="AN309" s="15">
        <f t="shared" si="127"/>
        <v>1380696</v>
      </c>
      <c r="AO309" s="15">
        <f t="shared" si="132"/>
        <v>1492423.6799999999</v>
      </c>
      <c r="AP309" s="17">
        <f t="shared" si="128"/>
        <v>12942645.68</v>
      </c>
      <c r="AQ309" s="15">
        <v>7602739.6399999997</v>
      </c>
      <c r="AR309" s="15">
        <v>610.67999999999995</v>
      </c>
      <c r="AS309" s="18">
        <f t="shared" si="133"/>
        <v>5339906</v>
      </c>
      <c r="AT309" s="19">
        <v>0</v>
      </c>
      <c r="AU309" s="8">
        <v>8800</v>
      </c>
      <c r="AV309" s="13">
        <f t="shared" si="134"/>
        <v>3259432</v>
      </c>
      <c r="AW309" s="18">
        <f t="shared" si="135"/>
        <v>11450222</v>
      </c>
      <c r="AX309" s="15">
        <f t="shared" si="129"/>
        <v>11451000</v>
      </c>
      <c r="AY309" s="20">
        <v>7.0000000000000007E-2</v>
      </c>
      <c r="AZ309" s="13">
        <f t="shared" si="130"/>
        <v>801570.00000000012</v>
      </c>
      <c r="BA309" s="15">
        <f t="shared" si="131"/>
        <v>801600</v>
      </c>
      <c r="BB309" s="21">
        <f t="shared" si="136"/>
        <v>6141506</v>
      </c>
      <c r="BC309" s="10">
        <f t="shared" si="137"/>
        <v>0</v>
      </c>
      <c r="BD309" s="10">
        <f t="shared" si="138"/>
        <v>0</v>
      </c>
      <c r="BE309" s="10">
        <v>76.72</v>
      </c>
      <c r="BF309" s="10">
        <v>34.409999999999997</v>
      </c>
      <c r="BG309" s="107">
        <v>46176</v>
      </c>
      <c r="BH309" s="107">
        <f t="shared" si="142"/>
        <v>46206</v>
      </c>
      <c r="BI309" s="23">
        <v>7</v>
      </c>
      <c r="BJ309" s="6"/>
      <c r="BK309" s="6"/>
      <c r="BL309" s="24">
        <f>VLOOKUP(A309,[2]Sheet1!$D$2:$H$933,5,0)</f>
        <v>0</v>
      </c>
      <c r="BM309" s="6" t="s">
        <v>3828</v>
      </c>
      <c r="BN309" s="6" t="s">
        <v>3829</v>
      </c>
      <c r="BO309" s="6" t="s">
        <v>3820</v>
      </c>
      <c r="BP309" s="6" t="s">
        <v>3821</v>
      </c>
      <c r="BQ309" s="6" t="s">
        <v>3830</v>
      </c>
      <c r="BR309" t="s">
        <v>3823</v>
      </c>
      <c r="BS309" t="s">
        <v>3824</v>
      </c>
      <c r="BT309" t="s">
        <v>3825</v>
      </c>
      <c r="BU309" t="s">
        <v>3826</v>
      </c>
      <c r="BV309" t="s">
        <v>3827</v>
      </c>
      <c r="BW309" t="s">
        <v>3835</v>
      </c>
      <c r="BX309">
        <v>0</v>
      </c>
      <c r="BY309" t="s">
        <v>3864</v>
      </c>
      <c r="BZ309" t="s">
        <v>3871</v>
      </c>
    </row>
    <row r="310" spans="1:78" x14ac:dyDescent="0.25">
      <c r="A310" s="7" t="s">
        <v>1327</v>
      </c>
      <c r="B310" s="7" t="s">
        <v>181</v>
      </c>
      <c r="C310" s="7" t="s">
        <v>1325</v>
      </c>
      <c r="D310" s="8" t="s">
        <v>1326</v>
      </c>
      <c r="E310" s="7" t="s">
        <v>1230</v>
      </c>
      <c r="F310" s="9">
        <v>45048</v>
      </c>
      <c r="G310" s="9" t="s">
        <v>363</v>
      </c>
      <c r="H310" s="9" t="s">
        <v>92</v>
      </c>
      <c r="I310" s="8" t="s">
        <v>78</v>
      </c>
      <c r="J310" s="10">
        <v>697.51</v>
      </c>
      <c r="K310" s="10">
        <v>697.51</v>
      </c>
      <c r="L310" s="10">
        <f t="shared" si="114"/>
        <v>0</v>
      </c>
      <c r="M310" s="10">
        <v>317.54000000000002</v>
      </c>
      <c r="N310" s="10">
        <v>317.54000000000002</v>
      </c>
      <c r="O310" s="10">
        <f t="shared" si="115"/>
        <v>0</v>
      </c>
      <c r="P310" s="11">
        <v>14199.000731172313</v>
      </c>
      <c r="Q310" s="11">
        <v>31189.59816086162</v>
      </c>
      <c r="R310" s="11">
        <v>28000</v>
      </c>
      <c r="S310" s="11">
        <v>9903945</v>
      </c>
      <c r="T310" s="11">
        <v>1188476</v>
      </c>
      <c r="U310" s="12">
        <f t="shared" si="116"/>
        <v>0.12000026252165173</v>
      </c>
      <c r="V310" s="13">
        <f t="shared" si="143"/>
        <v>0</v>
      </c>
      <c r="W310" s="10">
        <f t="shared" si="117"/>
        <v>0</v>
      </c>
      <c r="X310" s="10"/>
      <c r="Y310" s="10"/>
      <c r="Z310" s="11">
        <f t="shared" si="118"/>
        <v>9903945</v>
      </c>
      <c r="AA310" s="14"/>
      <c r="AB310" s="14"/>
      <c r="AC310" s="11">
        <f t="shared" si="119"/>
        <v>9903945</v>
      </c>
      <c r="AD310" s="10">
        <f t="shared" si="120"/>
        <v>300</v>
      </c>
      <c r="AE310" s="15">
        <v>95262</v>
      </c>
      <c r="AF310" s="16">
        <v>17148</v>
      </c>
      <c r="AG310" s="15">
        <f t="shared" si="121"/>
        <v>0</v>
      </c>
      <c r="AH310" s="15">
        <f t="shared" si="122"/>
        <v>0</v>
      </c>
      <c r="AI310" s="15">
        <f t="shared" si="123"/>
        <v>95262</v>
      </c>
      <c r="AJ310" s="15">
        <f t="shared" si="124"/>
        <v>17148</v>
      </c>
      <c r="AK310" s="10">
        <v>95262</v>
      </c>
      <c r="AL310" s="15">
        <f t="shared" si="125"/>
        <v>95262</v>
      </c>
      <c r="AM310" s="15">
        <f t="shared" si="126"/>
        <v>9999207</v>
      </c>
      <c r="AN310" s="15">
        <f t="shared" si="127"/>
        <v>1205624</v>
      </c>
      <c r="AO310" s="15">
        <f t="shared" si="132"/>
        <v>1301622.8400000001</v>
      </c>
      <c r="AP310" s="17">
        <f t="shared" si="128"/>
        <v>11300829.84</v>
      </c>
      <c r="AQ310" s="15">
        <v>9918254</v>
      </c>
      <c r="AR310" s="15">
        <v>736.84</v>
      </c>
      <c r="AS310" s="18">
        <f t="shared" si="133"/>
        <v>1382576</v>
      </c>
      <c r="AT310" s="19">
        <v>0</v>
      </c>
      <c r="AU310" s="8">
        <v>8800</v>
      </c>
      <c r="AV310" s="13">
        <f t="shared" si="134"/>
        <v>2794352</v>
      </c>
      <c r="AW310" s="18">
        <f t="shared" si="135"/>
        <v>9999207</v>
      </c>
      <c r="AX310" s="15">
        <f t="shared" si="129"/>
        <v>10000000</v>
      </c>
      <c r="AY310" s="20">
        <v>0.06</v>
      </c>
      <c r="AZ310" s="13">
        <f t="shared" si="130"/>
        <v>600000</v>
      </c>
      <c r="BA310" s="15">
        <f t="shared" si="131"/>
        <v>600000</v>
      </c>
      <c r="BB310" s="21">
        <f t="shared" si="136"/>
        <v>1982576</v>
      </c>
      <c r="BC310" s="10">
        <f t="shared" si="137"/>
        <v>0</v>
      </c>
      <c r="BD310" s="10">
        <f t="shared" si="138"/>
        <v>0</v>
      </c>
      <c r="BE310" s="10">
        <v>64.8</v>
      </c>
      <c r="BF310" s="10">
        <v>29.5</v>
      </c>
      <c r="BG310" s="107">
        <v>46176</v>
      </c>
      <c r="BH310" s="107">
        <f t="shared" si="142"/>
        <v>46206</v>
      </c>
      <c r="BI310" s="23">
        <v>6</v>
      </c>
      <c r="BJ310" s="6"/>
      <c r="BK310" s="6"/>
      <c r="BL310" s="24">
        <f>VLOOKUP(A310,[2]Sheet1!$D$2:$H$933,5,0)</f>
        <v>0</v>
      </c>
      <c r="BM310" s="6" t="s">
        <v>3828</v>
      </c>
      <c r="BN310" s="6" t="s">
        <v>3829</v>
      </c>
      <c r="BO310" s="6" t="s">
        <v>3820</v>
      </c>
      <c r="BP310" s="6" t="s">
        <v>3821</v>
      </c>
      <c r="BQ310" s="6" t="s">
        <v>3830</v>
      </c>
      <c r="BR310" t="s">
        <v>3823</v>
      </c>
      <c r="BS310" t="s">
        <v>3824</v>
      </c>
      <c r="BT310" t="s">
        <v>3825</v>
      </c>
      <c r="BU310" t="s">
        <v>3826</v>
      </c>
      <c r="BV310" t="s">
        <v>3827</v>
      </c>
      <c r="BW310" t="s">
        <v>3835</v>
      </c>
      <c r="BX310">
        <v>0</v>
      </c>
      <c r="BY310" t="s">
        <v>3862</v>
      </c>
      <c r="BZ310" t="s">
        <v>3860</v>
      </c>
    </row>
    <row r="311" spans="1:78" x14ac:dyDescent="0.25">
      <c r="A311" s="7" t="s">
        <v>1330</v>
      </c>
      <c r="B311" s="7" t="s">
        <v>181</v>
      </c>
      <c r="C311" s="7" t="s">
        <v>1328</v>
      </c>
      <c r="D311" s="8" t="s">
        <v>1329</v>
      </c>
      <c r="E311" s="7" t="s">
        <v>1331</v>
      </c>
      <c r="F311" s="9">
        <v>45072</v>
      </c>
      <c r="G311" s="9" t="s">
        <v>65</v>
      </c>
      <c r="H311" s="9" t="s">
        <v>72</v>
      </c>
      <c r="I311" s="8" t="s">
        <v>67</v>
      </c>
      <c r="J311" s="10">
        <v>581.26</v>
      </c>
      <c r="K311" s="10">
        <v>581.26</v>
      </c>
      <c r="L311" s="10">
        <f t="shared" ref="L311:L373" si="144">K311-J311</f>
        <v>0</v>
      </c>
      <c r="M311" s="10">
        <v>237.88</v>
      </c>
      <c r="N311" s="10">
        <v>237.88</v>
      </c>
      <c r="O311" s="10">
        <f t="shared" ref="O311:O373" si="145">N311-M311</f>
        <v>0</v>
      </c>
      <c r="P311" s="11">
        <v>13934.999827959949</v>
      </c>
      <c r="Q311" s="11">
        <v>34050.184967210356</v>
      </c>
      <c r="R311" s="11">
        <v>20000</v>
      </c>
      <c r="S311" s="11">
        <v>8099858</v>
      </c>
      <c r="T311" s="11">
        <v>971982</v>
      </c>
      <c r="U311" s="12">
        <f t="shared" ref="U311:U373" si="146">T311/S311</f>
        <v>0.11999988147940371</v>
      </c>
      <c r="V311" s="13">
        <f t="shared" si="143"/>
        <v>0</v>
      </c>
      <c r="W311" s="10">
        <f t="shared" ref="W311:W373" si="147">V311*U311</f>
        <v>0</v>
      </c>
      <c r="X311" s="10"/>
      <c r="Y311" s="10"/>
      <c r="Z311" s="11">
        <f t="shared" ref="Z311:Z373" si="148">S311+V311+X311</f>
        <v>8099858</v>
      </c>
      <c r="AA311" s="14"/>
      <c r="AB311" s="14"/>
      <c r="AC311" s="11">
        <f t="shared" ref="AC311:AC373" si="149">Z311-AA311</f>
        <v>8099858</v>
      </c>
      <c r="AD311" s="10">
        <f t="shared" ref="AD311:AD373" si="150">AE311/M311</f>
        <v>300</v>
      </c>
      <c r="AE311" s="15">
        <v>71364</v>
      </c>
      <c r="AF311" s="16">
        <v>12846</v>
      </c>
      <c r="AG311" s="15">
        <f t="shared" ref="AG311:AG373" si="151">(AD311*O311)</f>
        <v>0</v>
      </c>
      <c r="AH311" s="15">
        <f t="shared" ref="AH311:AH373" si="152">AG311*18%</f>
        <v>0</v>
      </c>
      <c r="AI311" s="15">
        <f t="shared" ref="AI311:AI373" si="153">AD311*N311</f>
        <v>71364</v>
      </c>
      <c r="AJ311" s="15">
        <f t="shared" ref="AJ311:AJ373" si="154">ROUNDUP(AI311*18%,0)</f>
        <v>12846</v>
      </c>
      <c r="AK311" s="10">
        <v>71364</v>
      </c>
      <c r="AL311" s="15">
        <f t="shared" ref="AL311:AL373" si="155">N311*300</f>
        <v>71364</v>
      </c>
      <c r="AM311" s="15">
        <f t="shared" ref="AM311:AM373" si="156">ROUND(AI311+AC311,0)</f>
        <v>8171222</v>
      </c>
      <c r="AN311" s="15">
        <f t="shared" ref="AN311:AN373" si="157">ROUNDUP(AJ311+W311+T311+Y311-AB311,0)</f>
        <v>984828</v>
      </c>
      <c r="AO311" s="15">
        <f t="shared" si="132"/>
        <v>1056851.96</v>
      </c>
      <c r="AP311" s="17">
        <f t="shared" ref="AP311:AP373" si="158">AM311+AO311</f>
        <v>9228073.9600000009</v>
      </c>
      <c r="AQ311" s="15">
        <v>8148456.0199999996</v>
      </c>
      <c r="AR311" s="15">
        <v>659.96</v>
      </c>
      <c r="AS311" s="18">
        <f t="shared" si="133"/>
        <v>1079618</v>
      </c>
      <c r="AT311" s="19">
        <v>0</v>
      </c>
      <c r="AU311" s="8">
        <v>8800</v>
      </c>
      <c r="AV311" s="13">
        <f t="shared" si="134"/>
        <v>2093344</v>
      </c>
      <c r="AW311" s="18">
        <f t="shared" si="135"/>
        <v>8171222</v>
      </c>
      <c r="AX311" s="15">
        <f t="shared" ref="AX311:AX373" si="159">CEILING((AW311),1000)</f>
        <v>8172000</v>
      </c>
      <c r="AY311" s="20">
        <v>0.05</v>
      </c>
      <c r="AZ311" s="13">
        <f t="shared" ref="AZ311:AZ373" si="160">AY311*AX311</f>
        <v>408600</v>
      </c>
      <c r="BA311" s="15">
        <f t="shared" ref="BA311:BA373" si="161">CEILING(AZ311,100)</f>
        <v>408600</v>
      </c>
      <c r="BB311" s="21">
        <f t="shared" si="136"/>
        <v>1488218</v>
      </c>
      <c r="BC311" s="10">
        <f t="shared" si="137"/>
        <v>0</v>
      </c>
      <c r="BD311" s="10">
        <f t="shared" si="138"/>
        <v>0</v>
      </c>
      <c r="BE311" s="10">
        <v>54</v>
      </c>
      <c r="BF311" s="10">
        <v>22.1</v>
      </c>
      <c r="BG311" s="107">
        <v>46176</v>
      </c>
      <c r="BH311" s="107">
        <f t="shared" si="142"/>
        <v>46206</v>
      </c>
      <c r="BI311" s="23">
        <v>5</v>
      </c>
      <c r="BJ311" s="6"/>
      <c r="BK311" s="6"/>
      <c r="BL311" s="24">
        <f>VLOOKUP(A311,[2]Sheet1!$D$2:$H$933,5,0)</f>
        <v>0</v>
      </c>
      <c r="BM311" s="6" t="s">
        <v>3828</v>
      </c>
      <c r="BN311" s="6" t="s">
        <v>3829</v>
      </c>
      <c r="BO311" s="6" t="s">
        <v>3820</v>
      </c>
      <c r="BP311" s="6" t="s">
        <v>3821</v>
      </c>
      <c r="BQ311" s="6" t="s">
        <v>3830</v>
      </c>
      <c r="BR311" t="s">
        <v>3823</v>
      </c>
      <c r="BS311" t="s">
        <v>3824</v>
      </c>
      <c r="BT311" t="s">
        <v>3825</v>
      </c>
      <c r="BU311" t="s">
        <v>3826</v>
      </c>
      <c r="BV311" t="s">
        <v>3827</v>
      </c>
      <c r="BW311" t="s">
        <v>3835</v>
      </c>
      <c r="BX311">
        <v>0</v>
      </c>
      <c r="BY311" t="s">
        <v>3859</v>
      </c>
      <c r="BZ311" t="s">
        <v>3860</v>
      </c>
    </row>
    <row r="312" spans="1:78" x14ac:dyDescent="0.25">
      <c r="A312" s="31" t="s">
        <v>1334</v>
      </c>
      <c r="B312" s="31" t="s">
        <v>181</v>
      </c>
      <c r="C312" s="31" t="s">
        <v>1332</v>
      </c>
      <c r="D312" s="32" t="s">
        <v>1333</v>
      </c>
      <c r="E312" s="31" t="s">
        <v>1335</v>
      </c>
      <c r="F312" s="33">
        <v>45001</v>
      </c>
      <c r="G312" s="33" t="s">
        <v>65</v>
      </c>
      <c r="H312" s="33" t="s">
        <v>72</v>
      </c>
      <c r="I312" s="32" t="s">
        <v>78</v>
      </c>
      <c r="J312" s="34">
        <v>659.4</v>
      </c>
      <c r="K312" s="34">
        <v>659.4</v>
      </c>
      <c r="L312" s="34">
        <f t="shared" si="144"/>
        <v>0</v>
      </c>
      <c r="M312" s="34">
        <v>306.77</v>
      </c>
      <c r="N312" s="34">
        <v>306.77</v>
      </c>
      <c r="O312" s="34">
        <f t="shared" si="145"/>
        <v>0</v>
      </c>
      <c r="P312" s="35">
        <v>16165</v>
      </c>
      <c r="Q312" s="35">
        <v>34746.556051765168</v>
      </c>
      <c r="R312" s="35">
        <v>20000</v>
      </c>
      <c r="S312" s="35">
        <v>10659201</v>
      </c>
      <c r="T312" s="35">
        <v>1279104</v>
      </c>
      <c r="U312" s="36">
        <f t="shared" si="146"/>
        <v>0.11999998874212053</v>
      </c>
      <c r="V312" s="37">
        <f t="shared" si="143"/>
        <v>0</v>
      </c>
      <c r="W312" s="34">
        <f t="shared" si="147"/>
        <v>0</v>
      </c>
      <c r="X312" s="34"/>
      <c r="Y312" s="34"/>
      <c r="Z312" s="35">
        <f t="shared" si="148"/>
        <v>10659201</v>
      </c>
      <c r="AA312" s="38">
        <v>1489735</v>
      </c>
      <c r="AB312" s="38">
        <v>178769</v>
      </c>
      <c r="AC312" s="35">
        <f t="shared" si="149"/>
        <v>9169466</v>
      </c>
      <c r="AD312" s="34">
        <f t="shared" si="150"/>
        <v>300</v>
      </c>
      <c r="AE312" s="39">
        <v>92031</v>
      </c>
      <c r="AF312" s="40">
        <v>16566</v>
      </c>
      <c r="AG312" s="39">
        <f t="shared" si="151"/>
        <v>0</v>
      </c>
      <c r="AH312" s="39">
        <f t="shared" si="152"/>
        <v>0</v>
      </c>
      <c r="AI312" s="39">
        <f t="shared" si="153"/>
        <v>92031</v>
      </c>
      <c r="AJ312" s="39">
        <f t="shared" si="154"/>
        <v>16566</v>
      </c>
      <c r="AK312" s="34">
        <v>92031</v>
      </c>
      <c r="AL312" s="39">
        <f t="shared" si="155"/>
        <v>92031</v>
      </c>
      <c r="AM312" s="39">
        <f t="shared" si="156"/>
        <v>9261497</v>
      </c>
      <c r="AN312" s="39">
        <f t="shared" si="157"/>
        <v>1116901</v>
      </c>
      <c r="AO312" s="39">
        <f t="shared" si="132"/>
        <v>1209606.1599999999</v>
      </c>
      <c r="AP312" s="41">
        <f t="shared" si="158"/>
        <v>10471103.16</v>
      </c>
      <c r="AQ312" s="39">
        <v>9825322</v>
      </c>
      <c r="AR312" s="15">
        <v>674.16</v>
      </c>
      <c r="AS312" s="42">
        <f t="shared" si="133"/>
        <v>645781</v>
      </c>
      <c r="AT312" s="43">
        <v>0</v>
      </c>
      <c r="AU312" s="32">
        <v>8800</v>
      </c>
      <c r="AV312" s="37">
        <f t="shared" si="134"/>
        <v>2699576</v>
      </c>
      <c r="AW312" s="42">
        <f t="shared" si="135"/>
        <v>9261497</v>
      </c>
      <c r="AX312" s="39">
        <f t="shared" si="159"/>
        <v>9262000</v>
      </c>
      <c r="AY312" s="44">
        <v>7.0000000000000007E-2</v>
      </c>
      <c r="AZ312" s="37">
        <f t="shared" si="160"/>
        <v>648340.00000000012</v>
      </c>
      <c r="BA312" s="39">
        <f t="shared" si="161"/>
        <v>648400</v>
      </c>
      <c r="BB312" s="45">
        <f t="shared" si="136"/>
        <v>1294181</v>
      </c>
      <c r="BC312" s="34">
        <f t="shared" si="137"/>
        <v>0</v>
      </c>
      <c r="BD312" s="34">
        <f t="shared" si="138"/>
        <v>0</v>
      </c>
      <c r="BE312" s="34">
        <v>61.26</v>
      </c>
      <c r="BF312" s="34">
        <v>28.5</v>
      </c>
      <c r="BG312" s="107">
        <v>46176</v>
      </c>
      <c r="BH312" s="108">
        <f t="shared" si="142"/>
        <v>46206</v>
      </c>
      <c r="BI312" s="46">
        <v>7</v>
      </c>
      <c r="BJ312" s="47" t="s">
        <v>754</v>
      </c>
      <c r="BK312" s="47"/>
      <c r="BL312" s="24">
        <f>VLOOKUP(A312,[2]Sheet1!$D$2:$H$933,5,0)</f>
        <v>0</v>
      </c>
      <c r="BM312" s="6" t="s">
        <v>3828</v>
      </c>
      <c r="BN312" s="6" t="s">
        <v>3829</v>
      </c>
      <c r="BO312" s="6" t="s">
        <v>3820</v>
      </c>
      <c r="BP312" s="6" t="s">
        <v>3821</v>
      </c>
      <c r="BQ312" s="6" t="s">
        <v>3830</v>
      </c>
      <c r="BR312" t="s">
        <v>3823</v>
      </c>
      <c r="BS312" t="s">
        <v>3824</v>
      </c>
      <c r="BT312" t="s">
        <v>3825</v>
      </c>
      <c r="BU312" t="s">
        <v>3826</v>
      </c>
      <c r="BV312" t="s">
        <v>3827</v>
      </c>
      <c r="BW312" t="s">
        <v>3835</v>
      </c>
      <c r="BX312" s="101"/>
      <c r="BY312" t="s">
        <v>3867</v>
      </c>
      <c r="BZ312" t="s">
        <v>3860</v>
      </c>
    </row>
    <row r="313" spans="1:78" x14ac:dyDescent="0.25">
      <c r="A313" s="7" t="s">
        <v>1338</v>
      </c>
      <c r="B313" s="7" t="s">
        <v>181</v>
      </c>
      <c r="C313" s="7" t="s">
        <v>1336</v>
      </c>
      <c r="D313" s="8" t="s">
        <v>1337</v>
      </c>
      <c r="E313" s="7" t="s">
        <v>1339</v>
      </c>
      <c r="F313" s="9">
        <v>44894</v>
      </c>
      <c r="G313" s="9" t="s">
        <v>65</v>
      </c>
      <c r="H313" s="9" t="s">
        <v>72</v>
      </c>
      <c r="I313" s="8" t="s">
        <v>78</v>
      </c>
      <c r="J313" s="10">
        <v>356.5</v>
      </c>
      <c r="K313" s="10">
        <v>356.5</v>
      </c>
      <c r="L313" s="10">
        <f t="shared" si="144"/>
        <v>0</v>
      </c>
      <c r="M313" s="10">
        <v>162.54</v>
      </c>
      <c r="N313" s="10">
        <v>162.54</v>
      </c>
      <c r="O313" s="10">
        <f t="shared" si="145"/>
        <v>0</v>
      </c>
      <c r="P313" s="11">
        <v>10134</v>
      </c>
      <c r="Q313" s="11">
        <v>22226.965669988927</v>
      </c>
      <c r="R313" s="11">
        <v>20000</v>
      </c>
      <c r="S313" s="11">
        <v>3612771</v>
      </c>
      <c r="T313" s="11">
        <v>433534</v>
      </c>
      <c r="U313" s="12">
        <f t="shared" si="146"/>
        <v>0.12000040965784989</v>
      </c>
      <c r="V313" s="13">
        <f t="shared" si="143"/>
        <v>0</v>
      </c>
      <c r="W313" s="10">
        <f t="shared" si="147"/>
        <v>0</v>
      </c>
      <c r="X313" s="10"/>
      <c r="Y313" s="10"/>
      <c r="Z313" s="11">
        <f t="shared" si="148"/>
        <v>3612771</v>
      </c>
      <c r="AA313" s="14">
        <v>1264471</v>
      </c>
      <c r="AB313" s="14">
        <v>151736</v>
      </c>
      <c r="AC313" s="11">
        <f t="shared" si="149"/>
        <v>2348300</v>
      </c>
      <c r="AD313" s="10">
        <f t="shared" si="150"/>
        <v>300</v>
      </c>
      <c r="AE313" s="15">
        <v>48762</v>
      </c>
      <c r="AF313" s="16">
        <v>8778</v>
      </c>
      <c r="AG313" s="15">
        <f t="shared" si="151"/>
        <v>0</v>
      </c>
      <c r="AH313" s="15">
        <f t="shared" si="152"/>
        <v>0</v>
      </c>
      <c r="AI313" s="15">
        <f t="shared" si="153"/>
        <v>48762</v>
      </c>
      <c r="AJ313" s="15">
        <f t="shared" si="154"/>
        <v>8778</v>
      </c>
      <c r="AK313" s="10">
        <v>48762</v>
      </c>
      <c r="AL313" s="15">
        <f t="shared" si="155"/>
        <v>48762</v>
      </c>
      <c r="AM313" s="15">
        <f t="shared" si="156"/>
        <v>2397062</v>
      </c>
      <c r="AN313" s="15">
        <f t="shared" si="157"/>
        <v>290576</v>
      </c>
      <c r="AO313" s="15">
        <f t="shared" si="132"/>
        <v>340380</v>
      </c>
      <c r="AP313" s="17">
        <f t="shared" si="158"/>
        <v>2737442</v>
      </c>
      <c r="AQ313" s="15">
        <v>2016000</v>
      </c>
      <c r="AR313" s="15">
        <v>1042</v>
      </c>
      <c r="AS313" s="18">
        <f t="shared" si="133"/>
        <v>721442</v>
      </c>
      <c r="AT313" s="19">
        <v>0</v>
      </c>
      <c r="AU313" s="8">
        <v>8800</v>
      </c>
      <c r="AV313" s="13">
        <f t="shared" si="134"/>
        <v>1430352</v>
      </c>
      <c r="AW313" s="18">
        <f t="shared" si="135"/>
        <v>2397062</v>
      </c>
      <c r="AX313" s="15">
        <f t="shared" si="159"/>
        <v>2398000</v>
      </c>
      <c r="AY313" s="20">
        <v>0.06</v>
      </c>
      <c r="AZ313" s="13">
        <f t="shared" si="160"/>
        <v>143880</v>
      </c>
      <c r="BA313" s="15">
        <f t="shared" si="161"/>
        <v>143900</v>
      </c>
      <c r="BB313" s="21">
        <f t="shared" si="136"/>
        <v>865342</v>
      </c>
      <c r="BC313" s="10">
        <f t="shared" si="137"/>
        <v>0</v>
      </c>
      <c r="BD313" s="10">
        <f t="shared" si="138"/>
        <v>0</v>
      </c>
      <c r="BE313" s="10">
        <v>33.119999999999997</v>
      </c>
      <c r="BF313" s="10">
        <v>15.1</v>
      </c>
      <c r="BG313" s="107">
        <v>46176</v>
      </c>
      <c r="BH313" s="107">
        <f t="shared" si="142"/>
        <v>46206</v>
      </c>
      <c r="BI313" s="23">
        <v>6</v>
      </c>
      <c r="BJ313" s="6"/>
      <c r="BK313" s="6"/>
      <c r="BL313" s="24">
        <f>VLOOKUP(A313,[2]Sheet1!$D$2:$H$933,5,0)</f>
        <v>0</v>
      </c>
      <c r="BM313" s="6" t="s">
        <v>3828</v>
      </c>
      <c r="BN313" s="6" t="s">
        <v>3829</v>
      </c>
      <c r="BO313" s="6" t="s">
        <v>3820</v>
      </c>
      <c r="BP313" s="6" t="s">
        <v>3821</v>
      </c>
      <c r="BQ313" s="6" t="s">
        <v>3830</v>
      </c>
      <c r="BR313" t="s">
        <v>3823</v>
      </c>
      <c r="BS313" t="s">
        <v>3824</v>
      </c>
      <c r="BT313" t="s">
        <v>3825</v>
      </c>
      <c r="BU313" t="s">
        <v>3826</v>
      </c>
      <c r="BV313" t="s">
        <v>3827</v>
      </c>
      <c r="BW313" t="s">
        <v>3835</v>
      </c>
      <c r="BX313">
        <v>0</v>
      </c>
      <c r="BY313" t="s">
        <v>3859</v>
      </c>
      <c r="BZ313" t="s">
        <v>3860</v>
      </c>
    </row>
    <row r="314" spans="1:78" x14ac:dyDescent="0.25">
      <c r="A314" s="7" t="s">
        <v>1342</v>
      </c>
      <c r="B314" s="7" t="s">
        <v>181</v>
      </c>
      <c r="C314" s="7" t="s">
        <v>1340</v>
      </c>
      <c r="D314" s="8" t="s">
        <v>1341</v>
      </c>
      <c r="E314" s="7" t="s">
        <v>1343</v>
      </c>
      <c r="F314" s="9">
        <v>44965</v>
      </c>
      <c r="G314" s="9" t="s">
        <v>65</v>
      </c>
      <c r="H314" s="9" t="s">
        <v>92</v>
      </c>
      <c r="I314" s="8" t="s">
        <v>78</v>
      </c>
      <c r="J314" s="10">
        <v>585.55999999999995</v>
      </c>
      <c r="K314" s="10">
        <v>585.55999999999995</v>
      </c>
      <c r="L314" s="10">
        <f t="shared" si="144"/>
        <v>0</v>
      </c>
      <c r="M314" s="10">
        <v>272.33</v>
      </c>
      <c r="N314" s="10">
        <v>272.33</v>
      </c>
      <c r="O314" s="10">
        <f t="shared" si="145"/>
        <v>0</v>
      </c>
      <c r="P314" s="11">
        <v>20462.953412118317</v>
      </c>
      <c r="Q314" s="11">
        <v>43999.144420372344</v>
      </c>
      <c r="R314" s="11">
        <v>28000</v>
      </c>
      <c r="S314" s="11">
        <v>11982287</v>
      </c>
      <c r="T314" s="11">
        <v>1437876</v>
      </c>
      <c r="U314" s="12">
        <f t="shared" si="146"/>
        <v>0.1200001301921745</v>
      </c>
      <c r="V314" s="13">
        <f t="shared" si="143"/>
        <v>0</v>
      </c>
      <c r="W314" s="10">
        <f t="shared" si="147"/>
        <v>0</v>
      </c>
      <c r="X314" s="10"/>
      <c r="Y314" s="10"/>
      <c r="Z314" s="11">
        <f t="shared" si="148"/>
        <v>11982287</v>
      </c>
      <c r="AA314" s="14"/>
      <c r="AB314" s="14"/>
      <c r="AC314" s="11">
        <f t="shared" si="149"/>
        <v>11982287</v>
      </c>
      <c r="AD314" s="10">
        <f t="shared" si="150"/>
        <v>300</v>
      </c>
      <c r="AE314" s="15">
        <v>81699</v>
      </c>
      <c r="AF314" s="16">
        <v>14706</v>
      </c>
      <c r="AG314" s="15">
        <f t="shared" si="151"/>
        <v>0</v>
      </c>
      <c r="AH314" s="15">
        <f t="shared" si="152"/>
        <v>0</v>
      </c>
      <c r="AI314" s="15">
        <f t="shared" si="153"/>
        <v>81699</v>
      </c>
      <c r="AJ314" s="15">
        <f t="shared" si="154"/>
        <v>14706</v>
      </c>
      <c r="AK314" s="10">
        <v>81699</v>
      </c>
      <c r="AL314" s="15">
        <f t="shared" si="155"/>
        <v>81699</v>
      </c>
      <c r="AM314" s="15">
        <f t="shared" si="156"/>
        <v>12063986</v>
      </c>
      <c r="AN314" s="15">
        <f t="shared" si="157"/>
        <v>1452582</v>
      </c>
      <c r="AO314" s="15">
        <f t="shared" si="132"/>
        <v>1535105</v>
      </c>
      <c r="AP314" s="17">
        <f t="shared" si="158"/>
        <v>13599091</v>
      </c>
      <c r="AQ314" s="15">
        <v>11999945.08</v>
      </c>
      <c r="AR314" s="15">
        <v>824</v>
      </c>
      <c r="AS314" s="18">
        <f t="shared" si="133"/>
        <v>1599146</v>
      </c>
      <c r="AT314" s="19">
        <v>0</v>
      </c>
      <c r="AU314" s="8">
        <v>8800</v>
      </c>
      <c r="AV314" s="13">
        <f t="shared" si="134"/>
        <v>2396504</v>
      </c>
      <c r="AW314" s="18">
        <f t="shared" si="135"/>
        <v>12063986</v>
      </c>
      <c r="AX314" s="15">
        <f t="shared" si="159"/>
        <v>12064000</v>
      </c>
      <c r="AY314" s="20">
        <v>0.06</v>
      </c>
      <c r="AZ314" s="13">
        <f t="shared" si="160"/>
        <v>723840</v>
      </c>
      <c r="BA314" s="15">
        <f t="shared" si="161"/>
        <v>723900</v>
      </c>
      <c r="BB314" s="21">
        <f t="shared" si="136"/>
        <v>2323046</v>
      </c>
      <c r="BC314" s="10">
        <f t="shared" si="137"/>
        <v>0</v>
      </c>
      <c r="BD314" s="10">
        <f t="shared" si="138"/>
        <v>0</v>
      </c>
      <c r="BE314" s="10">
        <v>54.4</v>
      </c>
      <c r="BF314" s="10">
        <v>25.3</v>
      </c>
      <c r="BG314" s="107">
        <v>46176</v>
      </c>
      <c r="BH314" s="107">
        <f t="shared" si="142"/>
        <v>46206</v>
      </c>
      <c r="BI314" s="23">
        <v>6</v>
      </c>
      <c r="BJ314" s="6"/>
      <c r="BK314" s="6"/>
      <c r="BL314" s="24">
        <f>VLOOKUP(A314,[2]Sheet1!$D$2:$H$933,5,0)</f>
        <v>0</v>
      </c>
      <c r="BM314" s="6" t="s">
        <v>3828</v>
      </c>
      <c r="BN314" s="6" t="s">
        <v>3829</v>
      </c>
      <c r="BO314" s="6" t="s">
        <v>3820</v>
      </c>
      <c r="BP314" s="6" t="s">
        <v>3821</v>
      </c>
      <c r="BQ314" s="6" t="s">
        <v>3830</v>
      </c>
      <c r="BR314" t="s">
        <v>3823</v>
      </c>
      <c r="BS314" t="s">
        <v>3824</v>
      </c>
      <c r="BT314" t="s">
        <v>3825</v>
      </c>
      <c r="BU314" t="s">
        <v>3826</v>
      </c>
      <c r="BV314" t="s">
        <v>3827</v>
      </c>
      <c r="BW314" t="s">
        <v>3835</v>
      </c>
      <c r="BX314">
        <v>0</v>
      </c>
      <c r="BY314" t="s">
        <v>3870</v>
      </c>
      <c r="BZ314" t="s">
        <v>3860</v>
      </c>
    </row>
    <row r="315" spans="1:78" x14ac:dyDescent="0.25">
      <c r="A315" s="7" t="s">
        <v>1346</v>
      </c>
      <c r="B315" s="7" t="s">
        <v>181</v>
      </c>
      <c r="C315" s="8" t="s">
        <v>1344</v>
      </c>
      <c r="D315" s="8" t="s">
        <v>1345</v>
      </c>
      <c r="E315" s="7" t="s">
        <v>1347</v>
      </c>
      <c r="F315" s="9">
        <v>45014</v>
      </c>
      <c r="G315" s="9" t="s">
        <v>363</v>
      </c>
      <c r="H315" s="9" t="s">
        <v>87</v>
      </c>
      <c r="I315" s="8" t="s">
        <v>67</v>
      </c>
      <c r="J315" s="10">
        <v>220.06</v>
      </c>
      <c r="K315" s="10">
        <v>220.06</v>
      </c>
      <c r="L315" s="10">
        <f t="shared" si="144"/>
        <v>0</v>
      </c>
      <c r="M315" s="10">
        <v>88.26</v>
      </c>
      <c r="N315" s="10">
        <v>88.26</v>
      </c>
      <c r="O315" s="10">
        <f t="shared" si="145"/>
        <v>0</v>
      </c>
      <c r="P315" s="11">
        <v>20710.001817686087</v>
      </c>
      <c r="Q315" s="11">
        <v>51636.562429186488</v>
      </c>
      <c r="R315" s="11">
        <v>40000</v>
      </c>
      <c r="S315" s="11">
        <v>4557443</v>
      </c>
      <c r="T315" s="11">
        <v>546894</v>
      </c>
      <c r="U315" s="12">
        <f t="shared" si="146"/>
        <v>0.12000018431387952</v>
      </c>
      <c r="V315" s="13">
        <f t="shared" si="143"/>
        <v>0</v>
      </c>
      <c r="W315" s="10">
        <f t="shared" si="147"/>
        <v>0</v>
      </c>
      <c r="X315" s="10"/>
      <c r="Y315" s="10"/>
      <c r="Z315" s="11">
        <f t="shared" si="148"/>
        <v>4557443</v>
      </c>
      <c r="AA315" s="14">
        <v>402563</v>
      </c>
      <c r="AB315" s="14">
        <v>48308</v>
      </c>
      <c r="AC315" s="11">
        <f t="shared" si="149"/>
        <v>4154880</v>
      </c>
      <c r="AD315" s="10">
        <f t="shared" si="150"/>
        <v>300</v>
      </c>
      <c r="AE315" s="15">
        <v>26478</v>
      </c>
      <c r="AF315" s="16">
        <v>4766</v>
      </c>
      <c r="AG315" s="15">
        <f t="shared" si="151"/>
        <v>0</v>
      </c>
      <c r="AH315" s="15">
        <f t="shared" si="152"/>
        <v>0</v>
      </c>
      <c r="AI315" s="15">
        <f t="shared" si="153"/>
        <v>26478</v>
      </c>
      <c r="AJ315" s="15">
        <f t="shared" si="154"/>
        <v>4767</v>
      </c>
      <c r="AK315" s="10">
        <v>26478</v>
      </c>
      <c r="AL315" s="15">
        <f t="shared" si="155"/>
        <v>26478</v>
      </c>
      <c r="AM315" s="15">
        <f t="shared" si="156"/>
        <v>4181358</v>
      </c>
      <c r="AN315" s="15">
        <f t="shared" si="157"/>
        <v>503353</v>
      </c>
      <c r="AO315" s="15">
        <f t="shared" si="132"/>
        <v>530625</v>
      </c>
      <c r="AP315" s="17">
        <f t="shared" si="158"/>
        <v>4711983</v>
      </c>
      <c r="AQ315" s="15">
        <v>4143032</v>
      </c>
      <c r="AR315" s="15">
        <v>794</v>
      </c>
      <c r="AS315" s="18">
        <f t="shared" si="133"/>
        <v>568951</v>
      </c>
      <c r="AT315" s="19">
        <v>0</v>
      </c>
      <c r="AU315" s="8">
        <v>8800</v>
      </c>
      <c r="AV315" s="13">
        <f t="shared" si="134"/>
        <v>776688</v>
      </c>
      <c r="AW315" s="18">
        <f t="shared" si="135"/>
        <v>4181358</v>
      </c>
      <c r="AX315" s="15">
        <f t="shared" si="159"/>
        <v>4182000</v>
      </c>
      <c r="AY315" s="20">
        <v>0.06</v>
      </c>
      <c r="AZ315" s="13">
        <f t="shared" si="160"/>
        <v>250920</v>
      </c>
      <c r="BA315" s="15">
        <f t="shared" si="161"/>
        <v>251000</v>
      </c>
      <c r="BB315" s="21">
        <f t="shared" si="136"/>
        <v>819951</v>
      </c>
      <c r="BC315" s="10">
        <f t="shared" si="137"/>
        <v>0</v>
      </c>
      <c r="BD315" s="10">
        <f t="shared" si="138"/>
        <v>0</v>
      </c>
      <c r="BE315" s="10">
        <v>20.440000000000001</v>
      </c>
      <c r="BF315" s="10">
        <v>8.1999999999999993</v>
      </c>
      <c r="BG315" s="107">
        <v>46176</v>
      </c>
      <c r="BH315" s="107">
        <f t="shared" si="142"/>
        <v>46206</v>
      </c>
      <c r="BI315" s="23">
        <v>6</v>
      </c>
      <c r="BJ315" s="6"/>
      <c r="BK315" s="6"/>
      <c r="BL315" s="24">
        <f>VLOOKUP(A315,[2]Sheet1!$D$2:$H$933,5,0)</f>
        <v>0</v>
      </c>
      <c r="BM315" s="6" t="s">
        <v>3828</v>
      </c>
      <c r="BN315" s="6" t="s">
        <v>3829</v>
      </c>
      <c r="BO315" s="6" t="s">
        <v>3820</v>
      </c>
      <c r="BP315" s="6" t="s">
        <v>3821</v>
      </c>
      <c r="BQ315" s="6" t="s">
        <v>3830</v>
      </c>
      <c r="BR315" t="s">
        <v>3823</v>
      </c>
      <c r="BS315" t="s">
        <v>3824</v>
      </c>
      <c r="BT315" t="s">
        <v>3825</v>
      </c>
      <c r="BU315" t="s">
        <v>3826</v>
      </c>
      <c r="BV315" t="s">
        <v>3827</v>
      </c>
      <c r="BW315" t="s">
        <v>3835</v>
      </c>
      <c r="BX315">
        <v>0</v>
      </c>
      <c r="BY315" t="s">
        <v>3870</v>
      </c>
      <c r="BZ315" t="s">
        <v>3860</v>
      </c>
    </row>
    <row r="316" spans="1:78" x14ac:dyDescent="0.25">
      <c r="A316" s="7" t="s">
        <v>1350</v>
      </c>
      <c r="B316" s="7" t="s">
        <v>181</v>
      </c>
      <c r="C316" s="7" t="s">
        <v>1348</v>
      </c>
      <c r="D316" s="8" t="s">
        <v>1349</v>
      </c>
      <c r="E316" s="7" t="s">
        <v>1351</v>
      </c>
      <c r="F316" s="9">
        <v>45035</v>
      </c>
      <c r="G316" s="9" t="s">
        <v>363</v>
      </c>
      <c r="H316" s="9" t="s">
        <v>87</v>
      </c>
      <c r="I316" s="8" t="s">
        <v>67</v>
      </c>
      <c r="J316" s="10">
        <v>220.06</v>
      </c>
      <c r="K316" s="10">
        <v>220.06</v>
      </c>
      <c r="L316" s="10">
        <f t="shared" si="144"/>
        <v>0</v>
      </c>
      <c r="M316" s="10">
        <v>88.26</v>
      </c>
      <c r="N316" s="10">
        <v>88.26</v>
      </c>
      <c r="O316" s="10">
        <f t="shared" si="145"/>
        <v>0</v>
      </c>
      <c r="P316" s="11">
        <v>18955.780241752251</v>
      </c>
      <c r="Q316" s="11">
        <v>47262.735100838428</v>
      </c>
      <c r="R316" s="11">
        <v>40000</v>
      </c>
      <c r="S316" s="11">
        <v>4171409</v>
      </c>
      <c r="T316" s="11">
        <v>500570</v>
      </c>
      <c r="U316" s="12">
        <f t="shared" si="146"/>
        <v>0.12000022054897998</v>
      </c>
      <c r="V316" s="13">
        <f t="shared" si="143"/>
        <v>0</v>
      </c>
      <c r="W316" s="10">
        <f t="shared" si="147"/>
        <v>0</v>
      </c>
      <c r="X316" s="10"/>
      <c r="Y316" s="10"/>
      <c r="Z316" s="11">
        <f t="shared" si="148"/>
        <v>4171409</v>
      </c>
      <c r="AA316" s="14"/>
      <c r="AB316" s="14"/>
      <c r="AC316" s="11">
        <f t="shared" si="149"/>
        <v>4171409</v>
      </c>
      <c r="AD316" s="10">
        <f t="shared" si="150"/>
        <v>300</v>
      </c>
      <c r="AE316" s="15">
        <v>26478</v>
      </c>
      <c r="AF316" s="16">
        <v>4766</v>
      </c>
      <c r="AG316" s="15">
        <f t="shared" si="151"/>
        <v>0</v>
      </c>
      <c r="AH316" s="15">
        <f t="shared" si="152"/>
        <v>0</v>
      </c>
      <c r="AI316" s="15">
        <f t="shared" si="153"/>
        <v>26478</v>
      </c>
      <c r="AJ316" s="15">
        <f t="shared" si="154"/>
        <v>4767</v>
      </c>
      <c r="AK316" s="10">
        <v>26478</v>
      </c>
      <c r="AL316" s="15">
        <f t="shared" si="155"/>
        <v>26478</v>
      </c>
      <c r="AM316" s="15">
        <f t="shared" si="156"/>
        <v>4197887</v>
      </c>
      <c r="AN316" s="15">
        <f t="shared" si="157"/>
        <v>505337</v>
      </c>
      <c r="AO316" s="15">
        <f t="shared" si="132"/>
        <v>532641</v>
      </c>
      <c r="AP316" s="17">
        <f t="shared" si="158"/>
        <v>4730528</v>
      </c>
      <c r="AQ316" s="15">
        <v>4204783</v>
      </c>
      <c r="AR316" s="15">
        <v>826</v>
      </c>
      <c r="AS316" s="18">
        <f t="shared" si="133"/>
        <v>525745</v>
      </c>
      <c r="AT316" s="19">
        <v>0</v>
      </c>
      <c r="AU316" s="8">
        <v>8800</v>
      </c>
      <c r="AV316" s="13">
        <f t="shared" si="134"/>
        <v>776688</v>
      </c>
      <c r="AW316" s="18">
        <f t="shared" si="135"/>
        <v>4197887</v>
      </c>
      <c r="AX316" s="15">
        <f t="shared" si="159"/>
        <v>4198000</v>
      </c>
      <c r="AY316" s="20">
        <v>0.05</v>
      </c>
      <c r="AZ316" s="13">
        <f t="shared" si="160"/>
        <v>209900</v>
      </c>
      <c r="BA316" s="15">
        <f t="shared" si="161"/>
        <v>209900</v>
      </c>
      <c r="BB316" s="21">
        <f t="shared" si="136"/>
        <v>735645</v>
      </c>
      <c r="BC316" s="10">
        <f t="shared" si="137"/>
        <v>0</v>
      </c>
      <c r="BD316" s="10">
        <f t="shared" si="138"/>
        <v>0</v>
      </c>
      <c r="BE316" s="10">
        <v>20.440000000000001</v>
      </c>
      <c r="BF316" s="10">
        <v>8.1999999999999993</v>
      </c>
      <c r="BG316" s="107">
        <v>46176</v>
      </c>
      <c r="BH316" s="107">
        <f t="shared" si="142"/>
        <v>46206</v>
      </c>
      <c r="BI316" s="23">
        <v>5</v>
      </c>
      <c r="BJ316" s="6"/>
      <c r="BK316" s="6"/>
      <c r="BL316" s="24">
        <f>VLOOKUP(A316,[2]Sheet1!$D$2:$H$933,5,0)</f>
        <v>0</v>
      </c>
      <c r="BM316" s="6" t="s">
        <v>3828</v>
      </c>
      <c r="BN316" s="6" t="s">
        <v>3829</v>
      </c>
      <c r="BO316" s="6" t="s">
        <v>3820</v>
      </c>
      <c r="BP316" s="6" t="s">
        <v>3821</v>
      </c>
      <c r="BQ316" s="6" t="s">
        <v>3830</v>
      </c>
      <c r="BR316" t="s">
        <v>3823</v>
      </c>
      <c r="BS316" t="s">
        <v>3824</v>
      </c>
      <c r="BT316" t="s">
        <v>3825</v>
      </c>
      <c r="BU316" t="s">
        <v>3826</v>
      </c>
      <c r="BV316" t="s">
        <v>3827</v>
      </c>
      <c r="BW316" t="s">
        <v>3835</v>
      </c>
      <c r="BX316">
        <v>0</v>
      </c>
      <c r="BY316" t="s">
        <v>3866</v>
      </c>
      <c r="BZ316" t="s">
        <v>3860</v>
      </c>
    </row>
    <row r="317" spans="1:78" x14ac:dyDescent="0.25">
      <c r="A317" s="7" t="s">
        <v>1354</v>
      </c>
      <c r="B317" s="7" t="s">
        <v>181</v>
      </c>
      <c r="C317" s="7" t="s">
        <v>1352</v>
      </c>
      <c r="D317" s="8" t="s">
        <v>1353</v>
      </c>
      <c r="E317" s="7" t="s">
        <v>1355</v>
      </c>
      <c r="F317" s="9">
        <v>44924</v>
      </c>
      <c r="G317" s="9" t="s">
        <v>404</v>
      </c>
      <c r="H317" s="9" t="s">
        <v>66</v>
      </c>
      <c r="I317" s="8" t="s">
        <v>78</v>
      </c>
      <c r="J317" s="10">
        <v>677.06</v>
      </c>
      <c r="K317" s="10">
        <v>677.06</v>
      </c>
      <c r="L317" s="10">
        <f t="shared" si="144"/>
        <v>0</v>
      </c>
      <c r="M317" s="10">
        <v>315.39</v>
      </c>
      <c r="N317" s="10">
        <v>315.39</v>
      </c>
      <c r="O317" s="10">
        <f t="shared" si="145"/>
        <v>0</v>
      </c>
      <c r="P317" s="11">
        <v>14999.998523026026</v>
      </c>
      <c r="Q317" s="11">
        <v>32201.081201052668</v>
      </c>
      <c r="R317" s="11">
        <v>22000</v>
      </c>
      <c r="S317" s="11">
        <v>10155899</v>
      </c>
      <c r="T317" s="11">
        <v>1218706</v>
      </c>
      <c r="U317" s="12">
        <f t="shared" si="146"/>
        <v>0.11999981488591015</v>
      </c>
      <c r="V317" s="13">
        <f t="shared" si="143"/>
        <v>0</v>
      </c>
      <c r="W317" s="10">
        <f t="shared" si="147"/>
        <v>0</v>
      </c>
      <c r="X317" s="10"/>
      <c r="Y317" s="10"/>
      <c r="Z317" s="11">
        <f t="shared" si="148"/>
        <v>10155899</v>
      </c>
      <c r="AA317" s="14">
        <v>850769</v>
      </c>
      <c r="AB317" s="14">
        <v>102092</v>
      </c>
      <c r="AC317" s="11">
        <f t="shared" si="149"/>
        <v>9305130</v>
      </c>
      <c r="AD317" s="10">
        <f t="shared" si="150"/>
        <v>300</v>
      </c>
      <c r="AE317" s="15">
        <v>94617</v>
      </c>
      <c r="AF317" s="16">
        <v>17032</v>
      </c>
      <c r="AG317" s="15">
        <f t="shared" si="151"/>
        <v>0</v>
      </c>
      <c r="AH317" s="15">
        <f t="shared" si="152"/>
        <v>0</v>
      </c>
      <c r="AI317" s="15">
        <f t="shared" si="153"/>
        <v>94617</v>
      </c>
      <c r="AJ317" s="15">
        <f t="shared" si="154"/>
        <v>17032</v>
      </c>
      <c r="AK317" s="10">
        <v>94617</v>
      </c>
      <c r="AL317" s="15">
        <f t="shared" si="155"/>
        <v>94617</v>
      </c>
      <c r="AM317" s="15">
        <f t="shared" si="156"/>
        <v>9399747</v>
      </c>
      <c r="AN317" s="15">
        <f t="shared" si="157"/>
        <v>1133646</v>
      </c>
      <c r="AO317" s="15">
        <f t="shared" si="132"/>
        <v>1229229</v>
      </c>
      <c r="AP317" s="17">
        <f t="shared" si="158"/>
        <v>10628976</v>
      </c>
      <c r="AQ317" s="15">
        <v>9201944</v>
      </c>
      <c r="AR317" s="15">
        <v>966</v>
      </c>
      <c r="AS317" s="18">
        <f t="shared" si="133"/>
        <v>1427032</v>
      </c>
      <c r="AT317" s="19">
        <v>0</v>
      </c>
      <c r="AU317" s="8">
        <v>8800</v>
      </c>
      <c r="AV317" s="13">
        <f t="shared" si="134"/>
        <v>2775432</v>
      </c>
      <c r="AW317" s="18">
        <f t="shared" si="135"/>
        <v>9399747</v>
      </c>
      <c r="AX317" s="15">
        <f t="shared" si="159"/>
        <v>9400000</v>
      </c>
      <c r="AY317" s="20">
        <v>7.0000000000000007E-2</v>
      </c>
      <c r="AZ317" s="13">
        <f t="shared" si="160"/>
        <v>658000.00000000012</v>
      </c>
      <c r="BA317" s="15">
        <f t="shared" si="161"/>
        <v>658000</v>
      </c>
      <c r="BB317" s="21">
        <f t="shared" si="136"/>
        <v>2085032</v>
      </c>
      <c r="BC317" s="10">
        <f t="shared" si="137"/>
        <v>0</v>
      </c>
      <c r="BD317" s="10">
        <f t="shared" si="138"/>
        <v>0</v>
      </c>
      <c r="BE317" s="10">
        <v>62.9</v>
      </c>
      <c r="BF317" s="10">
        <v>29.3</v>
      </c>
      <c r="BG317" s="107">
        <v>46176</v>
      </c>
      <c r="BH317" s="107">
        <f t="shared" si="142"/>
        <v>46206</v>
      </c>
      <c r="BI317" s="23">
        <v>7</v>
      </c>
      <c r="BJ317" s="6"/>
      <c r="BK317" s="6"/>
      <c r="BL317" s="24">
        <f>VLOOKUP(A317,[2]Sheet1!$D$2:$H$933,5,0)</f>
        <v>0</v>
      </c>
      <c r="BM317" s="6" t="s">
        <v>3828</v>
      </c>
      <c r="BN317" s="6" t="s">
        <v>3829</v>
      </c>
      <c r="BO317" s="6" t="s">
        <v>3820</v>
      </c>
      <c r="BP317" s="6" t="s">
        <v>3821</v>
      </c>
      <c r="BQ317" s="6" t="s">
        <v>3830</v>
      </c>
      <c r="BR317" t="s">
        <v>3823</v>
      </c>
      <c r="BS317" t="s">
        <v>3824</v>
      </c>
      <c r="BT317" t="s">
        <v>3825</v>
      </c>
      <c r="BU317" t="s">
        <v>3826</v>
      </c>
      <c r="BV317" t="s">
        <v>3827</v>
      </c>
      <c r="BW317" t="s">
        <v>3835</v>
      </c>
      <c r="BX317">
        <v>0</v>
      </c>
      <c r="BY317" t="s">
        <v>3861</v>
      </c>
      <c r="BZ317" t="s">
        <v>3863</v>
      </c>
    </row>
    <row r="318" spans="1:78" x14ac:dyDescent="0.25">
      <c r="A318" s="7" t="s">
        <v>1358</v>
      </c>
      <c r="B318" s="7" t="s">
        <v>181</v>
      </c>
      <c r="C318" s="7" t="s">
        <v>1356</v>
      </c>
      <c r="D318" s="8" t="s">
        <v>1357</v>
      </c>
      <c r="E318" s="7" t="s">
        <v>1359</v>
      </c>
      <c r="F318" s="9">
        <v>44956</v>
      </c>
      <c r="G318" s="9" t="s">
        <v>527</v>
      </c>
      <c r="H318" s="9" t="s">
        <v>92</v>
      </c>
      <c r="I318" s="8" t="s">
        <v>67</v>
      </c>
      <c r="J318" s="10">
        <v>224.85</v>
      </c>
      <c r="K318" s="10">
        <v>224.85</v>
      </c>
      <c r="L318" s="10">
        <f t="shared" si="144"/>
        <v>0</v>
      </c>
      <c r="M318" s="10">
        <v>89.34</v>
      </c>
      <c r="N318" s="10">
        <v>89.34</v>
      </c>
      <c r="O318" s="10">
        <f t="shared" si="145"/>
        <v>0</v>
      </c>
      <c r="P318" s="11">
        <v>22006.248610184568</v>
      </c>
      <c r="Q318" s="11">
        <v>55385.101858070288</v>
      </c>
      <c r="R318" s="11">
        <v>28000</v>
      </c>
      <c r="S318" s="11">
        <v>4948105</v>
      </c>
      <c r="T318" s="11">
        <v>593774</v>
      </c>
      <c r="U318" s="12">
        <f t="shared" si="146"/>
        <v>0.12000028293659896</v>
      </c>
      <c r="V318" s="13">
        <f t="shared" si="143"/>
        <v>0</v>
      </c>
      <c r="W318" s="10">
        <f t="shared" si="147"/>
        <v>0</v>
      </c>
      <c r="X318" s="10"/>
      <c r="Y318" s="10"/>
      <c r="Z318" s="11">
        <f t="shared" si="148"/>
        <v>4948105</v>
      </c>
      <c r="AA318" s="14">
        <v>530698</v>
      </c>
      <c r="AB318" s="14">
        <v>63684</v>
      </c>
      <c r="AC318" s="11">
        <f t="shared" si="149"/>
        <v>4417407</v>
      </c>
      <c r="AD318" s="10">
        <f t="shared" si="150"/>
        <v>300</v>
      </c>
      <c r="AE318" s="15">
        <v>26802</v>
      </c>
      <c r="AF318" s="16">
        <v>4824</v>
      </c>
      <c r="AG318" s="15">
        <f t="shared" si="151"/>
        <v>0</v>
      </c>
      <c r="AH318" s="15">
        <f t="shared" si="152"/>
        <v>0</v>
      </c>
      <c r="AI318" s="15">
        <f t="shared" si="153"/>
        <v>26802</v>
      </c>
      <c r="AJ318" s="15">
        <f t="shared" si="154"/>
        <v>4825</v>
      </c>
      <c r="AK318" s="10">
        <v>26802</v>
      </c>
      <c r="AL318" s="15">
        <f t="shared" si="155"/>
        <v>26802</v>
      </c>
      <c r="AM318" s="15">
        <f t="shared" si="156"/>
        <v>4444209</v>
      </c>
      <c r="AN318" s="15">
        <f t="shared" si="157"/>
        <v>534915</v>
      </c>
      <c r="AO318" s="15">
        <f t="shared" ref="AO318:AO380" si="162">AN318+AL318+AR318</f>
        <v>562563</v>
      </c>
      <c r="AP318" s="17">
        <f t="shared" si="158"/>
        <v>5006772</v>
      </c>
      <c r="AQ318" s="15">
        <v>4393309</v>
      </c>
      <c r="AR318" s="15">
        <v>846</v>
      </c>
      <c r="AS318" s="18">
        <f t="shared" ref="AS318:AS380" si="163">ROUND(AP318-AQ318,0)</f>
        <v>613463</v>
      </c>
      <c r="AT318" s="19">
        <v>0</v>
      </c>
      <c r="AU318" s="8">
        <v>8800</v>
      </c>
      <c r="AV318" s="13">
        <f t="shared" ref="AV318:AV380" si="164">AU318*N318</f>
        <v>786192</v>
      </c>
      <c r="AW318" s="18">
        <f t="shared" ref="AW318:AW380" si="165">MAX(AM318,AT318,AV318)</f>
        <v>4444209</v>
      </c>
      <c r="AX318" s="15">
        <f t="shared" si="159"/>
        <v>4445000</v>
      </c>
      <c r="AY318" s="20">
        <v>0.05</v>
      </c>
      <c r="AZ318" s="13">
        <f t="shared" si="160"/>
        <v>222250</v>
      </c>
      <c r="BA318" s="15">
        <f t="shared" si="161"/>
        <v>222300</v>
      </c>
      <c r="BB318" s="21">
        <f t="shared" ref="BB318:BB380" si="166">BA318+AS318</f>
        <v>835763</v>
      </c>
      <c r="BC318" s="10">
        <f t="shared" ref="BC318:BC380" si="167">L318/J318%</f>
        <v>0</v>
      </c>
      <c r="BD318" s="10">
        <f t="shared" ref="BD318:BD380" si="168">O318/M318%</f>
        <v>0</v>
      </c>
      <c r="BE318" s="10">
        <v>20.89</v>
      </c>
      <c r="BF318" s="10">
        <v>8.3000000000000007</v>
      </c>
      <c r="BG318" s="107">
        <v>46176</v>
      </c>
      <c r="BH318" s="107">
        <f t="shared" si="142"/>
        <v>46206</v>
      </c>
      <c r="BI318" s="23">
        <v>5</v>
      </c>
      <c r="BJ318" s="6"/>
      <c r="BK318" s="6"/>
      <c r="BL318" s="24">
        <f>VLOOKUP(A318,[2]Sheet1!$D$2:$H$933,5,0)</f>
        <v>0</v>
      </c>
      <c r="BM318" s="6" t="s">
        <v>3828</v>
      </c>
      <c r="BN318" s="6" t="s">
        <v>3829</v>
      </c>
      <c r="BO318" s="6" t="s">
        <v>3820</v>
      </c>
      <c r="BP318" s="6" t="s">
        <v>3821</v>
      </c>
      <c r="BQ318" s="6" t="s">
        <v>3830</v>
      </c>
      <c r="BR318" t="s">
        <v>3823</v>
      </c>
      <c r="BS318" t="s">
        <v>3824</v>
      </c>
      <c r="BT318" t="s">
        <v>3825</v>
      </c>
      <c r="BU318" t="s">
        <v>3826</v>
      </c>
      <c r="BV318" t="s">
        <v>3827</v>
      </c>
      <c r="BW318" t="s">
        <v>3835</v>
      </c>
      <c r="BX318">
        <v>0</v>
      </c>
      <c r="BY318" t="s">
        <v>3867</v>
      </c>
      <c r="BZ318" t="s">
        <v>3871</v>
      </c>
    </row>
    <row r="319" spans="1:78" x14ac:dyDescent="0.25">
      <c r="A319" s="7" t="s">
        <v>1362</v>
      </c>
      <c r="B319" s="7" t="s">
        <v>181</v>
      </c>
      <c r="C319" s="7" t="s">
        <v>1360</v>
      </c>
      <c r="D319" s="8" t="s">
        <v>1361</v>
      </c>
      <c r="E319" s="7" t="s">
        <v>1363</v>
      </c>
      <c r="F319" s="9">
        <v>44956</v>
      </c>
      <c r="G319" s="9" t="s">
        <v>717</v>
      </c>
      <c r="H319" s="9" t="s">
        <v>92</v>
      </c>
      <c r="I319" s="8" t="s">
        <v>78</v>
      </c>
      <c r="J319" s="10">
        <v>540.35</v>
      </c>
      <c r="K319" s="10">
        <v>615</v>
      </c>
      <c r="L319" s="10">
        <f t="shared" si="144"/>
        <v>74.649999999999977</v>
      </c>
      <c r="M319" s="10">
        <v>231.43</v>
      </c>
      <c r="N319" s="10">
        <v>270</v>
      </c>
      <c r="O319" s="10">
        <f t="shared" si="145"/>
        <v>38.569999999999993</v>
      </c>
      <c r="P319" s="11">
        <v>14708.00037013047</v>
      </c>
      <c r="Q319" s="11">
        <v>34340.699131486843</v>
      </c>
      <c r="R319" s="11">
        <v>28000</v>
      </c>
      <c r="S319" s="11">
        <v>7947468</v>
      </c>
      <c r="T319" s="11">
        <v>953696</v>
      </c>
      <c r="U319" s="12">
        <f t="shared" si="146"/>
        <v>0.11999997986780192</v>
      </c>
      <c r="V319" s="13">
        <f>L319*R319</f>
        <v>2090199.9999999993</v>
      </c>
      <c r="W319" s="10">
        <f t="shared" si="147"/>
        <v>250823.95791967949</v>
      </c>
      <c r="X319" s="15"/>
      <c r="Y319" s="15"/>
      <c r="Z319" s="11">
        <f t="shared" si="148"/>
        <v>10037668</v>
      </c>
      <c r="AA319" s="14"/>
      <c r="AB319" s="14"/>
      <c r="AC319" s="11">
        <f t="shared" si="149"/>
        <v>10037668</v>
      </c>
      <c r="AD319" s="10">
        <f t="shared" si="150"/>
        <v>300</v>
      </c>
      <c r="AE319" s="15">
        <v>69429</v>
      </c>
      <c r="AF319" s="16">
        <v>12498</v>
      </c>
      <c r="AG319" s="15">
        <f t="shared" si="151"/>
        <v>11570.999999999998</v>
      </c>
      <c r="AH319" s="15">
        <f t="shared" si="152"/>
        <v>2082.7799999999997</v>
      </c>
      <c r="AI319" s="15">
        <f t="shared" si="153"/>
        <v>81000</v>
      </c>
      <c r="AJ319" s="15">
        <f t="shared" si="154"/>
        <v>14580</v>
      </c>
      <c r="AK319" s="10">
        <v>69429</v>
      </c>
      <c r="AL319" s="15">
        <f t="shared" si="155"/>
        <v>81000</v>
      </c>
      <c r="AM319" s="15">
        <f t="shared" si="156"/>
        <v>10118668</v>
      </c>
      <c r="AN319" s="15">
        <f t="shared" si="157"/>
        <v>1219100</v>
      </c>
      <c r="AO319" s="15">
        <f t="shared" si="162"/>
        <v>1300966</v>
      </c>
      <c r="AP319" s="17">
        <f t="shared" si="158"/>
        <v>11419634</v>
      </c>
      <c r="AQ319" s="15">
        <v>8011047</v>
      </c>
      <c r="AR319" s="15">
        <v>866</v>
      </c>
      <c r="AS319" s="18">
        <f t="shared" si="163"/>
        <v>3408587</v>
      </c>
      <c r="AT319" s="19">
        <v>0</v>
      </c>
      <c r="AU319" s="8">
        <v>8800</v>
      </c>
      <c r="AV319" s="13">
        <f t="shared" si="164"/>
        <v>2376000</v>
      </c>
      <c r="AW319" s="18">
        <f t="shared" si="165"/>
        <v>10118668</v>
      </c>
      <c r="AX319" s="15">
        <f t="shared" si="159"/>
        <v>10119000</v>
      </c>
      <c r="AY319" s="20">
        <v>7.0000000000000007E-2</v>
      </c>
      <c r="AZ319" s="13">
        <f t="shared" si="160"/>
        <v>708330.00000000012</v>
      </c>
      <c r="BA319" s="15">
        <f t="shared" si="161"/>
        <v>708400</v>
      </c>
      <c r="BB319" s="21">
        <f t="shared" si="166"/>
        <v>4116987</v>
      </c>
      <c r="BC319" s="10">
        <f t="shared" si="167"/>
        <v>13.815119829739979</v>
      </c>
      <c r="BD319" s="10">
        <f t="shared" si="168"/>
        <v>16.66594650650304</v>
      </c>
      <c r="BE319" s="10">
        <v>57.13</v>
      </c>
      <c r="BF319" s="10">
        <v>25.08</v>
      </c>
      <c r="BG319" s="107">
        <v>46176</v>
      </c>
      <c r="BH319" s="107">
        <f t="shared" si="142"/>
        <v>46206</v>
      </c>
      <c r="BI319" s="23">
        <v>7</v>
      </c>
      <c r="BJ319" s="6"/>
      <c r="BK319" s="6"/>
      <c r="BL319" s="24">
        <f>VLOOKUP(A319,[2]Sheet1!$D$2:$H$933,5,0)</f>
        <v>0</v>
      </c>
      <c r="BM319" s="6" t="s">
        <v>3828</v>
      </c>
      <c r="BN319" s="6" t="s">
        <v>3829</v>
      </c>
      <c r="BO319" s="6" t="s">
        <v>3820</v>
      </c>
      <c r="BP319" s="6" t="s">
        <v>3821</v>
      </c>
      <c r="BQ319" s="6" t="s">
        <v>3830</v>
      </c>
      <c r="BR319" t="s">
        <v>3823</v>
      </c>
      <c r="BS319" t="s">
        <v>3824</v>
      </c>
      <c r="BT319" t="s">
        <v>3825</v>
      </c>
      <c r="BU319" t="s">
        <v>3826</v>
      </c>
      <c r="BV319" t="s">
        <v>3827</v>
      </c>
      <c r="BW319" t="s">
        <v>3835</v>
      </c>
      <c r="BX319">
        <v>0</v>
      </c>
      <c r="BY319" t="s">
        <v>3866</v>
      </c>
      <c r="BZ319" t="s">
        <v>3872</v>
      </c>
    </row>
    <row r="320" spans="1:78" x14ac:dyDescent="0.25">
      <c r="A320" s="7" t="s">
        <v>1366</v>
      </c>
      <c r="B320" s="7" t="s">
        <v>181</v>
      </c>
      <c r="C320" s="7" t="s">
        <v>1364</v>
      </c>
      <c r="D320" s="8" t="s">
        <v>1365</v>
      </c>
      <c r="E320" s="7" t="s">
        <v>1367</v>
      </c>
      <c r="F320" s="9">
        <v>45050</v>
      </c>
      <c r="G320" s="9" t="s">
        <v>717</v>
      </c>
      <c r="H320" s="9" t="s">
        <v>66</v>
      </c>
      <c r="I320" s="8" t="s">
        <v>78</v>
      </c>
      <c r="J320" s="10">
        <v>1220.6400000000001</v>
      </c>
      <c r="K320" s="10">
        <v>1220.6400000000001</v>
      </c>
      <c r="L320" s="10">
        <f t="shared" si="144"/>
        <v>0</v>
      </c>
      <c r="M320" s="10">
        <v>557.58000000000004</v>
      </c>
      <c r="N320" s="10">
        <v>557.58000000000004</v>
      </c>
      <c r="O320" s="10">
        <f t="shared" si="145"/>
        <v>0</v>
      </c>
      <c r="P320" s="11">
        <v>10342.924203696421</v>
      </c>
      <c r="Q320" s="11">
        <v>22642.467448617237</v>
      </c>
      <c r="R320" s="11">
        <v>22000</v>
      </c>
      <c r="S320" s="11">
        <v>12624987</v>
      </c>
      <c r="T320" s="11">
        <v>1515000</v>
      </c>
      <c r="U320" s="12">
        <f t="shared" si="146"/>
        <v>0.12000012356448367</v>
      </c>
      <c r="V320" s="13">
        <f t="shared" ref="V320:V340" si="169">L320*P320</f>
        <v>0</v>
      </c>
      <c r="W320" s="10">
        <f t="shared" si="147"/>
        <v>0</v>
      </c>
      <c r="X320" s="10"/>
      <c r="Y320" s="10"/>
      <c r="Z320" s="11">
        <f t="shared" si="148"/>
        <v>12624987</v>
      </c>
      <c r="AA320" s="14"/>
      <c r="AB320" s="14"/>
      <c r="AC320" s="11">
        <f t="shared" si="149"/>
        <v>12624987</v>
      </c>
      <c r="AD320" s="10">
        <f t="shared" si="150"/>
        <v>300</v>
      </c>
      <c r="AE320" s="15">
        <v>167274</v>
      </c>
      <c r="AF320" s="16">
        <v>30110</v>
      </c>
      <c r="AG320" s="15">
        <f t="shared" si="151"/>
        <v>0</v>
      </c>
      <c r="AH320" s="15">
        <f t="shared" si="152"/>
        <v>0</v>
      </c>
      <c r="AI320" s="15">
        <f t="shared" si="153"/>
        <v>167274</v>
      </c>
      <c r="AJ320" s="15">
        <f t="shared" si="154"/>
        <v>30110</v>
      </c>
      <c r="AK320" s="10">
        <v>167274</v>
      </c>
      <c r="AL320" s="15">
        <f t="shared" si="155"/>
        <v>167274</v>
      </c>
      <c r="AM320" s="15">
        <f t="shared" si="156"/>
        <v>12792261</v>
      </c>
      <c r="AN320" s="15">
        <f t="shared" si="157"/>
        <v>1545110</v>
      </c>
      <c r="AO320" s="15">
        <f t="shared" si="162"/>
        <v>1713415</v>
      </c>
      <c r="AP320" s="17">
        <f t="shared" si="158"/>
        <v>14505676</v>
      </c>
      <c r="AQ320" s="15">
        <v>11541960.92</v>
      </c>
      <c r="AR320" s="15">
        <v>1031</v>
      </c>
      <c r="AS320" s="18">
        <f t="shared" si="163"/>
        <v>2963715</v>
      </c>
      <c r="AT320" s="19">
        <v>0</v>
      </c>
      <c r="AU320" s="8">
        <v>8800</v>
      </c>
      <c r="AV320" s="13">
        <f t="shared" si="164"/>
        <v>4906704</v>
      </c>
      <c r="AW320" s="18">
        <f t="shared" si="165"/>
        <v>12792261</v>
      </c>
      <c r="AX320" s="15">
        <f t="shared" si="159"/>
        <v>12793000</v>
      </c>
      <c r="AY320" s="20">
        <v>7.0000000000000007E-2</v>
      </c>
      <c r="AZ320" s="13">
        <f t="shared" si="160"/>
        <v>895510.00000000012</v>
      </c>
      <c r="BA320" s="15">
        <f t="shared" si="161"/>
        <v>895600</v>
      </c>
      <c r="BB320" s="21">
        <f t="shared" si="166"/>
        <v>3859315</v>
      </c>
      <c r="BC320" s="10">
        <f t="shared" si="167"/>
        <v>0</v>
      </c>
      <c r="BD320" s="10">
        <f t="shared" si="168"/>
        <v>0</v>
      </c>
      <c r="BE320" s="10">
        <v>113.4</v>
      </c>
      <c r="BF320" s="10">
        <v>51.8</v>
      </c>
      <c r="BG320" s="107">
        <v>46176</v>
      </c>
      <c r="BH320" s="107">
        <f t="shared" si="142"/>
        <v>46206</v>
      </c>
      <c r="BI320" s="23">
        <v>7</v>
      </c>
      <c r="BJ320" s="6"/>
      <c r="BK320" s="6"/>
      <c r="BL320" s="24">
        <f>VLOOKUP(A320,[2]Sheet1!$D$2:$H$933,5,0)</f>
        <v>0</v>
      </c>
      <c r="BM320" s="6" t="s">
        <v>3828</v>
      </c>
      <c r="BN320" s="6" t="s">
        <v>3829</v>
      </c>
      <c r="BO320" s="6" t="s">
        <v>3820</v>
      </c>
      <c r="BP320" s="6" t="s">
        <v>3821</v>
      </c>
      <c r="BQ320" s="6" t="s">
        <v>3830</v>
      </c>
      <c r="BR320" t="s">
        <v>3823</v>
      </c>
      <c r="BS320" t="s">
        <v>3824</v>
      </c>
      <c r="BT320" t="s">
        <v>3825</v>
      </c>
      <c r="BU320" t="s">
        <v>3826</v>
      </c>
      <c r="BV320" t="s">
        <v>3827</v>
      </c>
      <c r="BW320" t="s">
        <v>3835</v>
      </c>
      <c r="BX320">
        <v>0</v>
      </c>
      <c r="BY320" t="s">
        <v>3862</v>
      </c>
      <c r="BZ320" t="s">
        <v>3872</v>
      </c>
    </row>
    <row r="321" spans="1:78" x14ac:dyDescent="0.25">
      <c r="A321" s="7" t="s">
        <v>1370</v>
      </c>
      <c r="B321" s="7" t="s">
        <v>181</v>
      </c>
      <c r="C321" s="7" t="s">
        <v>1368</v>
      </c>
      <c r="D321" s="8" t="s">
        <v>1369</v>
      </c>
      <c r="E321" s="7" t="s">
        <v>1371</v>
      </c>
      <c r="F321" s="9">
        <v>44895</v>
      </c>
      <c r="G321" s="9" t="s">
        <v>404</v>
      </c>
      <c r="H321" s="9" t="s">
        <v>66</v>
      </c>
      <c r="I321" s="8" t="s">
        <v>78</v>
      </c>
      <c r="J321" s="10">
        <v>833.13</v>
      </c>
      <c r="K321" s="10">
        <v>833.13</v>
      </c>
      <c r="L321" s="10">
        <f t="shared" si="144"/>
        <v>0</v>
      </c>
      <c r="M321" s="10">
        <v>372.97</v>
      </c>
      <c r="N321" s="10">
        <v>372.97</v>
      </c>
      <c r="O321" s="10">
        <f t="shared" si="145"/>
        <v>0</v>
      </c>
      <c r="P321" s="11">
        <v>16510.000840205012</v>
      </c>
      <c r="Q321" s="11">
        <v>36879.580127087967</v>
      </c>
      <c r="R321" s="11">
        <v>22000</v>
      </c>
      <c r="S321" s="11">
        <v>13754977</v>
      </c>
      <c r="T321" s="11">
        <v>1650598</v>
      </c>
      <c r="U321" s="12">
        <f t="shared" si="146"/>
        <v>0.12000005525272779</v>
      </c>
      <c r="V321" s="13">
        <f t="shared" si="169"/>
        <v>0</v>
      </c>
      <c r="W321" s="10">
        <f t="shared" si="147"/>
        <v>0</v>
      </c>
      <c r="X321" s="10"/>
      <c r="Y321" s="10"/>
      <c r="Z321" s="11">
        <f t="shared" si="148"/>
        <v>13754977</v>
      </c>
      <c r="AA321" s="14"/>
      <c r="AB321" s="14"/>
      <c r="AC321" s="11">
        <f t="shared" si="149"/>
        <v>13754977</v>
      </c>
      <c r="AD321" s="10">
        <f t="shared" si="150"/>
        <v>300</v>
      </c>
      <c r="AE321" s="15">
        <v>111891</v>
      </c>
      <c r="AF321" s="16">
        <v>20140</v>
      </c>
      <c r="AG321" s="15">
        <f t="shared" si="151"/>
        <v>0</v>
      </c>
      <c r="AH321" s="15">
        <f t="shared" si="152"/>
        <v>0</v>
      </c>
      <c r="AI321" s="15">
        <f t="shared" si="153"/>
        <v>111891.00000000001</v>
      </c>
      <c r="AJ321" s="15">
        <f t="shared" si="154"/>
        <v>20141</v>
      </c>
      <c r="AK321" s="10">
        <v>111891</v>
      </c>
      <c r="AL321" s="15">
        <f t="shared" si="155"/>
        <v>111891.00000000001</v>
      </c>
      <c r="AM321" s="15">
        <f t="shared" si="156"/>
        <v>13866868</v>
      </c>
      <c r="AN321" s="15">
        <f t="shared" si="157"/>
        <v>1670739</v>
      </c>
      <c r="AO321" s="15">
        <f t="shared" si="162"/>
        <v>1783591.44</v>
      </c>
      <c r="AP321" s="17">
        <f t="shared" si="158"/>
        <v>15650459.439999999</v>
      </c>
      <c r="AQ321" s="15">
        <v>13796243</v>
      </c>
      <c r="AR321" s="15">
        <v>961.44</v>
      </c>
      <c r="AS321" s="18">
        <f t="shared" si="163"/>
        <v>1854216</v>
      </c>
      <c r="AT321" s="19">
        <v>0</v>
      </c>
      <c r="AU321" s="8">
        <v>8800</v>
      </c>
      <c r="AV321" s="13">
        <f t="shared" si="164"/>
        <v>3282136.0000000005</v>
      </c>
      <c r="AW321" s="18">
        <f t="shared" si="165"/>
        <v>13866868</v>
      </c>
      <c r="AX321" s="15">
        <f t="shared" si="159"/>
        <v>13867000</v>
      </c>
      <c r="AY321" s="20">
        <v>0.06</v>
      </c>
      <c r="AZ321" s="13">
        <f t="shared" si="160"/>
        <v>832020</v>
      </c>
      <c r="BA321" s="15">
        <f t="shared" si="161"/>
        <v>832100</v>
      </c>
      <c r="BB321" s="21">
        <f t="shared" si="166"/>
        <v>2686316</v>
      </c>
      <c r="BC321" s="10">
        <f t="shared" si="167"/>
        <v>0</v>
      </c>
      <c r="BD321" s="10">
        <f t="shared" si="168"/>
        <v>0</v>
      </c>
      <c r="BE321" s="10">
        <v>77.400000000000006</v>
      </c>
      <c r="BF321" s="10">
        <v>34.65</v>
      </c>
      <c r="BG321" s="107">
        <v>46176</v>
      </c>
      <c r="BH321" s="107">
        <f t="shared" si="142"/>
        <v>46206</v>
      </c>
      <c r="BI321" s="23">
        <v>6</v>
      </c>
      <c r="BJ321" s="6"/>
      <c r="BK321" s="6"/>
      <c r="BL321" s="24">
        <f>VLOOKUP(A321,[2]Sheet1!$D$2:$H$933,5,0)</f>
        <v>0</v>
      </c>
      <c r="BM321" s="6" t="s">
        <v>3828</v>
      </c>
      <c r="BN321" s="6" t="s">
        <v>3829</v>
      </c>
      <c r="BO321" s="6" t="s">
        <v>3820</v>
      </c>
      <c r="BP321" s="6" t="s">
        <v>3821</v>
      </c>
      <c r="BQ321" s="6" t="s">
        <v>3830</v>
      </c>
      <c r="BR321" t="s">
        <v>3823</v>
      </c>
      <c r="BS321" t="s">
        <v>3824</v>
      </c>
      <c r="BT321" t="s">
        <v>3825</v>
      </c>
      <c r="BU321" t="s">
        <v>3826</v>
      </c>
      <c r="BV321" t="s">
        <v>3827</v>
      </c>
      <c r="BW321" t="s">
        <v>3835</v>
      </c>
      <c r="BX321">
        <v>0</v>
      </c>
      <c r="BY321" t="s">
        <v>3859</v>
      </c>
      <c r="BZ321" t="s">
        <v>3863</v>
      </c>
    </row>
    <row r="322" spans="1:78" x14ac:dyDescent="0.25">
      <c r="A322" s="7" t="s">
        <v>1374</v>
      </c>
      <c r="B322" s="7" t="s">
        <v>181</v>
      </c>
      <c r="C322" s="7" t="s">
        <v>1372</v>
      </c>
      <c r="D322" s="8" t="s">
        <v>1373</v>
      </c>
      <c r="E322" s="7" t="s">
        <v>1375</v>
      </c>
      <c r="F322" s="9">
        <v>44867</v>
      </c>
      <c r="G322" s="9" t="s">
        <v>404</v>
      </c>
      <c r="H322" s="9" t="s">
        <v>72</v>
      </c>
      <c r="I322" s="8" t="s">
        <v>78</v>
      </c>
      <c r="J322" s="10">
        <v>652.29999999999995</v>
      </c>
      <c r="K322" s="10">
        <v>652.29999999999995</v>
      </c>
      <c r="L322" s="10">
        <f t="shared" si="144"/>
        <v>0</v>
      </c>
      <c r="M322" s="10">
        <v>293.86</v>
      </c>
      <c r="N322" s="10">
        <v>293.86</v>
      </c>
      <c r="O322" s="10">
        <f t="shared" si="145"/>
        <v>0</v>
      </c>
      <c r="P322" s="11">
        <v>13200.000000000002</v>
      </c>
      <c r="Q322" s="11">
        <v>29300.891581024978</v>
      </c>
      <c r="R322" s="11">
        <v>20000</v>
      </c>
      <c r="S322" s="11">
        <v>8610360</v>
      </c>
      <c r="T322" s="11">
        <v>1033242</v>
      </c>
      <c r="U322" s="12">
        <f t="shared" si="146"/>
        <v>0.1199998606330049</v>
      </c>
      <c r="V322" s="13">
        <f t="shared" si="169"/>
        <v>0</v>
      </c>
      <c r="W322" s="10">
        <f t="shared" si="147"/>
        <v>0</v>
      </c>
      <c r="X322" s="10"/>
      <c r="Y322" s="10"/>
      <c r="Z322" s="11">
        <f t="shared" si="148"/>
        <v>8610360</v>
      </c>
      <c r="AA322" s="14"/>
      <c r="AB322" s="14"/>
      <c r="AC322" s="11">
        <f t="shared" si="149"/>
        <v>8610360</v>
      </c>
      <c r="AD322" s="10">
        <f t="shared" si="150"/>
        <v>300</v>
      </c>
      <c r="AE322" s="15">
        <v>88158</v>
      </c>
      <c r="AF322" s="16">
        <v>15868</v>
      </c>
      <c r="AG322" s="15">
        <f t="shared" si="151"/>
        <v>0</v>
      </c>
      <c r="AH322" s="15">
        <f t="shared" si="152"/>
        <v>0</v>
      </c>
      <c r="AI322" s="15">
        <f t="shared" si="153"/>
        <v>88158</v>
      </c>
      <c r="AJ322" s="15">
        <f t="shared" si="154"/>
        <v>15869</v>
      </c>
      <c r="AK322" s="10">
        <v>88158</v>
      </c>
      <c r="AL322" s="15">
        <f t="shared" si="155"/>
        <v>88158</v>
      </c>
      <c r="AM322" s="15">
        <f t="shared" si="156"/>
        <v>8698518</v>
      </c>
      <c r="AN322" s="15">
        <f t="shared" si="157"/>
        <v>1049111</v>
      </c>
      <c r="AO322" s="15">
        <f t="shared" si="162"/>
        <v>1138387.24</v>
      </c>
      <c r="AP322" s="17">
        <f t="shared" si="158"/>
        <v>9836905.2400000002</v>
      </c>
      <c r="AQ322" s="15">
        <v>8480000</v>
      </c>
      <c r="AR322" s="15">
        <v>1118.24</v>
      </c>
      <c r="AS322" s="18">
        <f t="shared" si="163"/>
        <v>1356905</v>
      </c>
      <c r="AT322" s="19">
        <v>0</v>
      </c>
      <c r="AU322" s="8">
        <v>8800</v>
      </c>
      <c r="AV322" s="13">
        <f t="shared" si="164"/>
        <v>2585968</v>
      </c>
      <c r="AW322" s="18">
        <f t="shared" si="165"/>
        <v>8698518</v>
      </c>
      <c r="AX322" s="15">
        <f t="shared" si="159"/>
        <v>8699000</v>
      </c>
      <c r="AY322" s="20">
        <v>7.0000000000000007E-2</v>
      </c>
      <c r="AZ322" s="13">
        <f t="shared" si="160"/>
        <v>608930</v>
      </c>
      <c r="BA322" s="15">
        <f t="shared" si="161"/>
        <v>609000</v>
      </c>
      <c r="BB322" s="21">
        <f t="shared" si="166"/>
        <v>1965905</v>
      </c>
      <c r="BC322" s="10">
        <f t="shared" si="167"/>
        <v>0</v>
      </c>
      <c r="BD322" s="10">
        <f t="shared" si="168"/>
        <v>0</v>
      </c>
      <c r="BE322" s="10">
        <v>60.6</v>
      </c>
      <c r="BF322" s="10">
        <v>27.3</v>
      </c>
      <c r="BG322" s="107">
        <v>46176</v>
      </c>
      <c r="BH322" s="107">
        <f t="shared" si="142"/>
        <v>46206</v>
      </c>
      <c r="BI322" s="23">
        <v>7</v>
      </c>
      <c r="BJ322" s="6"/>
      <c r="BK322" s="6"/>
      <c r="BL322" s="24">
        <f>VLOOKUP(A322,[2]Sheet1!$D$2:$H$933,5,0)</f>
        <v>0</v>
      </c>
      <c r="BM322" s="6" t="s">
        <v>3828</v>
      </c>
      <c r="BN322" s="6" t="s">
        <v>3829</v>
      </c>
      <c r="BO322" s="6" t="s">
        <v>3820</v>
      </c>
      <c r="BP322" s="6" t="s">
        <v>3821</v>
      </c>
      <c r="BQ322" s="6" t="s">
        <v>3830</v>
      </c>
      <c r="BR322" t="s">
        <v>3823</v>
      </c>
      <c r="BS322" t="s">
        <v>3824</v>
      </c>
      <c r="BT322" t="s">
        <v>3825</v>
      </c>
      <c r="BU322" t="s">
        <v>3826</v>
      </c>
      <c r="BV322" t="s">
        <v>3827</v>
      </c>
      <c r="BW322" t="s">
        <v>3835</v>
      </c>
      <c r="BX322">
        <v>0</v>
      </c>
      <c r="BY322" t="s">
        <v>3868</v>
      </c>
      <c r="BZ322" t="s">
        <v>3863</v>
      </c>
    </row>
    <row r="323" spans="1:78" x14ac:dyDescent="0.25">
      <c r="A323" s="7" t="s">
        <v>1378</v>
      </c>
      <c r="B323" s="7" t="s">
        <v>181</v>
      </c>
      <c r="C323" s="7" t="s">
        <v>1376</v>
      </c>
      <c r="D323" s="8" t="s">
        <v>1377</v>
      </c>
      <c r="E323" s="7" t="s">
        <v>1379</v>
      </c>
      <c r="F323" s="9">
        <v>45318</v>
      </c>
      <c r="G323" s="9" t="s">
        <v>77</v>
      </c>
      <c r="H323" s="9" t="s">
        <v>92</v>
      </c>
      <c r="I323" s="8" t="s">
        <v>78</v>
      </c>
      <c r="J323" s="10">
        <v>230.35</v>
      </c>
      <c r="K323" s="10">
        <v>230.35</v>
      </c>
      <c r="L323" s="10">
        <f t="shared" si="144"/>
        <v>0</v>
      </c>
      <c r="M323" s="10">
        <v>94.72</v>
      </c>
      <c r="N323" s="10">
        <v>94.72</v>
      </c>
      <c r="O323" s="10">
        <f t="shared" si="145"/>
        <v>0</v>
      </c>
      <c r="P323" s="11">
        <v>15000</v>
      </c>
      <c r="Q323" s="11">
        <v>36478.56841216216</v>
      </c>
      <c r="R323" s="11">
        <v>28000</v>
      </c>
      <c r="S323" s="11">
        <v>3455250</v>
      </c>
      <c r="T323" s="11">
        <v>414630</v>
      </c>
      <c r="U323" s="12">
        <f t="shared" si="146"/>
        <v>0.12</v>
      </c>
      <c r="V323" s="13">
        <f t="shared" si="169"/>
        <v>0</v>
      </c>
      <c r="W323" s="10">
        <f t="shared" si="147"/>
        <v>0</v>
      </c>
      <c r="X323" s="10"/>
      <c r="Y323" s="10"/>
      <c r="Z323" s="11">
        <f t="shared" si="148"/>
        <v>3455250</v>
      </c>
      <c r="AA323" s="14"/>
      <c r="AB323" s="14"/>
      <c r="AC323" s="11">
        <f t="shared" si="149"/>
        <v>3455250</v>
      </c>
      <c r="AD323" s="10">
        <f t="shared" si="150"/>
        <v>300</v>
      </c>
      <c r="AE323" s="15">
        <v>28416</v>
      </c>
      <c r="AF323" s="16">
        <v>5114</v>
      </c>
      <c r="AG323" s="15">
        <f t="shared" si="151"/>
        <v>0</v>
      </c>
      <c r="AH323" s="15">
        <f t="shared" si="152"/>
        <v>0</v>
      </c>
      <c r="AI323" s="15">
        <f t="shared" si="153"/>
        <v>28416</v>
      </c>
      <c r="AJ323" s="15">
        <f t="shared" si="154"/>
        <v>5115</v>
      </c>
      <c r="AK323" s="10">
        <v>28416</v>
      </c>
      <c r="AL323" s="15">
        <f t="shared" si="155"/>
        <v>28416</v>
      </c>
      <c r="AM323" s="15">
        <f t="shared" si="156"/>
        <v>3483666</v>
      </c>
      <c r="AN323" s="15">
        <f t="shared" si="157"/>
        <v>419745</v>
      </c>
      <c r="AO323" s="15">
        <f t="shared" si="162"/>
        <v>449088</v>
      </c>
      <c r="AP323" s="17">
        <f t="shared" si="158"/>
        <v>3932754</v>
      </c>
      <c r="AQ323" s="15">
        <v>3482894</v>
      </c>
      <c r="AR323" s="15">
        <v>927</v>
      </c>
      <c r="AS323" s="18">
        <f t="shared" si="163"/>
        <v>449860</v>
      </c>
      <c r="AT323" s="19">
        <v>0</v>
      </c>
      <c r="AU323" s="8">
        <v>8800</v>
      </c>
      <c r="AV323" s="13">
        <f t="shared" si="164"/>
        <v>833536</v>
      </c>
      <c r="AW323" s="18">
        <f t="shared" si="165"/>
        <v>3483666</v>
      </c>
      <c r="AX323" s="15">
        <f t="shared" si="159"/>
        <v>3484000</v>
      </c>
      <c r="AY323" s="20">
        <v>0.06</v>
      </c>
      <c r="AZ323" s="13">
        <f t="shared" si="160"/>
        <v>209040</v>
      </c>
      <c r="BA323" s="15">
        <f t="shared" si="161"/>
        <v>209100</v>
      </c>
      <c r="BB323" s="21">
        <f t="shared" si="166"/>
        <v>658960</v>
      </c>
      <c r="BC323" s="10">
        <f t="shared" si="167"/>
        <v>0</v>
      </c>
      <c r="BD323" s="10">
        <f t="shared" si="168"/>
        <v>0</v>
      </c>
      <c r="BE323" s="10">
        <v>21.4</v>
      </c>
      <c r="BF323" s="10">
        <v>8.8000000000000007</v>
      </c>
      <c r="BG323" s="107">
        <v>46176</v>
      </c>
      <c r="BH323" s="107">
        <f t="shared" si="142"/>
        <v>46206</v>
      </c>
      <c r="BI323" s="23">
        <v>6</v>
      </c>
      <c r="BJ323" s="6"/>
      <c r="BK323" s="6"/>
      <c r="BL323" s="24">
        <f>VLOOKUP(A323,[2]Sheet1!$D$2:$H$933,5,0)</f>
        <v>0</v>
      </c>
      <c r="BM323" s="6" t="s">
        <v>3828</v>
      </c>
      <c r="BN323" s="6" t="s">
        <v>3829</v>
      </c>
      <c r="BO323" s="6" t="s">
        <v>3820</v>
      </c>
      <c r="BP323" s="6" t="s">
        <v>3821</v>
      </c>
      <c r="BQ323" s="6" t="s">
        <v>3830</v>
      </c>
      <c r="BR323" t="s">
        <v>3823</v>
      </c>
      <c r="BS323" t="s">
        <v>3824</v>
      </c>
      <c r="BT323" t="s">
        <v>3825</v>
      </c>
      <c r="BU323" t="s">
        <v>3826</v>
      </c>
      <c r="BV323" t="s">
        <v>3827</v>
      </c>
      <c r="BW323" t="s">
        <v>3835</v>
      </c>
      <c r="BX323">
        <v>0</v>
      </c>
      <c r="BY323" t="s">
        <v>3866</v>
      </c>
      <c r="BZ323" t="s">
        <v>3863</v>
      </c>
    </row>
    <row r="324" spans="1:78" x14ac:dyDescent="0.25">
      <c r="A324" s="7" t="s">
        <v>1382</v>
      </c>
      <c r="B324" s="7" t="s">
        <v>181</v>
      </c>
      <c r="C324" s="7" t="s">
        <v>1380</v>
      </c>
      <c r="D324" s="8" t="s">
        <v>1381</v>
      </c>
      <c r="E324" s="7" t="s">
        <v>1383</v>
      </c>
      <c r="F324" s="9">
        <v>44876</v>
      </c>
      <c r="G324" s="9" t="s">
        <v>404</v>
      </c>
      <c r="H324" s="9" t="s">
        <v>72</v>
      </c>
      <c r="I324" s="8" t="s">
        <v>78</v>
      </c>
      <c r="J324" s="10">
        <v>556.5</v>
      </c>
      <c r="K324" s="10">
        <v>556.5</v>
      </c>
      <c r="L324" s="10">
        <f t="shared" si="144"/>
        <v>0</v>
      </c>
      <c r="M324" s="10">
        <v>251.88</v>
      </c>
      <c r="N324" s="10">
        <v>251.88</v>
      </c>
      <c r="O324" s="10">
        <f t="shared" si="145"/>
        <v>0</v>
      </c>
      <c r="P324" s="11">
        <v>11750</v>
      </c>
      <c r="Q324" s="11">
        <v>25960.278704144832</v>
      </c>
      <c r="R324" s="11">
        <v>20000</v>
      </c>
      <c r="S324" s="11">
        <v>6538875</v>
      </c>
      <c r="T324" s="11">
        <v>784666</v>
      </c>
      <c r="U324" s="12">
        <f t="shared" si="146"/>
        <v>0.1200001529315058</v>
      </c>
      <c r="V324" s="13">
        <f t="shared" si="169"/>
        <v>0</v>
      </c>
      <c r="W324" s="10">
        <f t="shared" si="147"/>
        <v>0</v>
      </c>
      <c r="X324" s="10"/>
      <c r="Y324" s="10"/>
      <c r="Z324" s="11">
        <f t="shared" si="148"/>
        <v>6538875</v>
      </c>
      <c r="AA324" s="14"/>
      <c r="AB324" s="14"/>
      <c r="AC324" s="11">
        <f t="shared" si="149"/>
        <v>6538875</v>
      </c>
      <c r="AD324" s="10">
        <f t="shared" si="150"/>
        <v>300</v>
      </c>
      <c r="AE324" s="15">
        <v>75564</v>
      </c>
      <c r="AF324" s="16">
        <v>13602</v>
      </c>
      <c r="AG324" s="15">
        <f t="shared" si="151"/>
        <v>0</v>
      </c>
      <c r="AH324" s="15">
        <f t="shared" si="152"/>
        <v>0</v>
      </c>
      <c r="AI324" s="15">
        <f t="shared" si="153"/>
        <v>75564</v>
      </c>
      <c r="AJ324" s="15">
        <f t="shared" si="154"/>
        <v>13602</v>
      </c>
      <c r="AK324" s="10">
        <v>75564</v>
      </c>
      <c r="AL324" s="15">
        <f t="shared" si="155"/>
        <v>75564</v>
      </c>
      <c r="AM324" s="15">
        <f t="shared" si="156"/>
        <v>6614439</v>
      </c>
      <c r="AN324" s="15">
        <f t="shared" si="157"/>
        <v>798268</v>
      </c>
      <c r="AO324" s="15">
        <f t="shared" si="162"/>
        <v>874775</v>
      </c>
      <c r="AP324" s="17">
        <f t="shared" si="158"/>
        <v>7489214</v>
      </c>
      <c r="AQ324" s="15">
        <v>6591187.0599999996</v>
      </c>
      <c r="AR324" s="15">
        <v>943</v>
      </c>
      <c r="AS324" s="18">
        <f t="shared" si="163"/>
        <v>898027</v>
      </c>
      <c r="AT324" s="19">
        <v>0</v>
      </c>
      <c r="AU324" s="8">
        <v>8800</v>
      </c>
      <c r="AV324" s="13">
        <f t="shared" si="164"/>
        <v>2216544</v>
      </c>
      <c r="AW324" s="18">
        <f t="shared" si="165"/>
        <v>6614439</v>
      </c>
      <c r="AX324" s="15">
        <f t="shared" si="159"/>
        <v>6615000</v>
      </c>
      <c r="AY324" s="20">
        <v>0.05</v>
      </c>
      <c r="AZ324" s="13">
        <f t="shared" si="160"/>
        <v>330750</v>
      </c>
      <c r="BA324" s="15">
        <f t="shared" si="161"/>
        <v>330800</v>
      </c>
      <c r="BB324" s="21">
        <f t="shared" si="166"/>
        <v>1228827</v>
      </c>
      <c r="BC324" s="10">
        <f t="shared" si="167"/>
        <v>0</v>
      </c>
      <c r="BD324" s="10">
        <f t="shared" si="168"/>
        <v>0</v>
      </c>
      <c r="BE324" s="10">
        <v>51.7</v>
      </c>
      <c r="BF324" s="10">
        <v>23.4</v>
      </c>
      <c r="BG324" s="107">
        <v>46176</v>
      </c>
      <c r="BH324" s="107">
        <f t="shared" si="142"/>
        <v>46206</v>
      </c>
      <c r="BI324" s="23">
        <v>5</v>
      </c>
      <c r="BJ324" s="6"/>
      <c r="BK324" s="6"/>
      <c r="BL324" s="24">
        <f>VLOOKUP(A324,[2]Sheet1!$D$2:$H$933,5,0)</f>
        <v>0</v>
      </c>
      <c r="BM324" s="6" t="s">
        <v>3828</v>
      </c>
      <c r="BN324" s="6" t="s">
        <v>3829</v>
      </c>
      <c r="BO324" s="6" t="s">
        <v>3820</v>
      </c>
      <c r="BP324" s="6" t="s">
        <v>3821</v>
      </c>
      <c r="BQ324" s="6" t="s">
        <v>3830</v>
      </c>
      <c r="BR324" t="s">
        <v>3823</v>
      </c>
      <c r="BS324" t="s">
        <v>3824</v>
      </c>
      <c r="BT324" t="s">
        <v>3825</v>
      </c>
      <c r="BU324" t="s">
        <v>3826</v>
      </c>
      <c r="BV324" t="s">
        <v>3827</v>
      </c>
      <c r="BW324" t="s">
        <v>3835</v>
      </c>
      <c r="BX324">
        <v>0</v>
      </c>
      <c r="BY324" t="s">
        <v>3862</v>
      </c>
      <c r="BZ324" t="s">
        <v>3863</v>
      </c>
    </row>
    <row r="325" spans="1:78" x14ac:dyDescent="0.25">
      <c r="A325" s="7" t="s">
        <v>1386</v>
      </c>
      <c r="B325" s="7" t="s">
        <v>181</v>
      </c>
      <c r="C325" s="7" t="s">
        <v>1384</v>
      </c>
      <c r="D325" s="8" t="s">
        <v>1385</v>
      </c>
      <c r="E325" s="7" t="s">
        <v>1387</v>
      </c>
      <c r="F325" s="9">
        <v>44873</v>
      </c>
      <c r="G325" s="9" t="s">
        <v>527</v>
      </c>
      <c r="H325" s="9" t="s">
        <v>92</v>
      </c>
      <c r="I325" s="8" t="s">
        <v>78</v>
      </c>
      <c r="J325" s="10">
        <v>384.27</v>
      </c>
      <c r="K325" s="10">
        <v>384.27</v>
      </c>
      <c r="L325" s="10">
        <f t="shared" si="144"/>
        <v>0</v>
      </c>
      <c r="M325" s="10">
        <v>169.1</v>
      </c>
      <c r="N325" s="10">
        <v>169.1</v>
      </c>
      <c r="O325" s="10">
        <f t="shared" si="145"/>
        <v>0</v>
      </c>
      <c r="P325" s="11">
        <v>25000.002602336899</v>
      </c>
      <c r="Q325" s="11">
        <v>56811.064458900059</v>
      </c>
      <c r="R325" s="11">
        <v>28000</v>
      </c>
      <c r="S325" s="11">
        <v>9606751</v>
      </c>
      <c r="T325" s="11">
        <v>1152812</v>
      </c>
      <c r="U325" s="12">
        <f t="shared" si="146"/>
        <v>0.12000019569571439</v>
      </c>
      <c r="V325" s="13">
        <f t="shared" si="169"/>
        <v>0</v>
      </c>
      <c r="W325" s="10">
        <f t="shared" si="147"/>
        <v>0</v>
      </c>
      <c r="X325" s="10"/>
      <c r="Y325" s="10"/>
      <c r="Z325" s="11">
        <f t="shared" si="148"/>
        <v>9606751</v>
      </c>
      <c r="AA325" s="14"/>
      <c r="AB325" s="14"/>
      <c r="AC325" s="11">
        <f t="shared" si="149"/>
        <v>9606751</v>
      </c>
      <c r="AD325" s="10">
        <f t="shared" si="150"/>
        <v>300</v>
      </c>
      <c r="AE325" s="15">
        <v>50730</v>
      </c>
      <c r="AF325" s="16">
        <v>9132</v>
      </c>
      <c r="AG325" s="15">
        <f t="shared" si="151"/>
        <v>0</v>
      </c>
      <c r="AH325" s="15">
        <f t="shared" si="152"/>
        <v>0</v>
      </c>
      <c r="AI325" s="15">
        <f t="shared" si="153"/>
        <v>50730</v>
      </c>
      <c r="AJ325" s="15">
        <f t="shared" si="154"/>
        <v>9132</v>
      </c>
      <c r="AK325" s="10">
        <v>50730</v>
      </c>
      <c r="AL325" s="15">
        <f t="shared" si="155"/>
        <v>50730</v>
      </c>
      <c r="AM325" s="15">
        <f t="shared" si="156"/>
        <v>9657481</v>
      </c>
      <c r="AN325" s="15">
        <f t="shared" si="157"/>
        <v>1161944</v>
      </c>
      <c r="AO325" s="15">
        <f t="shared" si="162"/>
        <v>1213673.72</v>
      </c>
      <c r="AP325" s="17">
        <f t="shared" si="158"/>
        <v>10871154.720000001</v>
      </c>
      <c r="AQ325" s="15">
        <v>9641466</v>
      </c>
      <c r="AR325" s="15">
        <v>999.72</v>
      </c>
      <c r="AS325" s="18">
        <f t="shared" si="163"/>
        <v>1229689</v>
      </c>
      <c r="AT325" s="19">
        <v>0</v>
      </c>
      <c r="AU325" s="8">
        <v>8800</v>
      </c>
      <c r="AV325" s="13">
        <f t="shared" si="164"/>
        <v>1488080</v>
      </c>
      <c r="AW325" s="18">
        <f t="shared" si="165"/>
        <v>9657481</v>
      </c>
      <c r="AX325" s="15">
        <f t="shared" si="159"/>
        <v>9658000</v>
      </c>
      <c r="AY325" s="20">
        <v>0.05</v>
      </c>
      <c r="AZ325" s="13">
        <f t="shared" si="160"/>
        <v>482900</v>
      </c>
      <c r="BA325" s="15">
        <f t="shared" si="161"/>
        <v>482900</v>
      </c>
      <c r="BB325" s="21">
        <f t="shared" si="166"/>
        <v>1712589</v>
      </c>
      <c r="BC325" s="10">
        <f t="shared" si="167"/>
        <v>0</v>
      </c>
      <c r="BD325" s="10">
        <f t="shared" si="168"/>
        <v>0</v>
      </c>
      <c r="BE325" s="10">
        <v>35.700000000000003</v>
      </c>
      <c r="BF325" s="10">
        <v>15.71</v>
      </c>
      <c r="BG325" s="107">
        <v>46176</v>
      </c>
      <c r="BH325" s="107">
        <f t="shared" si="142"/>
        <v>46206</v>
      </c>
      <c r="BI325" s="23">
        <v>5</v>
      </c>
      <c r="BJ325" s="6"/>
      <c r="BK325" s="6"/>
      <c r="BL325" s="24">
        <f>VLOOKUP(A325,[2]Sheet1!$D$2:$H$933,5,0)</f>
        <v>0</v>
      </c>
      <c r="BM325" s="6" t="s">
        <v>3828</v>
      </c>
      <c r="BN325" s="6" t="s">
        <v>3829</v>
      </c>
      <c r="BO325" s="6" t="s">
        <v>3820</v>
      </c>
      <c r="BP325" s="6" t="s">
        <v>3821</v>
      </c>
      <c r="BQ325" s="6" t="s">
        <v>3830</v>
      </c>
      <c r="BR325" t="s">
        <v>3823</v>
      </c>
      <c r="BS325" t="s">
        <v>3824</v>
      </c>
      <c r="BT325" t="s">
        <v>3825</v>
      </c>
      <c r="BU325" t="s">
        <v>3826</v>
      </c>
      <c r="BV325" t="s">
        <v>3827</v>
      </c>
      <c r="BW325" t="s">
        <v>3835</v>
      </c>
      <c r="BX325">
        <v>0</v>
      </c>
      <c r="BY325" t="s">
        <v>3862</v>
      </c>
      <c r="BZ325" t="s">
        <v>3871</v>
      </c>
    </row>
    <row r="326" spans="1:78" x14ac:dyDescent="0.25">
      <c r="A326" s="7" t="s">
        <v>1390</v>
      </c>
      <c r="B326" s="7" t="s">
        <v>181</v>
      </c>
      <c r="C326" s="7" t="s">
        <v>1388</v>
      </c>
      <c r="D326" s="8" t="s">
        <v>1389</v>
      </c>
      <c r="E326" s="7" t="s">
        <v>1391</v>
      </c>
      <c r="F326" s="9">
        <v>44894</v>
      </c>
      <c r="G326" s="9" t="s">
        <v>527</v>
      </c>
      <c r="H326" s="9" t="s">
        <v>72</v>
      </c>
      <c r="I326" s="8" t="s">
        <v>635</v>
      </c>
      <c r="J326" s="10">
        <v>796.25</v>
      </c>
      <c r="K326" s="10">
        <v>796.25</v>
      </c>
      <c r="L326" s="10">
        <f t="shared" si="144"/>
        <v>0</v>
      </c>
      <c r="M326" s="10">
        <v>120.56</v>
      </c>
      <c r="N326" s="10">
        <v>120.56</v>
      </c>
      <c r="O326" s="10">
        <f t="shared" si="145"/>
        <v>0</v>
      </c>
      <c r="P326" s="11">
        <v>7649.9993720565153</v>
      </c>
      <c r="Q326" s="11">
        <v>50525.149303251492</v>
      </c>
      <c r="R326" s="11">
        <v>20000</v>
      </c>
      <c r="S326" s="11">
        <v>6091312</v>
      </c>
      <c r="T326" s="11">
        <v>730958</v>
      </c>
      <c r="U326" s="12">
        <f t="shared" si="146"/>
        <v>0.12000009193421712</v>
      </c>
      <c r="V326" s="13">
        <f t="shared" si="169"/>
        <v>0</v>
      </c>
      <c r="W326" s="10">
        <f t="shared" si="147"/>
        <v>0</v>
      </c>
      <c r="X326" s="10"/>
      <c r="Y326" s="10"/>
      <c r="Z326" s="11">
        <f t="shared" si="148"/>
        <v>6091312</v>
      </c>
      <c r="AA326" s="14">
        <v>1214448</v>
      </c>
      <c r="AB326" s="14">
        <v>145734</v>
      </c>
      <c r="AC326" s="11">
        <f t="shared" si="149"/>
        <v>4876864</v>
      </c>
      <c r="AD326" s="10">
        <f t="shared" si="150"/>
        <v>300</v>
      </c>
      <c r="AE326" s="15">
        <v>36168</v>
      </c>
      <c r="AF326" s="16">
        <v>6510</v>
      </c>
      <c r="AG326" s="15">
        <f t="shared" si="151"/>
        <v>0</v>
      </c>
      <c r="AH326" s="15">
        <f t="shared" si="152"/>
        <v>0</v>
      </c>
      <c r="AI326" s="15">
        <f t="shared" si="153"/>
        <v>36168</v>
      </c>
      <c r="AJ326" s="15">
        <f t="shared" si="154"/>
        <v>6511</v>
      </c>
      <c r="AK326" s="10">
        <v>36168</v>
      </c>
      <c r="AL326" s="15">
        <f t="shared" si="155"/>
        <v>36168</v>
      </c>
      <c r="AM326" s="15">
        <f t="shared" si="156"/>
        <v>4913032</v>
      </c>
      <c r="AN326" s="15">
        <f t="shared" si="157"/>
        <v>591735</v>
      </c>
      <c r="AO326" s="15">
        <f t="shared" si="162"/>
        <v>628874</v>
      </c>
      <c r="AP326" s="17">
        <f t="shared" si="158"/>
        <v>5541906</v>
      </c>
      <c r="AQ326" s="15">
        <v>4780832</v>
      </c>
      <c r="AR326" s="15">
        <v>971</v>
      </c>
      <c r="AS326" s="18">
        <f t="shared" si="163"/>
        <v>761074</v>
      </c>
      <c r="AT326" s="19">
        <v>0</v>
      </c>
      <c r="AU326" s="8">
        <v>8800</v>
      </c>
      <c r="AV326" s="13">
        <f t="shared" si="164"/>
        <v>1060928</v>
      </c>
      <c r="AW326" s="18">
        <f t="shared" si="165"/>
        <v>4913032</v>
      </c>
      <c r="AX326" s="15">
        <f t="shared" si="159"/>
        <v>4914000</v>
      </c>
      <c r="AY326" s="20">
        <v>0.05</v>
      </c>
      <c r="AZ326" s="13">
        <f t="shared" si="160"/>
        <v>245700</v>
      </c>
      <c r="BA326" s="15">
        <f t="shared" si="161"/>
        <v>245700</v>
      </c>
      <c r="BB326" s="21">
        <f t="shared" si="166"/>
        <v>1006774</v>
      </c>
      <c r="BC326" s="10">
        <f t="shared" si="167"/>
        <v>0</v>
      </c>
      <c r="BD326" s="10">
        <f t="shared" si="168"/>
        <v>0</v>
      </c>
      <c r="BE326" s="10">
        <v>73.97</v>
      </c>
      <c r="BF326" s="10">
        <v>11.2</v>
      </c>
      <c r="BG326" s="107">
        <v>46176</v>
      </c>
      <c r="BH326" s="107">
        <f t="shared" si="142"/>
        <v>46206</v>
      </c>
      <c r="BI326" s="23">
        <v>5</v>
      </c>
      <c r="BJ326" s="6"/>
      <c r="BK326" s="6"/>
      <c r="BL326" s="24">
        <f>VLOOKUP(A326,[2]Sheet1!$D$2:$H$933,5,0)</f>
        <v>0</v>
      </c>
      <c r="BM326" s="6" t="s">
        <v>3828</v>
      </c>
      <c r="BN326" s="6" t="s">
        <v>3829</v>
      </c>
      <c r="BO326" s="6" t="s">
        <v>3820</v>
      </c>
      <c r="BP326" s="6" t="s">
        <v>3821</v>
      </c>
      <c r="BQ326" s="6" t="s">
        <v>3830</v>
      </c>
      <c r="BR326" t="s">
        <v>3823</v>
      </c>
      <c r="BS326" t="s">
        <v>3824</v>
      </c>
      <c r="BT326" t="s">
        <v>3825</v>
      </c>
      <c r="BU326" t="s">
        <v>3826</v>
      </c>
      <c r="BV326" t="s">
        <v>3827</v>
      </c>
      <c r="BW326" t="s">
        <v>3835</v>
      </c>
      <c r="BX326">
        <v>0</v>
      </c>
      <c r="BY326" t="s">
        <v>3859</v>
      </c>
      <c r="BZ326" t="s">
        <v>3871</v>
      </c>
    </row>
    <row r="327" spans="1:78" x14ac:dyDescent="0.25">
      <c r="A327" s="7" t="s">
        <v>1394</v>
      </c>
      <c r="B327" s="7" t="s">
        <v>181</v>
      </c>
      <c r="C327" s="7" t="s">
        <v>1392</v>
      </c>
      <c r="D327" s="8" t="s">
        <v>1393</v>
      </c>
      <c r="E327" s="7" t="s">
        <v>1395</v>
      </c>
      <c r="F327" s="9">
        <v>44878</v>
      </c>
      <c r="G327" s="9" t="s">
        <v>527</v>
      </c>
      <c r="H327" s="9" t="s">
        <v>66</v>
      </c>
      <c r="I327" s="8" t="s">
        <v>67</v>
      </c>
      <c r="J327" s="10">
        <v>131.56</v>
      </c>
      <c r="K327" s="10">
        <v>131.56</v>
      </c>
      <c r="L327" s="10">
        <f t="shared" si="144"/>
        <v>0</v>
      </c>
      <c r="M327" s="10">
        <v>45.21</v>
      </c>
      <c r="N327" s="10">
        <v>45.21</v>
      </c>
      <c r="O327" s="10">
        <f t="shared" si="145"/>
        <v>0</v>
      </c>
      <c r="P327" s="11">
        <v>13496.427485557921</v>
      </c>
      <c r="Q327" s="11">
        <v>39274.275602742753</v>
      </c>
      <c r="R327" s="11">
        <v>22000</v>
      </c>
      <c r="S327" s="11">
        <v>1775590</v>
      </c>
      <c r="T327" s="11">
        <v>213072</v>
      </c>
      <c r="U327" s="12">
        <f t="shared" si="146"/>
        <v>0.12000067583169538</v>
      </c>
      <c r="V327" s="13">
        <f t="shared" si="169"/>
        <v>0</v>
      </c>
      <c r="W327" s="10">
        <f t="shared" si="147"/>
        <v>0</v>
      </c>
      <c r="X327" s="10"/>
      <c r="Y327" s="10"/>
      <c r="Z327" s="11">
        <f t="shared" si="148"/>
        <v>1775590</v>
      </c>
      <c r="AA327" s="14">
        <v>266046</v>
      </c>
      <c r="AB327" s="14">
        <v>31926</v>
      </c>
      <c r="AC327" s="11">
        <f t="shared" si="149"/>
        <v>1509544</v>
      </c>
      <c r="AD327" s="10">
        <f t="shared" si="150"/>
        <v>300</v>
      </c>
      <c r="AE327" s="15">
        <v>13563</v>
      </c>
      <c r="AF327" s="16">
        <v>2442</v>
      </c>
      <c r="AG327" s="15">
        <f t="shared" si="151"/>
        <v>0</v>
      </c>
      <c r="AH327" s="15">
        <f t="shared" si="152"/>
        <v>0</v>
      </c>
      <c r="AI327" s="15">
        <f t="shared" si="153"/>
        <v>13563</v>
      </c>
      <c r="AJ327" s="15">
        <f t="shared" si="154"/>
        <v>2442</v>
      </c>
      <c r="AK327" s="10">
        <v>13563</v>
      </c>
      <c r="AL327" s="15">
        <f t="shared" si="155"/>
        <v>13563</v>
      </c>
      <c r="AM327" s="15">
        <f t="shared" si="156"/>
        <v>1523107</v>
      </c>
      <c r="AN327" s="15">
        <f t="shared" si="157"/>
        <v>183588</v>
      </c>
      <c r="AO327" s="15">
        <f t="shared" si="162"/>
        <v>197151</v>
      </c>
      <c r="AP327" s="17">
        <f t="shared" si="158"/>
        <v>1720258</v>
      </c>
      <c r="AQ327" s="15">
        <v>1491824</v>
      </c>
      <c r="AR327" s="15">
        <v>0</v>
      </c>
      <c r="AS327" s="18">
        <f t="shared" si="163"/>
        <v>228434</v>
      </c>
      <c r="AT327" s="19">
        <v>0</v>
      </c>
      <c r="AU327" s="8">
        <v>8800</v>
      </c>
      <c r="AV327" s="13">
        <f t="shared" si="164"/>
        <v>397848</v>
      </c>
      <c r="AW327" s="18">
        <f t="shared" si="165"/>
        <v>1523107</v>
      </c>
      <c r="AX327" s="15">
        <f t="shared" si="159"/>
        <v>1524000</v>
      </c>
      <c r="AY327" s="20">
        <v>0.06</v>
      </c>
      <c r="AZ327" s="13">
        <f t="shared" si="160"/>
        <v>91440</v>
      </c>
      <c r="BA327" s="15">
        <f t="shared" si="161"/>
        <v>91500</v>
      </c>
      <c r="BB327" s="21">
        <f t="shared" si="166"/>
        <v>319934</v>
      </c>
      <c r="BC327" s="10">
        <f t="shared" si="167"/>
        <v>0</v>
      </c>
      <c r="BD327" s="10">
        <f t="shared" si="168"/>
        <v>0</v>
      </c>
      <c r="BE327" s="10">
        <v>12.22</v>
      </c>
      <c r="BF327" s="10">
        <v>4.2</v>
      </c>
      <c r="BG327" s="107">
        <v>46176</v>
      </c>
      <c r="BH327" s="107">
        <f t="shared" si="142"/>
        <v>46206</v>
      </c>
      <c r="BI327" s="23">
        <v>6</v>
      </c>
      <c r="BJ327" s="6"/>
      <c r="BK327" s="6"/>
      <c r="BL327" s="24">
        <f>VLOOKUP(A327,[2]Sheet1!$D$2:$H$933,5,0)</f>
        <v>0</v>
      </c>
      <c r="BM327" s="6" t="s">
        <v>3828</v>
      </c>
      <c r="BN327" s="6" t="s">
        <v>3829</v>
      </c>
      <c r="BO327" s="6" t="s">
        <v>3820</v>
      </c>
      <c r="BP327" s="6" t="s">
        <v>3821</v>
      </c>
      <c r="BQ327" s="6" t="s">
        <v>3830</v>
      </c>
      <c r="BR327" t="s">
        <v>3823</v>
      </c>
      <c r="BS327" t="s">
        <v>3824</v>
      </c>
      <c r="BT327" t="s">
        <v>3825</v>
      </c>
      <c r="BU327" t="s">
        <v>3826</v>
      </c>
      <c r="BV327" t="s">
        <v>3827</v>
      </c>
      <c r="BW327" t="s">
        <v>3835</v>
      </c>
      <c r="BX327">
        <v>0</v>
      </c>
      <c r="BY327" t="s">
        <v>3866</v>
      </c>
      <c r="BZ327" t="s">
        <v>3871</v>
      </c>
    </row>
    <row r="328" spans="1:78" x14ac:dyDescent="0.25">
      <c r="A328" s="7" t="s">
        <v>1398</v>
      </c>
      <c r="B328" s="7" t="s">
        <v>181</v>
      </c>
      <c r="C328" s="7" t="s">
        <v>1396</v>
      </c>
      <c r="D328" s="8" t="s">
        <v>1397</v>
      </c>
      <c r="E328" s="7" t="s">
        <v>1399</v>
      </c>
      <c r="F328" s="9">
        <v>45065</v>
      </c>
      <c r="G328" s="9" t="s">
        <v>363</v>
      </c>
      <c r="H328" s="9" t="s">
        <v>92</v>
      </c>
      <c r="I328" s="8" t="s">
        <v>78</v>
      </c>
      <c r="J328" s="10">
        <v>863.92</v>
      </c>
      <c r="K328" s="10">
        <v>830.12</v>
      </c>
      <c r="L328" s="10">
        <f t="shared" si="144"/>
        <v>-33.799999999999955</v>
      </c>
      <c r="M328" s="10">
        <v>390.73</v>
      </c>
      <c r="N328" s="10">
        <v>375.45</v>
      </c>
      <c r="O328" s="10">
        <f t="shared" si="145"/>
        <v>-15.28000000000003</v>
      </c>
      <c r="P328" s="11">
        <v>15450</v>
      </c>
      <c r="Q328" s="11">
        <v>34160.581475699328</v>
      </c>
      <c r="R328" s="11">
        <v>28000</v>
      </c>
      <c r="S328" s="11">
        <v>13347564</v>
      </c>
      <c r="T328" s="11">
        <v>1601706</v>
      </c>
      <c r="U328" s="12">
        <f t="shared" si="146"/>
        <v>0.11999987413433642</v>
      </c>
      <c r="V328" s="13">
        <f t="shared" si="169"/>
        <v>-522209.9999999993</v>
      </c>
      <c r="W328" s="10">
        <f t="shared" si="147"/>
        <v>-62665.134271691742</v>
      </c>
      <c r="X328" s="15"/>
      <c r="Y328" s="15"/>
      <c r="Z328" s="11">
        <f t="shared" si="148"/>
        <v>12825354</v>
      </c>
      <c r="AA328" s="14"/>
      <c r="AB328" s="14"/>
      <c r="AC328" s="11">
        <f t="shared" si="149"/>
        <v>12825354</v>
      </c>
      <c r="AD328" s="10">
        <f t="shared" si="150"/>
        <v>300</v>
      </c>
      <c r="AE328" s="15">
        <v>117219</v>
      </c>
      <c r="AF328" s="16">
        <v>21100</v>
      </c>
      <c r="AG328" s="15">
        <f t="shared" si="151"/>
        <v>-4584.0000000000091</v>
      </c>
      <c r="AH328" s="15">
        <f t="shared" si="152"/>
        <v>-825.1200000000016</v>
      </c>
      <c r="AI328" s="15">
        <f t="shared" si="153"/>
        <v>112635</v>
      </c>
      <c r="AJ328" s="15">
        <f t="shared" si="154"/>
        <v>20275</v>
      </c>
      <c r="AK328" s="10">
        <v>117219</v>
      </c>
      <c r="AL328" s="15">
        <f t="shared" si="155"/>
        <v>112635</v>
      </c>
      <c r="AM328" s="15">
        <f t="shared" si="156"/>
        <v>12937989</v>
      </c>
      <c r="AN328" s="15">
        <f t="shared" si="157"/>
        <v>1559316</v>
      </c>
      <c r="AO328" s="15">
        <f t="shared" si="162"/>
        <v>1673078</v>
      </c>
      <c r="AP328" s="17">
        <f t="shared" si="158"/>
        <v>14611067</v>
      </c>
      <c r="AQ328" s="15">
        <v>13371589</v>
      </c>
      <c r="AR328" s="15">
        <v>1127</v>
      </c>
      <c r="AS328" s="18">
        <f t="shared" si="163"/>
        <v>1239478</v>
      </c>
      <c r="AT328" s="19">
        <v>0</v>
      </c>
      <c r="AU328" s="8">
        <v>8800</v>
      </c>
      <c r="AV328" s="13">
        <f t="shared" si="164"/>
        <v>3303960</v>
      </c>
      <c r="AW328" s="18">
        <f t="shared" si="165"/>
        <v>12937989</v>
      </c>
      <c r="AX328" s="15">
        <f t="shared" si="159"/>
        <v>12938000</v>
      </c>
      <c r="AY328" s="20">
        <v>0.05</v>
      </c>
      <c r="AZ328" s="13">
        <f t="shared" si="160"/>
        <v>646900</v>
      </c>
      <c r="BA328" s="15">
        <f t="shared" si="161"/>
        <v>646900</v>
      </c>
      <c r="BB328" s="21">
        <f t="shared" si="166"/>
        <v>1886378</v>
      </c>
      <c r="BC328" s="10">
        <f t="shared" si="167"/>
        <v>-3.9123992962311278</v>
      </c>
      <c r="BD328" s="10">
        <f t="shared" si="168"/>
        <v>-3.9106288229723924</v>
      </c>
      <c r="BE328" s="10">
        <v>77.12</v>
      </c>
      <c r="BF328" s="10">
        <v>34.880000000000003</v>
      </c>
      <c r="BG328" s="107">
        <v>46176</v>
      </c>
      <c r="BH328" s="107">
        <f t="shared" si="142"/>
        <v>46206</v>
      </c>
      <c r="BI328" s="23">
        <v>5</v>
      </c>
      <c r="BJ328" s="6"/>
      <c r="BK328" s="6"/>
      <c r="BL328" s="24">
        <f>VLOOKUP(A328,[2]Sheet1!$D$2:$H$933,5,0)</f>
        <v>0</v>
      </c>
      <c r="BM328" s="6" t="s">
        <v>3828</v>
      </c>
      <c r="BN328" s="6" t="s">
        <v>3829</v>
      </c>
      <c r="BO328" s="6" t="s">
        <v>3820</v>
      </c>
      <c r="BP328" s="6" t="s">
        <v>3821</v>
      </c>
      <c r="BQ328" s="6" t="s">
        <v>3830</v>
      </c>
      <c r="BR328" t="s">
        <v>3823</v>
      </c>
      <c r="BS328" t="s">
        <v>3824</v>
      </c>
      <c r="BT328" t="s">
        <v>3825</v>
      </c>
      <c r="BU328" t="s">
        <v>3826</v>
      </c>
      <c r="BV328" t="s">
        <v>3827</v>
      </c>
      <c r="BW328" t="s">
        <v>3835</v>
      </c>
      <c r="BX328">
        <v>0</v>
      </c>
      <c r="BY328" t="s">
        <v>3864</v>
      </c>
      <c r="BZ328" t="s">
        <v>3860</v>
      </c>
    </row>
    <row r="329" spans="1:78" x14ac:dyDescent="0.25">
      <c r="A329" s="7" t="s">
        <v>1402</v>
      </c>
      <c r="B329" s="7" t="s">
        <v>181</v>
      </c>
      <c r="C329" s="7" t="s">
        <v>1400</v>
      </c>
      <c r="D329" s="8" t="s">
        <v>1401</v>
      </c>
      <c r="E329" s="7" t="s">
        <v>1403</v>
      </c>
      <c r="F329" s="9">
        <v>44896</v>
      </c>
      <c r="G329" s="9" t="s">
        <v>527</v>
      </c>
      <c r="H329" s="9" t="s">
        <v>72</v>
      </c>
      <c r="I329" s="8" t="s">
        <v>78</v>
      </c>
      <c r="J329" s="10">
        <v>652.29999999999995</v>
      </c>
      <c r="K329" s="10">
        <v>652.29999999999995</v>
      </c>
      <c r="L329" s="10">
        <f t="shared" si="144"/>
        <v>0</v>
      </c>
      <c r="M329" s="10">
        <v>293.86</v>
      </c>
      <c r="N329" s="10">
        <v>293.86</v>
      </c>
      <c r="O329" s="10">
        <f t="shared" si="145"/>
        <v>0</v>
      </c>
      <c r="P329" s="11">
        <v>10580</v>
      </c>
      <c r="Q329" s="11">
        <v>23485.108555094263</v>
      </c>
      <c r="R329" s="11">
        <v>20000</v>
      </c>
      <c r="S329" s="11">
        <v>6901334</v>
      </c>
      <c r="T329" s="11">
        <v>828160</v>
      </c>
      <c r="U329" s="12">
        <f t="shared" si="146"/>
        <v>0.11999998840803822</v>
      </c>
      <c r="V329" s="13">
        <f t="shared" si="169"/>
        <v>0</v>
      </c>
      <c r="W329" s="10">
        <f t="shared" si="147"/>
        <v>0</v>
      </c>
      <c r="X329" s="10"/>
      <c r="Y329" s="10"/>
      <c r="Z329" s="11">
        <f t="shared" si="148"/>
        <v>6901334</v>
      </c>
      <c r="AA329" s="14"/>
      <c r="AB329" s="14"/>
      <c r="AC329" s="11">
        <f t="shared" si="149"/>
        <v>6901334</v>
      </c>
      <c r="AD329" s="10">
        <f t="shared" si="150"/>
        <v>300</v>
      </c>
      <c r="AE329" s="15">
        <v>88158</v>
      </c>
      <c r="AF329" s="16">
        <v>15868</v>
      </c>
      <c r="AG329" s="15">
        <f t="shared" si="151"/>
        <v>0</v>
      </c>
      <c r="AH329" s="15">
        <f t="shared" si="152"/>
        <v>0</v>
      </c>
      <c r="AI329" s="15">
        <f t="shared" si="153"/>
        <v>88158</v>
      </c>
      <c r="AJ329" s="15">
        <f t="shared" si="154"/>
        <v>15869</v>
      </c>
      <c r="AK329" s="10">
        <v>88158</v>
      </c>
      <c r="AL329" s="15">
        <f t="shared" si="155"/>
        <v>88158</v>
      </c>
      <c r="AM329" s="15">
        <f t="shared" si="156"/>
        <v>6989492</v>
      </c>
      <c r="AN329" s="15">
        <f t="shared" si="157"/>
        <v>844029</v>
      </c>
      <c r="AO329" s="15">
        <f t="shared" si="162"/>
        <v>933264.24</v>
      </c>
      <c r="AP329" s="17">
        <f t="shared" si="158"/>
        <v>7922756.2400000002</v>
      </c>
      <c r="AQ329" s="15">
        <v>6894547</v>
      </c>
      <c r="AR329" s="15">
        <v>1077.24</v>
      </c>
      <c r="AS329" s="18">
        <f t="shared" si="163"/>
        <v>1028209</v>
      </c>
      <c r="AT329" s="19">
        <v>0</v>
      </c>
      <c r="AU329" s="8">
        <v>8800</v>
      </c>
      <c r="AV329" s="13">
        <f t="shared" si="164"/>
        <v>2585968</v>
      </c>
      <c r="AW329" s="18">
        <f t="shared" si="165"/>
        <v>6989492</v>
      </c>
      <c r="AX329" s="15">
        <f t="shared" si="159"/>
        <v>6990000</v>
      </c>
      <c r="AY329" s="20">
        <v>0.06</v>
      </c>
      <c r="AZ329" s="13">
        <f t="shared" si="160"/>
        <v>419400</v>
      </c>
      <c r="BA329" s="15">
        <f t="shared" si="161"/>
        <v>419400</v>
      </c>
      <c r="BB329" s="21">
        <f t="shared" si="166"/>
        <v>1447609</v>
      </c>
      <c r="BC329" s="10">
        <f t="shared" si="167"/>
        <v>0</v>
      </c>
      <c r="BD329" s="10">
        <f t="shared" si="168"/>
        <v>0</v>
      </c>
      <c r="BE329" s="10">
        <v>60.6</v>
      </c>
      <c r="BF329" s="10">
        <v>27.3</v>
      </c>
      <c r="BG329" s="107">
        <v>46176</v>
      </c>
      <c r="BH329" s="107">
        <f t="shared" si="142"/>
        <v>46206</v>
      </c>
      <c r="BI329" s="23">
        <v>6</v>
      </c>
      <c r="BJ329" s="6"/>
      <c r="BK329" s="6"/>
      <c r="BL329" s="24">
        <f>VLOOKUP(A329,[2]Sheet1!$D$2:$H$933,5,0)</f>
        <v>0</v>
      </c>
      <c r="BM329" s="6" t="s">
        <v>3828</v>
      </c>
      <c r="BN329" s="6" t="s">
        <v>3829</v>
      </c>
      <c r="BO329" s="6" t="s">
        <v>3820</v>
      </c>
      <c r="BP329" s="6" t="s">
        <v>3821</v>
      </c>
      <c r="BQ329" s="6" t="s">
        <v>3830</v>
      </c>
      <c r="BR329" t="s">
        <v>3823</v>
      </c>
      <c r="BS329" t="s">
        <v>3824</v>
      </c>
      <c r="BT329" t="s">
        <v>3825</v>
      </c>
      <c r="BU329" t="s">
        <v>3826</v>
      </c>
      <c r="BV329" t="s">
        <v>3827</v>
      </c>
      <c r="BW329" t="s">
        <v>3835</v>
      </c>
      <c r="BX329">
        <v>0</v>
      </c>
      <c r="BY329" t="s">
        <v>3867</v>
      </c>
      <c r="BZ329" t="s">
        <v>3871</v>
      </c>
    </row>
    <row r="330" spans="1:78" x14ac:dyDescent="0.25">
      <c r="A330" s="7" t="s">
        <v>1406</v>
      </c>
      <c r="B330" s="7" t="s">
        <v>181</v>
      </c>
      <c r="C330" s="7" t="s">
        <v>1404</v>
      </c>
      <c r="D330" s="8" t="s">
        <v>1405</v>
      </c>
      <c r="E330" s="7" t="s">
        <v>1407</v>
      </c>
      <c r="F330" s="9">
        <v>44945</v>
      </c>
      <c r="G330" s="9" t="s">
        <v>404</v>
      </c>
      <c r="H330" s="9" t="s">
        <v>1167</v>
      </c>
      <c r="I330" s="8" t="s">
        <v>635</v>
      </c>
      <c r="J330" s="10">
        <v>2084.13</v>
      </c>
      <c r="K330" s="10">
        <v>2084.13</v>
      </c>
      <c r="L330" s="10">
        <f t="shared" si="144"/>
        <v>0</v>
      </c>
      <c r="M330" s="10">
        <v>229.27</v>
      </c>
      <c r="N330" s="10">
        <v>229.27</v>
      </c>
      <c r="O330" s="10">
        <f t="shared" si="145"/>
        <v>0</v>
      </c>
      <c r="P330" s="11">
        <v>5433.9954801283984</v>
      </c>
      <c r="Q330" s="11">
        <v>49396.576089326991</v>
      </c>
      <c r="R330" s="11">
        <v>20000</v>
      </c>
      <c r="S330" s="11">
        <v>11325153</v>
      </c>
      <c r="T330" s="11">
        <v>1359018</v>
      </c>
      <c r="U330" s="12">
        <f t="shared" si="146"/>
        <v>0.11999996821234998</v>
      </c>
      <c r="V330" s="13">
        <f t="shared" si="169"/>
        <v>0</v>
      </c>
      <c r="W330" s="10">
        <f t="shared" si="147"/>
        <v>0</v>
      </c>
      <c r="X330" s="10"/>
      <c r="Y330" s="10"/>
      <c r="Z330" s="11">
        <f t="shared" si="148"/>
        <v>11325153</v>
      </c>
      <c r="AA330" s="14">
        <v>3963803</v>
      </c>
      <c r="AB330" s="14">
        <v>475656</v>
      </c>
      <c r="AC330" s="11">
        <f t="shared" si="149"/>
        <v>7361350</v>
      </c>
      <c r="AD330" s="10">
        <f t="shared" si="150"/>
        <v>300</v>
      </c>
      <c r="AE330" s="15">
        <v>68781</v>
      </c>
      <c r="AF330" s="16">
        <v>12380</v>
      </c>
      <c r="AG330" s="15">
        <f t="shared" si="151"/>
        <v>0</v>
      </c>
      <c r="AH330" s="15">
        <f t="shared" si="152"/>
        <v>0</v>
      </c>
      <c r="AI330" s="15">
        <f t="shared" si="153"/>
        <v>68781</v>
      </c>
      <c r="AJ330" s="15">
        <f t="shared" si="154"/>
        <v>12381</v>
      </c>
      <c r="AK330" s="10">
        <v>68781</v>
      </c>
      <c r="AL330" s="15">
        <f t="shared" si="155"/>
        <v>68781</v>
      </c>
      <c r="AM330" s="15">
        <f t="shared" si="156"/>
        <v>7430131</v>
      </c>
      <c r="AN330" s="15">
        <f t="shared" si="157"/>
        <v>895743</v>
      </c>
      <c r="AO330" s="15">
        <f t="shared" si="162"/>
        <v>965846</v>
      </c>
      <c r="AP330" s="17">
        <f t="shared" si="158"/>
        <v>8395977</v>
      </c>
      <c r="AQ330" s="15">
        <v>6789429</v>
      </c>
      <c r="AR330" s="15">
        <v>1322</v>
      </c>
      <c r="AS330" s="18">
        <f t="shared" si="163"/>
        <v>1606548</v>
      </c>
      <c r="AT330" s="19">
        <v>0</v>
      </c>
      <c r="AU330" s="8">
        <v>8800</v>
      </c>
      <c r="AV330" s="13">
        <f t="shared" si="164"/>
        <v>2017576</v>
      </c>
      <c r="AW330" s="18">
        <f t="shared" si="165"/>
        <v>7430131</v>
      </c>
      <c r="AX330" s="15">
        <f t="shared" si="159"/>
        <v>7431000</v>
      </c>
      <c r="AY330" s="20">
        <v>0.05</v>
      </c>
      <c r="AZ330" s="13">
        <f t="shared" si="160"/>
        <v>371550</v>
      </c>
      <c r="BA330" s="15">
        <f t="shared" si="161"/>
        <v>371600</v>
      </c>
      <c r="BB330" s="21">
        <f t="shared" si="166"/>
        <v>1978148</v>
      </c>
      <c r="BC330" s="10">
        <f t="shared" si="167"/>
        <v>0</v>
      </c>
      <c r="BD330" s="10">
        <f t="shared" si="168"/>
        <v>0</v>
      </c>
      <c r="BE330" s="10">
        <v>193.62</v>
      </c>
      <c r="BF330" s="10">
        <v>21.3</v>
      </c>
      <c r="BG330" s="107">
        <v>46176</v>
      </c>
      <c r="BH330" s="107">
        <f t="shared" si="142"/>
        <v>46206</v>
      </c>
      <c r="BI330" s="23">
        <v>5</v>
      </c>
      <c r="BJ330" s="6"/>
      <c r="BK330" s="6"/>
      <c r="BL330" s="24">
        <f>VLOOKUP(A330,[2]Sheet1!$D$2:$H$933,5,0)</f>
        <v>0</v>
      </c>
      <c r="BM330" s="6" t="s">
        <v>3828</v>
      </c>
      <c r="BN330" s="6" t="s">
        <v>3829</v>
      </c>
      <c r="BO330" s="6" t="s">
        <v>3820</v>
      </c>
      <c r="BP330" s="6" t="s">
        <v>3821</v>
      </c>
      <c r="BQ330" s="6" t="s">
        <v>3830</v>
      </c>
      <c r="BR330" t="s">
        <v>3823</v>
      </c>
      <c r="BS330" t="s">
        <v>3824</v>
      </c>
      <c r="BT330" t="s">
        <v>3825</v>
      </c>
      <c r="BU330" t="s">
        <v>3826</v>
      </c>
      <c r="BV330" t="s">
        <v>3827</v>
      </c>
      <c r="BW330" t="s">
        <v>3835</v>
      </c>
      <c r="BX330">
        <v>0</v>
      </c>
      <c r="BY330" t="s">
        <v>3869</v>
      </c>
      <c r="BZ330" t="s">
        <v>3863</v>
      </c>
    </row>
    <row r="331" spans="1:78" x14ac:dyDescent="0.25">
      <c r="A331" s="7" t="s">
        <v>1410</v>
      </c>
      <c r="B331" s="7" t="s">
        <v>181</v>
      </c>
      <c r="C331" s="7" t="s">
        <v>1408</v>
      </c>
      <c r="D331" s="8" t="s">
        <v>1409</v>
      </c>
      <c r="E331" s="7" t="s">
        <v>1411</v>
      </c>
      <c r="F331" s="9">
        <v>45010</v>
      </c>
      <c r="G331" s="9" t="s">
        <v>527</v>
      </c>
      <c r="H331" s="9" t="s">
        <v>92</v>
      </c>
      <c r="I331" s="8" t="s">
        <v>67</v>
      </c>
      <c r="J331" s="10">
        <v>412.62</v>
      </c>
      <c r="K331" s="10">
        <v>412.62</v>
      </c>
      <c r="L331" s="10">
        <f t="shared" si="144"/>
        <v>0</v>
      </c>
      <c r="M331" s="10">
        <v>166.84</v>
      </c>
      <c r="N331" s="10">
        <v>166.84</v>
      </c>
      <c r="O331" s="10">
        <f t="shared" si="145"/>
        <v>0</v>
      </c>
      <c r="P331" s="11">
        <v>11158.000096941496</v>
      </c>
      <c r="Q331" s="11">
        <v>27595.384799808198</v>
      </c>
      <c r="R331" s="11">
        <v>28000</v>
      </c>
      <c r="S331" s="11">
        <v>4604014</v>
      </c>
      <c r="T331" s="11">
        <v>552484</v>
      </c>
      <c r="U331" s="12">
        <f t="shared" si="146"/>
        <v>0.12000050390811148</v>
      </c>
      <c r="V331" s="13">
        <f t="shared" si="169"/>
        <v>0</v>
      </c>
      <c r="W331" s="10">
        <f t="shared" si="147"/>
        <v>0</v>
      </c>
      <c r="X331" s="10"/>
      <c r="Y331" s="10"/>
      <c r="Z331" s="11">
        <f t="shared" si="148"/>
        <v>4604014</v>
      </c>
      <c r="AA331" s="14"/>
      <c r="AB331" s="14"/>
      <c r="AC331" s="11">
        <f t="shared" si="149"/>
        <v>4604014</v>
      </c>
      <c r="AD331" s="10">
        <f t="shared" si="150"/>
        <v>300</v>
      </c>
      <c r="AE331" s="15">
        <v>50052</v>
      </c>
      <c r="AF331" s="16">
        <v>9010</v>
      </c>
      <c r="AG331" s="15">
        <f t="shared" si="151"/>
        <v>0</v>
      </c>
      <c r="AH331" s="15">
        <f t="shared" si="152"/>
        <v>0</v>
      </c>
      <c r="AI331" s="15">
        <f t="shared" si="153"/>
        <v>50052</v>
      </c>
      <c r="AJ331" s="15">
        <f t="shared" si="154"/>
        <v>9010</v>
      </c>
      <c r="AK331" s="10">
        <v>50052</v>
      </c>
      <c r="AL331" s="15">
        <f t="shared" si="155"/>
        <v>50052</v>
      </c>
      <c r="AM331" s="15">
        <f t="shared" si="156"/>
        <v>4654066</v>
      </c>
      <c r="AN331" s="15">
        <f t="shared" si="157"/>
        <v>561494</v>
      </c>
      <c r="AO331" s="15">
        <f t="shared" si="162"/>
        <v>612659</v>
      </c>
      <c r="AP331" s="17">
        <f t="shared" si="158"/>
        <v>5266725</v>
      </c>
      <c r="AQ331" s="15">
        <v>4589281</v>
      </c>
      <c r="AR331" s="15">
        <v>1113</v>
      </c>
      <c r="AS331" s="18">
        <f t="shared" si="163"/>
        <v>677444</v>
      </c>
      <c r="AT331" s="19">
        <v>0</v>
      </c>
      <c r="AU331" s="8">
        <v>8800</v>
      </c>
      <c r="AV331" s="13">
        <f t="shared" si="164"/>
        <v>1468192</v>
      </c>
      <c r="AW331" s="18">
        <f t="shared" si="165"/>
        <v>4654066</v>
      </c>
      <c r="AX331" s="15">
        <f t="shared" si="159"/>
        <v>4655000</v>
      </c>
      <c r="AY331" s="20">
        <v>7.0000000000000007E-2</v>
      </c>
      <c r="AZ331" s="13">
        <f t="shared" si="160"/>
        <v>325850.00000000006</v>
      </c>
      <c r="BA331" s="15">
        <f t="shared" si="161"/>
        <v>325900</v>
      </c>
      <c r="BB331" s="21">
        <f t="shared" si="166"/>
        <v>1003344</v>
      </c>
      <c r="BC331" s="10">
        <f t="shared" si="167"/>
        <v>0</v>
      </c>
      <c r="BD331" s="10">
        <f t="shared" si="168"/>
        <v>0</v>
      </c>
      <c r="BE331" s="10">
        <v>38.33</v>
      </c>
      <c r="BF331" s="10">
        <v>15.5</v>
      </c>
      <c r="BG331" s="107">
        <v>46176</v>
      </c>
      <c r="BH331" s="107">
        <f t="shared" si="142"/>
        <v>46206</v>
      </c>
      <c r="BI331" s="23">
        <v>7</v>
      </c>
      <c r="BJ331" s="6"/>
      <c r="BK331" s="6"/>
      <c r="BL331" s="6">
        <f>VLOOKUP(A331,[2]Sheet1!$D$2:$H$933,5,0)</f>
        <v>0</v>
      </c>
      <c r="BM331" s="6" t="s">
        <v>3828</v>
      </c>
      <c r="BN331" s="6" t="s">
        <v>3829</v>
      </c>
      <c r="BO331" s="6" t="s">
        <v>3820</v>
      </c>
      <c r="BP331" s="6" t="s">
        <v>3821</v>
      </c>
      <c r="BQ331" s="6" t="s">
        <v>3830</v>
      </c>
      <c r="BR331" t="s">
        <v>3823</v>
      </c>
      <c r="BS331" t="s">
        <v>3824</v>
      </c>
      <c r="BT331" t="s">
        <v>3825</v>
      </c>
      <c r="BU331" t="s">
        <v>3826</v>
      </c>
      <c r="BV331" t="s">
        <v>3827</v>
      </c>
      <c r="BW331" t="s">
        <v>3835</v>
      </c>
      <c r="BX331">
        <v>0</v>
      </c>
      <c r="BY331" t="s">
        <v>3859</v>
      </c>
      <c r="BZ331" t="s">
        <v>3871</v>
      </c>
    </row>
    <row r="332" spans="1:78" x14ac:dyDescent="0.25">
      <c r="A332" s="7" t="s">
        <v>1414</v>
      </c>
      <c r="B332" s="7" t="s">
        <v>181</v>
      </c>
      <c r="C332" s="7" t="s">
        <v>1412</v>
      </c>
      <c r="D332" s="8" t="s">
        <v>1413</v>
      </c>
      <c r="E332" s="7" t="s">
        <v>1415</v>
      </c>
      <c r="F332" s="9">
        <v>44862</v>
      </c>
      <c r="G332" s="9" t="s">
        <v>404</v>
      </c>
      <c r="H332" s="9" t="s">
        <v>72</v>
      </c>
      <c r="I332" s="8" t="s">
        <v>78</v>
      </c>
      <c r="J332" s="10">
        <v>556.5</v>
      </c>
      <c r="K332" s="10">
        <v>556.5</v>
      </c>
      <c r="L332" s="10">
        <f t="shared" si="144"/>
        <v>0</v>
      </c>
      <c r="M332" s="10">
        <v>257.26</v>
      </c>
      <c r="N332" s="10">
        <v>257.26</v>
      </c>
      <c r="O332" s="10">
        <f t="shared" si="145"/>
        <v>0</v>
      </c>
      <c r="P332" s="11">
        <v>12665.619047619048</v>
      </c>
      <c r="Q332" s="11">
        <v>27398.029231128043</v>
      </c>
      <c r="R332" s="11">
        <v>20000</v>
      </c>
      <c r="S332" s="11">
        <v>7048417</v>
      </c>
      <c r="T332" s="11">
        <v>845810</v>
      </c>
      <c r="U332" s="12">
        <f t="shared" si="146"/>
        <v>0.11999999432496687</v>
      </c>
      <c r="V332" s="13">
        <f t="shared" si="169"/>
        <v>0</v>
      </c>
      <c r="W332" s="10">
        <f t="shared" si="147"/>
        <v>0</v>
      </c>
      <c r="X332" s="10"/>
      <c r="Y332" s="10"/>
      <c r="Z332" s="11">
        <f t="shared" si="148"/>
        <v>7048417</v>
      </c>
      <c r="AA332" s="14">
        <v>881065</v>
      </c>
      <c r="AB332" s="14">
        <v>105728</v>
      </c>
      <c r="AC332" s="11">
        <f t="shared" si="149"/>
        <v>6167352</v>
      </c>
      <c r="AD332" s="10">
        <f t="shared" si="150"/>
        <v>300</v>
      </c>
      <c r="AE332" s="15">
        <v>77178</v>
      </c>
      <c r="AF332" s="16">
        <v>13892</v>
      </c>
      <c r="AG332" s="15">
        <f t="shared" si="151"/>
        <v>0</v>
      </c>
      <c r="AH332" s="15">
        <f t="shared" si="152"/>
        <v>0</v>
      </c>
      <c r="AI332" s="15">
        <f t="shared" si="153"/>
        <v>77178</v>
      </c>
      <c r="AJ332" s="15">
        <f t="shared" si="154"/>
        <v>13893</v>
      </c>
      <c r="AK332" s="10">
        <v>77178</v>
      </c>
      <c r="AL332" s="15">
        <f t="shared" si="155"/>
        <v>77178</v>
      </c>
      <c r="AM332" s="15">
        <f t="shared" si="156"/>
        <v>6244530</v>
      </c>
      <c r="AN332" s="15">
        <f t="shared" si="157"/>
        <v>753975</v>
      </c>
      <c r="AO332" s="15">
        <f t="shared" si="162"/>
        <v>832261</v>
      </c>
      <c r="AP332" s="17">
        <f t="shared" si="158"/>
        <v>7076791</v>
      </c>
      <c r="AQ332" s="15">
        <v>5940823</v>
      </c>
      <c r="AR332" s="15">
        <v>1108</v>
      </c>
      <c r="AS332" s="18">
        <f t="shared" si="163"/>
        <v>1135968</v>
      </c>
      <c r="AT332" s="19">
        <v>0</v>
      </c>
      <c r="AU332" s="8">
        <v>8800</v>
      </c>
      <c r="AV332" s="13">
        <f t="shared" si="164"/>
        <v>2263888</v>
      </c>
      <c r="AW332" s="18">
        <f t="shared" si="165"/>
        <v>6244530</v>
      </c>
      <c r="AX332" s="15">
        <f t="shared" si="159"/>
        <v>6245000</v>
      </c>
      <c r="AY332" s="20">
        <v>0.05</v>
      </c>
      <c r="AZ332" s="13">
        <f t="shared" si="160"/>
        <v>312250</v>
      </c>
      <c r="BA332" s="15">
        <f t="shared" si="161"/>
        <v>312300</v>
      </c>
      <c r="BB332" s="21">
        <f t="shared" si="166"/>
        <v>1448268</v>
      </c>
      <c r="BC332" s="10">
        <f t="shared" si="167"/>
        <v>0</v>
      </c>
      <c r="BD332" s="10">
        <f t="shared" si="168"/>
        <v>0</v>
      </c>
      <c r="BE332" s="10">
        <v>51.7</v>
      </c>
      <c r="BF332" s="10">
        <v>23.9</v>
      </c>
      <c r="BG332" s="107">
        <v>46176</v>
      </c>
      <c r="BH332" s="107">
        <f t="shared" si="142"/>
        <v>46206</v>
      </c>
      <c r="BI332" s="23">
        <v>5</v>
      </c>
      <c r="BJ332" s="6"/>
      <c r="BK332" s="6"/>
      <c r="BL332" s="6">
        <f>VLOOKUP(A332,[2]Sheet1!$D$2:$H$933,5,0)</f>
        <v>0</v>
      </c>
      <c r="BM332" s="6" t="s">
        <v>3828</v>
      </c>
      <c r="BN332" s="6" t="s">
        <v>3829</v>
      </c>
      <c r="BO332" s="6" t="s">
        <v>3820</v>
      </c>
      <c r="BP332" s="6" t="s">
        <v>3821</v>
      </c>
      <c r="BQ332" s="6" t="s">
        <v>3830</v>
      </c>
      <c r="BR332" t="s">
        <v>3823</v>
      </c>
      <c r="BS332" t="s">
        <v>3824</v>
      </c>
      <c r="BT332" t="s">
        <v>3825</v>
      </c>
      <c r="BU332" t="s">
        <v>3826</v>
      </c>
      <c r="BV332" t="s">
        <v>3827</v>
      </c>
      <c r="BW332" t="s">
        <v>3835</v>
      </c>
      <c r="BX332">
        <v>0</v>
      </c>
      <c r="BY332" t="s">
        <v>3861</v>
      </c>
      <c r="BZ332" t="s">
        <v>3863</v>
      </c>
    </row>
    <row r="333" spans="1:78" x14ac:dyDescent="0.25">
      <c r="A333" s="7" t="s">
        <v>1418</v>
      </c>
      <c r="B333" s="7" t="s">
        <v>181</v>
      </c>
      <c r="C333" s="7" t="s">
        <v>1416</v>
      </c>
      <c r="D333" s="8" t="s">
        <v>1417</v>
      </c>
      <c r="E333" s="7" t="s">
        <v>869</v>
      </c>
      <c r="F333" s="9">
        <v>44888</v>
      </c>
      <c r="G333" s="9" t="s">
        <v>527</v>
      </c>
      <c r="H333" s="9" t="s">
        <v>72</v>
      </c>
      <c r="I333" s="8" t="s">
        <v>78</v>
      </c>
      <c r="J333" s="10">
        <v>556.5</v>
      </c>
      <c r="K333" s="10">
        <v>556.5</v>
      </c>
      <c r="L333" s="10">
        <f t="shared" si="144"/>
        <v>0</v>
      </c>
      <c r="M333" s="10">
        <v>257.26</v>
      </c>
      <c r="N333" s="10">
        <v>257.26</v>
      </c>
      <c r="O333" s="10">
        <f t="shared" si="145"/>
        <v>0</v>
      </c>
      <c r="P333" s="11">
        <v>13301.998203054807</v>
      </c>
      <c r="Q333" s="11">
        <v>28774.632667340436</v>
      </c>
      <c r="R333" s="11">
        <v>20000</v>
      </c>
      <c r="S333" s="11">
        <v>7402562</v>
      </c>
      <c r="T333" s="11">
        <v>888308</v>
      </c>
      <c r="U333" s="12">
        <f t="shared" si="146"/>
        <v>0.1200000756494846</v>
      </c>
      <c r="V333" s="13">
        <f t="shared" si="169"/>
        <v>0</v>
      </c>
      <c r="W333" s="10">
        <f t="shared" si="147"/>
        <v>0</v>
      </c>
      <c r="X333" s="10"/>
      <c r="Y333" s="10"/>
      <c r="Z333" s="11">
        <f t="shared" si="148"/>
        <v>7402562</v>
      </c>
      <c r="AA333" s="14">
        <v>1482980</v>
      </c>
      <c r="AB333" s="14">
        <v>177958</v>
      </c>
      <c r="AC333" s="11">
        <f t="shared" si="149"/>
        <v>5919582</v>
      </c>
      <c r="AD333" s="10">
        <f t="shared" si="150"/>
        <v>300</v>
      </c>
      <c r="AE333" s="15">
        <v>77178</v>
      </c>
      <c r="AF333" s="16">
        <v>13892</v>
      </c>
      <c r="AG333" s="15">
        <f t="shared" si="151"/>
        <v>0</v>
      </c>
      <c r="AH333" s="15">
        <f t="shared" si="152"/>
        <v>0</v>
      </c>
      <c r="AI333" s="15">
        <f t="shared" si="153"/>
        <v>77178</v>
      </c>
      <c r="AJ333" s="15">
        <f t="shared" si="154"/>
        <v>13893</v>
      </c>
      <c r="AK333" s="10">
        <v>77178</v>
      </c>
      <c r="AL333" s="15">
        <f t="shared" si="155"/>
        <v>77178</v>
      </c>
      <c r="AM333" s="15">
        <f t="shared" si="156"/>
        <v>5996760</v>
      </c>
      <c r="AN333" s="15">
        <f t="shared" si="157"/>
        <v>724243</v>
      </c>
      <c r="AO333" s="15">
        <f t="shared" si="162"/>
        <v>802471</v>
      </c>
      <c r="AP333" s="17">
        <f t="shared" si="158"/>
        <v>6799231</v>
      </c>
      <c r="AQ333" s="15">
        <v>5800846</v>
      </c>
      <c r="AR333" s="15">
        <v>1050</v>
      </c>
      <c r="AS333" s="18">
        <f t="shared" si="163"/>
        <v>998385</v>
      </c>
      <c r="AT333" s="19">
        <v>0</v>
      </c>
      <c r="AU333" s="8">
        <v>8800</v>
      </c>
      <c r="AV333" s="13">
        <f t="shared" si="164"/>
        <v>2263888</v>
      </c>
      <c r="AW333" s="18">
        <f t="shared" si="165"/>
        <v>5996760</v>
      </c>
      <c r="AX333" s="15">
        <f t="shared" si="159"/>
        <v>5997000</v>
      </c>
      <c r="AY333" s="20">
        <v>7.0000000000000007E-2</v>
      </c>
      <c r="AZ333" s="13">
        <f t="shared" si="160"/>
        <v>419790.00000000006</v>
      </c>
      <c r="BA333" s="15">
        <f t="shared" si="161"/>
        <v>419800</v>
      </c>
      <c r="BB333" s="21">
        <f t="shared" si="166"/>
        <v>1418185</v>
      </c>
      <c r="BC333" s="10">
        <f t="shared" si="167"/>
        <v>0</v>
      </c>
      <c r="BD333" s="10">
        <f t="shared" si="168"/>
        <v>0</v>
      </c>
      <c r="BE333" s="10">
        <v>51.7</v>
      </c>
      <c r="BF333" s="10">
        <v>23.9</v>
      </c>
      <c r="BG333" s="107">
        <v>46176</v>
      </c>
      <c r="BH333" s="107">
        <f t="shared" si="142"/>
        <v>46206</v>
      </c>
      <c r="BI333" s="23">
        <v>7</v>
      </c>
      <c r="BJ333" s="6"/>
      <c r="BK333" s="6"/>
      <c r="BL333" s="24">
        <f>VLOOKUP(A333,[2]Sheet1!$D$2:$H$933,5,0)</f>
        <v>0</v>
      </c>
      <c r="BM333" s="6" t="s">
        <v>3828</v>
      </c>
      <c r="BN333" s="6" t="s">
        <v>3829</v>
      </c>
      <c r="BO333" s="6" t="s">
        <v>3820</v>
      </c>
      <c r="BP333" s="6" t="s">
        <v>3821</v>
      </c>
      <c r="BQ333" s="6" t="s">
        <v>3830</v>
      </c>
      <c r="BR333" t="s">
        <v>3823</v>
      </c>
      <c r="BS333" t="s">
        <v>3824</v>
      </c>
      <c r="BT333" t="s">
        <v>3825</v>
      </c>
      <c r="BU333" t="s">
        <v>3826</v>
      </c>
      <c r="BV333" t="s">
        <v>3827</v>
      </c>
      <c r="BW333" t="s">
        <v>3835</v>
      </c>
      <c r="BX333" s="101">
        <v>667800</v>
      </c>
      <c r="BY333" t="s">
        <v>3862</v>
      </c>
      <c r="BZ333" t="s">
        <v>3871</v>
      </c>
    </row>
    <row r="334" spans="1:78" x14ac:dyDescent="0.25">
      <c r="A334" s="7" t="s">
        <v>1421</v>
      </c>
      <c r="B334" s="7" t="s">
        <v>181</v>
      </c>
      <c r="C334" s="7" t="s">
        <v>1419</v>
      </c>
      <c r="D334" s="8" t="s">
        <v>1420</v>
      </c>
      <c r="E334" s="7" t="s">
        <v>555</v>
      </c>
      <c r="F334" s="9">
        <v>44998</v>
      </c>
      <c r="G334" s="9" t="s">
        <v>527</v>
      </c>
      <c r="H334" s="9" t="s">
        <v>87</v>
      </c>
      <c r="I334" s="8" t="s">
        <v>67</v>
      </c>
      <c r="J334" s="10">
        <v>281.06</v>
      </c>
      <c r="K334" s="10">
        <v>281.06</v>
      </c>
      <c r="L334" s="10">
        <f t="shared" si="144"/>
        <v>0</v>
      </c>
      <c r="M334" s="10">
        <v>114.1</v>
      </c>
      <c r="N334" s="10">
        <v>114.1</v>
      </c>
      <c r="O334" s="10">
        <f t="shared" si="145"/>
        <v>0</v>
      </c>
      <c r="P334" s="11">
        <v>28313.538034583362</v>
      </c>
      <c r="Q334" s="11">
        <v>69744.110429447857</v>
      </c>
      <c r="R334" s="11">
        <v>40000</v>
      </c>
      <c r="S334" s="11">
        <v>7957803</v>
      </c>
      <c r="T334" s="11">
        <v>954938</v>
      </c>
      <c r="U334" s="12">
        <f t="shared" si="146"/>
        <v>0.12000020608703181</v>
      </c>
      <c r="V334" s="13">
        <f t="shared" si="169"/>
        <v>0</v>
      </c>
      <c r="W334" s="10">
        <f t="shared" si="147"/>
        <v>0</v>
      </c>
      <c r="X334" s="10"/>
      <c r="Y334" s="10"/>
      <c r="Z334" s="11">
        <f t="shared" si="148"/>
        <v>7957803</v>
      </c>
      <c r="AA334" s="14"/>
      <c r="AB334" s="14"/>
      <c r="AC334" s="11">
        <f t="shared" si="149"/>
        <v>7957803</v>
      </c>
      <c r="AD334" s="10">
        <f t="shared" si="150"/>
        <v>300</v>
      </c>
      <c r="AE334" s="15">
        <v>34230</v>
      </c>
      <c r="AF334" s="16">
        <v>6162</v>
      </c>
      <c r="AG334" s="15">
        <f t="shared" si="151"/>
        <v>0</v>
      </c>
      <c r="AH334" s="15">
        <f t="shared" si="152"/>
        <v>0</v>
      </c>
      <c r="AI334" s="15">
        <f t="shared" si="153"/>
        <v>34230</v>
      </c>
      <c r="AJ334" s="15">
        <f t="shared" si="154"/>
        <v>6162</v>
      </c>
      <c r="AK334" s="10">
        <v>34230</v>
      </c>
      <c r="AL334" s="15">
        <f t="shared" si="155"/>
        <v>34230</v>
      </c>
      <c r="AM334" s="15">
        <f t="shared" si="156"/>
        <v>7992033</v>
      </c>
      <c r="AN334" s="15">
        <f t="shared" si="157"/>
        <v>961100</v>
      </c>
      <c r="AO334" s="15">
        <f t="shared" si="162"/>
        <v>996522.08</v>
      </c>
      <c r="AP334" s="17">
        <f t="shared" si="158"/>
        <v>8988555.0800000001</v>
      </c>
      <c r="AQ334" s="15">
        <v>7771064</v>
      </c>
      <c r="AR334" s="15">
        <v>1192.08</v>
      </c>
      <c r="AS334" s="18">
        <f t="shared" si="163"/>
        <v>1217491</v>
      </c>
      <c r="AT334" s="19">
        <v>0</v>
      </c>
      <c r="AU334" s="8">
        <v>8800</v>
      </c>
      <c r="AV334" s="13">
        <f t="shared" si="164"/>
        <v>1004080</v>
      </c>
      <c r="AW334" s="18">
        <f t="shared" si="165"/>
        <v>7992033</v>
      </c>
      <c r="AX334" s="15">
        <f t="shared" si="159"/>
        <v>7993000</v>
      </c>
      <c r="AY334" s="20">
        <v>0.05</v>
      </c>
      <c r="AZ334" s="13">
        <f t="shared" si="160"/>
        <v>399650</v>
      </c>
      <c r="BA334" s="15">
        <f t="shared" si="161"/>
        <v>399700</v>
      </c>
      <c r="BB334" s="21">
        <f t="shared" si="166"/>
        <v>1617191</v>
      </c>
      <c r="BC334" s="10">
        <f t="shared" si="167"/>
        <v>0</v>
      </c>
      <c r="BD334" s="10">
        <f t="shared" si="168"/>
        <v>0</v>
      </c>
      <c r="BE334" s="10">
        <v>26.11</v>
      </c>
      <c r="BF334" s="10">
        <v>10.6</v>
      </c>
      <c r="BG334" s="107">
        <v>46176</v>
      </c>
      <c r="BH334" s="107">
        <f t="shared" si="142"/>
        <v>46206</v>
      </c>
      <c r="BI334" s="23">
        <v>5</v>
      </c>
      <c r="BJ334" s="6"/>
      <c r="BK334" s="6"/>
      <c r="BL334" s="24">
        <f>VLOOKUP(A334,[2]Sheet1!$D$2:$H$933,5,0)</f>
        <v>0</v>
      </c>
      <c r="BM334" s="6" t="s">
        <v>3828</v>
      </c>
      <c r="BN334" s="6" t="s">
        <v>3829</v>
      </c>
      <c r="BO334" s="6" t="s">
        <v>3820</v>
      </c>
      <c r="BP334" s="6" t="s">
        <v>3821</v>
      </c>
      <c r="BQ334" s="6" t="s">
        <v>3830</v>
      </c>
      <c r="BR334" t="s">
        <v>3823</v>
      </c>
      <c r="BS334" t="s">
        <v>3824</v>
      </c>
      <c r="BT334" t="s">
        <v>3825</v>
      </c>
      <c r="BU334" t="s">
        <v>3826</v>
      </c>
      <c r="BV334" t="s">
        <v>3827</v>
      </c>
      <c r="BW334" t="s">
        <v>3835</v>
      </c>
      <c r="BX334">
        <v>0</v>
      </c>
      <c r="BY334" t="s">
        <v>3861</v>
      </c>
      <c r="BZ334" t="s">
        <v>3871</v>
      </c>
    </row>
    <row r="335" spans="1:78" x14ac:dyDescent="0.25">
      <c r="A335" s="7" t="s">
        <v>1424</v>
      </c>
      <c r="B335" s="7" t="s">
        <v>181</v>
      </c>
      <c r="C335" s="7" t="s">
        <v>1422</v>
      </c>
      <c r="D335" s="8" t="s">
        <v>1423</v>
      </c>
      <c r="E335" s="7" t="s">
        <v>1425</v>
      </c>
      <c r="F335" s="9">
        <v>44936</v>
      </c>
      <c r="G335" s="9" t="s">
        <v>527</v>
      </c>
      <c r="H335" s="9" t="s">
        <v>190</v>
      </c>
      <c r="I335" s="8" t="s">
        <v>78</v>
      </c>
      <c r="J335" s="10">
        <v>1330.43</v>
      </c>
      <c r="K335" s="10">
        <v>1330.43</v>
      </c>
      <c r="L335" s="10">
        <f t="shared" si="144"/>
        <v>0</v>
      </c>
      <c r="M335" s="10">
        <v>627.54</v>
      </c>
      <c r="N335" s="10">
        <v>627.54</v>
      </c>
      <c r="O335" s="10">
        <f t="shared" si="145"/>
        <v>0</v>
      </c>
      <c r="P335" s="11">
        <v>31650.000375818341</v>
      </c>
      <c r="Q335" s="11">
        <v>67100.280460209717</v>
      </c>
      <c r="R335" s="11">
        <v>60000</v>
      </c>
      <c r="S335" s="11">
        <v>42108110</v>
      </c>
      <c r="T335" s="11">
        <v>5052976</v>
      </c>
      <c r="U335" s="12">
        <f t="shared" si="146"/>
        <v>0.12000006649550407</v>
      </c>
      <c r="V335" s="13">
        <f t="shared" si="169"/>
        <v>0</v>
      </c>
      <c r="W335" s="10">
        <f t="shared" si="147"/>
        <v>0</v>
      </c>
      <c r="X335" s="10"/>
      <c r="Y335" s="10"/>
      <c r="Z335" s="11">
        <f t="shared" si="148"/>
        <v>42108110</v>
      </c>
      <c r="AA335" s="14"/>
      <c r="AB335" s="14"/>
      <c r="AC335" s="11">
        <f t="shared" si="149"/>
        <v>42108110</v>
      </c>
      <c r="AD335" s="10">
        <f t="shared" si="150"/>
        <v>300</v>
      </c>
      <c r="AE335" s="15">
        <v>188262</v>
      </c>
      <c r="AF335" s="16">
        <v>33888</v>
      </c>
      <c r="AG335" s="15">
        <f t="shared" si="151"/>
        <v>0</v>
      </c>
      <c r="AH335" s="15">
        <f t="shared" si="152"/>
        <v>0</v>
      </c>
      <c r="AI335" s="15">
        <f t="shared" si="153"/>
        <v>188262</v>
      </c>
      <c r="AJ335" s="15">
        <f t="shared" si="154"/>
        <v>33888</v>
      </c>
      <c r="AK335" s="10">
        <v>188262</v>
      </c>
      <c r="AL335" s="15">
        <f t="shared" si="155"/>
        <v>188262</v>
      </c>
      <c r="AM335" s="15">
        <f t="shared" si="156"/>
        <v>42296372</v>
      </c>
      <c r="AN335" s="15">
        <f t="shared" si="157"/>
        <v>5086864</v>
      </c>
      <c r="AO335" s="15">
        <f t="shared" si="162"/>
        <v>5276282</v>
      </c>
      <c r="AP335" s="17">
        <f t="shared" si="158"/>
        <v>47572654</v>
      </c>
      <c r="AQ335" s="15">
        <v>42402868.880000003</v>
      </c>
      <c r="AR335" s="15">
        <v>1156</v>
      </c>
      <c r="AS335" s="18">
        <f t="shared" si="163"/>
        <v>5169785</v>
      </c>
      <c r="AT335" s="19">
        <v>0</v>
      </c>
      <c r="AU335" s="8">
        <v>8800</v>
      </c>
      <c r="AV335" s="13">
        <f t="shared" si="164"/>
        <v>5522352</v>
      </c>
      <c r="AW335" s="18">
        <f t="shared" si="165"/>
        <v>42296372</v>
      </c>
      <c r="AX335" s="15">
        <f t="shared" si="159"/>
        <v>42297000</v>
      </c>
      <c r="AY335" s="20">
        <v>7.0000000000000007E-2</v>
      </c>
      <c r="AZ335" s="13">
        <f t="shared" si="160"/>
        <v>2960790.0000000005</v>
      </c>
      <c r="BA335" s="15">
        <f t="shared" si="161"/>
        <v>2960800</v>
      </c>
      <c r="BB335" s="21">
        <f t="shared" si="166"/>
        <v>8130585</v>
      </c>
      <c r="BC335" s="10">
        <f t="shared" si="167"/>
        <v>0</v>
      </c>
      <c r="BD335" s="10">
        <f t="shared" si="168"/>
        <v>0</v>
      </c>
      <c r="BE335" s="10">
        <v>123.6</v>
      </c>
      <c r="BF335" s="10">
        <v>58.3</v>
      </c>
      <c r="BG335" s="107">
        <v>46176</v>
      </c>
      <c r="BH335" s="107">
        <f t="shared" si="142"/>
        <v>46206</v>
      </c>
      <c r="BI335" s="23">
        <v>7</v>
      </c>
      <c r="BJ335" s="6"/>
      <c r="BK335" s="6"/>
      <c r="BL335" s="24">
        <f>VLOOKUP(A335,[2]Sheet1!$D$2:$H$933,5,0)</f>
        <v>0</v>
      </c>
      <c r="BM335" s="6" t="s">
        <v>3828</v>
      </c>
      <c r="BN335" s="6" t="s">
        <v>3829</v>
      </c>
      <c r="BO335" s="6" t="s">
        <v>3820</v>
      </c>
      <c r="BP335" s="6" t="s">
        <v>3821</v>
      </c>
      <c r="BQ335" s="6" t="s">
        <v>3830</v>
      </c>
      <c r="BR335" t="s">
        <v>3823</v>
      </c>
      <c r="BS335" t="s">
        <v>3824</v>
      </c>
      <c r="BT335" t="s">
        <v>3825</v>
      </c>
      <c r="BU335" t="s">
        <v>3826</v>
      </c>
      <c r="BV335" t="s">
        <v>3827</v>
      </c>
      <c r="BW335" t="s">
        <v>3835</v>
      </c>
      <c r="BX335">
        <v>0</v>
      </c>
      <c r="BY335" t="s">
        <v>3867</v>
      </c>
      <c r="BZ335" t="s">
        <v>3871</v>
      </c>
    </row>
    <row r="336" spans="1:78" x14ac:dyDescent="0.25">
      <c r="A336" s="7" t="s">
        <v>1428</v>
      </c>
      <c r="B336" s="7" t="s">
        <v>181</v>
      </c>
      <c r="C336" s="7" t="s">
        <v>1426</v>
      </c>
      <c r="D336" s="8" t="s">
        <v>1427</v>
      </c>
      <c r="E336" s="7" t="s">
        <v>1429</v>
      </c>
      <c r="F336" s="9">
        <v>44958</v>
      </c>
      <c r="G336" s="9" t="s">
        <v>527</v>
      </c>
      <c r="H336" s="9" t="s">
        <v>66</v>
      </c>
      <c r="I336" s="8" t="s">
        <v>78</v>
      </c>
      <c r="J336" s="10">
        <v>678.13</v>
      </c>
      <c r="K336" s="10">
        <v>678.13</v>
      </c>
      <c r="L336" s="10">
        <f t="shared" si="144"/>
        <v>0</v>
      </c>
      <c r="M336" s="10">
        <v>315.39</v>
      </c>
      <c r="N336" s="10">
        <v>315.39</v>
      </c>
      <c r="O336" s="10">
        <f t="shared" si="145"/>
        <v>0</v>
      </c>
      <c r="P336" s="11">
        <v>15637.947001312434</v>
      </c>
      <c r="Q336" s="11">
        <v>33623.643742667809</v>
      </c>
      <c r="R336" s="11">
        <v>22000</v>
      </c>
      <c r="S336" s="11">
        <v>10604561</v>
      </c>
      <c r="T336" s="11">
        <v>1272546</v>
      </c>
      <c r="U336" s="12">
        <f t="shared" si="146"/>
        <v>0.11999987552525748</v>
      </c>
      <c r="V336" s="13">
        <f t="shared" si="169"/>
        <v>0</v>
      </c>
      <c r="W336" s="10">
        <f t="shared" si="147"/>
        <v>0</v>
      </c>
      <c r="X336" s="10"/>
      <c r="Y336" s="10"/>
      <c r="Z336" s="11">
        <f t="shared" si="148"/>
        <v>10604561</v>
      </c>
      <c r="AA336" s="14"/>
      <c r="AB336" s="14"/>
      <c r="AC336" s="11">
        <f t="shared" si="149"/>
        <v>10604561</v>
      </c>
      <c r="AD336" s="10">
        <f t="shared" si="150"/>
        <v>300</v>
      </c>
      <c r="AE336" s="15">
        <v>94617</v>
      </c>
      <c r="AF336" s="16">
        <v>17032</v>
      </c>
      <c r="AG336" s="15">
        <f t="shared" si="151"/>
        <v>0</v>
      </c>
      <c r="AH336" s="15">
        <f t="shared" si="152"/>
        <v>0</v>
      </c>
      <c r="AI336" s="15">
        <f t="shared" si="153"/>
        <v>94617</v>
      </c>
      <c r="AJ336" s="15">
        <f t="shared" si="154"/>
        <v>17032</v>
      </c>
      <c r="AK336" s="10">
        <v>94617</v>
      </c>
      <c r="AL336" s="15">
        <f t="shared" si="155"/>
        <v>94617</v>
      </c>
      <c r="AM336" s="15">
        <f t="shared" si="156"/>
        <v>10699178</v>
      </c>
      <c r="AN336" s="15">
        <f t="shared" si="157"/>
        <v>1289578</v>
      </c>
      <c r="AO336" s="15">
        <f t="shared" si="162"/>
        <v>1385285.44</v>
      </c>
      <c r="AP336" s="17">
        <f t="shared" si="158"/>
        <v>12084463.439999999</v>
      </c>
      <c r="AQ336" s="15">
        <v>10497505</v>
      </c>
      <c r="AR336" s="15">
        <v>1090.44</v>
      </c>
      <c r="AS336" s="18">
        <f t="shared" si="163"/>
        <v>1586958</v>
      </c>
      <c r="AT336" s="19">
        <v>0</v>
      </c>
      <c r="AU336" s="8">
        <v>8800</v>
      </c>
      <c r="AV336" s="13">
        <f t="shared" si="164"/>
        <v>2775432</v>
      </c>
      <c r="AW336" s="18">
        <f t="shared" si="165"/>
        <v>10699178</v>
      </c>
      <c r="AX336" s="15">
        <f t="shared" si="159"/>
        <v>10700000</v>
      </c>
      <c r="AY336" s="20">
        <v>0.05</v>
      </c>
      <c r="AZ336" s="13">
        <f t="shared" si="160"/>
        <v>535000</v>
      </c>
      <c r="BA336" s="15">
        <f t="shared" si="161"/>
        <v>535000</v>
      </c>
      <c r="BB336" s="21">
        <f t="shared" si="166"/>
        <v>2121958</v>
      </c>
      <c r="BC336" s="10">
        <f t="shared" si="167"/>
        <v>0</v>
      </c>
      <c r="BD336" s="10">
        <f t="shared" si="168"/>
        <v>0</v>
      </c>
      <c r="BE336" s="10">
        <v>63</v>
      </c>
      <c r="BF336" s="10">
        <v>29.3</v>
      </c>
      <c r="BG336" s="107">
        <v>46176</v>
      </c>
      <c r="BH336" s="107">
        <f t="shared" si="142"/>
        <v>46206</v>
      </c>
      <c r="BI336" s="23">
        <v>5</v>
      </c>
      <c r="BJ336" s="6"/>
      <c r="BK336" s="6"/>
      <c r="BL336" s="24">
        <f>VLOOKUP(A336,[2]Sheet1!$D$2:$H$933,5,0)</f>
        <v>0</v>
      </c>
      <c r="BM336" s="6" t="s">
        <v>3828</v>
      </c>
      <c r="BN336" s="6" t="s">
        <v>3829</v>
      </c>
      <c r="BO336" s="6" t="s">
        <v>3820</v>
      </c>
      <c r="BP336" s="6" t="s">
        <v>3821</v>
      </c>
      <c r="BQ336" s="6" t="s">
        <v>3830</v>
      </c>
      <c r="BR336" t="s">
        <v>3823</v>
      </c>
      <c r="BS336" t="s">
        <v>3824</v>
      </c>
      <c r="BT336" t="s">
        <v>3825</v>
      </c>
      <c r="BU336" t="s">
        <v>3826</v>
      </c>
      <c r="BV336" t="s">
        <v>3827</v>
      </c>
      <c r="BW336" t="s">
        <v>3835</v>
      </c>
      <c r="BX336">
        <v>0</v>
      </c>
      <c r="BY336" t="s">
        <v>3867</v>
      </c>
      <c r="BZ336" t="s">
        <v>3871</v>
      </c>
    </row>
    <row r="337" spans="1:78" x14ac:dyDescent="0.25">
      <c r="A337" s="7" t="s">
        <v>1432</v>
      </c>
      <c r="B337" s="7" t="s">
        <v>181</v>
      </c>
      <c r="C337" s="7" t="s">
        <v>1430</v>
      </c>
      <c r="D337" s="8" t="s">
        <v>1431</v>
      </c>
      <c r="E337" s="7" t="s">
        <v>1433</v>
      </c>
      <c r="F337" s="9">
        <v>44925</v>
      </c>
      <c r="G337" s="9" t="s">
        <v>404</v>
      </c>
      <c r="H337" s="9" t="s">
        <v>72</v>
      </c>
      <c r="I337" s="8" t="s">
        <v>78</v>
      </c>
      <c r="J337" s="10">
        <v>652.29999999999995</v>
      </c>
      <c r="K337" s="10">
        <v>652.29999999999995</v>
      </c>
      <c r="L337" s="10">
        <f t="shared" si="144"/>
        <v>0</v>
      </c>
      <c r="M337" s="10">
        <v>293.86</v>
      </c>
      <c r="N337" s="10">
        <v>293.86</v>
      </c>
      <c r="O337" s="10">
        <f t="shared" si="145"/>
        <v>0</v>
      </c>
      <c r="P337" s="11">
        <v>8863.0001533036957</v>
      </c>
      <c r="Q337" s="11">
        <v>19673.773225345401</v>
      </c>
      <c r="R337" s="11">
        <v>20000</v>
      </c>
      <c r="S337" s="11">
        <v>5781335</v>
      </c>
      <c r="T337" s="11">
        <v>693762</v>
      </c>
      <c r="U337" s="12">
        <f t="shared" si="146"/>
        <v>0.12000031134677371</v>
      </c>
      <c r="V337" s="13">
        <f t="shared" si="169"/>
        <v>0</v>
      </c>
      <c r="W337" s="10">
        <f t="shared" si="147"/>
        <v>0</v>
      </c>
      <c r="X337" s="10"/>
      <c r="Y337" s="10"/>
      <c r="Z337" s="11">
        <f t="shared" si="148"/>
        <v>5781335</v>
      </c>
      <c r="AA337" s="14"/>
      <c r="AB337" s="14"/>
      <c r="AC337" s="11">
        <f t="shared" si="149"/>
        <v>5781335</v>
      </c>
      <c r="AD337" s="10">
        <f t="shared" si="150"/>
        <v>300</v>
      </c>
      <c r="AE337" s="15">
        <v>88158</v>
      </c>
      <c r="AF337" s="16">
        <v>15868</v>
      </c>
      <c r="AG337" s="15">
        <f t="shared" si="151"/>
        <v>0</v>
      </c>
      <c r="AH337" s="15">
        <f t="shared" si="152"/>
        <v>0</v>
      </c>
      <c r="AI337" s="15">
        <f t="shared" si="153"/>
        <v>88158</v>
      </c>
      <c r="AJ337" s="15">
        <f t="shared" si="154"/>
        <v>15869</v>
      </c>
      <c r="AK337" s="10">
        <v>88158</v>
      </c>
      <c r="AL337" s="15">
        <f t="shared" si="155"/>
        <v>88158</v>
      </c>
      <c r="AM337" s="15">
        <f t="shared" si="156"/>
        <v>5869493</v>
      </c>
      <c r="AN337" s="15">
        <f t="shared" si="157"/>
        <v>709631</v>
      </c>
      <c r="AO337" s="15">
        <f t="shared" si="162"/>
        <v>799462</v>
      </c>
      <c r="AP337" s="17">
        <f t="shared" si="158"/>
        <v>6668955</v>
      </c>
      <c r="AQ337" s="15">
        <v>5491204</v>
      </c>
      <c r="AR337" s="15">
        <v>1673</v>
      </c>
      <c r="AS337" s="18">
        <f t="shared" si="163"/>
        <v>1177751</v>
      </c>
      <c r="AT337" s="19">
        <v>0</v>
      </c>
      <c r="AU337" s="8">
        <v>8800</v>
      </c>
      <c r="AV337" s="13">
        <f t="shared" si="164"/>
        <v>2585968</v>
      </c>
      <c r="AW337" s="18">
        <f t="shared" si="165"/>
        <v>5869493</v>
      </c>
      <c r="AX337" s="15">
        <f t="shared" si="159"/>
        <v>5870000</v>
      </c>
      <c r="AY337" s="20">
        <v>0.06</v>
      </c>
      <c r="AZ337" s="13">
        <f t="shared" si="160"/>
        <v>352200</v>
      </c>
      <c r="BA337" s="15">
        <f t="shared" si="161"/>
        <v>352200</v>
      </c>
      <c r="BB337" s="21">
        <f t="shared" si="166"/>
        <v>1529951</v>
      </c>
      <c r="BC337" s="10">
        <f t="shared" si="167"/>
        <v>0</v>
      </c>
      <c r="BD337" s="10">
        <f t="shared" si="168"/>
        <v>0</v>
      </c>
      <c r="BE337" s="10">
        <v>60.6</v>
      </c>
      <c r="BF337" s="10">
        <v>27.3</v>
      </c>
      <c r="BG337" s="107">
        <v>46176</v>
      </c>
      <c r="BH337" s="107">
        <f t="shared" si="142"/>
        <v>46206</v>
      </c>
      <c r="BI337" s="23">
        <v>6</v>
      </c>
      <c r="BJ337" s="6"/>
      <c r="BK337" s="6"/>
      <c r="BL337" s="24">
        <f>VLOOKUP(A337,[2]Sheet1!$D$2:$H$933,5,0)</f>
        <v>0</v>
      </c>
      <c r="BM337" s="6" t="s">
        <v>3828</v>
      </c>
      <c r="BN337" s="6" t="s">
        <v>3829</v>
      </c>
      <c r="BO337" s="6" t="s">
        <v>3820</v>
      </c>
      <c r="BP337" s="6" t="s">
        <v>3821</v>
      </c>
      <c r="BQ337" s="6" t="s">
        <v>3830</v>
      </c>
      <c r="BR337" t="s">
        <v>3823</v>
      </c>
      <c r="BS337" t="s">
        <v>3824</v>
      </c>
      <c r="BT337" t="s">
        <v>3825</v>
      </c>
      <c r="BU337" t="s">
        <v>3826</v>
      </c>
      <c r="BV337" t="s">
        <v>3827</v>
      </c>
      <c r="BW337" t="s">
        <v>3835</v>
      </c>
      <c r="BX337">
        <v>0</v>
      </c>
      <c r="BY337" t="s">
        <v>3869</v>
      </c>
      <c r="BZ337" t="s">
        <v>3863</v>
      </c>
    </row>
    <row r="338" spans="1:78" x14ac:dyDescent="0.25">
      <c r="A338" s="7" t="s">
        <v>1436</v>
      </c>
      <c r="B338" s="7" t="s">
        <v>181</v>
      </c>
      <c r="C338" s="7" t="s">
        <v>1434</v>
      </c>
      <c r="D338" s="8" t="s">
        <v>1435</v>
      </c>
      <c r="E338" s="7" t="s">
        <v>1437</v>
      </c>
      <c r="F338" s="9">
        <v>44883</v>
      </c>
      <c r="G338" s="9" t="s">
        <v>527</v>
      </c>
      <c r="H338" s="9" t="s">
        <v>66</v>
      </c>
      <c r="I338" s="8" t="s">
        <v>78</v>
      </c>
      <c r="J338" s="10">
        <v>504.83</v>
      </c>
      <c r="K338" s="10">
        <v>504.83</v>
      </c>
      <c r="L338" s="10">
        <f t="shared" si="144"/>
        <v>0</v>
      </c>
      <c r="M338" s="10">
        <v>231.96</v>
      </c>
      <c r="N338" s="10">
        <v>231.96</v>
      </c>
      <c r="O338" s="10">
        <f t="shared" si="145"/>
        <v>0</v>
      </c>
      <c r="P338" s="11">
        <v>13625.000495216213</v>
      </c>
      <c r="Q338" s="11">
        <v>29652.996206242453</v>
      </c>
      <c r="R338" s="11">
        <v>22000</v>
      </c>
      <c r="S338" s="11">
        <v>6878309</v>
      </c>
      <c r="T338" s="11">
        <v>825398</v>
      </c>
      <c r="U338" s="12">
        <f t="shared" si="146"/>
        <v>0.1200001337538049</v>
      </c>
      <c r="V338" s="13">
        <f t="shared" si="169"/>
        <v>0</v>
      </c>
      <c r="W338" s="10">
        <f t="shared" si="147"/>
        <v>0</v>
      </c>
      <c r="X338" s="10"/>
      <c r="Y338" s="10"/>
      <c r="Z338" s="11">
        <f t="shared" si="148"/>
        <v>6878309</v>
      </c>
      <c r="AA338" s="14">
        <v>2366160</v>
      </c>
      <c r="AB338" s="14">
        <v>283940</v>
      </c>
      <c r="AC338" s="11">
        <f t="shared" si="149"/>
        <v>4512149</v>
      </c>
      <c r="AD338" s="10">
        <f t="shared" si="150"/>
        <v>300</v>
      </c>
      <c r="AE338" s="15">
        <v>69588</v>
      </c>
      <c r="AF338" s="16">
        <v>12526</v>
      </c>
      <c r="AG338" s="15">
        <f t="shared" si="151"/>
        <v>0</v>
      </c>
      <c r="AH338" s="15">
        <f t="shared" si="152"/>
        <v>0</v>
      </c>
      <c r="AI338" s="15">
        <f t="shared" si="153"/>
        <v>69588</v>
      </c>
      <c r="AJ338" s="15">
        <f t="shared" si="154"/>
        <v>12526</v>
      </c>
      <c r="AK338" s="10">
        <v>69588</v>
      </c>
      <c r="AL338" s="15">
        <f t="shared" si="155"/>
        <v>69588</v>
      </c>
      <c r="AM338" s="15">
        <f t="shared" si="156"/>
        <v>4581737</v>
      </c>
      <c r="AN338" s="15">
        <f t="shared" si="157"/>
        <v>553984</v>
      </c>
      <c r="AO338" s="15">
        <f t="shared" si="162"/>
        <v>624698</v>
      </c>
      <c r="AP338" s="17">
        <f t="shared" si="158"/>
        <v>5206435</v>
      </c>
      <c r="AQ338" s="15">
        <v>4283237</v>
      </c>
      <c r="AR338" s="15">
        <v>1126</v>
      </c>
      <c r="AS338" s="18">
        <f t="shared" si="163"/>
        <v>923198</v>
      </c>
      <c r="AT338" s="19">
        <v>0</v>
      </c>
      <c r="AU338" s="8">
        <v>8800</v>
      </c>
      <c r="AV338" s="13">
        <f t="shared" si="164"/>
        <v>2041248</v>
      </c>
      <c r="AW338" s="18">
        <f t="shared" si="165"/>
        <v>4581737</v>
      </c>
      <c r="AX338" s="15">
        <f t="shared" si="159"/>
        <v>4582000</v>
      </c>
      <c r="AY338" s="20">
        <v>7.0000000000000007E-2</v>
      </c>
      <c r="AZ338" s="13">
        <f t="shared" si="160"/>
        <v>320740.00000000006</v>
      </c>
      <c r="BA338" s="15">
        <f t="shared" si="161"/>
        <v>320800</v>
      </c>
      <c r="BB338" s="21">
        <f t="shared" si="166"/>
        <v>1243998</v>
      </c>
      <c r="BC338" s="10">
        <f t="shared" si="167"/>
        <v>0</v>
      </c>
      <c r="BD338" s="10">
        <f t="shared" si="168"/>
        <v>0</v>
      </c>
      <c r="BE338" s="10">
        <v>46.9</v>
      </c>
      <c r="BF338" s="10">
        <v>21.55</v>
      </c>
      <c r="BG338" s="107">
        <v>46176</v>
      </c>
      <c r="BH338" s="107">
        <f t="shared" si="142"/>
        <v>46206</v>
      </c>
      <c r="BI338" s="23">
        <v>7</v>
      </c>
      <c r="BJ338" s="6"/>
      <c r="BK338" s="6"/>
      <c r="BL338" s="24">
        <f>VLOOKUP(A338,[2]Sheet1!$D$2:$H$933,5,0)</f>
        <v>0</v>
      </c>
      <c r="BM338" s="6" t="s">
        <v>3828</v>
      </c>
      <c r="BN338" s="6" t="s">
        <v>3829</v>
      </c>
      <c r="BO338" s="6" t="s">
        <v>3820</v>
      </c>
      <c r="BP338" s="6" t="s">
        <v>3821</v>
      </c>
      <c r="BQ338" s="6" t="s">
        <v>3830</v>
      </c>
      <c r="BR338" t="s">
        <v>3823</v>
      </c>
      <c r="BS338" t="s">
        <v>3824</v>
      </c>
      <c r="BT338" t="s">
        <v>3825</v>
      </c>
      <c r="BU338" t="s">
        <v>3826</v>
      </c>
      <c r="BV338" t="s">
        <v>3827</v>
      </c>
      <c r="BW338" t="s">
        <v>3835</v>
      </c>
      <c r="BX338">
        <v>0</v>
      </c>
      <c r="BY338" t="s">
        <v>3862</v>
      </c>
      <c r="BZ338" t="s">
        <v>3871</v>
      </c>
    </row>
    <row r="339" spans="1:78" x14ac:dyDescent="0.25">
      <c r="A339" s="7" t="s">
        <v>1444</v>
      </c>
      <c r="B339" s="7" t="s">
        <v>181</v>
      </c>
      <c r="C339" s="7" t="s">
        <v>1442</v>
      </c>
      <c r="D339" s="8" t="s">
        <v>1443</v>
      </c>
      <c r="E339" s="7" t="s">
        <v>1445</v>
      </c>
      <c r="F339" s="9">
        <v>45019</v>
      </c>
      <c r="G339" s="9" t="s">
        <v>527</v>
      </c>
      <c r="H339" s="9" t="s">
        <v>190</v>
      </c>
      <c r="I339" s="8" t="s">
        <v>78</v>
      </c>
      <c r="J339" s="10">
        <v>1951.94</v>
      </c>
      <c r="K339" s="10">
        <v>1951.94</v>
      </c>
      <c r="L339" s="10">
        <f t="shared" si="144"/>
        <v>0</v>
      </c>
      <c r="M339" s="10">
        <v>914.94</v>
      </c>
      <c r="N339" s="10">
        <v>914.94</v>
      </c>
      <c r="O339" s="10">
        <f t="shared" si="145"/>
        <v>0</v>
      </c>
      <c r="P339" s="11">
        <v>19716.869883295592</v>
      </c>
      <c r="Q339" s="11">
        <v>42064.121144555924</v>
      </c>
      <c r="R339" s="11">
        <v>60000</v>
      </c>
      <c r="S339" s="11">
        <v>38486147</v>
      </c>
      <c r="T339" s="11">
        <v>4618336</v>
      </c>
      <c r="U339" s="12">
        <f t="shared" si="146"/>
        <v>0.11999995738726457</v>
      </c>
      <c r="V339" s="13">
        <f t="shared" si="169"/>
        <v>0</v>
      </c>
      <c r="W339" s="10">
        <f t="shared" si="147"/>
        <v>0</v>
      </c>
      <c r="X339" s="10"/>
      <c r="Y339" s="10"/>
      <c r="Z339" s="11">
        <f t="shared" si="148"/>
        <v>38486147</v>
      </c>
      <c r="AA339" s="14"/>
      <c r="AB339" s="14"/>
      <c r="AC339" s="11">
        <f t="shared" si="149"/>
        <v>38486147</v>
      </c>
      <c r="AD339" s="10">
        <f t="shared" si="150"/>
        <v>300</v>
      </c>
      <c r="AE339" s="15">
        <v>274482</v>
      </c>
      <c r="AF339" s="16">
        <v>49406</v>
      </c>
      <c r="AG339" s="15">
        <f t="shared" si="151"/>
        <v>0</v>
      </c>
      <c r="AH339" s="15">
        <f t="shared" si="152"/>
        <v>0</v>
      </c>
      <c r="AI339" s="15">
        <f t="shared" si="153"/>
        <v>274482</v>
      </c>
      <c r="AJ339" s="15">
        <f t="shared" si="154"/>
        <v>49407</v>
      </c>
      <c r="AK339" s="10">
        <v>274482</v>
      </c>
      <c r="AL339" s="15">
        <f t="shared" si="155"/>
        <v>274482</v>
      </c>
      <c r="AM339" s="15">
        <f t="shared" si="156"/>
        <v>38760629</v>
      </c>
      <c r="AN339" s="15">
        <f t="shared" si="157"/>
        <v>4667743</v>
      </c>
      <c r="AO339" s="15">
        <f t="shared" si="162"/>
        <v>4943864.2</v>
      </c>
      <c r="AP339" s="17">
        <f t="shared" si="158"/>
        <v>43704493.200000003</v>
      </c>
      <c r="AQ339" s="15">
        <v>35945021.5</v>
      </c>
      <c r="AR339" s="15">
        <v>1639.2</v>
      </c>
      <c r="AS339" s="18">
        <f t="shared" si="163"/>
        <v>7759472</v>
      </c>
      <c r="AT339" s="19">
        <v>0</v>
      </c>
      <c r="AU339" s="8">
        <v>8800</v>
      </c>
      <c r="AV339" s="13">
        <f t="shared" si="164"/>
        <v>8051472.0000000009</v>
      </c>
      <c r="AW339" s="18">
        <f t="shared" si="165"/>
        <v>38760629</v>
      </c>
      <c r="AX339" s="15">
        <f t="shared" si="159"/>
        <v>38761000</v>
      </c>
      <c r="AY339" s="20">
        <v>7.0000000000000007E-2</v>
      </c>
      <c r="AZ339" s="13">
        <f t="shared" si="160"/>
        <v>2713270.0000000005</v>
      </c>
      <c r="BA339" s="15">
        <f t="shared" si="161"/>
        <v>2713300</v>
      </c>
      <c r="BB339" s="21">
        <f t="shared" si="166"/>
        <v>10472772</v>
      </c>
      <c r="BC339" s="10">
        <f t="shared" si="167"/>
        <v>0</v>
      </c>
      <c r="BD339" s="10">
        <f t="shared" si="168"/>
        <v>0</v>
      </c>
      <c r="BE339" s="10">
        <v>181.34</v>
      </c>
      <c r="BF339" s="10">
        <v>85</v>
      </c>
      <c r="BG339" s="107">
        <v>46176</v>
      </c>
      <c r="BH339" s="107">
        <f t="shared" si="142"/>
        <v>46206</v>
      </c>
      <c r="BI339" s="23">
        <v>7</v>
      </c>
      <c r="BJ339" s="6"/>
      <c r="BK339" s="6"/>
      <c r="BL339" s="24">
        <f>VLOOKUP(A339,[2]Sheet1!$D$2:$H$933,5,0)</f>
        <v>0</v>
      </c>
      <c r="BM339" s="6" t="s">
        <v>3828</v>
      </c>
      <c r="BN339" s="6" t="s">
        <v>3829</v>
      </c>
      <c r="BO339" s="6" t="s">
        <v>3820</v>
      </c>
      <c r="BP339" s="6" t="s">
        <v>3821</v>
      </c>
      <c r="BQ339" s="6" t="s">
        <v>3830</v>
      </c>
      <c r="BR339" t="s">
        <v>3823</v>
      </c>
      <c r="BS339" t="s">
        <v>3824</v>
      </c>
      <c r="BT339" t="s">
        <v>3825</v>
      </c>
      <c r="BU339" t="s">
        <v>3826</v>
      </c>
      <c r="BV339" t="s">
        <v>3827</v>
      </c>
      <c r="BW339" t="s">
        <v>3835</v>
      </c>
      <c r="BX339">
        <v>0</v>
      </c>
      <c r="BY339" t="s">
        <v>3864</v>
      </c>
      <c r="BZ339" t="s">
        <v>3871</v>
      </c>
    </row>
    <row r="340" spans="1:78" x14ac:dyDescent="0.25">
      <c r="A340" s="7" t="s">
        <v>1448</v>
      </c>
      <c r="B340" s="7" t="s">
        <v>181</v>
      </c>
      <c r="C340" s="7" t="s">
        <v>1446</v>
      </c>
      <c r="D340" s="8" t="s">
        <v>1447</v>
      </c>
      <c r="E340" s="7" t="s">
        <v>1449</v>
      </c>
      <c r="F340" s="9">
        <v>45174</v>
      </c>
      <c r="G340" s="9" t="s">
        <v>363</v>
      </c>
      <c r="H340" s="9" t="s">
        <v>87</v>
      </c>
      <c r="I340" s="8" t="s">
        <v>67</v>
      </c>
      <c r="J340" s="10">
        <v>220.06</v>
      </c>
      <c r="K340" s="10">
        <v>220.06</v>
      </c>
      <c r="L340" s="10">
        <f t="shared" si="144"/>
        <v>0</v>
      </c>
      <c r="M340" s="10">
        <v>88.26</v>
      </c>
      <c r="N340" s="10">
        <v>88.26</v>
      </c>
      <c r="O340" s="10">
        <f t="shared" si="145"/>
        <v>0</v>
      </c>
      <c r="P340" s="11">
        <v>36504.998636735436</v>
      </c>
      <c r="Q340" s="11">
        <v>91018.468162247897</v>
      </c>
      <c r="R340" s="11">
        <v>40000</v>
      </c>
      <c r="S340" s="11">
        <v>8033290</v>
      </c>
      <c r="T340" s="11">
        <v>963996</v>
      </c>
      <c r="U340" s="12">
        <f t="shared" si="146"/>
        <v>0.12000014937839913</v>
      </c>
      <c r="V340" s="13">
        <f t="shared" si="169"/>
        <v>0</v>
      </c>
      <c r="W340" s="10">
        <f t="shared" si="147"/>
        <v>0</v>
      </c>
      <c r="X340" s="10"/>
      <c r="Y340" s="10"/>
      <c r="Z340" s="11">
        <f t="shared" si="148"/>
        <v>8033290</v>
      </c>
      <c r="AA340" s="14"/>
      <c r="AB340" s="14"/>
      <c r="AC340" s="11">
        <f t="shared" si="149"/>
        <v>8033290</v>
      </c>
      <c r="AD340" s="10">
        <f t="shared" si="150"/>
        <v>300</v>
      </c>
      <c r="AE340" s="15">
        <v>26478</v>
      </c>
      <c r="AF340" s="16">
        <v>4766</v>
      </c>
      <c r="AG340" s="15">
        <f t="shared" si="151"/>
        <v>0</v>
      </c>
      <c r="AH340" s="15">
        <f t="shared" si="152"/>
        <v>0</v>
      </c>
      <c r="AI340" s="15">
        <f t="shared" si="153"/>
        <v>26478</v>
      </c>
      <c r="AJ340" s="15">
        <f t="shared" si="154"/>
        <v>4767</v>
      </c>
      <c r="AK340" s="10">
        <v>26478</v>
      </c>
      <c r="AL340" s="15">
        <f t="shared" si="155"/>
        <v>26478</v>
      </c>
      <c r="AM340" s="15">
        <f t="shared" si="156"/>
        <v>8059768</v>
      </c>
      <c r="AN340" s="15">
        <f t="shared" si="157"/>
        <v>968763</v>
      </c>
      <c r="AO340" s="15">
        <f t="shared" si="162"/>
        <v>996654</v>
      </c>
      <c r="AP340" s="17">
        <f t="shared" si="158"/>
        <v>9056422</v>
      </c>
      <c r="AQ340" s="15">
        <v>8025257</v>
      </c>
      <c r="AR340" s="15">
        <v>1413</v>
      </c>
      <c r="AS340" s="18">
        <f t="shared" si="163"/>
        <v>1031165</v>
      </c>
      <c r="AT340" s="19">
        <v>0</v>
      </c>
      <c r="AU340" s="8">
        <v>8800</v>
      </c>
      <c r="AV340" s="13">
        <f t="shared" si="164"/>
        <v>776688</v>
      </c>
      <c r="AW340" s="18">
        <f t="shared" si="165"/>
        <v>8059768</v>
      </c>
      <c r="AX340" s="15">
        <f t="shared" si="159"/>
        <v>8060000</v>
      </c>
      <c r="AY340" s="20">
        <v>0.05</v>
      </c>
      <c r="AZ340" s="13">
        <f t="shared" si="160"/>
        <v>403000</v>
      </c>
      <c r="BA340" s="15">
        <f t="shared" si="161"/>
        <v>403000</v>
      </c>
      <c r="BB340" s="21">
        <f t="shared" si="166"/>
        <v>1434165</v>
      </c>
      <c r="BC340" s="10">
        <f t="shared" si="167"/>
        <v>0</v>
      </c>
      <c r="BD340" s="10">
        <f t="shared" si="168"/>
        <v>0</v>
      </c>
      <c r="BE340" s="10">
        <v>20.440000000000001</v>
      </c>
      <c r="BF340" s="10">
        <v>8.1999999999999993</v>
      </c>
      <c r="BG340" s="107">
        <v>46176</v>
      </c>
      <c r="BH340" s="107">
        <f t="shared" si="142"/>
        <v>46206</v>
      </c>
      <c r="BI340" s="23">
        <v>5</v>
      </c>
      <c r="BJ340" s="6"/>
      <c r="BK340" s="6"/>
      <c r="BL340" s="24">
        <f>VLOOKUP(A340,[2]Sheet1!$D$2:$H$933,5,0)</f>
        <v>0</v>
      </c>
      <c r="BM340" s="6" t="s">
        <v>3828</v>
      </c>
      <c r="BN340" s="6" t="s">
        <v>3829</v>
      </c>
      <c r="BO340" s="6" t="s">
        <v>3820</v>
      </c>
      <c r="BP340" s="6" t="s">
        <v>3821</v>
      </c>
      <c r="BQ340" s="6" t="s">
        <v>3830</v>
      </c>
      <c r="BR340" t="s">
        <v>3823</v>
      </c>
      <c r="BS340" t="s">
        <v>3824</v>
      </c>
      <c r="BT340" t="s">
        <v>3825</v>
      </c>
      <c r="BU340" t="s">
        <v>3826</v>
      </c>
      <c r="BV340" t="s">
        <v>3827</v>
      </c>
      <c r="BW340" t="s">
        <v>3835</v>
      </c>
      <c r="BX340">
        <v>0</v>
      </c>
      <c r="BY340" t="s">
        <v>3867</v>
      </c>
      <c r="BZ340" t="s">
        <v>3860</v>
      </c>
    </row>
    <row r="341" spans="1:78" x14ac:dyDescent="0.25">
      <c r="A341" s="7" t="s">
        <v>1452</v>
      </c>
      <c r="B341" s="7" t="s">
        <v>181</v>
      </c>
      <c r="C341" s="7" t="s">
        <v>1450</v>
      </c>
      <c r="D341" s="8" t="s">
        <v>1451</v>
      </c>
      <c r="E341" s="7" t="s">
        <v>1453</v>
      </c>
      <c r="F341" s="9">
        <v>45174</v>
      </c>
      <c r="G341" s="9" t="s">
        <v>717</v>
      </c>
      <c r="H341" s="9" t="s">
        <v>92</v>
      </c>
      <c r="I341" s="8" t="s">
        <v>78</v>
      </c>
      <c r="J341" s="10">
        <v>596.33000000000004</v>
      </c>
      <c r="K341" s="10">
        <v>610</v>
      </c>
      <c r="L341" s="10">
        <f t="shared" si="144"/>
        <v>13.669999999999959</v>
      </c>
      <c r="M341" s="10">
        <v>266.95</v>
      </c>
      <c r="N341" s="10">
        <v>275</v>
      </c>
      <c r="O341" s="10">
        <f t="shared" si="145"/>
        <v>8.0500000000000114</v>
      </c>
      <c r="P341" s="11">
        <v>8731.4087837271309</v>
      </c>
      <c r="Q341" s="11">
        <v>19504.779921333586</v>
      </c>
      <c r="R341" s="11">
        <v>28000</v>
      </c>
      <c r="S341" s="11">
        <v>5206801</v>
      </c>
      <c r="T341" s="11">
        <v>624816</v>
      </c>
      <c r="U341" s="12">
        <f t="shared" si="146"/>
        <v>0.11999997695321946</v>
      </c>
      <c r="V341" s="13">
        <f>L341*R341</f>
        <v>382759.99999999884</v>
      </c>
      <c r="W341" s="10">
        <f t="shared" si="147"/>
        <v>45931.191178614143</v>
      </c>
      <c r="X341" s="15"/>
      <c r="Y341" s="15"/>
      <c r="Z341" s="11">
        <f t="shared" si="148"/>
        <v>5589560.9999999991</v>
      </c>
      <c r="AA341" s="14"/>
      <c r="AB341" s="14"/>
      <c r="AC341" s="11">
        <f t="shared" si="149"/>
        <v>5589560.9999999991</v>
      </c>
      <c r="AD341" s="10">
        <f t="shared" si="150"/>
        <v>300</v>
      </c>
      <c r="AE341" s="15">
        <v>80085</v>
      </c>
      <c r="AF341" s="16">
        <v>14416</v>
      </c>
      <c r="AG341" s="15">
        <f t="shared" si="151"/>
        <v>2415.0000000000036</v>
      </c>
      <c r="AH341" s="15">
        <f t="shared" si="152"/>
        <v>434.70000000000061</v>
      </c>
      <c r="AI341" s="15">
        <f t="shared" si="153"/>
        <v>82500</v>
      </c>
      <c r="AJ341" s="15">
        <f t="shared" si="154"/>
        <v>14850</v>
      </c>
      <c r="AK341" s="10">
        <v>80085</v>
      </c>
      <c r="AL341" s="15">
        <f t="shared" si="155"/>
        <v>82500</v>
      </c>
      <c r="AM341" s="15">
        <f t="shared" si="156"/>
        <v>5672061</v>
      </c>
      <c r="AN341" s="15">
        <f t="shared" si="157"/>
        <v>685598</v>
      </c>
      <c r="AO341" s="15">
        <f t="shared" si="162"/>
        <v>769463.6</v>
      </c>
      <c r="AP341" s="17">
        <f t="shared" si="158"/>
        <v>6441524.5999999996</v>
      </c>
      <c r="AQ341" s="15">
        <v>4643202</v>
      </c>
      <c r="AR341" s="15">
        <v>1365.6</v>
      </c>
      <c r="AS341" s="18">
        <f t="shared" si="163"/>
        <v>1798323</v>
      </c>
      <c r="AT341" s="19">
        <v>0</v>
      </c>
      <c r="AU341" s="8">
        <v>8800</v>
      </c>
      <c r="AV341" s="13">
        <f t="shared" si="164"/>
        <v>2420000</v>
      </c>
      <c r="AW341" s="18">
        <f t="shared" si="165"/>
        <v>5672061</v>
      </c>
      <c r="AX341" s="15">
        <f t="shared" si="159"/>
        <v>5673000</v>
      </c>
      <c r="AY341" s="20">
        <v>0.05</v>
      </c>
      <c r="AZ341" s="13">
        <f t="shared" si="160"/>
        <v>283650</v>
      </c>
      <c r="BA341" s="15">
        <f t="shared" si="161"/>
        <v>283700</v>
      </c>
      <c r="BB341" s="21">
        <f t="shared" si="166"/>
        <v>2082023</v>
      </c>
      <c r="BC341" s="10">
        <f t="shared" si="167"/>
        <v>2.2923549041637949</v>
      </c>
      <c r="BD341" s="10">
        <f t="shared" si="168"/>
        <v>3.0155459823937112</v>
      </c>
      <c r="BE341" s="10">
        <v>56.67</v>
      </c>
      <c r="BF341" s="10">
        <v>25.55</v>
      </c>
      <c r="BG341" s="107">
        <v>46176</v>
      </c>
      <c r="BH341" s="107">
        <f t="shared" si="142"/>
        <v>46206</v>
      </c>
      <c r="BI341" s="23">
        <v>5</v>
      </c>
      <c r="BJ341" s="6"/>
      <c r="BK341" s="6"/>
      <c r="BL341" s="24">
        <f>VLOOKUP(A341,[2]Sheet1!$D$2:$H$933,5,0)</f>
        <v>0</v>
      </c>
      <c r="BM341" s="6" t="s">
        <v>3828</v>
      </c>
      <c r="BN341" s="6" t="s">
        <v>3829</v>
      </c>
      <c r="BO341" s="6" t="s">
        <v>3820</v>
      </c>
      <c r="BP341" s="6" t="s">
        <v>3821</v>
      </c>
      <c r="BQ341" s="6" t="s">
        <v>3830</v>
      </c>
      <c r="BR341" t="s">
        <v>3823</v>
      </c>
      <c r="BS341" t="s">
        <v>3824</v>
      </c>
      <c r="BT341" t="s">
        <v>3825</v>
      </c>
      <c r="BU341" t="s">
        <v>3826</v>
      </c>
      <c r="BV341" t="s">
        <v>3827</v>
      </c>
      <c r="BW341" t="s">
        <v>3835</v>
      </c>
      <c r="BX341" s="101">
        <v>596330</v>
      </c>
      <c r="BY341" t="s">
        <v>3864</v>
      </c>
      <c r="BZ341" t="s">
        <v>3872</v>
      </c>
    </row>
    <row r="342" spans="1:78" x14ac:dyDescent="0.25">
      <c r="A342" s="7" t="s">
        <v>1456</v>
      </c>
      <c r="B342" s="7" t="s">
        <v>181</v>
      </c>
      <c r="C342" s="7" t="s">
        <v>1454</v>
      </c>
      <c r="D342" s="8" t="s">
        <v>1455</v>
      </c>
      <c r="E342" s="7" t="s">
        <v>1457</v>
      </c>
      <c r="F342" s="9">
        <v>44989</v>
      </c>
      <c r="G342" s="9" t="s">
        <v>527</v>
      </c>
      <c r="H342" s="9" t="s">
        <v>66</v>
      </c>
      <c r="I342" s="8" t="s">
        <v>78</v>
      </c>
      <c r="J342" s="10">
        <v>775.01</v>
      </c>
      <c r="K342" s="10">
        <v>775.01</v>
      </c>
      <c r="L342" s="10">
        <f t="shared" si="144"/>
        <v>0</v>
      </c>
      <c r="M342" s="10">
        <v>358.44</v>
      </c>
      <c r="N342" s="10">
        <v>358.44</v>
      </c>
      <c r="O342" s="10">
        <f t="shared" si="145"/>
        <v>0</v>
      </c>
      <c r="P342" s="11">
        <v>12090.000129030594</v>
      </c>
      <c r="Q342" s="11">
        <v>26140.695792880259</v>
      </c>
      <c r="R342" s="11">
        <v>22000</v>
      </c>
      <c r="S342" s="11">
        <v>9369871</v>
      </c>
      <c r="T342" s="11">
        <v>1124384</v>
      </c>
      <c r="U342" s="12">
        <f t="shared" si="146"/>
        <v>0.11999994450297127</v>
      </c>
      <c r="V342" s="13">
        <f t="shared" ref="V342:V355" si="170">L342*P342</f>
        <v>0</v>
      </c>
      <c r="W342" s="10">
        <f t="shared" si="147"/>
        <v>0</v>
      </c>
      <c r="X342" s="10"/>
      <c r="Y342" s="10"/>
      <c r="Z342" s="11">
        <f t="shared" si="148"/>
        <v>9369871</v>
      </c>
      <c r="AA342" s="14"/>
      <c r="AB342" s="14"/>
      <c r="AC342" s="11">
        <f t="shared" si="149"/>
        <v>9369871</v>
      </c>
      <c r="AD342" s="10">
        <f t="shared" si="150"/>
        <v>300</v>
      </c>
      <c r="AE342" s="15">
        <v>107532</v>
      </c>
      <c r="AF342" s="16">
        <v>19356</v>
      </c>
      <c r="AG342" s="15">
        <f t="shared" si="151"/>
        <v>0</v>
      </c>
      <c r="AH342" s="15">
        <f t="shared" si="152"/>
        <v>0</v>
      </c>
      <c r="AI342" s="15">
        <f t="shared" si="153"/>
        <v>107532</v>
      </c>
      <c r="AJ342" s="15">
        <f t="shared" si="154"/>
        <v>19356</v>
      </c>
      <c r="AK342" s="10">
        <v>107532</v>
      </c>
      <c r="AL342" s="15">
        <f t="shared" si="155"/>
        <v>107532</v>
      </c>
      <c r="AM342" s="15">
        <f t="shared" si="156"/>
        <v>9477403</v>
      </c>
      <c r="AN342" s="15">
        <f t="shared" si="157"/>
        <v>1143740</v>
      </c>
      <c r="AO342" s="15">
        <f t="shared" si="162"/>
        <v>1252709.2</v>
      </c>
      <c r="AP342" s="17">
        <f t="shared" si="158"/>
        <v>10730112.199999999</v>
      </c>
      <c r="AQ342" s="15">
        <v>9372090</v>
      </c>
      <c r="AR342" s="15">
        <v>1437.2</v>
      </c>
      <c r="AS342" s="18">
        <f t="shared" si="163"/>
        <v>1358022</v>
      </c>
      <c r="AT342" s="19">
        <v>0</v>
      </c>
      <c r="AU342" s="8">
        <v>8800</v>
      </c>
      <c r="AV342" s="13">
        <f t="shared" si="164"/>
        <v>3154272</v>
      </c>
      <c r="AW342" s="18">
        <f t="shared" si="165"/>
        <v>9477403</v>
      </c>
      <c r="AX342" s="15">
        <f t="shared" si="159"/>
        <v>9478000</v>
      </c>
      <c r="AY342" s="20">
        <v>7.0000000000000007E-2</v>
      </c>
      <c r="AZ342" s="13">
        <f t="shared" si="160"/>
        <v>663460.00000000012</v>
      </c>
      <c r="BA342" s="15">
        <f t="shared" si="161"/>
        <v>663500</v>
      </c>
      <c r="BB342" s="21">
        <f t="shared" si="166"/>
        <v>2021522</v>
      </c>
      <c r="BC342" s="10">
        <f t="shared" si="167"/>
        <v>0</v>
      </c>
      <c r="BD342" s="10">
        <f t="shared" si="168"/>
        <v>0</v>
      </c>
      <c r="BE342" s="10">
        <v>72</v>
      </c>
      <c r="BF342" s="10">
        <v>33.299999999999997</v>
      </c>
      <c r="BG342" s="107">
        <v>46176</v>
      </c>
      <c r="BH342" s="107">
        <f t="shared" si="142"/>
        <v>46206</v>
      </c>
      <c r="BI342" s="23">
        <v>7</v>
      </c>
      <c r="BJ342" s="6"/>
      <c r="BK342" s="6"/>
      <c r="BL342" s="24">
        <f>VLOOKUP(A342,[2]Sheet1!$D$2:$H$933,5,0)</f>
        <v>0</v>
      </c>
      <c r="BM342" s="6" t="s">
        <v>3828</v>
      </c>
      <c r="BN342" s="6" t="s">
        <v>3829</v>
      </c>
      <c r="BO342" s="6" t="s">
        <v>3820</v>
      </c>
      <c r="BP342" s="6" t="s">
        <v>3821</v>
      </c>
      <c r="BQ342" s="6" t="s">
        <v>3830</v>
      </c>
      <c r="BR342" t="s">
        <v>3823</v>
      </c>
      <c r="BS342" t="s">
        <v>3824</v>
      </c>
      <c r="BT342" t="s">
        <v>3825</v>
      </c>
      <c r="BU342" t="s">
        <v>3826</v>
      </c>
      <c r="BV342" t="s">
        <v>3827</v>
      </c>
      <c r="BW342" t="s">
        <v>3835</v>
      </c>
      <c r="BX342">
        <v>0</v>
      </c>
      <c r="BY342" t="s">
        <v>3867</v>
      </c>
      <c r="BZ342" t="s">
        <v>3871</v>
      </c>
    </row>
    <row r="343" spans="1:78" x14ac:dyDescent="0.25">
      <c r="A343" s="7" t="s">
        <v>1460</v>
      </c>
      <c r="B343" s="7" t="s">
        <v>181</v>
      </c>
      <c r="C343" s="7" t="s">
        <v>1458</v>
      </c>
      <c r="D343" s="8" t="s">
        <v>1459</v>
      </c>
      <c r="E343" s="7" t="s">
        <v>1461</v>
      </c>
      <c r="F343" s="9">
        <v>44943</v>
      </c>
      <c r="G343" s="9" t="s">
        <v>65</v>
      </c>
      <c r="H343" s="9" t="s">
        <v>87</v>
      </c>
      <c r="I343" s="8" t="s">
        <v>78</v>
      </c>
      <c r="J343" s="10">
        <v>200.21</v>
      </c>
      <c r="K343" s="10">
        <v>200.21</v>
      </c>
      <c r="L343" s="10">
        <f t="shared" si="144"/>
        <v>0</v>
      </c>
      <c r="M343" s="10">
        <v>84.17</v>
      </c>
      <c r="N343" s="10">
        <v>84.17</v>
      </c>
      <c r="O343" s="10">
        <f t="shared" si="145"/>
        <v>0</v>
      </c>
      <c r="P343" s="11">
        <v>27931.242195694518</v>
      </c>
      <c r="Q343" s="11">
        <v>66438.327194962578</v>
      </c>
      <c r="R343" s="11">
        <v>40000</v>
      </c>
      <c r="S343" s="11">
        <v>5592114</v>
      </c>
      <c r="T343" s="11">
        <v>671056</v>
      </c>
      <c r="U343" s="12">
        <f t="shared" si="146"/>
        <v>0.12000041486994006</v>
      </c>
      <c r="V343" s="13">
        <f t="shared" si="170"/>
        <v>0</v>
      </c>
      <c r="W343" s="10">
        <f t="shared" si="147"/>
        <v>0</v>
      </c>
      <c r="X343" s="10"/>
      <c r="Y343" s="10"/>
      <c r="Z343" s="11">
        <f t="shared" si="148"/>
        <v>5592114</v>
      </c>
      <c r="AA343" s="14">
        <v>401596</v>
      </c>
      <c r="AB343" s="14">
        <v>48192</v>
      </c>
      <c r="AC343" s="11">
        <f t="shared" si="149"/>
        <v>5190518</v>
      </c>
      <c r="AD343" s="10">
        <f t="shared" si="150"/>
        <v>300</v>
      </c>
      <c r="AE343" s="15">
        <v>25251</v>
      </c>
      <c r="AF343" s="16">
        <v>4546</v>
      </c>
      <c r="AG343" s="15">
        <f t="shared" si="151"/>
        <v>0</v>
      </c>
      <c r="AH343" s="15">
        <f t="shared" si="152"/>
        <v>0</v>
      </c>
      <c r="AI343" s="15">
        <f t="shared" si="153"/>
        <v>25251</v>
      </c>
      <c r="AJ343" s="15">
        <f t="shared" si="154"/>
        <v>4546</v>
      </c>
      <c r="AK343" s="10">
        <v>25251</v>
      </c>
      <c r="AL343" s="15">
        <f t="shared" si="155"/>
        <v>25251</v>
      </c>
      <c r="AM343" s="15">
        <f t="shared" si="156"/>
        <v>5215769</v>
      </c>
      <c r="AN343" s="15">
        <f t="shared" si="157"/>
        <v>627410</v>
      </c>
      <c r="AO343" s="15">
        <f t="shared" si="162"/>
        <v>652661</v>
      </c>
      <c r="AP343" s="17">
        <f t="shared" si="158"/>
        <v>5868430</v>
      </c>
      <c r="AQ343" s="15">
        <v>4737276</v>
      </c>
      <c r="AR343" s="15">
        <v>0</v>
      </c>
      <c r="AS343" s="18">
        <f t="shared" si="163"/>
        <v>1131154</v>
      </c>
      <c r="AT343" s="19">
        <v>0</v>
      </c>
      <c r="AU343" s="8">
        <v>8800</v>
      </c>
      <c r="AV343" s="13">
        <f t="shared" si="164"/>
        <v>740696</v>
      </c>
      <c r="AW343" s="18">
        <f t="shared" si="165"/>
        <v>5215769</v>
      </c>
      <c r="AX343" s="15">
        <f t="shared" si="159"/>
        <v>5216000</v>
      </c>
      <c r="AY343" s="20">
        <v>0.06</v>
      </c>
      <c r="AZ343" s="13">
        <f t="shared" si="160"/>
        <v>312960</v>
      </c>
      <c r="BA343" s="15">
        <f t="shared" si="161"/>
        <v>313000</v>
      </c>
      <c r="BB343" s="21">
        <f t="shared" si="166"/>
        <v>1444154</v>
      </c>
      <c r="BC343" s="10">
        <f t="shared" si="167"/>
        <v>0</v>
      </c>
      <c r="BD343" s="10">
        <f t="shared" si="168"/>
        <v>0</v>
      </c>
      <c r="BE343" s="10">
        <v>18.600000000000001</v>
      </c>
      <c r="BF343" s="10">
        <v>7.82</v>
      </c>
      <c r="BG343" s="107">
        <v>46176</v>
      </c>
      <c r="BH343" s="107">
        <f t="shared" si="142"/>
        <v>46206</v>
      </c>
      <c r="BI343" s="23">
        <v>6</v>
      </c>
      <c r="BJ343" s="6"/>
      <c r="BK343" s="6"/>
      <c r="BL343" s="24">
        <f>VLOOKUP(A343,[2]Sheet1!$D$2:$H$933,5,0)</f>
        <v>0</v>
      </c>
      <c r="BM343" s="6" t="s">
        <v>3828</v>
      </c>
      <c r="BN343" s="6" t="s">
        <v>3829</v>
      </c>
      <c r="BO343" s="6" t="s">
        <v>3820</v>
      </c>
      <c r="BP343" s="6" t="s">
        <v>3821</v>
      </c>
      <c r="BQ343" s="6" t="s">
        <v>3830</v>
      </c>
      <c r="BR343" t="s">
        <v>3823</v>
      </c>
      <c r="BS343" t="s">
        <v>3824</v>
      </c>
      <c r="BT343" t="s">
        <v>3825</v>
      </c>
      <c r="BU343" t="s">
        <v>3826</v>
      </c>
      <c r="BV343" t="s">
        <v>3827</v>
      </c>
      <c r="BW343" t="s">
        <v>3835</v>
      </c>
      <c r="BX343">
        <v>0</v>
      </c>
      <c r="BY343" t="s">
        <v>3868</v>
      </c>
      <c r="BZ343" t="s">
        <v>3860</v>
      </c>
    </row>
    <row r="344" spans="1:78" x14ac:dyDescent="0.25">
      <c r="A344" s="7" t="s">
        <v>1464</v>
      </c>
      <c r="B344" s="7" t="s">
        <v>181</v>
      </c>
      <c r="C344" s="7" t="s">
        <v>1462</v>
      </c>
      <c r="D344" s="8" t="s">
        <v>1463</v>
      </c>
      <c r="E344" s="7" t="s">
        <v>1465</v>
      </c>
      <c r="F344" s="9">
        <v>44924</v>
      </c>
      <c r="G344" s="9" t="s">
        <v>527</v>
      </c>
      <c r="H344" s="9" t="s">
        <v>92</v>
      </c>
      <c r="I344" s="8" t="s">
        <v>67</v>
      </c>
      <c r="J344" s="10">
        <v>131.56</v>
      </c>
      <c r="K344" s="10">
        <v>131.56</v>
      </c>
      <c r="L344" s="10">
        <f t="shared" si="144"/>
        <v>0</v>
      </c>
      <c r="M344" s="10">
        <v>45.21</v>
      </c>
      <c r="N344" s="10">
        <v>45.21</v>
      </c>
      <c r="O344" s="10">
        <f t="shared" si="145"/>
        <v>0</v>
      </c>
      <c r="P344" s="11">
        <v>10150</v>
      </c>
      <c r="Q344" s="11">
        <v>29536.253041362528</v>
      </c>
      <c r="R344" s="11">
        <v>28000</v>
      </c>
      <c r="S344" s="11">
        <v>1335334</v>
      </c>
      <c r="T344" s="11">
        <v>160240</v>
      </c>
      <c r="U344" s="12">
        <f t="shared" si="146"/>
        <v>0.11999994008989512</v>
      </c>
      <c r="V344" s="13">
        <f t="shared" si="170"/>
        <v>0</v>
      </c>
      <c r="W344" s="10">
        <f t="shared" si="147"/>
        <v>0</v>
      </c>
      <c r="X344" s="10"/>
      <c r="Y344" s="10"/>
      <c r="Z344" s="11">
        <f t="shared" si="148"/>
        <v>1335334</v>
      </c>
      <c r="AA344" s="14">
        <v>467367</v>
      </c>
      <c r="AB344" s="14">
        <v>56084</v>
      </c>
      <c r="AC344" s="11">
        <f t="shared" si="149"/>
        <v>867967</v>
      </c>
      <c r="AD344" s="10">
        <f t="shared" si="150"/>
        <v>300</v>
      </c>
      <c r="AE344" s="15">
        <v>13563</v>
      </c>
      <c r="AF344" s="16">
        <v>2442</v>
      </c>
      <c r="AG344" s="15">
        <f t="shared" si="151"/>
        <v>0</v>
      </c>
      <c r="AH344" s="15">
        <f t="shared" si="152"/>
        <v>0</v>
      </c>
      <c r="AI344" s="15">
        <f t="shared" si="153"/>
        <v>13563</v>
      </c>
      <c r="AJ344" s="15">
        <f t="shared" si="154"/>
        <v>2442</v>
      </c>
      <c r="AK344" s="10">
        <v>13563</v>
      </c>
      <c r="AL344" s="15">
        <f t="shared" si="155"/>
        <v>13563</v>
      </c>
      <c r="AM344" s="15">
        <f t="shared" si="156"/>
        <v>881530</v>
      </c>
      <c r="AN344" s="15">
        <f t="shared" si="157"/>
        <v>106598</v>
      </c>
      <c r="AO344" s="15">
        <f t="shared" si="162"/>
        <v>122423</v>
      </c>
      <c r="AP344" s="17">
        <f t="shared" si="158"/>
        <v>1003953</v>
      </c>
      <c r="AQ344" s="15">
        <v>367297</v>
      </c>
      <c r="AR344" s="15">
        <v>2262</v>
      </c>
      <c r="AS344" s="18">
        <f t="shared" si="163"/>
        <v>636656</v>
      </c>
      <c r="AT344" s="19">
        <v>0</v>
      </c>
      <c r="AU344" s="8">
        <v>8800</v>
      </c>
      <c r="AV344" s="13">
        <f t="shared" si="164"/>
        <v>397848</v>
      </c>
      <c r="AW344" s="18">
        <f t="shared" si="165"/>
        <v>881530</v>
      </c>
      <c r="AX344" s="15">
        <f t="shared" si="159"/>
        <v>882000</v>
      </c>
      <c r="AY344" s="20">
        <v>7.0000000000000007E-2</v>
      </c>
      <c r="AZ344" s="13">
        <f t="shared" si="160"/>
        <v>61740.000000000007</v>
      </c>
      <c r="BA344" s="15">
        <f t="shared" si="161"/>
        <v>61800</v>
      </c>
      <c r="BB344" s="21">
        <f t="shared" si="166"/>
        <v>698456</v>
      </c>
      <c r="BC344" s="10">
        <f t="shared" si="167"/>
        <v>0</v>
      </c>
      <c r="BD344" s="10">
        <f t="shared" si="168"/>
        <v>0</v>
      </c>
      <c r="BE344" s="10">
        <v>12.22</v>
      </c>
      <c r="BF344" s="10">
        <v>4.2</v>
      </c>
      <c r="BG344" s="107">
        <v>46176</v>
      </c>
      <c r="BH344" s="107">
        <f t="shared" si="142"/>
        <v>46206</v>
      </c>
      <c r="BI344" s="23">
        <v>7</v>
      </c>
      <c r="BJ344" s="6"/>
      <c r="BK344" s="6"/>
      <c r="BL344" s="24">
        <f>VLOOKUP(A344,[2]Sheet1!$D$2:$H$933,5,0)</f>
        <v>0</v>
      </c>
      <c r="BM344" s="6" t="s">
        <v>3828</v>
      </c>
      <c r="BN344" s="6" t="s">
        <v>3829</v>
      </c>
      <c r="BO344" s="6" t="s">
        <v>3820</v>
      </c>
      <c r="BP344" s="6" t="s">
        <v>3821</v>
      </c>
      <c r="BQ344" s="6" t="s">
        <v>3830</v>
      </c>
      <c r="BR344" t="s">
        <v>3823</v>
      </c>
      <c r="BS344" t="s">
        <v>3824</v>
      </c>
      <c r="BT344" t="s">
        <v>3825</v>
      </c>
      <c r="BU344" t="s">
        <v>3826</v>
      </c>
      <c r="BV344" t="s">
        <v>3827</v>
      </c>
      <c r="BW344" t="s">
        <v>3835</v>
      </c>
      <c r="BX344">
        <v>0</v>
      </c>
      <c r="BY344" t="s">
        <v>3866</v>
      </c>
      <c r="BZ344" t="s">
        <v>3871</v>
      </c>
    </row>
    <row r="345" spans="1:78" x14ac:dyDescent="0.25">
      <c r="A345" s="7" t="s">
        <v>1468</v>
      </c>
      <c r="B345" s="7" t="s">
        <v>181</v>
      </c>
      <c r="C345" s="7" t="s">
        <v>1466</v>
      </c>
      <c r="D345" s="8" t="s">
        <v>1467</v>
      </c>
      <c r="E345" s="7" t="s">
        <v>1469</v>
      </c>
      <c r="F345" s="9">
        <v>44924</v>
      </c>
      <c r="G345" s="9" t="s">
        <v>527</v>
      </c>
      <c r="H345" s="9" t="s">
        <v>66</v>
      </c>
      <c r="I345" s="8" t="s">
        <v>67</v>
      </c>
      <c r="J345" s="10">
        <v>281.06</v>
      </c>
      <c r="K345" s="10">
        <v>281.06</v>
      </c>
      <c r="L345" s="10">
        <f t="shared" si="144"/>
        <v>0</v>
      </c>
      <c r="M345" s="10">
        <v>114.1</v>
      </c>
      <c r="N345" s="10">
        <v>114.1</v>
      </c>
      <c r="O345" s="10">
        <f t="shared" si="145"/>
        <v>0</v>
      </c>
      <c r="P345" s="11">
        <v>16000</v>
      </c>
      <c r="Q345" s="11">
        <v>39412.445223488168</v>
      </c>
      <c r="R345" s="11">
        <v>22000</v>
      </c>
      <c r="S345" s="11">
        <v>4496960</v>
      </c>
      <c r="T345" s="11">
        <v>539638</v>
      </c>
      <c r="U345" s="12">
        <f t="shared" si="146"/>
        <v>0.12000062264285206</v>
      </c>
      <c r="V345" s="13">
        <f t="shared" si="170"/>
        <v>0</v>
      </c>
      <c r="W345" s="10">
        <f t="shared" si="147"/>
        <v>0</v>
      </c>
      <c r="X345" s="10"/>
      <c r="Y345" s="10"/>
      <c r="Z345" s="11">
        <f t="shared" si="148"/>
        <v>4496960</v>
      </c>
      <c r="AA345" s="14">
        <v>350286</v>
      </c>
      <c r="AB345" s="14">
        <v>42034</v>
      </c>
      <c r="AC345" s="11">
        <f t="shared" si="149"/>
        <v>4146674</v>
      </c>
      <c r="AD345" s="10">
        <f t="shared" si="150"/>
        <v>300</v>
      </c>
      <c r="AE345" s="15">
        <v>34230</v>
      </c>
      <c r="AF345" s="16">
        <v>6162</v>
      </c>
      <c r="AG345" s="15">
        <f t="shared" si="151"/>
        <v>0</v>
      </c>
      <c r="AH345" s="15">
        <f t="shared" si="152"/>
        <v>0</v>
      </c>
      <c r="AI345" s="15">
        <f t="shared" si="153"/>
        <v>34230</v>
      </c>
      <c r="AJ345" s="15">
        <f t="shared" si="154"/>
        <v>6162</v>
      </c>
      <c r="AK345" s="10">
        <v>34230</v>
      </c>
      <c r="AL345" s="15">
        <f t="shared" si="155"/>
        <v>34230</v>
      </c>
      <c r="AM345" s="15">
        <f t="shared" si="156"/>
        <v>4180904</v>
      </c>
      <c r="AN345" s="15">
        <f t="shared" si="157"/>
        <v>503766</v>
      </c>
      <c r="AO345" s="15">
        <f t="shared" si="162"/>
        <v>537996</v>
      </c>
      <c r="AP345" s="17">
        <f t="shared" si="158"/>
        <v>4718900</v>
      </c>
      <c r="AQ345" s="15">
        <v>3748298</v>
      </c>
      <c r="AR345" s="15">
        <v>0</v>
      </c>
      <c r="AS345" s="18">
        <f t="shared" si="163"/>
        <v>970602</v>
      </c>
      <c r="AT345" s="19">
        <v>0</v>
      </c>
      <c r="AU345" s="8">
        <v>8800</v>
      </c>
      <c r="AV345" s="13">
        <f t="shared" si="164"/>
        <v>1004080</v>
      </c>
      <c r="AW345" s="18">
        <f t="shared" si="165"/>
        <v>4180904</v>
      </c>
      <c r="AX345" s="15">
        <f t="shared" si="159"/>
        <v>4181000</v>
      </c>
      <c r="AY345" s="20">
        <v>0.05</v>
      </c>
      <c r="AZ345" s="13">
        <f t="shared" si="160"/>
        <v>209050</v>
      </c>
      <c r="BA345" s="15">
        <f t="shared" si="161"/>
        <v>209100</v>
      </c>
      <c r="BB345" s="21">
        <f t="shared" si="166"/>
        <v>1179702</v>
      </c>
      <c r="BC345" s="10">
        <f t="shared" si="167"/>
        <v>0</v>
      </c>
      <c r="BD345" s="10">
        <f t="shared" si="168"/>
        <v>0</v>
      </c>
      <c r="BE345" s="10">
        <v>26.11</v>
      </c>
      <c r="BF345" s="10">
        <v>10.6</v>
      </c>
      <c r="BG345" s="107">
        <v>46176</v>
      </c>
      <c r="BH345" s="107">
        <f t="shared" si="142"/>
        <v>46206</v>
      </c>
      <c r="BI345" s="23">
        <v>5</v>
      </c>
      <c r="BJ345" s="6"/>
      <c r="BK345" s="6"/>
      <c r="BL345" s="24">
        <f>VLOOKUP(A345,[2]Sheet1!$D$2:$H$933,5,0)</f>
        <v>0</v>
      </c>
      <c r="BM345" s="6" t="s">
        <v>3828</v>
      </c>
      <c r="BN345" s="6" t="s">
        <v>3829</v>
      </c>
      <c r="BO345" s="6" t="s">
        <v>3820</v>
      </c>
      <c r="BP345" s="6" t="s">
        <v>3821</v>
      </c>
      <c r="BQ345" s="6" t="s">
        <v>3830</v>
      </c>
      <c r="BR345" t="s">
        <v>3823</v>
      </c>
      <c r="BS345" t="s">
        <v>3824</v>
      </c>
      <c r="BT345" t="s">
        <v>3825</v>
      </c>
      <c r="BU345" t="s">
        <v>3826</v>
      </c>
      <c r="BV345" t="s">
        <v>3827</v>
      </c>
      <c r="BW345" t="s">
        <v>3835</v>
      </c>
      <c r="BX345">
        <v>0</v>
      </c>
      <c r="BY345" t="s">
        <v>3867</v>
      </c>
      <c r="BZ345" t="s">
        <v>3871</v>
      </c>
    </row>
    <row r="346" spans="1:78" x14ac:dyDescent="0.25">
      <c r="A346" s="7" t="s">
        <v>1472</v>
      </c>
      <c r="B346" s="7" t="s">
        <v>181</v>
      </c>
      <c r="C346" s="7" t="s">
        <v>1470</v>
      </c>
      <c r="D346" s="8" t="s">
        <v>1471</v>
      </c>
      <c r="E346" s="7" t="s">
        <v>1473</v>
      </c>
      <c r="F346" s="9">
        <v>45075</v>
      </c>
      <c r="G346" s="9" t="s">
        <v>65</v>
      </c>
      <c r="H346" s="9" t="s">
        <v>66</v>
      </c>
      <c r="I346" s="8" t="s">
        <v>78</v>
      </c>
      <c r="J346" s="10">
        <v>848.2</v>
      </c>
      <c r="K346" s="10">
        <v>848.2</v>
      </c>
      <c r="L346" s="10">
        <f t="shared" si="144"/>
        <v>0</v>
      </c>
      <c r="M346" s="10">
        <v>391.27</v>
      </c>
      <c r="N346" s="10">
        <v>391.27</v>
      </c>
      <c r="O346" s="10">
        <f t="shared" si="145"/>
        <v>0</v>
      </c>
      <c r="P346" s="11">
        <v>9066.2296628153726</v>
      </c>
      <c r="Q346" s="11">
        <v>19653.886063332226</v>
      </c>
      <c r="R346" s="11">
        <v>22000</v>
      </c>
      <c r="S346" s="11">
        <v>7689976</v>
      </c>
      <c r="T346" s="11">
        <v>922800</v>
      </c>
      <c r="U346" s="12">
        <f t="shared" si="146"/>
        <v>0.12000037451352254</v>
      </c>
      <c r="V346" s="13">
        <f t="shared" si="170"/>
        <v>0</v>
      </c>
      <c r="W346" s="10">
        <f t="shared" si="147"/>
        <v>0</v>
      </c>
      <c r="X346" s="10"/>
      <c r="Y346" s="10"/>
      <c r="Z346" s="11">
        <f t="shared" si="148"/>
        <v>7689976</v>
      </c>
      <c r="AA346" s="14"/>
      <c r="AB346" s="14"/>
      <c r="AC346" s="11">
        <f t="shared" si="149"/>
        <v>7689976</v>
      </c>
      <c r="AD346" s="10">
        <f t="shared" si="150"/>
        <v>300</v>
      </c>
      <c r="AE346" s="15">
        <v>117381</v>
      </c>
      <c r="AF346" s="16">
        <v>21128</v>
      </c>
      <c r="AG346" s="15">
        <f t="shared" si="151"/>
        <v>0</v>
      </c>
      <c r="AH346" s="15">
        <f t="shared" si="152"/>
        <v>0</v>
      </c>
      <c r="AI346" s="15">
        <f t="shared" si="153"/>
        <v>117381</v>
      </c>
      <c r="AJ346" s="15">
        <f t="shared" si="154"/>
        <v>21129</v>
      </c>
      <c r="AK346" s="10">
        <v>117381</v>
      </c>
      <c r="AL346" s="15">
        <f t="shared" si="155"/>
        <v>117381</v>
      </c>
      <c r="AM346" s="15">
        <f t="shared" si="156"/>
        <v>7807357</v>
      </c>
      <c r="AN346" s="15">
        <f t="shared" si="157"/>
        <v>943929</v>
      </c>
      <c r="AO346" s="15">
        <f t="shared" si="162"/>
        <v>1062981</v>
      </c>
      <c r="AP346" s="17">
        <f t="shared" si="158"/>
        <v>8870338</v>
      </c>
      <c r="AQ346" s="15">
        <v>7227186</v>
      </c>
      <c r="AR346" s="15">
        <v>1671</v>
      </c>
      <c r="AS346" s="18">
        <f t="shared" si="163"/>
        <v>1643152</v>
      </c>
      <c r="AT346" s="19">
        <v>0</v>
      </c>
      <c r="AU346" s="8">
        <v>8800</v>
      </c>
      <c r="AV346" s="13">
        <f t="shared" si="164"/>
        <v>3443176</v>
      </c>
      <c r="AW346" s="18">
        <f t="shared" si="165"/>
        <v>7807357</v>
      </c>
      <c r="AX346" s="15">
        <f t="shared" si="159"/>
        <v>7808000</v>
      </c>
      <c r="AY346" s="20">
        <v>0.05</v>
      </c>
      <c r="AZ346" s="13">
        <f t="shared" si="160"/>
        <v>390400</v>
      </c>
      <c r="BA346" s="15">
        <f t="shared" si="161"/>
        <v>390400</v>
      </c>
      <c r="BB346" s="21">
        <f t="shared" si="166"/>
        <v>2033552</v>
      </c>
      <c r="BC346" s="10">
        <f t="shared" si="167"/>
        <v>0</v>
      </c>
      <c r="BD346" s="10">
        <f t="shared" si="168"/>
        <v>0</v>
      </c>
      <c r="BE346" s="10">
        <v>78.8</v>
      </c>
      <c r="BF346" s="10">
        <v>36.35</v>
      </c>
      <c r="BG346" s="107">
        <v>46176</v>
      </c>
      <c r="BH346" s="107">
        <f t="shared" si="142"/>
        <v>46206</v>
      </c>
      <c r="BI346" s="23">
        <v>5</v>
      </c>
      <c r="BJ346" s="6"/>
      <c r="BK346" s="6"/>
      <c r="BL346" s="24">
        <f>VLOOKUP(A346,[2]Sheet1!$D$2:$H$933,5,0)</f>
        <v>0</v>
      </c>
      <c r="BM346" s="6" t="s">
        <v>3828</v>
      </c>
      <c r="BN346" s="6" t="s">
        <v>3829</v>
      </c>
      <c r="BO346" s="6" t="s">
        <v>3820</v>
      </c>
      <c r="BP346" s="6" t="s">
        <v>3821</v>
      </c>
      <c r="BQ346" s="6" t="s">
        <v>3830</v>
      </c>
      <c r="BR346" t="s">
        <v>3823</v>
      </c>
      <c r="BS346" t="s">
        <v>3824</v>
      </c>
      <c r="BT346" t="s">
        <v>3825</v>
      </c>
      <c r="BU346" t="s">
        <v>3826</v>
      </c>
      <c r="BV346" t="s">
        <v>3827</v>
      </c>
      <c r="BW346" t="s">
        <v>3835</v>
      </c>
      <c r="BX346">
        <v>0</v>
      </c>
      <c r="BY346" t="s">
        <v>3868</v>
      </c>
      <c r="BZ346" t="s">
        <v>3860</v>
      </c>
    </row>
    <row r="347" spans="1:78" x14ac:dyDescent="0.25">
      <c r="A347" s="7" t="s">
        <v>1476</v>
      </c>
      <c r="B347" s="7" t="s">
        <v>181</v>
      </c>
      <c r="C347" s="7" t="s">
        <v>1474</v>
      </c>
      <c r="D347" s="8" t="s">
        <v>1475</v>
      </c>
      <c r="E347" s="7" t="s">
        <v>986</v>
      </c>
      <c r="F347" s="9">
        <v>44863</v>
      </c>
      <c r="G347" s="9" t="s">
        <v>527</v>
      </c>
      <c r="H347" s="9" t="s">
        <v>87</v>
      </c>
      <c r="I347" s="8" t="s">
        <v>78</v>
      </c>
      <c r="J347" s="10">
        <v>416.14</v>
      </c>
      <c r="K347" s="10">
        <v>416.14</v>
      </c>
      <c r="L347" s="10">
        <f t="shared" si="144"/>
        <v>0</v>
      </c>
      <c r="M347" s="10">
        <v>181.05</v>
      </c>
      <c r="N347" s="10">
        <v>181.05</v>
      </c>
      <c r="O347" s="10">
        <f t="shared" si="145"/>
        <v>0</v>
      </c>
      <c r="P347" s="11">
        <v>19142.170904022685</v>
      </c>
      <c r="Q347" s="11">
        <v>43997.917702292179</v>
      </c>
      <c r="R347" s="11">
        <v>40000</v>
      </c>
      <c r="S347" s="11">
        <v>7965823</v>
      </c>
      <c r="T347" s="11">
        <v>955898</v>
      </c>
      <c r="U347" s="12">
        <f t="shared" si="146"/>
        <v>0.11999990459240684</v>
      </c>
      <c r="V347" s="13">
        <f t="shared" si="170"/>
        <v>0</v>
      </c>
      <c r="W347" s="10">
        <f t="shared" si="147"/>
        <v>0</v>
      </c>
      <c r="X347" s="10"/>
      <c r="Y347" s="10"/>
      <c r="Z347" s="11">
        <f t="shared" si="148"/>
        <v>7965823</v>
      </c>
      <c r="AA347" s="14">
        <v>1974597</v>
      </c>
      <c r="AB347" s="14">
        <v>236952</v>
      </c>
      <c r="AC347" s="11">
        <f t="shared" si="149"/>
        <v>5991226</v>
      </c>
      <c r="AD347" s="10">
        <f t="shared" si="150"/>
        <v>300</v>
      </c>
      <c r="AE347" s="15">
        <v>54315</v>
      </c>
      <c r="AF347" s="16">
        <v>9776</v>
      </c>
      <c r="AG347" s="15">
        <f t="shared" si="151"/>
        <v>0</v>
      </c>
      <c r="AH347" s="15">
        <f t="shared" si="152"/>
        <v>0</v>
      </c>
      <c r="AI347" s="15">
        <f t="shared" si="153"/>
        <v>54315</v>
      </c>
      <c r="AJ347" s="15">
        <f t="shared" si="154"/>
        <v>9777</v>
      </c>
      <c r="AK347" s="10">
        <v>54315</v>
      </c>
      <c r="AL347" s="15">
        <f t="shared" si="155"/>
        <v>54315</v>
      </c>
      <c r="AM347" s="15">
        <f t="shared" si="156"/>
        <v>6045541</v>
      </c>
      <c r="AN347" s="15">
        <f t="shared" si="157"/>
        <v>728723</v>
      </c>
      <c r="AO347" s="15">
        <f t="shared" si="162"/>
        <v>784690.48</v>
      </c>
      <c r="AP347" s="17">
        <f t="shared" si="158"/>
        <v>6830231.4800000004</v>
      </c>
      <c r="AQ347" s="15">
        <v>5778884</v>
      </c>
      <c r="AR347" s="15">
        <v>1652.48</v>
      </c>
      <c r="AS347" s="18">
        <f t="shared" si="163"/>
        <v>1051347</v>
      </c>
      <c r="AT347" s="19">
        <v>0</v>
      </c>
      <c r="AU347" s="8">
        <v>8800</v>
      </c>
      <c r="AV347" s="13">
        <f t="shared" si="164"/>
        <v>1593240</v>
      </c>
      <c r="AW347" s="18">
        <f t="shared" si="165"/>
        <v>6045541</v>
      </c>
      <c r="AX347" s="15">
        <f t="shared" si="159"/>
        <v>6046000</v>
      </c>
      <c r="AY347" s="20">
        <v>0.06</v>
      </c>
      <c r="AZ347" s="13">
        <f t="shared" si="160"/>
        <v>362760</v>
      </c>
      <c r="BA347" s="15">
        <f t="shared" si="161"/>
        <v>362800</v>
      </c>
      <c r="BB347" s="21">
        <f t="shared" si="166"/>
        <v>1414147</v>
      </c>
      <c r="BC347" s="10">
        <f t="shared" si="167"/>
        <v>0</v>
      </c>
      <c r="BD347" s="10">
        <f t="shared" si="168"/>
        <v>0</v>
      </c>
      <c r="BE347" s="10">
        <v>38.659999999999997</v>
      </c>
      <c r="BF347" s="10">
        <v>16.82</v>
      </c>
      <c r="BG347" s="107">
        <v>46176</v>
      </c>
      <c r="BH347" s="107">
        <f t="shared" si="142"/>
        <v>46206</v>
      </c>
      <c r="BI347" s="23">
        <v>6</v>
      </c>
      <c r="BJ347" s="6"/>
      <c r="BK347" s="6"/>
      <c r="BL347" s="24">
        <f>VLOOKUP(A347,[2]Sheet1!$D$2:$H$933,5,0)</f>
        <v>0</v>
      </c>
      <c r="BM347" s="6" t="s">
        <v>3828</v>
      </c>
      <c r="BN347" s="6" t="s">
        <v>3829</v>
      </c>
      <c r="BO347" s="6" t="s">
        <v>3820</v>
      </c>
      <c r="BP347" s="6" t="s">
        <v>3821</v>
      </c>
      <c r="BQ347" s="6" t="s">
        <v>3830</v>
      </c>
      <c r="BR347" t="s">
        <v>3823</v>
      </c>
      <c r="BS347" t="s">
        <v>3824</v>
      </c>
      <c r="BT347" t="s">
        <v>3825</v>
      </c>
      <c r="BU347" t="s">
        <v>3826</v>
      </c>
      <c r="BV347" t="s">
        <v>3827</v>
      </c>
      <c r="BW347" t="s">
        <v>3835</v>
      </c>
      <c r="BX347">
        <v>0</v>
      </c>
      <c r="BY347" t="s">
        <v>3865</v>
      </c>
      <c r="BZ347" t="s">
        <v>3871</v>
      </c>
    </row>
    <row r="348" spans="1:78" x14ac:dyDescent="0.25">
      <c r="A348" s="7" t="s">
        <v>1479</v>
      </c>
      <c r="B348" s="7" t="s">
        <v>181</v>
      </c>
      <c r="C348" s="7" t="s">
        <v>1477</v>
      </c>
      <c r="D348" s="8" t="s">
        <v>1478</v>
      </c>
      <c r="E348" s="7" t="s">
        <v>1480</v>
      </c>
      <c r="F348" s="9">
        <v>44952</v>
      </c>
      <c r="G348" s="9" t="s">
        <v>404</v>
      </c>
      <c r="H348" s="9" t="s">
        <v>190</v>
      </c>
      <c r="I348" s="8" t="s">
        <v>78</v>
      </c>
      <c r="J348" s="10">
        <v>1227.0999999999999</v>
      </c>
      <c r="K348" s="10">
        <v>1227.0999999999999</v>
      </c>
      <c r="L348" s="10">
        <f t="shared" si="144"/>
        <v>0</v>
      </c>
      <c r="M348" s="10">
        <v>548.64</v>
      </c>
      <c r="N348" s="10">
        <v>548.64</v>
      </c>
      <c r="O348" s="10">
        <f t="shared" si="145"/>
        <v>0</v>
      </c>
      <c r="P348" s="11">
        <v>13150.000000000002</v>
      </c>
      <c r="Q348" s="11">
        <v>29411.572251385245</v>
      </c>
      <c r="R348" s="11">
        <v>60000</v>
      </c>
      <c r="S348" s="11">
        <v>16136365</v>
      </c>
      <c r="T348" s="11">
        <v>1936366</v>
      </c>
      <c r="U348" s="12">
        <f t="shared" si="146"/>
        <v>0.12000013633801665</v>
      </c>
      <c r="V348" s="13">
        <f t="shared" si="170"/>
        <v>0</v>
      </c>
      <c r="W348" s="10">
        <f t="shared" si="147"/>
        <v>0</v>
      </c>
      <c r="X348" s="10"/>
      <c r="Y348" s="10"/>
      <c r="Z348" s="11">
        <f t="shared" si="148"/>
        <v>16136365</v>
      </c>
      <c r="AA348" s="14"/>
      <c r="AB348" s="14"/>
      <c r="AC348" s="11">
        <f t="shared" si="149"/>
        <v>16136365</v>
      </c>
      <c r="AD348" s="10">
        <f t="shared" si="150"/>
        <v>300</v>
      </c>
      <c r="AE348" s="15">
        <v>164592</v>
      </c>
      <c r="AF348" s="16">
        <v>29626</v>
      </c>
      <c r="AG348" s="15">
        <f t="shared" si="151"/>
        <v>0</v>
      </c>
      <c r="AH348" s="15">
        <f t="shared" si="152"/>
        <v>0</v>
      </c>
      <c r="AI348" s="15">
        <f t="shared" si="153"/>
        <v>164592</v>
      </c>
      <c r="AJ348" s="15">
        <f t="shared" si="154"/>
        <v>29627</v>
      </c>
      <c r="AK348" s="10">
        <v>164592</v>
      </c>
      <c r="AL348" s="15">
        <f t="shared" si="155"/>
        <v>164592</v>
      </c>
      <c r="AM348" s="15">
        <f t="shared" si="156"/>
        <v>16300957</v>
      </c>
      <c r="AN348" s="15">
        <f t="shared" si="157"/>
        <v>1965993</v>
      </c>
      <c r="AO348" s="15">
        <f t="shared" si="162"/>
        <v>2132440</v>
      </c>
      <c r="AP348" s="17">
        <f t="shared" si="158"/>
        <v>18433397</v>
      </c>
      <c r="AQ348" s="15">
        <v>16121372</v>
      </c>
      <c r="AR348" s="15">
        <v>1855</v>
      </c>
      <c r="AS348" s="18">
        <f t="shared" si="163"/>
        <v>2312025</v>
      </c>
      <c r="AT348" s="19">
        <v>0</v>
      </c>
      <c r="AU348" s="8">
        <v>8800</v>
      </c>
      <c r="AV348" s="13">
        <f t="shared" si="164"/>
        <v>4828032</v>
      </c>
      <c r="AW348" s="18">
        <f t="shared" si="165"/>
        <v>16300957</v>
      </c>
      <c r="AX348" s="15">
        <f t="shared" si="159"/>
        <v>16301000</v>
      </c>
      <c r="AY348" s="20">
        <v>7.0000000000000007E-2</v>
      </c>
      <c r="AZ348" s="13">
        <f t="shared" si="160"/>
        <v>1141070</v>
      </c>
      <c r="BA348" s="15">
        <f t="shared" si="161"/>
        <v>1141100</v>
      </c>
      <c r="BB348" s="21">
        <f t="shared" si="166"/>
        <v>3453125</v>
      </c>
      <c r="BC348" s="10">
        <f t="shared" si="167"/>
        <v>0</v>
      </c>
      <c r="BD348" s="10">
        <f t="shared" si="168"/>
        <v>0</v>
      </c>
      <c r="BE348" s="10">
        <v>114</v>
      </c>
      <c r="BF348" s="10">
        <v>50.97</v>
      </c>
      <c r="BG348" s="107">
        <v>46176</v>
      </c>
      <c r="BH348" s="107">
        <f t="shared" si="142"/>
        <v>46206</v>
      </c>
      <c r="BI348" s="23">
        <v>7</v>
      </c>
      <c r="BJ348" s="6"/>
      <c r="BK348" s="6"/>
      <c r="BL348" s="24">
        <f>VLOOKUP(A348,[2]Sheet1!$D$2:$H$933,5,0)</f>
        <v>0</v>
      </c>
      <c r="BM348" s="6" t="s">
        <v>3828</v>
      </c>
      <c r="BN348" s="6" t="s">
        <v>3829</v>
      </c>
      <c r="BO348" s="6" t="s">
        <v>3820</v>
      </c>
      <c r="BP348" s="6" t="s">
        <v>3821</v>
      </c>
      <c r="BQ348" s="6" t="s">
        <v>3830</v>
      </c>
      <c r="BR348" t="s">
        <v>3823</v>
      </c>
      <c r="BS348" t="s">
        <v>3824</v>
      </c>
      <c r="BT348" t="s">
        <v>3825</v>
      </c>
      <c r="BU348" t="s">
        <v>3826</v>
      </c>
      <c r="BV348" t="s">
        <v>3827</v>
      </c>
      <c r="BW348" t="s">
        <v>3835</v>
      </c>
      <c r="BX348">
        <v>0</v>
      </c>
      <c r="BY348" t="s">
        <v>3865</v>
      </c>
      <c r="BZ348" t="s">
        <v>3863</v>
      </c>
    </row>
    <row r="349" spans="1:78" x14ac:dyDescent="0.25">
      <c r="A349" s="7" t="s">
        <v>1483</v>
      </c>
      <c r="B349" s="7" t="s">
        <v>181</v>
      </c>
      <c r="C349" s="7" t="s">
        <v>1481</v>
      </c>
      <c r="D349" s="8" t="s">
        <v>1482</v>
      </c>
      <c r="E349" s="7" t="s">
        <v>1484</v>
      </c>
      <c r="F349" s="9">
        <v>44905</v>
      </c>
      <c r="G349" s="9" t="s">
        <v>717</v>
      </c>
      <c r="H349" s="9" t="s">
        <v>92</v>
      </c>
      <c r="I349" s="8" t="s">
        <v>78</v>
      </c>
      <c r="J349" s="10">
        <v>1220.6400000000001</v>
      </c>
      <c r="K349" s="10">
        <v>1220.6400000000001</v>
      </c>
      <c r="L349" s="10">
        <f t="shared" si="144"/>
        <v>0</v>
      </c>
      <c r="M349" s="10">
        <v>557.58000000000004</v>
      </c>
      <c r="N349" s="10">
        <v>557.58000000000004</v>
      </c>
      <c r="O349" s="10">
        <f t="shared" si="145"/>
        <v>0</v>
      </c>
      <c r="P349" s="11">
        <v>20834.000196618166</v>
      </c>
      <c r="Q349" s="11">
        <v>45609.265038200792</v>
      </c>
      <c r="R349" s="11">
        <v>28000</v>
      </c>
      <c r="S349" s="11">
        <v>25430814</v>
      </c>
      <c r="T349" s="11">
        <v>3051698</v>
      </c>
      <c r="U349" s="12">
        <f t="shared" si="146"/>
        <v>0.12000001258315994</v>
      </c>
      <c r="V349" s="13">
        <f t="shared" si="170"/>
        <v>0</v>
      </c>
      <c r="W349" s="10">
        <f t="shared" si="147"/>
        <v>0</v>
      </c>
      <c r="X349" s="10"/>
      <c r="Y349" s="10"/>
      <c r="Z349" s="11">
        <f t="shared" si="148"/>
        <v>25430814</v>
      </c>
      <c r="AA349" s="14">
        <v>2408894</v>
      </c>
      <c r="AB349" s="14">
        <v>289068</v>
      </c>
      <c r="AC349" s="11">
        <f t="shared" si="149"/>
        <v>23021920</v>
      </c>
      <c r="AD349" s="10">
        <f t="shared" si="150"/>
        <v>300</v>
      </c>
      <c r="AE349" s="15">
        <v>167274</v>
      </c>
      <c r="AF349" s="16">
        <v>30110</v>
      </c>
      <c r="AG349" s="15">
        <f t="shared" si="151"/>
        <v>0</v>
      </c>
      <c r="AH349" s="15">
        <f t="shared" si="152"/>
        <v>0</v>
      </c>
      <c r="AI349" s="15">
        <f t="shared" si="153"/>
        <v>167274</v>
      </c>
      <c r="AJ349" s="15">
        <f t="shared" si="154"/>
        <v>30110</v>
      </c>
      <c r="AK349" s="10">
        <v>167274</v>
      </c>
      <c r="AL349" s="15">
        <f t="shared" si="155"/>
        <v>167274</v>
      </c>
      <c r="AM349" s="15">
        <f t="shared" si="156"/>
        <v>23189194</v>
      </c>
      <c r="AN349" s="15">
        <f t="shared" si="157"/>
        <v>2792740</v>
      </c>
      <c r="AO349" s="15">
        <f t="shared" si="162"/>
        <v>2961743</v>
      </c>
      <c r="AP349" s="17">
        <f t="shared" si="158"/>
        <v>26150937</v>
      </c>
      <c r="AQ349" s="15">
        <v>22608213.620000001</v>
      </c>
      <c r="AR349" s="15">
        <v>1729</v>
      </c>
      <c r="AS349" s="18">
        <f t="shared" si="163"/>
        <v>3542723</v>
      </c>
      <c r="AT349" s="19">
        <v>0</v>
      </c>
      <c r="AU349" s="8">
        <v>8800</v>
      </c>
      <c r="AV349" s="13">
        <f t="shared" si="164"/>
        <v>4906704</v>
      </c>
      <c r="AW349" s="18">
        <f t="shared" si="165"/>
        <v>23189194</v>
      </c>
      <c r="AX349" s="15">
        <f t="shared" si="159"/>
        <v>23190000</v>
      </c>
      <c r="AY349" s="20">
        <v>0.05</v>
      </c>
      <c r="AZ349" s="13">
        <f t="shared" si="160"/>
        <v>1159500</v>
      </c>
      <c r="BA349" s="15">
        <f t="shared" si="161"/>
        <v>1159500</v>
      </c>
      <c r="BB349" s="21">
        <f t="shared" si="166"/>
        <v>4702223</v>
      </c>
      <c r="BC349" s="10">
        <f t="shared" si="167"/>
        <v>0</v>
      </c>
      <c r="BD349" s="10">
        <f t="shared" si="168"/>
        <v>0</v>
      </c>
      <c r="BE349" s="10">
        <v>113.4</v>
      </c>
      <c r="BF349" s="10">
        <v>51.8</v>
      </c>
      <c r="BG349" s="107">
        <v>46176</v>
      </c>
      <c r="BH349" s="107">
        <f t="shared" si="142"/>
        <v>46206</v>
      </c>
      <c r="BI349" s="23">
        <v>5</v>
      </c>
      <c r="BJ349" s="6"/>
      <c r="BK349" s="6"/>
      <c r="BL349" s="24">
        <f>VLOOKUP(A349,[2]Sheet1!$D$2:$H$933,5,0)</f>
        <v>0</v>
      </c>
      <c r="BM349" s="6" t="s">
        <v>3828</v>
      </c>
      <c r="BN349" s="6" t="s">
        <v>3829</v>
      </c>
      <c r="BO349" s="6" t="s">
        <v>3820</v>
      </c>
      <c r="BP349" s="6" t="s">
        <v>3821</v>
      </c>
      <c r="BQ349" s="6" t="s">
        <v>3830</v>
      </c>
      <c r="BR349" t="s">
        <v>3823</v>
      </c>
      <c r="BS349" t="s">
        <v>3824</v>
      </c>
      <c r="BT349" t="s">
        <v>3825</v>
      </c>
      <c r="BU349" t="s">
        <v>3826</v>
      </c>
      <c r="BV349" t="s">
        <v>3827</v>
      </c>
      <c r="BW349" t="s">
        <v>3835</v>
      </c>
      <c r="BX349">
        <v>0</v>
      </c>
      <c r="BY349" t="s">
        <v>3867</v>
      </c>
      <c r="BZ349" t="s">
        <v>3872</v>
      </c>
    </row>
    <row r="350" spans="1:78" x14ac:dyDescent="0.25">
      <c r="A350" s="65" t="s">
        <v>1487</v>
      </c>
      <c r="B350" s="7" t="s">
        <v>181</v>
      </c>
      <c r="C350" s="7" t="s">
        <v>1485</v>
      </c>
      <c r="D350" s="8" t="s">
        <v>1486</v>
      </c>
      <c r="E350" s="7" t="s">
        <v>1488</v>
      </c>
      <c r="F350" s="9">
        <v>45069</v>
      </c>
      <c r="G350" s="9" t="s">
        <v>404</v>
      </c>
      <c r="H350" s="9" t="s">
        <v>87</v>
      </c>
      <c r="I350" s="8" t="s">
        <v>78</v>
      </c>
      <c r="J350" s="10">
        <v>608.6</v>
      </c>
      <c r="K350" s="10">
        <v>608.6</v>
      </c>
      <c r="L350" s="10">
        <f t="shared" si="144"/>
        <v>0</v>
      </c>
      <c r="M350" s="10">
        <v>277.70999999999998</v>
      </c>
      <c r="N350" s="10">
        <v>277.70999999999998</v>
      </c>
      <c r="O350" s="10">
        <f t="shared" si="145"/>
        <v>0</v>
      </c>
      <c r="P350" s="11">
        <v>16400</v>
      </c>
      <c r="Q350" s="11">
        <v>35940.513485290416</v>
      </c>
      <c r="R350" s="11">
        <v>40000</v>
      </c>
      <c r="S350" s="11">
        <v>9981040</v>
      </c>
      <c r="T350" s="11">
        <v>1197724</v>
      </c>
      <c r="U350" s="12">
        <f t="shared" si="146"/>
        <v>0.11999991984803186</v>
      </c>
      <c r="V350" s="13">
        <f t="shared" si="170"/>
        <v>0</v>
      </c>
      <c r="W350" s="10">
        <f t="shared" si="147"/>
        <v>0</v>
      </c>
      <c r="X350" s="10"/>
      <c r="Y350" s="10"/>
      <c r="Z350" s="11">
        <f t="shared" si="148"/>
        <v>9981040</v>
      </c>
      <c r="AA350" s="14"/>
      <c r="AB350" s="14"/>
      <c r="AC350" s="11">
        <f t="shared" si="149"/>
        <v>9981040</v>
      </c>
      <c r="AD350" s="10">
        <f t="shared" si="150"/>
        <v>300</v>
      </c>
      <c r="AE350" s="15">
        <v>83313</v>
      </c>
      <c r="AF350" s="16">
        <v>14996</v>
      </c>
      <c r="AG350" s="15">
        <f t="shared" si="151"/>
        <v>0</v>
      </c>
      <c r="AH350" s="15">
        <f t="shared" si="152"/>
        <v>0</v>
      </c>
      <c r="AI350" s="15">
        <f t="shared" si="153"/>
        <v>83313</v>
      </c>
      <c r="AJ350" s="15">
        <f t="shared" si="154"/>
        <v>14997</v>
      </c>
      <c r="AK350" s="10">
        <v>83313</v>
      </c>
      <c r="AL350" s="15">
        <f t="shared" si="155"/>
        <v>83313</v>
      </c>
      <c r="AM350" s="15">
        <f t="shared" si="156"/>
        <v>10064353</v>
      </c>
      <c r="AN350" s="15">
        <f t="shared" si="157"/>
        <v>1212721</v>
      </c>
      <c r="AO350" s="15">
        <f t="shared" si="162"/>
        <v>1297821.8</v>
      </c>
      <c r="AP350" s="17">
        <f t="shared" si="158"/>
        <v>11362174.800000001</v>
      </c>
      <c r="AQ350" s="15">
        <v>9971059</v>
      </c>
      <c r="AR350" s="15">
        <v>1787.8</v>
      </c>
      <c r="AS350" s="18">
        <f t="shared" si="163"/>
        <v>1391116</v>
      </c>
      <c r="AT350" s="19">
        <v>0</v>
      </c>
      <c r="AU350" s="8">
        <v>8800</v>
      </c>
      <c r="AV350" s="13">
        <f t="shared" si="164"/>
        <v>2443848</v>
      </c>
      <c r="AW350" s="18">
        <f t="shared" si="165"/>
        <v>10064353</v>
      </c>
      <c r="AX350" s="15">
        <f t="shared" si="159"/>
        <v>10065000</v>
      </c>
      <c r="AY350" s="20">
        <v>0.05</v>
      </c>
      <c r="AZ350" s="13">
        <f t="shared" si="160"/>
        <v>503250</v>
      </c>
      <c r="BA350" s="15">
        <f t="shared" si="161"/>
        <v>503300</v>
      </c>
      <c r="BB350" s="21">
        <f t="shared" si="166"/>
        <v>1894416</v>
      </c>
      <c r="BC350" s="10">
        <f t="shared" si="167"/>
        <v>0</v>
      </c>
      <c r="BD350" s="10">
        <f t="shared" si="168"/>
        <v>0</v>
      </c>
      <c r="BE350" s="10">
        <v>56.54</v>
      </c>
      <c r="BF350" s="10">
        <v>25.8</v>
      </c>
      <c r="BG350" s="107">
        <v>46176</v>
      </c>
      <c r="BH350" s="107">
        <f t="shared" si="142"/>
        <v>46206</v>
      </c>
      <c r="BI350" s="23">
        <v>5</v>
      </c>
      <c r="BJ350" s="6"/>
      <c r="BK350" s="6"/>
      <c r="BL350" s="24">
        <f>VLOOKUP(A350,[2]Sheet1!$D$2:$H$933,5,0)</f>
        <v>0</v>
      </c>
      <c r="BM350" s="6" t="s">
        <v>3828</v>
      </c>
      <c r="BN350" s="6" t="s">
        <v>3829</v>
      </c>
      <c r="BO350" s="6" t="s">
        <v>3820</v>
      </c>
      <c r="BP350" s="6" t="s">
        <v>3821</v>
      </c>
      <c r="BQ350" s="6" t="s">
        <v>3830</v>
      </c>
      <c r="BR350" t="s">
        <v>3823</v>
      </c>
      <c r="BS350" t="s">
        <v>3824</v>
      </c>
      <c r="BT350" t="s">
        <v>3825</v>
      </c>
      <c r="BU350" t="s">
        <v>3826</v>
      </c>
      <c r="BV350" t="s">
        <v>3827</v>
      </c>
      <c r="BW350" t="s">
        <v>3835</v>
      </c>
      <c r="BX350">
        <v>0</v>
      </c>
      <c r="BY350" t="s">
        <v>3859</v>
      </c>
      <c r="BZ350" t="s">
        <v>3863</v>
      </c>
    </row>
    <row r="351" spans="1:78" x14ac:dyDescent="0.25">
      <c r="A351" s="7" t="s">
        <v>1491</v>
      </c>
      <c r="B351" s="7" t="s">
        <v>181</v>
      </c>
      <c r="C351" s="7" t="s">
        <v>1489</v>
      </c>
      <c r="D351" s="8" t="s">
        <v>1490</v>
      </c>
      <c r="E351" s="7" t="s">
        <v>1492</v>
      </c>
      <c r="F351" s="9">
        <v>45003</v>
      </c>
      <c r="G351" s="9" t="s">
        <v>363</v>
      </c>
      <c r="H351" s="9" t="s">
        <v>87</v>
      </c>
      <c r="I351" s="8" t="s">
        <v>67</v>
      </c>
      <c r="J351" s="10">
        <v>208.1</v>
      </c>
      <c r="K351" s="10">
        <v>208.1</v>
      </c>
      <c r="L351" s="10">
        <f t="shared" si="144"/>
        <v>0</v>
      </c>
      <c r="M351" s="10">
        <v>80.510000000000005</v>
      </c>
      <c r="N351" s="10">
        <v>80.510000000000005</v>
      </c>
      <c r="O351" s="10">
        <f t="shared" si="145"/>
        <v>0</v>
      </c>
      <c r="P351" s="11">
        <v>19030.999519461799</v>
      </c>
      <c r="Q351" s="11">
        <v>49190.79617438827</v>
      </c>
      <c r="R351" s="11">
        <v>40000</v>
      </c>
      <c r="S351" s="11">
        <v>3960351</v>
      </c>
      <c r="T351" s="11">
        <v>475244</v>
      </c>
      <c r="U351" s="12">
        <f t="shared" si="146"/>
        <v>0.12000047470539858</v>
      </c>
      <c r="V351" s="13">
        <f t="shared" si="170"/>
        <v>0</v>
      </c>
      <c r="W351" s="10">
        <f t="shared" si="147"/>
        <v>0</v>
      </c>
      <c r="X351" s="10"/>
      <c r="Y351" s="10"/>
      <c r="Z351" s="11">
        <f t="shared" si="148"/>
        <v>3960351</v>
      </c>
      <c r="AA351" s="14"/>
      <c r="AB351" s="14"/>
      <c r="AC351" s="11">
        <f t="shared" si="149"/>
        <v>3960351</v>
      </c>
      <c r="AD351" s="10">
        <f t="shared" si="150"/>
        <v>300</v>
      </c>
      <c r="AE351" s="15">
        <v>24153</v>
      </c>
      <c r="AF351" s="16">
        <v>4348</v>
      </c>
      <c r="AG351" s="15">
        <f t="shared" si="151"/>
        <v>0</v>
      </c>
      <c r="AH351" s="15">
        <f t="shared" si="152"/>
        <v>0</v>
      </c>
      <c r="AI351" s="15">
        <f t="shared" si="153"/>
        <v>24153</v>
      </c>
      <c r="AJ351" s="15">
        <f t="shared" si="154"/>
        <v>4348</v>
      </c>
      <c r="AK351" s="10">
        <v>24153</v>
      </c>
      <c r="AL351" s="15">
        <f t="shared" si="155"/>
        <v>24153</v>
      </c>
      <c r="AM351" s="15">
        <f t="shared" si="156"/>
        <v>3984504</v>
      </c>
      <c r="AN351" s="15">
        <f t="shared" si="157"/>
        <v>479592</v>
      </c>
      <c r="AO351" s="15">
        <f t="shared" si="162"/>
        <v>505396</v>
      </c>
      <c r="AP351" s="17">
        <f t="shared" si="158"/>
        <v>4489900</v>
      </c>
      <c r="AQ351" s="15">
        <v>3992113</v>
      </c>
      <c r="AR351" s="15">
        <v>1651</v>
      </c>
      <c r="AS351" s="18">
        <f t="shared" si="163"/>
        <v>497787</v>
      </c>
      <c r="AT351" s="19">
        <v>0</v>
      </c>
      <c r="AU351" s="8">
        <v>8800</v>
      </c>
      <c r="AV351" s="13">
        <f t="shared" si="164"/>
        <v>708488</v>
      </c>
      <c r="AW351" s="18">
        <f t="shared" si="165"/>
        <v>3984504</v>
      </c>
      <c r="AX351" s="15">
        <f t="shared" si="159"/>
        <v>3985000</v>
      </c>
      <c r="AY351" s="20">
        <v>0.05</v>
      </c>
      <c r="AZ351" s="13">
        <f t="shared" si="160"/>
        <v>199250</v>
      </c>
      <c r="BA351" s="15">
        <f t="shared" si="161"/>
        <v>199300</v>
      </c>
      <c r="BB351" s="21">
        <f t="shared" si="166"/>
        <v>697087</v>
      </c>
      <c r="BC351" s="10">
        <f t="shared" si="167"/>
        <v>0</v>
      </c>
      <c r="BD351" s="10">
        <f t="shared" si="168"/>
        <v>0</v>
      </c>
      <c r="BE351" s="10">
        <v>19.329999999999998</v>
      </c>
      <c r="BF351" s="10">
        <v>7.48</v>
      </c>
      <c r="BG351" s="107">
        <v>46176</v>
      </c>
      <c r="BH351" s="107">
        <f t="shared" si="142"/>
        <v>46206</v>
      </c>
      <c r="BI351" s="23">
        <v>5</v>
      </c>
      <c r="BJ351" s="6"/>
      <c r="BK351" s="6"/>
      <c r="BL351" s="24">
        <f>VLOOKUP(A351,[2]Sheet1!$D$2:$H$933,5,0)</f>
        <v>0</v>
      </c>
      <c r="BM351" s="6" t="s">
        <v>3828</v>
      </c>
      <c r="BN351" s="6" t="s">
        <v>3829</v>
      </c>
      <c r="BO351" s="6" t="s">
        <v>3820</v>
      </c>
      <c r="BP351" s="6" t="s">
        <v>3821</v>
      </c>
      <c r="BQ351" s="6" t="s">
        <v>3830</v>
      </c>
      <c r="BR351" t="s">
        <v>3823</v>
      </c>
      <c r="BS351" t="s">
        <v>3824</v>
      </c>
      <c r="BT351" t="s">
        <v>3825</v>
      </c>
      <c r="BU351" t="s">
        <v>3826</v>
      </c>
      <c r="BV351" t="s">
        <v>3827</v>
      </c>
      <c r="BW351" t="s">
        <v>3835</v>
      </c>
      <c r="BX351">
        <v>0</v>
      </c>
      <c r="BY351" t="s">
        <v>3866</v>
      </c>
      <c r="BZ351" t="s">
        <v>3860</v>
      </c>
    </row>
    <row r="352" spans="1:78" x14ac:dyDescent="0.25">
      <c r="A352" s="7" t="s">
        <v>1495</v>
      </c>
      <c r="B352" s="7" t="s">
        <v>181</v>
      </c>
      <c r="C352" s="7" t="s">
        <v>1493</v>
      </c>
      <c r="D352" s="8" t="s">
        <v>1494</v>
      </c>
      <c r="E352" s="7" t="s">
        <v>1496</v>
      </c>
      <c r="F352" s="9">
        <v>45010</v>
      </c>
      <c r="G352" s="9" t="s">
        <v>404</v>
      </c>
      <c r="H352" s="9" t="s">
        <v>92</v>
      </c>
      <c r="I352" s="8" t="s">
        <v>78</v>
      </c>
      <c r="J352" s="10">
        <v>602.78</v>
      </c>
      <c r="K352" s="10">
        <v>602.78</v>
      </c>
      <c r="L352" s="10">
        <f t="shared" si="144"/>
        <v>0</v>
      </c>
      <c r="M352" s="10">
        <v>266.95</v>
      </c>
      <c r="N352" s="10">
        <v>266.95</v>
      </c>
      <c r="O352" s="10">
        <f t="shared" si="145"/>
        <v>0</v>
      </c>
      <c r="P352" s="11">
        <v>15852.99943594678</v>
      </c>
      <c r="Q352" s="11">
        <v>35796.482487357185</v>
      </c>
      <c r="R352" s="11">
        <v>28000</v>
      </c>
      <c r="S352" s="11">
        <v>9555871</v>
      </c>
      <c r="T352" s="11">
        <v>1146704</v>
      </c>
      <c r="U352" s="12">
        <f t="shared" si="146"/>
        <v>0.11999994558319174</v>
      </c>
      <c r="V352" s="13">
        <f t="shared" si="170"/>
        <v>0</v>
      </c>
      <c r="W352" s="10">
        <f t="shared" si="147"/>
        <v>0</v>
      </c>
      <c r="X352" s="10"/>
      <c r="Y352" s="10"/>
      <c r="Z352" s="11">
        <f t="shared" si="148"/>
        <v>9555871</v>
      </c>
      <c r="AA352" s="14"/>
      <c r="AB352" s="14"/>
      <c r="AC352" s="11">
        <f t="shared" si="149"/>
        <v>9555871</v>
      </c>
      <c r="AD352" s="10">
        <f t="shared" si="150"/>
        <v>300</v>
      </c>
      <c r="AE352" s="15">
        <v>80085</v>
      </c>
      <c r="AF352" s="16">
        <v>14416</v>
      </c>
      <c r="AG352" s="15">
        <f t="shared" si="151"/>
        <v>0</v>
      </c>
      <c r="AH352" s="15">
        <f t="shared" si="152"/>
        <v>0</v>
      </c>
      <c r="AI352" s="15">
        <f t="shared" si="153"/>
        <v>80085</v>
      </c>
      <c r="AJ352" s="15">
        <f t="shared" si="154"/>
        <v>14416</v>
      </c>
      <c r="AK352" s="10">
        <v>80085</v>
      </c>
      <c r="AL352" s="15">
        <f t="shared" si="155"/>
        <v>80085</v>
      </c>
      <c r="AM352" s="15">
        <f t="shared" si="156"/>
        <v>9635956</v>
      </c>
      <c r="AN352" s="15">
        <f t="shared" si="157"/>
        <v>1161120</v>
      </c>
      <c r="AO352" s="15">
        <f t="shared" si="162"/>
        <v>1242971</v>
      </c>
      <c r="AP352" s="17">
        <f t="shared" si="158"/>
        <v>10878927</v>
      </c>
      <c r="AQ352" s="15">
        <v>9581668.5399999991</v>
      </c>
      <c r="AR352" s="15">
        <v>1766</v>
      </c>
      <c r="AS352" s="18">
        <f t="shared" si="163"/>
        <v>1297258</v>
      </c>
      <c r="AT352" s="19">
        <v>0</v>
      </c>
      <c r="AU352" s="8">
        <v>8800</v>
      </c>
      <c r="AV352" s="13">
        <f t="shared" si="164"/>
        <v>2349160</v>
      </c>
      <c r="AW352" s="18">
        <f t="shared" si="165"/>
        <v>9635956</v>
      </c>
      <c r="AX352" s="15">
        <f t="shared" si="159"/>
        <v>9636000</v>
      </c>
      <c r="AY352" s="20">
        <v>0.05</v>
      </c>
      <c r="AZ352" s="13">
        <f t="shared" si="160"/>
        <v>481800</v>
      </c>
      <c r="BA352" s="15">
        <f t="shared" si="161"/>
        <v>481800</v>
      </c>
      <c r="BB352" s="21">
        <f t="shared" si="166"/>
        <v>1779058</v>
      </c>
      <c r="BC352" s="10">
        <f t="shared" si="167"/>
        <v>0</v>
      </c>
      <c r="BD352" s="10">
        <f t="shared" si="168"/>
        <v>0</v>
      </c>
      <c r="BE352" s="10">
        <v>56</v>
      </c>
      <c r="BF352" s="10">
        <v>24.8</v>
      </c>
      <c r="BG352" s="107">
        <v>46176</v>
      </c>
      <c r="BH352" s="107">
        <f t="shared" si="142"/>
        <v>46206</v>
      </c>
      <c r="BI352" s="23">
        <v>5</v>
      </c>
      <c r="BJ352" s="6"/>
      <c r="BK352" s="6"/>
      <c r="BL352" s="24">
        <f>VLOOKUP(A352,[2]Sheet1!$D$2:$H$933,5,0)</f>
        <v>0</v>
      </c>
      <c r="BM352" s="6" t="s">
        <v>3828</v>
      </c>
      <c r="BN352" s="6" t="s">
        <v>3829</v>
      </c>
      <c r="BO352" s="6" t="s">
        <v>3820</v>
      </c>
      <c r="BP352" s="6" t="s">
        <v>3821</v>
      </c>
      <c r="BQ352" s="6" t="s">
        <v>3830</v>
      </c>
      <c r="BR352" t="s">
        <v>3823</v>
      </c>
      <c r="BS352" t="s">
        <v>3824</v>
      </c>
      <c r="BT352" t="s">
        <v>3825</v>
      </c>
      <c r="BU352" t="s">
        <v>3826</v>
      </c>
      <c r="BV352" t="s">
        <v>3827</v>
      </c>
      <c r="BW352" t="s">
        <v>3835</v>
      </c>
      <c r="BX352">
        <v>0</v>
      </c>
      <c r="BY352" t="s">
        <v>3861</v>
      </c>
      <c r="BZ352" t="s">
        <v>3863</v>
      </c>
    </row>
    <row r="353" spans="1:78" x14ac:dyDescent="0.25">
      <c r="A353" s="7" t="s">
        <v>1499</v>
      </c>
      <c r="B353" s="7" t="s">
        <v>181</v>
      </c>
      <c r="C353" s="7" t="s">
        <v>1497</v>
      </c>
      <c r="D353" s="8" t="s">
        <v>1498</v>
      </c>
      <c r="E353" s="7" t="s">
        <v>1500</v>
      </c>
      <c r="F353" s="9">
        <v>45048</v>
      </c>
      <c r="G353" s="9" t="s">
        <v>363</v>
      </c>
      <c r="H353" s="9" t="s">
        <v>92</v>
      </c>
      <c r="I353" s="8" t="s">
        <v>78</v>
      </c>
      <c r="J353" s="10">
        <v>697.51</v>
      </c>
      <c r="K353" s="10">
        <v>697.51</v>
      </c>
      <c r="L353" s="10">
        <f t="shared" si="144"/>
        <v>0</v>
      </c>
      <c r="M353" s="10">
        <v>317.54000000000002</v>
      </c>
      <c r="N353" s="10">
        <v>317.54000000000002</v>
      </c>
      <c r="O353" s="10">
        <f t="shared" si="145"/>
        <v>0</v>
      </c>
      <c r="P353" s="11">
        <v>13680.000286734241</v>
      </c>
      <c r="Q353" s="11">
        <v>30049.55911066322</v>
      </c>
      <c r="R353" s="11">
        <v>28000</v>
      </c>
      <c r="S353" s="11">
        <v>9541937</v>
      </c>
      <c r="T353" s="11">
        <v>1145034</v>
      </c>
      <c r="U353" s="12">
        <f t="shared" si="146"/>
        <v>0.12000016348881784</v>
      </c>
      <c r="V353" s="13">
        <f t="shared" si="170"/>
        <v>0</v>
      </c>
      <c r="W353" s="10">
        <f t="shared" si="147"/>
        <v>0</v>
      </c>
      <c r="X353" s="10"/>
      <c r="Y353" s="10"/>
      <c r="Z353" s="11">
        <f t="shared" si="148"/>
        <v>9541937</v>
      </c>
      <c r="AA353" s="14"/>
      <c r="AB353" s="14"/>
      <c r="AC353" s="11">
        <f t="shared" si="149"/>
        <v>9541937</v>
      </c>
      <c r="AD353" s="10">
        <f t="shared" si="150"/>
        <v>300</v>
      </c>
      <c r="AE353" s="15">
        <v>95262</v>
      </c>
      <c r="AF353" s="16">
        <v>17148</v>
      </c>
      <c r="AG353" s="15">
        <f t="shared" si="151"/>
        <v>0</v>
      </c>
      <c r="AH353" s="15">
        <f t="shared" si="152"/>
        <v>0</v>
      </c>
      <c r="AI353" s="15">
        <f t="shared" si="153"/>
        <v>95262</v>
      </c>
      <c r="AJ353" s="15">
        <f t="shared" si="154"/>
        <v>17148</v>
      </c>
      <c r="AK353" s="10">
        <v>95262</v>
      </c>
      <c r="AL353" s="15">
        <f t="shared" si="155"/>
        <v>95262</v>
      </c>
      <c r="AM353" s="15">
        <f t="shared" si="156"/>
        <v>9637199</v>
      </c>
      <c r="AN353" s="15">
        <f t="shared" si="157"/>
        <v>1162182</v>
      </c>
      <c r="AO353" s="15">
        <f t="shared" si="162"/>
        <v>1259211</v>
      </c>
      <c r="AP353" s="17">
        <f t="shared" si="158"/>
        <v>10896410</v>
      </c>
      <c r="AQ353" s="15">
        <v>9618274</v>
      </c>
      <c r="AR353" s="15">
        <v>1767</v>
      </c>
      <c r="AS353" s="18">
        <f t="shared" si="163"/>
        <v>1278136</v>
      </c>
      <c r="AT353" s="19">
        <v>0</v>
      </c>
      <c r="AU353" s="8">
        <v>8800</v>
      </c>
      <c r="AV353" s="13">
        <f t="shared" si="164"/>
        <v>2794352</v>
      </c>
      <c r="AW353" s="18">
        <f t="shared" si="165"/>
        <v>9637199</v>
      </c>
      <c r="AX353" s="15">
        <f t="shared" si="159"/>
        <v>9638000</v>
      </c>
      <c r="AY353" s="20">
        <v>0.05</v>
      </c>
      <c r="AZ353" s="13">
        <f t="shared" si="160"/>
        <v>481900</v>
      </c>
      <c r="BA353" s="15">
        <f t="shared" si="161"/>
        <v>481900</v>
      </c>
      <c r="BB353" s="21">
        <f t="shared" si="166"/>
        <v>1760036</v>
      </c>
      <c r="BC353" s="10">
        <f t="shared" si="167"/>
        <v>0</v>
      </c>
      <c r="BD353" s="10">
        <f t="shared" si="168"/>
        <v>0</v>
      </c>
      <c r="BE353" s="10">
        <v>64.8</v>
      </c>
      <c r="BF353" s="10">
        <v>29.5</v>
      </c>
      <c r="BG353" s="107">
        <v>46176</v>
      </c>
      <c r="BH353" s="107">
        <f t="shared" si="142"/>
        <v>46206</v>
      </c>
      <c r="BI353" s="23">
        <v>5</v>
      </c>
      <c r="BJ353" s="6"/>
      <c r="BK353" s="6"/>
      <c r="BL353" s="24">
        <f>VLOOKUP(A353,[2]Sheet1!$D$2:$H$933,5,0)</f>
        <v>0</v>
      </c>
      <c r="BM353" s="6" t="s">
        <v>3828</v>
      </c>
      <c r="BN353" s="6" t="s">
        <v>3829</v>
      </c>
      <c r="BO353" s="6" t="s">
        <v>3820</v>
      </c>
      <c r="BP353" s="6" t="s">
        <v>3821</v>
      </c>
      <c r="BQ353" s="6" t="s">
        <v>3830</v>
      </c>
      <c r="BR353" t="s">
        <v>3823</v>
      </c>
      <c r="BS353" t="s">
        <v>3824</v>
      </c>
      <c r="BT353" t="s">
        <v>3825</v>
      </c>
      <c r="BU353" t="s">
        <v>3826</v>
      </c>
      <c r="BV353" t="s">
        <v>3827</v>
      </c>
      <c r="BW353" t="s">
        <v>3835</v>
      </c>
      <c r="BX353">
        <v>0</v>
      </c>
      <c r="BY353" t="s">
        <v>3862</v>
      </c>
      <c r="BZ353" t="s">
        <v>3860</v>
      </c>
    </row>
    <row r="354" spans="1:78" x14ac:dyDescent="0.25">
      <c r="A354" s="48" t="s">
        <v>1503</v>
      </c>
      <c r="B354" s="48" t="s">
        <v>181</v>
      </c>
      <c r="C354" s="48" t="s">
        <v>1501</v>
      </c>
      <c r="D354" s="49" t="s">
        <v>1502</v>
      </c>
      <c r="E354" s="48" t="s">
        <v>1504</v>
      </c>
      <c r="F354" s="50">
        <v>44896</v>
      </c>
      <c r="G354" s="50" t="s">
        <v>527</v>
      </c>
      <c r="H354" s="50" t="s">
        <v>66</v>
      </c>
      <c r="I354" s="49" t="s">
        <v>67</v>
      </c>
      <c r="J354" s="51">
        <v>281.06</v>
      </c>
      <c r="K354" s="51">
        <v>281.06</v>
      </c>
      <c r="L354" s="51">
        <f t="shared" si="144"/>
        <v>0</v>
      </c>
      <c r="M354" s="51">
        <v>114.1</v>
      </c>
      <c r="N354" s="51">
        <v>114.1</v>
      </c>
      <c r="O354" s="51">
        <f t="shared" si="145"/>
        <v>0</v>
      </c>
      <c r="P354" s="52">
        <v>13206.422116274105</v>
      </c>
      <c r="Q354" s="52">
        <v>32531.086765994743</v>
      </c>
      <c r="R354" s="52">
        <v>22000</v>
      </c>
      <c r="S354" s="52">
        <v>3711797</v>
      </c>
      <c r="T354" s="52">
        <v>445416</v>
      </c>
      <c r="U354" s="53">
        <f t="shared" si="146"/>
        <v>0.12000009698806266</v>
      </c>
      <c r="V354" s="54">
        <f t="shared" si="170"/>
        <v>0</v>
      </c>
      <c r="W354" s="51">
        <f t="shared" si="147"/>
        <v>0</v>
      </c>
      <c r="X354" s="51"/>
      <c r="Y354" s="51"/>
      <c r="Z354" s="52">
        <f t="shared" si="148"/>
        <v>3711797</v>
      </c>
      <c r="AA354" s="56">
        <v>490749</v>
      </c>
      <c r="AB354" s="56">
        <v>58890</v>
      </c>
      <c r="AC354" s="52">
        <f t="shared" si="149"/>
        <v>3221048</v>
      </c>
      <c r="AD354" s="51">
        <f t="shared" si="150"/>
        <v>300</v>
      </c>
      <c r="AE354" s="55">
        <v>34230</v>
      </c>
      <c r="AF354" s="57">
        <v>6162</v>
      </c>
      <c r="AG354" s="55">
        <f t="shared" si="151"/>
        <v>0</v>
      </c>
      <c r="AH354" s="55">
        <f t="shared" si="152"/>
        <v>0</v>
      </c>
      <c r="AI354" s="55">
        <f t="shared" si="153"/>
        <v>34230</v>
      </c>
      <c r="AJ354" s="55">
        <f t="shared" si="154"/>
        <v>6162</v>
      </c>
      <c r="AK354" s="51">
        <v>34230</v>
      </c>
      <c r="AL354" s="55">
        <f t="shared" si="155"/>
        <v>34230</v>
      </c>
      <c r="AM354" s="15">
        <f t="shared" si="156"/>
        <v>3255278</v>
      </c>
      <c r="AN354" s="15">
        <f t="shared" si="157"/>
        <v>392688</v>
      </c>
      <c r="AO354" s="55">
        <f t="shared" si="162"/>
        <v>426918</v>
      </c>
      <c r="AP354" s="58">
        <f t="shared" si="158"/>
        <v>3682196</v>
      </c>
      <c r="AQ354" s="55">
        <v>3191853</v>
      </c>
      <c r="AR354" s="15">
        <v>0</v>
      </c>
      <c r="AS354" s="18">
        <f t="shared" si="163"/>
        <v>490343</v>
      </c>
      <c r="AT354" s="60">
        <v>0</v>
      </c>
      <c r="AU354" s="49">
        <v>8800</v>
      </c>
      <c r="AV354" s="54">
        <f t="shared" si="164"/>
        <v>1004080</v>
      </c>
      <c r="AW354" s="59">
        <f t="shared" si="165"/>
        <v>3255278</v>
      </c>
      <c r="AX354" s="55">
        <f t="shared" si="159"/>
        <v>3256000</v>
      </c>
      <c r="AY354" s="61">
        <v>0.05</v>
      </c>
      <c r="AZ354" s="54">
        <f t="shared" si="160"/>
        <v>162800</v>
      </c>
      <c r="BA354" s="55">
        <f t="shared" si="161"/>
        <v>162800</v>
      </c>
      <c r="BB354" s="62">
        <f t="shared" si="166"/>
        <v>653143</v>
      </c>
      <c r="BC354" s="51">
        <f t="shared" si="167"/>
        <v>0</v>
      </c>
      <c r="BD354" s="51">
        <f t="shared" si="168"/>
        <v>0</v>
      </c>
      <c r="BE354" s="51">
        <v>26.11</v>
      </c>
      <c r="BF354" s="51">
        <v>10.6</v>
      </c>
      <c r="BG354" s="107">
        <v>46176</v>
      </c>
      <c r="BH354" s="109">
        <f t="shared" si="142"/>
        <v>46206</v>
      </c>
      <c r="BI354" s="63">
        <v>5</v>
      </c>
      <c r="BJ354" s="24" t="s">
        <v>350</v>
      </c>
      <c r="BK354" s="6"/>
      <c r="BL354" s="24">
        <f>VLOOKUP(A354,[2]Sheet1!$D$2:$H$933,5,0)</f>
        <v>0</v>
      </c>
      <c r="BM354" s="6" t="s">
        <v>3828</v>
      </c>
      <c r="BN354" s="6" t="s">
        <v>3829</v>
      </c>
      <c r="BO354" s="6" t="s">
        <v>3820</v>
      </c>
      <c r="BP354" s="6" t="s">
        <v>3821</v>
      </c>
      <c r="BQ354" s="6" t="s">
        <v>3830</v>
      </c>
      <c r="BR354" t="s">
        <v>3823</v>
      </c>
      <c r="BS354" t="s">
        <v>3824</v>
      </c>
      <c r="BT354" t="s">
        <v>3825</v>
      </c>
      <c r="BU354" t="s">
        <v>3826</v>
      </c>
      <c r="BV354" t="s">
        <v>3827</v>
      </c>
      <c r="BW354" t="s">
        <v>3835</v>
      </c>
      <c r="BX354">
        <v>0</v>
      </c>
      <c r="BY354" t="s">
        <v>3866</v>
      </c>
      <c r="BZ354" t="s">
        <v>3871</v>
      </c>
    </row>
    <row r="355" spans="1:78" x14ac:dyDescent="0.25">
      <c r="A355" s="7" t="s">
        <v>1507</v>
      </c>
      <c r="B355" s="7" t="s">
        <v>181</v>
      </c>
      <c r="C355" s="7" t="s">
        <v>1505</v>
      </c>
      <c r="D355" s="8" t="s">
        <v>1506</v>
      </c>
      <c r="E355" s="7" t="s">
        <v>1508</v>
      </c>
      <c r="F355" s="9">
        <v>45012</v>
      </c>
      <c r="G355" s="9" t="s">
        <v>363</v>
      </c>
      <c r="H355" s="9" t="s">
        <v>87</v>
      </c>
      <c r="I355" s="8" t="s">
        <v>67</v>
      </c>
      <c r="J355" s="10">
        <v>220.06</v>
      </c>
      <c r="K355" s="10">
        <v>220.06</v>
      </c>
      <c r="L355" s="10">
        <f t="shared" si="144"/>
        <v>0</v>
      </c>
      <c r="M355" s="10">
        <v>88.26</v>
      </c>
      <c r="N355" s="10">
        <v>88.26</v>
      </c>
      <c r="O355" s="10">
        <f t="shared" si="145"/>
        <v>0</v>
      </c>
      <c r="P355" s="11">
        <v>16100.899754612379</v>
      </c>
      <c r="Q355" s="11">
        <v>40144.618173578063</v>
      </c>
      <c r="R355" s="11">
        <v>40000</v>
      </c>
      <c r="S355" s="11">
        <v>3543164</v>
      </c>
      <c r="T355" s="11">
        <v>425180</v>
      </c>
      <c r="U355" s="12">
        <f t="shared" si="146"/>
        <v>0.12000009031475822</v>
      </c>
      <c r="V355" s="13">
        <f t="shared" si="170"/>
        <v>0</v>
      </c>
      <c r="W355" s="10">
        <f t="shared" si="147"/>
        <v>0</v>
      </c>
      <c r="X355" s="10"/>
      <c r="Y355" s="10"/>
      <c r="Z355" s="11">
        <f t="shared" si="148"/>
        <v>3543164</v>
      </c>
      <c r="AA355" s="14">
        <v>1240108</v>
      </c>
      <c r="AB355" s="14">
        <v>148812</v>
      </c>
      <c r="AC355" s="11">
        <f t="shared" si="149"/>
        <v>2303056</v>
      </c>
      <c r="AD355" s="10">
        <f t="shared" si="150"/>
        <v>300</v>
      </c>
      <c r="AE355" s="15">
        <v>26478</v>
      </c>
      <c r="AF355" s="16">
        <v>4766</v>
      </c>
      <c r="AG355" s="15">
        <f t="shared" si="151"/>
        <v>0</v>
      </c>
      <c r="AH355" s="15">
        <f t="shared" si="152"/>
        <v>0</v>
      </c>
      <c r="AI355" s="15">
        <f t="shared" si="153"/>
        <v>26478</v>
      </c>
      <c r="AJ355" s="15">
        <f t="shared" si="154"/>
        <v>4767</v>
      </c>
      <c r="AK355" s="10">
        <v>26478</v>
      </c>
      <c r="AL355" s="15">
        <f t="shared" si="155"/>
        <v>26478</v>
      </c>
      <c r="AM355" s="15">
        <f t="shared" si="156"/>
        <v>2329534</v>
      </c>
      <c r="AN355" s="15">
        <f t="shared" si="157"/>
        <v>281135</v>
      </c>
      <c r="AO355" s="15">
        <f t="shared" si="162"/>
        <v>310452</v>
      </c>
      <c r="AP355" s="17">
        <f t="shared" si="158"/>
        <v>2639986</v>
      </c>
      <c r="AQ355" s="15">
        <v>1185913.21</v>
      </c>
      <c r="AR355" s="15">
        <v>2839</v>
      </c>
      <c r="AS355" s="18">
        <f t="shared" si="163"/>
        <v>1454073</v>
      </c>
      <c r="AT355" s="19">
        <v>0</v>
      </c>
      <c r="AU355" s="8">
        <v>8800</v>
      </c>
      <c r="AV355" s="13">
        <f t="shared" si="164"/>
        <v>776688</v>
      </c>
      <c r="AW355" s="18">
        <f t="shared" si="165"/>
        <v>2329534</v>
      </c>
      <c r="AX355" s="15">
        <f t="shared" si="159"/>
        <v>2330000</v>
      </c>
      <c r="AY355" s="20">
        <v>7.0000000000000007E-2</v>
      </c>
      <c r="AZ355" s="13">
        <f t="shared" si="160"/>
        <v>163100.00000000003</v>
      </c>
      <c r="BA355" s="15">
        <f t="shared" si="161"/>
        <v>163100</v>
      </c>
      <c r="BB355" s="21">
        <f t="shared" si="166"/>
        <v>1617173</v>
      </c>
      <c r="BC355" s="10">
        <f t="shared" si="167"/>
        <v>0</v>
      </c>
      <c r="BD355" s="10">
        <f t="shared" si="168"/>
        <v>0</v>
      </c>
      <c r="BE355" s="10">
        <v>20.440000000000001</v>
      </c>
      <c r="BF355" s="10">
        <v>8.1999999999999993</v>
      </c>
      <c r="BG355" s="107">
        <v>46176</v>
      </c>
      <c r="BH355" s="107">
        <f t="shared" si="142"/>
        <v>46206</v>
      </c>
      <c r="BI355" s="23">
        <v>7</v>
      </c>
      <c r="BJ355" s="6"/>
      <c r="BK355" s="6"/>
      <c r="BL355" s="24">
        <f>VLOOKUP(A355,[2]Sheet1!$D$2:$H$933,5,0)</f>
        <v>0</v>
      </c>
      <c r="BM355" s="6" t="s">
        <v>3828</v>
      </c>
      <c r="BN355" s="6" t="s">
        <v>3829</v>
      </c>
      <c r="BO355" s="6" t="s">
        <v>3820</v>
      </c>
      <c r="BP355" s="6" t="s">
        <v>3821</v>
      </c>
      <c r="BQ355" s="6" t="s">
        <v>3830</v>
      </c>
      <c r="BR355" t="s">
        <v>3823</v>
      </c>
      <c r="BS355" t="s">
        <v>3824</v>
      </c>
      <c r="BT355" t="s">
        <v>3825</v>
      </c>
      <c r="BU355" t="s">
        <v>3826</v>
      </c>
      <c r="BV355" t="s">
        <v>3827</v>
      </c>
      <c r="BW355" t="s">
        <v>3835</v>
      </c>
      <c r="BX355">
        <v>0</v>
      </c>
      <c r="BY355" t="s">
        <v>3870</v>
      </c>
      <c r="BZ355" t="s">
        <v>3860</v>
      </c>
    </row>
    <row r="356" spans="1:78" x14ac:dyDescent="0.25">
      <c r="A356" s="7" t="s">
        <v>1511</v>
      </c>
      <c r="B356" s="7" t="s">
        <v>181</v>
      </c>
      <c r="C356" s="7" t="s">
        <v>1509</v>
      </c>
      <c r="D356" s="8" t="s">
        <v>1510</v>
      </c>
      <c r="E356" s="7" t="s">
        <v>1512</v>
      </c>
      <c r="F356" s="9">
        <v>44923</v>
      </c>
      <c r="G356" s="9" t="s">
        <v>717</v>
      </c>
      <c r="H356" s="9" t="s">
        <v>87</v>
      </c>
      <c r="I356" s="8" t="s">
        <v>78</v>
      </c>
      <c r="J356" s="10">
        <v>663.06</v>
      </c>
      <c r="K356" s="10">
        <v>688</v>
      </c>
      <c r="L356" s="10">
        <f t="shared" si="144"/>
        <v>24.940000000000055</v>
      </c>
      <c r="M356" s="10">
        <v>298.16000000000003</v>
      </c>
      <c r="N356" s="10">
        <v>310</v>
      </c>
      <c r="O356" s="10">
        <f t="shared" si="145"/>
        <v>11.839999999999975</v>
      </c>
      <c r="P356" s="11">
        <v>15575.000754079572</v>
      </c>
      <c r="Q356" s="11">
        <v>34636.302656291919</v>
      </c>
      <c r="R356" s="11">
        <v>40000</v>
      </c>
      <c r="S356" s="11">
        <v>10327160</v>
      </c>
      <c r="T356" s="11">
        <v>1239260</v>
      </c>
      <c r="U356" s="12">
        <f t="shared" si="146"/>
        <v>0.12000007746563431</v>
      </c>
      <c r="V356" s="13">
        <f>L356*R356</f>
        <v>997600.00000000221</v>
      </c>
      <c r="W356" s="10">
        <f t="shared" si="147"/>
        <v>119712.07727971705</v>
      </c>
      <c r="X356" s="15"/>
      <c r="Y356" s="15"/>
      <c r="Z356" s="11">
        <f t="shared" si="148"/>
        <v>11324760.000000002</v>
      </c>
      <c r="AA356" s="14">
        <v>3614506</v>
      </c>
      <c r="AB356" s="14">
        <v>433740</v>
      </c>
      <c r="AC356" s="11">
        <f t="shared" si="149"/>
        <v>7710254.0000000019</v>
      </c>
      <c r="AD356" s="10">
        <f t="shared" si="150"/>
        <v>300</v>
      </c>
      <c r="AE356" s="15">
        <v>89448</v>
      </c>
      <c r="AF356" s="16">
        <v>16100</v>
      </c>
      <c r="AG356" s="15">
        <f t="shared" si="151"/>
        <v>3551.9999999999927</v>
      </c>
      <c r="AH356" s="15">
        <f t="shared" si="152"/>
        <v>639.35999999999865</v>
      </c>
      <c r="AI356" s="15">
        <f t="shared" si="153"/>
        <v>93000</v>
      </c>
      <c r="AJ356" s="15">
        <f t="shared" si="154"/>
        <v>16740</v>
      </c>
      <c r="AK356" s="10">
        <v>89448</v>
      </c>
      <c r="AL356" s="15">
        <f t="shared" si="155"/>
        <v>93000</v>
      </c>
      <c r="AM356" s="15">
        <f t="shared" si="156"/>
        <v>7803254</v>
      </c>
      <c r="AN356" s="15">
        <f t="shared" si="157"/>
        <v>941973</v>
      </c>
      <c r="AO356" s="15">
        <f t="shared" si="162"/>
        <v>1037823</v>
      </c>
      <c r="AP356" s="17">
        <f t="shared" si="158"/>
        <v>8841077</v>
      </c>
      <c r="AQ356" s="15">
        <v>5787942.5999999996</v>
      </c>
      <c r="AR356" s="15">
        <v>2850</v>
      </c>
      <c r="AS356" s="18">
        <f t="shared" si="163"/>
        <v>3053134</v>
      </c>
      <c r="AT356" s="19">
        <v>0</v>
      </c>
      <c r="AU356" s="8">
        <v>8800</v>
      </c>
      <c r="AV356" s="13">
        <f t="shared" si="164"/>
        <v>2728000</v>
      </c>
      <c r="AW356" s="18">
        <f t="shared" si="165"/>
        <v>7803254</v>
      </c>
      <c r="AX356" s="15">
        <f t="shared" si="159"/>
        <v>7804000</v>
      </c>
      <c r="AY356" s="20">
        <v>0.05</v>
      </c>
      <c r="AZ356" s="13">
        <f t="shared" si="160"/>
        <v>390200</v>
      </c>
      <c r="BA356" s="15">
        <f t="shared" si="161"/>
        <v>390200</v>
      </c>
      <c r="BB356" s="21">
        <f t="shared" si="166"/>
        <v>3443334</v>
      </c>
      <c r="BC356" s="10">
        <f t="shared" si="167"/>
        <v>3.7613488975356764</v>
      </c>
      <c r="BD356" s="10">
        <f t="shared" si="168"/>
        <v>3.9710222699221807</v>
      </c>
      <c r="BE356" s="10">
        <v>63.92</v>
      </c>
      <c r="BF356" s="10">
        <v>28.8</v>
      </c>
      <c r="BG356" s="107">
        <v>46176</v>
      </c>
      <c r="BH356" s="107">
        <f t="shared" si="142"/>
        <v>46206</v>
      </c>
      <c r="BI356" s="23">
        <v>5</v>
      </c>
      <c r="BJ356" s="6"/>
      <c r="BK356" s="6"/>
      <c r="BL356" s="24">
        <f>VLOOKUP(A356,[2]Sheet1!$D$2:$H$933,5,0)</f>
        <v>0</v>
      </c>
      <c r="BM356" s="6" t="s">
        <v>3828</v>
      </c>
      <c r="BN356" s="6" t="s">
        <v>3829</v>
      </c>
      <c r="BO356" s="6" t="s">
        <v>3820</v>
      </c>
      <c r="BP356" s="6" t="s">
        <v>3821</v>
      </c>
      <c r="BQ356" s="6" t="s">
        <v>3830</v>
      </c>
      <c r="BR356" t="s">
        <v>3823</v>
      </c>
      <c r="BS356" t="s">
        <v>3824</v>
      </c>
      <c r="BT356" t="s">
        <v>3825</v>
      </c>
      <c r="BU356" t="s">
        <v>3826</v>
      </c>
      <c r="BV356" t="s">
        <v>3827</v>
      </c>
      <c r="BW356" t="s">
        <v>3835</v>
      </c>
      <c r="BX356">
        <v>0</v>
      </c>
      <c r="BY356" t="s">
        <v>3864</v>
      </c>
      <c r="BZ356" t="s">
        <v>3872</v>
      </c>
    </row>
    <row r="357" spans="1:78" x14ac:dyDescent="0.25">
      <c r="A357" s="7" t="s">
        <v>1515</v>
      </c>
      <c r="B357" s="7" t="s">
        <v>181</v>
      </c>
      <c r="C357" s="7" t="s">
        <v>1513</v>
      </c>
      <c r="D357" s="8" t="s">
        <v>1514</v>
      </c>
      <c r="E357" s="7" t="s">
        <v>1516</v>
      </c>
      <c r="F357" s="9">
        <v>45045</v>
      </c>
      <c r="G357" s="9" t="s">
        <v>363</v>
      </c>
      <c r="H357" s="9" t="s">
        <v>87</v>
      </c>
      <c r="I357" s="8" t="s">
        <v>67</v>
      </c>
      <c r="J357" s="10">
        <v>370.28</v>
      </c>
      <c r="K357" s="10">
        <v>370.28</v>
      </c>
      <c r="L357" s="10">
        <f t="shared" si="144"/>
        <v>0</v>
      </c>
      <c r="M357" s="10">
        <v>144.24</v>
      </c>
      <c r="N357" s="10">
        <v>144.24</v>
      </c>
      <c r="O357" s="10">
        <f t="shared" si="145"/>
        <v>0</v>
      </c>
      <c r="P357" s="11">
        <v>21013.000972237227</v>
      </c>
      <c r="Q357" s="11">
        <v>53942.692734331664</v>
      </c>
      <c r="R357" s="11">
        <v>40000</v>
      </c>
      <c r="S357" s="11">
        <v>7780694</v>
      </c>
      <c r="T357" s="11">
        <v>933684</v>
      </c>
      <c r="U357" s="12">
        <f t="shared" si="146"/>
        <v>0.12000009253673258</v>
      </c>
      <c r="V357" s="13">
        <f t="shared" ref="V357:V365" si="171">L357*P357</f>
        <v>0</v>
      </c>
      <c r="W357" s="10">
        <f t="shared" si="147"/>
        <v>0</v>
      </c>
      <c r="X357" s="10"/>
      <c r="Y357" s="10"/>
      <c r="Z357" s="11">
        <f t="shared" si="148"/>
        <v>7780694</v>
      </c>
      <c r="AA357" s="14">
        <v>492997</v>
      </c>
      <c r="AB357" s="14">
        <v>59160</v>
      </c>
      <c r="AC357" s="11">
        <f t="shared" si="149"/>
        <v>7287697</v>
      </c>
      <c r="AD357" s="10">
        <f t="shared" si="150"/>
        <v>300</v>
      </c>
      <c r="AE357" s="15">
        <v>43272</v>
      </c>
      <c r="AF357" s="16">
        <v>7788</v>
      </c>
      <c r="AG357" s="15">
        <f t="shared" si="151"/>
        <v>0</v>
      </c>
      <c r="AH357" s="15">
        <f t="shared" si="152"/>
        <v>0</v>
      </c>
      <c r="AI357" s="15">
        <f t="shared" si="153"/>
        <v>43272</v>
      </c>
      <c r="AJ357" s="15">
        <f t="shared" si="154"/>
        <v>7789</v>
      </c>
      <c r="AK357" s="10">
        <v>43272</v>
      </c>
      <c r="AL357" s="15">
        <f t="shared" si="155"/>
        <v>43272</v>
      </c>
      <c r="AM357" s="15">
        <f t="shared" si="156"/>
        <v>7330969</v>
      </c>
      <c r="AN357" s="15">
        <f t="shared" si="157"/>
        <v>882313</v>
      </c>
      <c r="AO357" s="15">
        <f t="shared" si="162"/>
        <v>927527.8</v>
      </c>
      <c r="AP357" s="17">
        <f t="shared" si="158"/>
        <v>8258496.7999999998</v>
      </c>
      <c r="AQ357" s="15">
        <v>7293749.2000000002</v>
      </c>
      <c r="AR357" s="15">
        <v>1942.8</v>
      </c>
      <c r="AS357" s="18">
        <f t="shared" si="163"/>
        <v>964748</v>
      </c>
      <c r="AT357" s="19">
        <v>0</v>
      </c>
      <c r="AU357" s="8">
        <v>8800</v>
      </c>
      <c r="AV357" s="13">
        <f t="shared" si="164"/>
        <v>1269312</v>
      </c>
      <c r="AW357" s="18">
        <f t="shared" si="165"/>
        <v>7330969</v>
      </c>
      <c r="AX357" s="15">
        <f t="shared" si="159"/>
        <v>7331000</v>
      </c>
      <c r="AY357" s="20">
        <v>7.0000000000000007E-2</v>
      </c>
      <c r="AZ357" s="13">
        <f t="shared" si="160"/>
        <v>513170.00000000006</v>
      </c>
      <c r="BA357" s="15">
        <f t="shared" si="161"/>
        <v>513200</v>
      </c>
      <c r="BB357" s="21">
        <f t="shared" si="166"/>
        <v>1477948</v>
      </c>
      <c r="BC357" s="10">
        <f t="shared" si="167"/>
        <v>0</v>
      </c>
      <c r="BD357" s="10">
        <f t="shared" si="168"/>
        <v>0</v>
      </c>
      <c r="BE357" s="10">
        <v>34.4</v>
      </c>
      <c r="BF357" s="10">
        <v>13.4</v>
      </c>
      <c r="BG357" s="107">
        <v>46176</v>
      </c>
      <c r="BH357" s="107">
        <f t="shared" si="142"/>
        <v>46206</v>
      </c>
      <c r="BI357" s="23">
        <v>7</v>
      </c>
      <c r="BJ357" s="6"/>
      <c r="BK357" s="24"/>
      <c r="BL357" s="24">
        <f>VLOOKUP(A357,[2]Sheet1!$D$2:$H$933,5,0)</f>
        <v>0</v>
      </c>
      <c r="BM357" s="6" t="s">
        <v>3828</v>
      </c>
      <c r="BN357" s="6" t="s">
        <v>3829</v>
      </c>
      <c r="BO357" s="6" t="s">
        <v>3820</v>
      </c>
      <c r="BP357" s="6" t="s">
        <v>3821</v>
      </c>
      <c r="BQ357" s="6" t="s">
        <v>3830</v>
      </c>
      <c r="BR357" t="s">
        <v>3823</v>
      </c>
      <c r="BS357" t="s">
        <v>3824</v>
      </c>
      <c r="BT357" t="s">
        <v>3825</v>
      </c>
      <c r="BU357" t="s">
        <v>3826</v>
      </c>
      <c r="BV357" t="s">
        <v>3827</v>
      </c>
      <c r="BW357" t="s">
        <v>3835</v>
      </c>
      <c r="BX357">
        <v>0</v>
      </c>
      <c r="BY357" t="s">
        <v>3862</v>
      </c>
      <c r="BZ357" t="s">
        <v>3860</v>
      </c>
    </row>
    <row r="358" spans="1:78" x14ac:dyDescent="0.25">
      <c r="A358" s="7" t="s">
        <v>1519</v>
      </c>
      <c r="B358" s="7" t="s">
        <v>181</v>
      </c>
      <c r="C358" s="7" t="s">
        <v>1517</v>
      </c>
      <c r="D358" s="8" t="s">
        <v>1518</v>
      </c>
      <c r="E358" s="7" t="s">
        <v>1520</v>
      </c>
      <c r="F358" s="9">
        <v>44994</v>
      </c>
      <c r="G358" s="9" t="s">
        <v>527</v>
      </c>
      <c r="H358" s="9" t="s">
        <v>66</v>
      </c>
      <c r="I358" s="8" t="s">
        <v>78</v>
      </c>
      <c r="J358" s="10">
        <v>815.91</v>
      </c>
      <c r="K358" s="10">
        <v>815.91</v>
      </c>
      <c r="L358" s="10">
        <f t="shared" si="144"/>
        <v>0</v>
      </c>
      <c r="M358" s="10">
        <v>375.66</v>
      </c>
      <c r="N358" s="10">
        <v>375.66</v>
      </c>
      <c r="O358" s="10">
        <f t="shared" si="145"/>
        <v>0</v>
      </c>
      <c r="P358" s="11">
        <v>13373.999583287374</v>
      </c>
      <c r="Q358" s="11">
        <v>29047.489751370918</v>
      </c>
      <c r="R358" s="11">
        <v>22000</v>
      </c>
      <c r="S358" s="11">
        <v>10911980</v>
      </c>
      <c r="T358" s="11">
        <v>1309440</v>
      </c>
      <c r="U358" s="12">
        <f t="shared" si="146"/>
        <v>0.1200002199417521</v>
      </c>
      <c r="V358" s="13">
        <f t="shared" si="171"/>
        <v>0</v>
      </c>
      <c r="W358" s="10">
        <f t="shared" si="147"/>
        <v>0</v>
      </c>
      <c r="X358" s="10"/>
      <c r="Y358" s="10"/>
      <c r="Z358" s="11">
        <f t="shared" si="148"/>
        <v>10911980</v>
      </c>
      <c r="AA358" s="14"/>
      <c r="AB358" s="14"/>
      <c r="AC358" s="11">
        <f t="shared" si="149"/>
        <v>10911980</v>
      </c>
      <c r="AD358" s="10">
        <f t="shared" si="150"/>
        <v>300</v>
      </c>
      <c r="AE358" s="15">
        <v>112698</v>
      </c>
      <c r="AF358" s="16">
        <v>20286</v>
      </c>
      <c r="AG358" s="15">
        <f t="shared" si="151"/>
        <v>0</v>
      </c>
      <c r="AH358" s="15">
        <f t="shared" si="152"/>
        <v>0</v>
      </c>
      <c r="AI358" s="15">
        <f t="shared" si="153"/>
        <v>112698.00000000001</v>
      </c>
      <c r="AJ358" s="15">
        <f t="shared" si="154"/>
        <v>20286</v>
      </c>
      <c r="AK358" s="10">
        <v>112698</v>
      </c>
      <c r="AL358" s="15">
        <f t="shared" si="155"/>
        <v>112698.00000000001</v>
      </c>
      <c r="AM358" s="15">
        <f t="shared" si="156"/>
        <v>11024678</v>
      </c>
      <c r="AN358" s="15">
        <f t="shared" si="157"/>
        <v>1329726</v>
      </c>
      <c r="AO358" s="15">
        <f t="shared" si="162"/>
        <v>1444456</v>
      </c>
      <c r="AP358" s="17">
        <f t="shared" si="158"/>
        <v>12469134</v>
      </c>
      <c r="AQ358" s="15">
        <v>10950587</v>
      </c>
      <c r="AR358" s="15">
        <v>2032</v>
      </c>
      <c r="AS358" s="18">
        <f t="shared" si="163"/>
        <v>1518547</v>
      </c>
      <c r="AT358" s="19">
        <v>14657576</v>
      </c>
      <c r="AU358" s="8">
        <v>8800</v>
      </c>
      <c r="AV358" s="13">
        <f t="shared" si="164"/>
        <v>3305808</v>
      </c>
      <c r="AW358" s="18">
        <f t="shared" si="165"/>
        <v>14657576</v>
      </c>
      <c r="AX358" s="15">
        <f t="shared" si="159"/>
        <v>14658000</v>
      </c>
      <c r="AY358" s="20">
        <v>0.06</v>
      </c>
      <c r="AZ358" s="13">
        <f t="shared" si="160"/>
        <v>879480</v>
      </c>
      <c r="BA358" s="15">
        <f t="shared" si="161"/>
        <v>879500</v>
      </c>
      <c r="BB358" s="21">
        <f t="shared" si="166"/>
        <v>2398047</v>
      </c>
      <c r="BC358" s="10">
        <f t="shared" si="167"/>
        <v>0</v>
      </c>
      <c r="BD358" s="10">
        <f t="shared" si="168"/>
        <v>0</v>
      </c>
      <c r="BE358" s="10">
        <v>75.8</v>
      </c>
      <c r="BF358" s="10">
        <v>34.9</v>
      </c>
      <c r="BG358" s="107">
        <v>46176</v>
      </c>
      <c r="BH358" s="107">
        <f t="shared" si="142"/>
        <v>46206</v>
      </c>
      <c r="BI358" s="23">
        <v>6</v>
      </c>
      <c r="BJ358" s="6"/>
      <c r="BK358" s="6"/>
      <c r="BL358" s="24">
        <f>VLOOKUP(A358,[2]Sheet1!$D$2:$H$933,5,0)</f>
        <v>0</v>
      </c>
      <c r="BM358" s="6" t="s">
        <v>3828</v>
      </c>
      <c r="BN358" s="6" t="s">
        <v>3829</v>
      </c>
      <c r="BO358" s="6" t="s">
        <v>3820</v>
      </c>
      <c r="BP358" s="6" t="s">
        <v>3821</v>
      </c>
      <c r="BQ358" s="6" t="s">
        <v>3830</v>
      </c>
      <c r="BR358" t="s">
        <v>3823</v>
      </c>
      <c r="BS358" t="s">
        <v>3824</v>
      </c>
      <c r="BT358" t="s">
        <v>3825</v>
      </c>
      <c r="BU358" t="s">
        <v>3826</v>
      </c>
      <c r="BV358" t="s">
        <v>3827</v>
      </c>
      <c r="BW358" t="s">
        <v>3835</v>
      </c>
      <c r="BX358">
        <v>0</v>
      </c>
      <c r="BY358" t="s">
        <v>3861</v>
      </c>
      <c r="BZ358" t="s">
        <v>3871</v>
      </c>
    </row>
    <row r="359" spans="1:78" x14ac:dyDescent="0.25">
      <c r="A359" s="7" t="s">
        <v>1523</v>
      </c>
      <c r="B359" s="7" t="s">
        <v>181</v>
      </c>
      <c r="C359" s="7" t="s">
        <v>1521</v>
      </c>
      <c r="D359" s="8" t="s">
        <v>1522</v>
      </c>
      <c r="E359" s="7" t="s">
        <v>1524</v>
      </c>
      <c r="F359" s="9">
        <v>45049</v>
      </c>
      <c r="G359" s="9" t="s">
        <v>65</v>
      </c>
      <c r="H359" s="9" t="s">
        <v>66</v>
      </c>
      <c r="I359" s="8" t="s">
        <v>78</v>
      </c>
      <c r="J359" s="10">
        <v>669.52</v>
      </c>
      <c r="K359" s="10">
        <v>669.52</v>
      </c>
      <c r="L359" s="10">
        <f t="shared" si="144"/>
        <v>0</v>
      </c>
      <c r="M359" s="10">
        <v>312.16000000000003</v>
      </c>
      <c r="N359" s="10">
        <v>312.16000000000003</v>
      </c>
      <c r="O359" s="10">
        <f t="shared" si="145"/>
        <v>0</v>
      </c>
      <c r="P359" s="11">
        <v>10753.000657187238</v>
      </c>
      <c r="Q359" s="11">
        <v>23063.009354177342</v>
      </c>
      <c r="R359" s="11">
        <v>22000</v>
      </c>
      <c r="S359" s="11">
        <v>7199349</v>
      </c>
      <c r="T359" s="11">
        <v>863922</v>
      </c>
      <c r="U359" s="12">
        <f t="shared" si="146"/>
        <v>0.12000001666817375</v>
      </c>
      <c r="V359" s="13">
        <f t="shared" si="171"/>
        <v>0</v>
      </c>
      <c r="W359" s="10">
        <f t="shared" si="147"/>
        <v>0</v>
      </c>
      <c r="X359" s="10"/>
      <c r="Y359" s="10"/>
      <c r="Z359" s="11">
        <f t="shared" si="148"/>
        <v>7199349</v>
      </c>
      <c r="AA359" s="14">
        <v>637718</v>
      </c>
      <c r="AB359" s="14">
        <v>76526</v>
      </c>
      <c r="AC359" s="11">
        <f t="shared" si="149"/>
        <v>6561631</v>
      </c>
      <c r="AD359" s="10">
        <f t="shared" si="150"/>
        <v>300</v>
      </c>
      <c r="AE359" s="15">
        <v>93648</v>
      </c>
      <c r="AF359" s="16">
        <v>16856</v>
      </c>
      <c r="AG359" s="15">
        <f t="shared" si="151"/>
        <v>0</v>
      </c>
      <c r="AH359" s="15">
        <f t="shared" si="152"/>
        <v>0</v>
      </c>
      <c r="AI359" s="15">
        <f t="shared" si="153"/>
        <v>93648.000000000015</v>
      </c>
      <c r="AJ359" s="15">
        <f t="shared" si="154"/>
        <v>16857</v>
      </c>
      <c r="AK359" s="10">
        <v>93648</v>
      </c>
      <c r="AL359" s="15">
        <f t="shared" si="155"/>
        <v>93648.000000000015</v>
      </c>
      <c r="AM359" s="15">
        <f t="shared" si="156"/>
        <v>6655279</v>
      </c>
      <c r="AN359" s="15">
        <f t="shared" si="157"/>
        <v>804253</v>
      </c>
      <c r="AO359" s="15">
        <f t="shared" si="162"/>
        <v>899869</v>
      </c>
      <c r="AP359" s="17">
        <f t="shared" si="158"/>
        <v>7555148</v>
      </c>
      <c r="AQ359" s="15">
        <v>6544500</v>
      </c>
      <c r="AR359" s="15">
        <v>1968</v>
      </c>
      <c r="AS359" s="18">
        <f t="shared" si="163"/>
        <v>1010648</v>
      </c>
      <c r="AT359" s="19">
        <v>0</v>
      </c>
      <c r="AU359" s="8">
        <v>8800</v>
      </c>
      <c r="AV359" s="13">
        <f t="shared" si="164"/>
        <v>2747008</v>
      </c>
      <c r="AW359" s="18">
        <f t="shared" si="165"/>
        <v>6655279</v>
      </c>
      <c r="AX359" s="15">
        <f t="shared" si="159"/>
        <v>6656000</v>
      </c>
      <c r="AY359" s="20">
        <v>7.0000000000000007E-2</v>
      </c>
      <c r="AZ359" s="13">
        <f t="shared" si="160"/>
        <v>465920.00000000006</v>
      </c>
      <c r="BA359" s="15">
        <f t="shared" si="161"/>
        <v>466000</v>
      </c>
      <c r="BB359" s="21">
        <f t="shared" si="166"/>
        <v>1476648</v>
      </c>
      <c r="BC359" s="10">
        <f t="shared" si="167"/>
        <v>0</v>
      </c>
      <c r="BD359" s="10">
        <f t="shared" si="168"/>
        <v>0</v>
      </c>
      <c r="BE359" s="10">
        <v>62.2</v>
      </c>
      <c r="BF359" s="10">
        <v>29</v>
      </c>
      <c r="BG359" s="107">
        <v>46176</v>
      </c>
      <c r="BH359" s="107">
        <f t="shared" si="142"/>
        <v>46206</v>
      </c>
      <c r="BI359" s="23">
        <v>7</v>
      </c>
      <c r="BJ359" s="6"/>
      <c r="BK359" s="6"/>
      <c r="BL359" s="24">
        <f>VLOOKUP(A359,[2]Sheet1!$D$2:$H$933,5,0)</f>
        <v>0</v>
      </c>
      <c r="BM359" s="6" t="s">
        <v>3828</v>
      </c>
      <c r="BN359" s="6" t="s">
        <v>3829</v>
      </c>
      <c r="BO359" s="6" t="s">
        <v>3820</v>
      </c>
      <c r="BP359" s="6" t="s">
        <v>3821</v>
      </c>
      <c r="BQ359" s="6" t="s">
        <v>3830</v>
      </c>
      <c r="BR359" t="s">
        <v>3823</v>
      </c>
      <c r="BS359" t="s">
        <v>3824</v>
      </c>
      <c r="BT359" t="s">
        <v>3825</v>
      </c>
      <c r="BU359" t="s">
        <v>3826</v>
      </c>
      <c r="BV359" t="s">
        <v>3827</v>
      </c>
      <c r="BW359" t="s">
        <v>3835</v>
      </c>
      <c r="BX359">
        <v>0</v>
      </c>
      <c r="BY359" t="s">
        <v>3859</v>
      </c>
      <c r="BZ359" t="s">
        <v>3860</v>
      </c>
    </row>
    <row r="360" spans="1:78" x14ac:dyDescent="0.25">
      <c r="A360" s="48" t="s">
        <v>1527</v>
      </c>
      <c r="B360" s="48" t="s">
        <v>181</v>
      </c>
      <c r="C360" s="48" t="s">
        <v>1525</v>
      </c>
      <c r="D360" s="49" t="s">
        <v>1526</v>
      </c>
      <c r="E360" s="48" t="s">
        <v>1528</v>
      </c>
      <c r="F360" s="50">
        <v>44956</v>
      </c>
      <c r="G360" s="50" t="s">
        <v>527</v>
      </c>
      <c r="H360" s="50" t="s">
        <v>92</v>
      </c>
      <c r="I360" s="49" t="s">
        <v>67</v>
      </c>
      <c r="J360" s="51">
        <v>224.85</v>
      </c>
      <c r="K360" s="51">
        <v>224.85</v>
      </c>
      <c r="L360" s="51">
        <f t="shared" si="144"/>
        <v>0</v>
      </c>
      <c r="M360" s="51">
        <v>89.34</v>
      </c>
      <c r="N360" s="51">
        <v>89.34</v>
      </c>
      <c r="O360" s="51">
        <f t="shared" si="145"/>
        <v>0</v>
      </c>
      <c r="P360" s="52">
        <v>22006.248610184568</v>
      </c>
      <c r="Q360" s="52">
        <v>55385.101858070288</v>
      </c>
      <c r="R360" s="52">
        <v>28000</v>
      </c>
      <c r="S360" s="52">
        <v>4948105</v>
      </c>
      <c r="T360" s="52">
        <v>593774</v>
      </c>
      <c r="U360" s="53">
        <f t="shared" si="146"/>
        <v>0.12000028293659896</v>
      </c>
      <c r="V360" s="54">
        <f t="shared" si="171"/>
        <v>0</v>
      </c>
      <c r="W360" s="51">
        <f t="shared" si="147"/>
        <v>0</v>
      </c>
      <c r="X360" s="51"/>
      <c r="Y360" s="51"/>
      <c r="Z360" s="52">
        <f t="shared" si="148"/>
        <v>4948105</v>
      </c>
      <c r="AA360" s="56">
        <v>530698</v>
      </c>
      <c r="AB360" s="56">
        <v>63684</v>
      </c>
      <c r="AC360" s="52">
        <f t="shared" si="149"/>
        <v>4417407</v>
      </c>
      <c r="AD360" s="51">
        <f t="shared" si="150"/>
        <v>300</v>
      </c>
      <c r="AE360" s="55">
        <v>26802</v>
      </c>
      <c r="AF360" s="57">
        <v>4824</v>
      </c>
      <c r="AG360" s="55">
        <f t="shared" si="151"/>
        <v>0</v>
      </c>
      <c r="AH360" s="55">
        <f t="shared" si="152"/>
        <v>0</v>
      </c>
      <c r="AI360" s="55">
        <f t="shared" si="153"/>
        <v>26802</v>
      </c>
      <c r="AJ360" s="55">
        <f t="shared" si="154"/>
        <v>4825</v>
      </c>
      <c r="AK360" s="51">
        <v>26802</v>
      </c>
      <c r="AL360" s="55">
        <f t="shared" si="155"/>
        <v>26802</v>
      </c>
      <c r="AM360" s="15">
        <f t="shared" si="156"/>
        <v>4444209</v>
      </c>
      <c r="AN360" s="15">
        <f t="shared" si="157"/>
        <v>534915</v>
      </c>
      <c r="AO360" s="55">
        <f t="shared" si="162"/>
        <v>561717</v>
      </c>
      <c r="AP360" s="58">
        <f t="shared" si="158"/>
        <v>5005926</v>
      </c>
      <c r="AQ360" s="55">
        <v>4393309</v>
      </c>
      <c r="AR360" s="15">
        <v>0</v>
      </c>
      <c r="AS360" s="18">
        <f t="shared" si="163"/>
        <v>612617</v>
      </c>
      <c r="AT360" s="60">
        <v>0</v>
      </c>
      <c r="AU360" s="49">
        <v>8800</v>
      </c>
      <c r="AV360" s="54">
        <f t="shared" si="164"/>
        <v>786192</v>
      </c>
      <c r="AW360" s="59">
        <f t="shared" si="165"/>
        <v>4444209</v>
      </c>
      <c r="AX360" s="55">
        <f t="shared" si="159"/>
        <v>4445000</v>
      </c>
      <c r="AY360" s="61">
        <v>0.05</v>
      </c>
      <c r="AZ360" s="54">
        <f t="shared" si="160"/>
        <v>222250</v>
      </c>
      <c r="BA360" s="55">
        <f t="shared" si="161"/>
        <v>222300</v>
      </c>
      <c r="BB360" s="62">
        <f t="shared" si="166"/>
        <v>834917</v>
      </c>
      <c r="BC360" s="51">
        <f t="shared" si="167"/>
        <v>0</v>
      </c>
      <c r="BD360" s="51">
        <f t="shared" si="168"/>
        <v>0</v>
      </c>
      <c r="BE360" s="51">
        <v>20.89</v>
      </c>
      <c r="BF360" s="51">
        <v>8.3000000000000007</v>
      </c>
      <c r="BG360" s="107">
        <v>46176</v>
      </c>
      <c r="BH360" s="109">
        <f t="shared" si="142"/>
        <v>46206</v>
      </c>
      <c r="BI360" s="63">
        <v>5</v>
      </c>
      <c r="BJ360" s="24" t="s">
        <v>350</v>
      </c>
      <c r="BK360" s="6"/>
      <c r="BL360" s="24">
        <f>VLOOKUP(A360,[2]Sheet1!$D$2:$H$933,5,0)</f>
        <v>0</v>
      </c>
      <c r="BM360" s="6" t="s">
        <v>3828</v>
      </c>
      <c r="BN360" s="6" t="s">
        <v>3829</v>
      </c>
      <c r="BO360" s="6" t="s">
        <v>3820</v>
      </c>
      <c r="BP360" s="6" t="s">
        <v>3821</v>
      </c>
      <c r="BQ360" s="6" t="s">
        <v>3830</v>
      </c>
      <c r="BR360" t="s">
        <v>3823</v>
      </c>
      <c r="BS360" t="s">
        <v>3824</v>
      </c>
      <c r="BT360" t="s">
        <v>3825</v>
      </c>
      <c r="BU360" t="s">
        <v>3826</v>
      </c>
      <c r="BV360" t="s">
        <v>3827</v>
      </c>
      <c r="BW360" t="s">
        <v>3835</v>
      </c>
      <c r="BX360">
        <v>0</v>
      </c>
      <c r="BY360" t="s">
        <v>3867</v>
      </c>
      <c r="BZ360" t="s">
        <v>3871</v>
      </c>
    </row>
    <row r="361" spans="1:78" x14ac:dyDescent="0.25">
      <c r="A361" s="7" t="s">
        <v>1531</v>
      </c>
      <c r="B361" s="7" t="s">
        <v>181</v>
      </c>
      <c r="C361" s="7" t="s">
        <v>1529</v>
      </c>
      <c r="D361" s="8" t="s">
        <v>1530</v>
      </c>
      <c r="E361" s="7" t="s">
        <v>1532</v>
      </c>
      <c r="F361" s="9">
        <v>44910</v>
      </c>
      <c r="G361" s="9" t="s">
        <v>527</v>
      </c>
      <c r="H361" s="9" t="s">
        <v>72</v>
      </c>
      <c r="I361" s="8" t="s">
        <v>635</v>
      </c>
      <c r="J361" s="10">
        <v>796.25</v>
      </c>
      <c r="K361" s="10">
        <v>796.25</v>
      </c>
      <c r="L361" s="10">
        <f t="shared" si="144"/>
        <v>0</v>
      </c>
      <c r="M361" s="10">
        <v>120.56</v>
      </c>
      <c r="N361" s="10">
        <v>120.56</v>
      </c>
      <c r="O361" s="10">
        <f t="shared" si="145"/>
        <v>0</v>
      </c>
      <c r="P361" s="11">
        <v>8824.6543171114608</v>
      </c>
      <c r="Q361" s="11">
        <v>58283.269741207696</v>
      </c>
      <c r="R361" s="11">
        <v>20000</v>
      </c>
      <c r="S361" s="11">
        <v>7026631</v>
      </c>
      <c r="T361" s="11">
        <v>843196</v>
      </c>
      <c r="U361" s="12">
        <f t="shared" si="146"/>
        <v>0.1200000398483996</v>
      </c>
      <c r="V361" s="13">
        <f t="shared" si="171"/>
        <v>0</v>
      </c>
      <c r="W361" s="10">
        <f t="shared" si="147"/>
        <v>0</v>
      </c>
      <c r="X361" s="10"/>
      <c r="Y361" s="10"/>
      <c r="Z361" s="11">
        <f t="shared" si="148"/>
        <v>7026631</v>
      </c>
      <c r="AA361" s="14">
        <v>535101</v>
      </c>
      <c r="AB361" s="14">
        <v>64212</v>
      </c>
      <c r="AC361" s="11">
        <f t="shared" si="149"/>
        <v>6491530</v>
      </c>
      <c r="AD361" s="10">
        <f t="shared" si="150"/>
        <v>300</v>
      </c>
      <c r="AE361" s="15">
        <v>36168</v>
      </c>
      <c r="AF361" s="16">
        <v>6510</v>
      </c>
      <c r="AG361" s="15">
        <f t="shared" si="151"/>
        <v>0</v>
      </c>
      <c r="AH361" s="15">
        <f t="shared" si="152"/>
        <v>0</v>
      </c>
      <c r="AI361" s="15">
        <f t="shared" si="153"/>
        <v>36168</v>
      </c>
      <c r="AJ361" s="15">
        <f t="shared" si="154"/>
        <v>6511</v>
      </c>
      <c r="AK361" s="10">
        <v>36168</v>
      </c>
      <c r="AL361" s="15">
        <f t="shared" si="155"/>
        <v>36168</v>
      </c>
      <c r="AM361" s="15">
        <f t="shared" si="156"/>
        <v>6527698</v>
      </c>
      <c r="AN361" s="15">
        <f t="shared" si="157"/>
        <v>785495</v>
      </c>
      <c r="AO361" s="15">
        <f t="shared" si="162"/>
        <v>823732</v>
      </c>
      <c r="AP361" s="17">
        <f t="shared" si="158"/>
        <v>7351430</v>
      </c>
      <c r="AQ361" s="15">
        <v>6259270</v>
      </c>
      <c r="AR361" s="15">
        <v>2069</v>
      </c>
      <c r="AS361" s="18">
        <f t="shared" si="163"/>
        <v>1092160</v>
      </c>
      <c r="AT361" s="19">
        <v>0</v>
      </c>
      <c r="AU361" s="8">
        <v>8800</v>
      </c>
      <c r="AV361" s="13">
        <f t="shared" si="164"/>
        <v>1060928</v>
      </c>
      <c r="AW361" s="18">
        <f t="shared" si="165"/>
        <v>6527698</v>
      </c>
      <c r="AX361" s="15">
        <f t="shared" si="159"/>
        <v>6528000</v>
      </c>
      <c r="AY361" s="20">
        <v>0.05</v>
      </c>
      <c r="AZ361" s="13">
        <f t="shared" si="160"/>
        <v>326400</v>
      </c>
      <c r="BA361" s="15">
        <f t="shared" si="161"/>
        <v>326400</v>
      </c>
      <c r="BB361" s="21">
        <f t="shared" si="166"/>
        <v>1418560</v>
      </c>
      <c r="BC361" s="10">
        <f t="shared" si="167"/>
        <v>0</v>
      </c>
      <c r="BD361" s="10">
        <f t="shared" si="168"/>
        <v>0</v>
      </c>
      <c r="BE361" s="10">
        <v>73.97</v>
      </c>
      <c r="BF361" s="10">
        <v>11.2</v>
      </c>
      <c r="BG361" s="107">
        <v>46176</v>
      </c>
      <c r="BH361" s="107">
        <f t="shared" si="142"/>
        <v>46206</v>
      </c>
      <c r="BI361" s="23">
        <v>5</v>
      </c>
      <c r="BJ361" s="6"/>
      <c r="BK361" s="6"/>
      <c r="BL361" s="24">
        <f>VLOOKUP(A361,[2]Sheet1!$D$2:$H$933,5,0)</f>
        <v>0</v>
      </c>
      <c r="BM361" s="6" t="s">
        <v>3828</v>
      </c>
      <c r="BN361" s="6" t="s">
        <v>3829</v>
      </c>
      <c r="BO361" s="6" t="s">
        <v>3820</v>
      </c>
      <c r="BP361" s="6" t="s">
        <v>3821</v>
      </c>
      <c r="BQ361" s="6" t="s">
        <v>3830</v>
      </c>
      <c r="BR361" t="s">
        <v>3823</v>
      </c>
      <c r="BS361" t="s">
        <v>3824</v>
      </c>
      <c r="BT361" t="s">
        <v>3825</v>
      </c>
      <c r="BU361" t="s">
        <v>3826</v>
      </c>
      <c r="BV361" t="s">
        <v>3827</v>
      </c>
      <c r="BW361" t="s">
        <v>3835</v>
      </c>
      <c r="BX361">
        <v>0</v>
      </c>
      <c r="BY361" t="s">
        <v>3869</v>
      </c>
      <c r="BZ361" t="s">
        <v>3871</v>
      </c>
    </row>
    <row r="362" spans="1:78" x14ac:dyDescent="0.25">
      <c r="A362" s="7" t="s">
        <v>1535</v>
      </c>
      <c r="B362" s="7" t="s">
        <v>181</v>
      </c>
      <c r="C362" s="7" t="s">
        <v>1533</v>
      </c>
      <c r="D362" s="8" t="s">
        <v>1534</v>
      </c>
      <c r="E362" s="7" t="s">
        <v>1536</v>
      </c>
      <c r="F362" s="9">
        <v>44854</v>
      </c>
      <c r="G362" s="9" t="s">
        <v>717</v>
      </c>
      <c r="H362" s="9" t="s">
        <v>92</v>
      </c>
      <c r="I362" s="8" t="s">
        <v>78</v>
      </c>
      <c r="J362" s="10">
        <v>348.75</v>
      </c>
      <c r="K362" s="10">
        <v>348.75</v>
      </c>
      <c r="L362" s="10">
        <f t="shared" si="144"/>
        <v>0</v>
      </c>
      <c r="M362" s="10">
        <v>142.72999999999999</v>
      </c>
      <c r="N362" s="10">
        <v>142.72999999999999</v>
      </c>
      <c r="O362" s="10">
        <f t="shared" si="145"/>
        <v>0</v>
      </c>
      <c r="P362" s="11">
        <v>9000</v>
      </c>
      <c r="Q362" s="11">
        <v>21990.821831429974</v>
      </c>
      <c r="R362" s="11">
        <v>28000</v>
      </c>
      <c r="S362" s="11">
        <v>3138750</v>
      </c>
      <c r="T362" s="11">
        <v>376650</v>
      </c>
      <c r="U362" s="12">
        <f t="shared" si="146"/>
        <v>0.12</v>
      </c>
      <c r="V362" s="13">
        <f t="shared" si="171"/>
        <v>0</v>
      </c>
      <c r="W362" s="10">
        <f t="shared" si="147"/>
        <v>0</v>
      </c>
      <c r="X362" s="10"/>
      <c r="Y362" s="10"/>
      <c r="Z362" s="11">
        <f t="shared" si="148"/>
        <v>3138750</v>
      </c>
      <c r="AA362" s="14">
        <v>904805</v>
      </c>
      <c r="AB362" s="14">
        <v>108576</v>
      </c>
      <c r="AC362" s="11">
        <f t="shared" si="149"/>
        <v>2233945</v>
      </c>
      <c r="AD362" s="10">
        <f t="shared" si="150"/>
        <v>300</v>
      </c>
      <c r="AE362" s="15">
        <v>42819</v>
      </c>
      <c r="AF362" s="16">
        <v>7708</v>
      </c>
      <c r="AG362" s="15">
        <f t="shared" si="151"/>
        <v>0</v>
      </c>
      <c r="AH362" s="15">
        <f t="shared" si="152"/>
        <v>0</v>
      </c>
      <c r="AI362" s="15">
        <f t="shared" si="153"/>
        <v>42819</v>
      </c>
      <c r="AJ362" s="15">
        <f t="shared" si="154"/>
        <v>7708</v>
      </c>
      <c r="AK362" s="10">
        <v>42819</v>
      </c>
      <c r="AL362" s="15">
        <f t="shared" si="155"/>
        <v>42819</v>
      </c>
      <c r="AM362" s="15">
        <f t="shared" si="156"/>
        <v>2276764</v>
      </c>
      <c r="AN362" s="15">
        <f t="shared" si="157"/>
        <v>275782</v>
      </c>
      <c r="AO362" s="15">
        <f t="shared" si="162"/>
        <v>320625</v>
      </c>
      <c r="AP362" s="17">
        <f t="shared" si="158"/>
        <v>2597389</v>
      </c>
      <c r="AQ362" s="15">
        <v>2152501</v>
      </c>
      <c r="AR362" s="15">
        <v>2024</v>
      </c>
      <c r="AS362" s="18">
        <f t="shared" si="163"/>
        <v>444888</v>
      </c>
      <c r="AT362" s="19">
        <v>0</v>
      </c>
      <c r="AU362" s="8">
        <v>8800</v>
      </c>
      <c r="AV362" s="13">
        <f t="shared" si="164"/>
        <v>1256024</v>
      </c>
      <c r="AW362" s="18">
        <f t="shared" si="165"/>
        <v>2276764</v>
      </c>
      <c r="AX362" s="15">
        <f t="shared" si="159"/>
        <v>2277000</v>
      </c>
      <c r="AY362" s="20">
        <v>0.05</v>
      </c>
      <c r="AZ362" s="13">
        <f t="shared" si="160"/>
        <v>113850</v>
      </c>
      <c r="BA362" s="15">
        <f t="shared" si="161"/>
        <v>113900</v>
      </c>
      <c r="BB362" s="21">
        <f t="shared" si="166"/>
        <v>558788</v>
      </c>
      <c r="BC362" s="10">
        <f t="shared" si="167"/>
        <v>0</v>
      </c>
      <c r="BD362" s="10">
        <f t="shared" si="168"/>
        <v>0</v>
      </c>
      <c r="BE362" s="10">
        <v>32.4</v>
      </c>
      <c r="BF362" s="10">
        <v>13.26</v>
      </c>
      <c r="BG362" s="107">
        <v>46176</v>
      </c>
      <c r="BH362" s="107">
        <f t="shared" si="142"/>
        <v>46206</v>
      </c>
      <c r="BI362" s="23">
        <v>5</v>
      </c>
      <c r="BJ362" s="6"/>
      <c r="BK362" s="6"/>
      <c r="BL362" s="24">
        <f>VLOOKUP(A362,[2]Sheet1!$D$2:$H$933,5,0)</f>
        <v>0</v>
      </c>
      <c r="BM362" s="6" t="s">
        <v>3828</v>
      </c>
      <c r="BN362" s="6" t="s">
        <v>3829</v>
      </c>
      <c r="BO362" s="6" t="s">
        <v>3820</v>
      </c>
      <c r="BP362" s="6" t="s">
        <v>3821</v>
      </c>
      <c r="BQ362" s="6" t="s">
        <v>3830</v>
      </c>
      <c r="BR362" t="s">
        <v>3823</v>
      </c>
      <c r="BS362" t="s">
        <v>3824</v>
      </c>
      <c r="BT362" t="s">
        <v>3825</v>
      </c>
      <c r="BU362" t="s">
        <v>3826</v>
      </c>
      <c r="BV362" t="s">
        <v>3827</v>
      </c>
      <c r="BW362" t="s">
        <v>3835</v>
      </c>
      <c r="BX362">
        <v>0</v>
      </c>
      <c r="BY362" t="s">
        <v>3866</v>
      </c>
      <c r="BZ362" t="s">
        <v>3872</v>
      </c>
    </row>
    <row r="363" spans="1:78" x14ac:dyDescent="0.25">
      <c r="A363" s="7" t="s">
        <v>1539</v>
      </c>
      <c r="B363" s="7" t="s">
        <v>181</v>
      </c>
      <c r="C363" s="7" t="s">
        <v>1537</v>
      </c>
      <c r="D363" s="8" t="s">
        <v>1538</v>
      </c>
      <c r="E363" s="7" t="s">
        <v>1540</v>
      </c>
      <c r="F363" s="9">
        <v>45020</v>
      </c>
      <c r="G363" s="9" t="s">
        <v>527</v>
      </c>
      <c r="H363" s="9" t="s">
        <v>92</v>
      </c>
      <c r="I363" s="8" t="s">
        <v>67</v>
      </c>
      <c r="J363" s="10">
        <v>281.06</v>
      </c>
      <c r="K363" s="10">
        <v>281.06</v>
      </c>
      <c r="L363" s="10">
        <f t="shared" si="144"/>
        <v>0</v>
      </c>
      <c r="M363" s="10">
        <v>114.1</v>
      </c>
      <c r="N363" s="10">
        <v>114.1</v>
      </c>
      <c r="O363" s="10">
        <f t="shared" si="145"/>
        <v>0</v>
      </c>
      <c r="P363" s="11">
        <v>10442.610118835835</v>
      </c>
      <c r="Q363" s="11">
        <v>25723.049956178791</v>
      </c>
      <c r="R363" s="11">
        <v>28000</v>
      </c>
      <c r="S363" s="11">
        <v>2935000</v>
      </c>
      <c r="T363" s="11">
        <v>352200</v>
      </c>
      <c r="U363" s="12">
        <f t="shared" si="146"/>
        <v>0.12</v>
      </c>
      <c r="V363" s="13">
        <f t="shared" si="171"/>
        <v>0</v>
      </c>
      <c r="W363" s="10">
        <f t="shared" si="147"/>
        <v>0</v>
      </c>
      <c r="X363" s="10"/>
      <c r="Y363" s="10"/>
      <c r="Z363" s="11">
        <f t="shared" si="148"/>
        <v>2935000</v>
      </c>
      <c r="AA363" s="14"/>
      <c r="AB363" s="14"/>
      <c r="AC363" s="11">
        <f t="shared" si="149"/>
        <v>2935000</v>
      </c>
      <c r="AD363" s="10">
        <f t="shared" si="150"/>
        <v>300</v>
      </c>
      <c r="AE363" s="15">
        <v>34230</v>
      </c>
      <c r="AF363" s="16">
        <v>6162</v>
      </c>
      <c r="AG363" s="15">
        <f t="shared" si="151"/>
        <v>0</v>
      </c>
      <c r="AH363" s="15">
        <f t="shared" si="152"/>
        <v>0</v>
      </c>
      <c r="AI363" s="15">
        <f t="shared" si="153"/>
        <v>34230</v>
      </c>
      <c r="AJ363" s="15">
        <f t="shared" si="154"/>
        <v>6162</v>
      </c>
      <c r="AK363" s="10">
        <v>34230</v>
      </c>
      <c r="AL363" s="15">
        <f t="shared" si="155"/>
        <v>34230</v>
      </c>
      <c r="AM363" s="15">
        <f t="shared" si="156"/>
        <v>2969230</v>
      </c>
      <c r="AN363" s="15">
        <f t="shared" si="157"/>
        <v>358362</v>
      </c>
      <c r="AO363" s="15">
        <f t="shared" si="162"/>
        <v>397106.48</v>
      </c>
      <c r="AP363" s="17">
        <f t="shared" si="158"/>
        <v>3366336.48</v>
      </c>
      <c r="AQ363" s="15">
        <v>1241760</v>
      </c>
      <c r="AR363" s="15">
        <v>4514.4799999999996</v>
      </c>
      <c r="AS363" s="18">
        <f t="shared" si="163"/>
        <v>2124576</v>
      </c>
      <c r="AT363" s="19">
        <v>0</v>
      </c>
      <c r="AU363" s="8">
        <v>8800</v>
      </c>
      <c r="AV363" s="13">
        <f t="shared" si="164"/>
        <v>1004080</v>
      </c>
      <c r="AW363" s="18">
        <f t="shared" si="165"/>
        <v>2969230</v>
      </c>
      <c r="AX363" s="15">
        <f t="shared" si="159"/>
        <v>2970000</v>
      </c>
      <c r="AY363" s="20">
        <v>0.05</v>
      </c>
      <c r="AZ363" s="13">
        <f t="shared" si="160"/>
        <v>148500</v>
      </c>
      <c r="BA363" s="15">
        <f t="shared" si="161"/>
        <v>148500</v>
      </c>
      <c r="BB363" s="21">
        <f t="shared" si="166"/>
        <v>2273076</v>
      </c>
      <c r="BC363" s="10">
        <f t="shared" si="167"/>
        <v>0</v>
      </c>
      <c r="BD363" s="10">
        <f t="shared" si="168"/>
        <v>0</v>
      </c>
      <c r="BE363" s="10">
        <v>26.11</v>
      </c>
      <c r="BF363" s="10">
        <v>10.6</v>
      </c>
      <c r="BG363" s="107">
        <v>46176</v>
      </c>
      <c r="BH363" s="107">
        <f t="shared" ref="BH363:BH426" si="172">BG363+30</f>
        <v>46206</v>
      </c>
      <c r="BI363" s="23">
        <v>5</v>
      </c>
      <c r="BJ363" s="6"/>
      <c r="BK363" s="6"/>
      <c r="BL363" s="24">
        <f>VLOOKUP(A363,[2]Sheet1!$D$2:$H$933,5,0)</f>
        <v>0</v>
      </c>
      <c r="BM363" s="6" t="s">
        <v>3828</v>
      </c>
      <c r="BN363" s="6" t="s">
        <v>3829</v>
      </c>
      <c r="BO363" s="6" t="s">
        <v>3820</v>
      </c>
      <c r="BP363" s="6" t="s">
        <v>3821</v>
      </c>
      <c r="BQ363" s="6" t="s">
        <v>3830</v>
      </c>
      <c r="BR363" t="s">
        <v>3823</v>
      </c>
      <c r="BS363" t="s">
        <v>3824</v>
      </c>
      <c r="BT363" t="s">
        <v>3825</v>
      </c>
      <c r="BU363" t="s">
        <v>3826</v>
      </c>
      <c r="BV363" t="s">
        <v>3827</v>
      </c>
      <c r="BW363" t="s">
        <v>3835</v>
      </c>
      <c r="BX363">
        <v>0</v>
      </c>
      <c r="BY363" t="s">
        <v>3865</v>
      </c>
      <c r="BZ363" t="s">
        <v>3871</v>
      </c>
    </row>
    <row r="364" spans="1:78" x14ac:dyDescent="0.25">
      <c r="A364" s="7" t="s">
        <v>1543</v>
      </c>
      <c r="B364" s="7" t="s">
        <v>181</v>
      </c>
      <c r="C364" s="7" t="s">
        <v>1541</v>
      </c>
      <c r="D364" s="8" t="s">
        <v>1542</v>
      </c>
      <c r="E364" s="7" t="s">
        <v>1544</v>
      </c>
      <c r="F364" s="9">
        <v>44951</v>
      </c>
      <c r="G364" s="9" t="s">
        <v>527</v>
      </c>
      <c r="H364" s="9" t="s">
        <v>72</v>
      </c>
      <c r="I364" s="8" t="s">
        <v>635</v>
      </c>
      <c r="J364" s="10">
        <v>796.25</v>
      </c>
      <c r="K364" s="10">
        <v>796.25</v>
      </c>
      <c r="L364" s="10">
        <f t="shared" si="144"/>
        <v>0</v>
      </c>
      <c r="M364" s="10">
        <v>120.56</v>
      </c>
      <c r="N364" s="10">
        <v>120.56</v>
      </c>
      <c r="O364" s="10">
        <f t="shared" si="145"/>
        <v>0</v>
      </c>
      <c r="P364" s="11">
        <v>6200</v>
      </c>
      <c r="Q364" s="11">
        <v>40948.490378234907</v>
      </c>
      <c r="R364" s="11">
        <v>20000</v>
      </c>
      <c r="S364" s="11">
        <v>4936750</v>
      </c>
      <c r="T364" s="11">
        <v>592412</v>
      </c>
      <c r="U364" s="12">
        <f t="shared" si="146"/>
        <v>0.12000040512482908</v>
      </c>
      <c r="V364" s="13">
        <f t="shared" si="171"/>
        <v>0</v>
      </c>
      <c r="W364" s="10">
        <f t="shared" si="147"/>
        <v>0</v>
      </c>
      <c r="X364" s="10"/>
      <c r="Y364" s="10"/>
      <c r="Z364" s="11">
        <f t="shared" si="148"/>
        <v>4936750</v>
      </c>
      <c r="AA364" s="14">
        <v>398125</v>
      </c>
      <c r="AB364" s="14">
        <v>47776</v>
      </c>
      <c r="AC364" s="11">
        <f t="shared" si="149"/>
        <v>4538625</v>
      </c>
      <c r="AD364" s="10">
        <f t="shared" si="150"/>
        <v>300</v>
      </c>
      <c r="AE364" s="15">
        <v>36168</v>
      </c>
      <c r="AF364" s="16">
        <v>6510</v>
      </c>
      <c r="AG364" s="15">
        <f t="shared" si="151"/>
        <v>0</v>
      </c>
      <c r="AH364" s="15">
        <f t="shared" si="152"/>
        <v>0</v>
      </c>
      <c r="AI364" s="15">
        <f t="shared" si="153"/>
        <v>36168</v>
      </c>
      <c r="AJ364" s="15">
        <f t="shared" si="154"/>
        <v>6511</v>
      </c>
      <c r="AK364" s="10">
        <v>36168</v>
      </c>
      <c r="AL364" s="15">
        <f t="shared" si="155"/>
        <v>36168</v>
      </c>
      <c r="AM364" s="15">
        <f t="shared" si="156"/>
        <v>4574793</v>
      </c>
      <c r="AN364" s="15">
        <f t="shared" si="157"/>
        <v>551147</v>
      </c>
      <c r="AO364" s="15">
        <f t="shared" si="162"/>
        <v>589428</v>
      </c>
      <c r="AP364" s="17">
        <f t="shared" si="158"/>
        <v>5164221</v>
      </c>
      <c r="AQ364" s="15">
        <v>4497653</v>
      </c>
      <c r="AR364" s="15">
        <v>2113</v>
      </c>
      <c r="AS364" s="18">
        <f t="shared" si="163"/>
        <v>666568</v>
      </c>
      <c r="AT364" s="19">
        <v>0</v>
      </c>
      <c r="AU364" s="8">
        <v>8800</v>
      </c>
      <c r="AV364" s="13">
        <f t="shared" si="164"/>
        <v>1060928</v>
      </c>
      <c r="AW364" s="18">
        <f t="shared" si="165"/>
        <v>4574793</v>
      </c>
      <c r="AX364" s="15">
        <f t="shared" si="159"/>
        <v>4575000</v>
      </c>
      <c r="AY364" s="20">
        <v>0.05</v>
      </c>
      <c r="AZ364" s="13">
        <f t="shared" si="160"/>
        <v>228750</v>
      </c>
      <c r="BA364" s="15">
        <f t="shared" si="161"/>
        <v>228800</v>
      </c>
      <c r="BB364" s="21">
        <f t="shared" si="166"/>
        <v>895368</v>
      </c>
      <c r="BC364" s="10">
        <f t="shared" si="167"/>
        <v>0</v>
      </c>
      <c r="BD364" s="10">
        <f t="shared" si="168"/>
        <v>0</v>
      </c>
      <c r="BE364" s="10">
        <v>73.97</v>
      </c>
      <c r="BF364" s="10">
        <v>11.2</v>
      </c>
      <c r="BG364" s="107">
        <v>46176</v>
      </c>
      <c r="BH364" s="107">
        <f t="shared" si="172"/>
        <v>46206</v>
      </c>
      <c r="BI364" s="23">
        <v>5</v>
      </c>
      <c r="BJ364" s="6"/>
      <c r="BK364" s="6"/>
      <c r="BL364" s="24">
        <f>VLOOKUP(A364,[2]Sheet1!$D$2:$H$933,5,0)</f>
        <v>0</v>
      </c>
      <c r="BM364" s="6" t="s">
        <v>3828</v>
      </c>
      <c r="BN364" s="6" t="s">
        <v>3829</v>
      </c>
      <c r="BO364" s="6" t="s">
        <v>3820</v>
      </c>
      <c r="BP364" s="6" t="s">
        <v>3821</v>
      </c>
      <c r="BQ364" s="6" t="s">
        <v>3830</v>
      </c>
      <c r="BR364" t="s">
        <v>3823</v>
      </c>
      <c r="BS364" t="s">
        <v>3824</v>
      </c>
      <c r="BT364" t="s">
        <v>3825</v>
      </c>
      <c r="BU364" t="s">
        <v>3826</v>
      </c>
      <c r="BV364" t="s">
        <v>3827</v>
      </c>
      <c r="BW364" t="s">
        <v>3835</v>
      </c>
      <c r="BX364">
        <v>0</v>
      </c>
      <c r="BY364" t="s">
        <v>3867</v>
      </c>
      <c r="BZ364" t="s">
        <v>3871</v>
      </c>
    </row>
    <row r="365" spans="1:78" x14ac:dyDescent="0.25">
      <c r="A365" s="7" t="s">
        <v>1547</v>
      </c>
      <c r="B365" s="7" t="s">
        <v>181</v>
      </c>
      <c r="C365" s="7" t="s">
        <v>1545</v>
      </c>
      <c r="D365" s="8" t="s">
        <v>1546</v>
      </c>
      <c r="E365" s="7" t="s">
        <v>1548</v>
      </c>
      <c r="F365" s="9">
        <v>44930</v>
      </c>
      <c r="G365" s="9" t="s">
        <v>527</v>
      </c>
      <c r="H365" s="9" t="s">
        <v>87</v>
      </c>
      <c r="I365" s="8" t="s">
        <v>67</v>
      </c>
      <c r="J365" s="10">
        <v>131.56</v>
      </c>
      <c r="K365" s="10">
        <v>131.56</v>
      </c>
      <c r="L365" s="10">
        <f t="shared" si="144"/>
        <v>0</v>
      </c>
      <c r="M365" s="10">
        <v>45.21</v>
      </c>
      <c r="N365" s="10">
        <v>45.21</v>
      </c>
      <c r="O365" s="10">
        <f t="shared" si="145"/>
        <v>0</v>
      </c>
      <c r="P365" s="11">
        <v>18542.657342657341</v>
      </c>
      <c r="Q365" s="11">
        <v>53958.681707586817</v>
      </c>
      <c r="R365" s="11">
        <v>40000</v>
      </c>
      <c r="S365" s="11">
        <v>2439472</v>
      </c>
      <c r="T365" s="11">
        <v>292738</v>
      </c>
      <c r="U365" s="12">
        <f t="shared" si="146"/>
        <v>0.12000055749768802</v>
      </c>
      <c r="V365" s="13">
        <f t="shared" si="171"/>
        <v>0</v>
      </c>
      <c r="W365" s="10">
        <f t="shared" si="147"/>
        <v>0</v>
      </c>
      <c r="X365" s="10"/>
      <c r="Y365" s="10"/>
      <c r="Z365" s="11">
        <f t="shared" si="148"/>
        <v>2439472</v>
      </c>
      <c r="AA365" s="14"/>
      <c r="AB365" s="14"/>
      <c r="AC365" s="11">
        <f t="shared" si="149"/>
        <v>2439472</v>
      </c>
      <c r="AD365" s="10">
        <f t="shared" si="150"/>
        <v>300</v>
      </c>
      <c r="AE365" s="15">
        <v>13563</v>
      </c>
      <c r="AF365" s="16">
        <v>2442</v>
      </c>
      <c r="AG365" s="15">
        <f t="shared" si="151"/>
        <v>0</v>
      </c>
      <c r="AH365" s="15">
        <f t="shared" si="152"/>
        <v>0</v>
      </c>
      <c r="AI365" s="15">
        <f t="shared" si="153"/>
        <v>13563</v>
      </c>
      <c r="AJ365" s="15">
        <f t="shared" si="154"/>
        <v>2442</v>
      </c>
      <c r="AK365" s="10">
        <v>13563</v>
      </c>
      <c r="AL365" s="15">
        <f t="shared" si="155"/>
        <v>13563</v>
      </c>
      <c r="AM365" s="15">
        <f t="shared" si="156"/>
        <v>2453035</v>
      </c>
      <c r="AN365" s="15">
        <f t="shared" si="157"/>
        <v>295180</v>
      </c>
      <c r="AO365" s="15">
        <f t="shared" si="162"/>
        <v>310819</v>
      </c>
      <c r="AP365" s="17">
        <f t="shared" si="158"/>
        <v>2763854</v>
      </c>
      <c r="AQ365" s="15">
        <v>2458989</v>
      </c>
      <c r="AR365" s="15">
        <v>2076</v>
      </c>
      <c r="AS365" s="18">
        <f t="shared" si="163"/>
        <v>304865</v>
      </c>
      <c r="AT365" s="19">
        <v>0</v>
      </c>
      <c r="AU365" s="8">
        <v>8800</v>
      </c>
      <c r="AV365" s="13">
        <f t="shared" si="164"/>
        <v>397848</v>
      </c>
      <c r="AW365" s="18">
        <f t="shared" si="165"/>
        <v>2453035</v>
      </c>
      <c r="AX365" s="15">
        <f t="shared" si="159"/>
        <v>2454000</v>
      </c>
      <c r="AY365" s="20">
        <v>0.05</v>
      </c>
      <c r="AZ365" s="13">
        <f t="shared" si="160"/>
        <v>122700</v>
      </c>
      <c r="BA365" s="15">
        <f t="shared" si="161"/>
        <v>122700</v>
      </c>
      <c r="BB365" s="21">
        <f t="shared" si="166"/>
        <v>427565</v>
      </c>
      <c r="BC365" s="10">
        <f t="shared" si="167"/>
        <v>0</v>
      </c>
      <c r="BD365" s="10">
        <f t="shared" si="168"/>
        <v>0</v>
      </c>
      <c r="BE365" s="10">
        <v>12.22</v>
      </c>
      <c r="BF365" s="10">
        <v>4.2</v>
      </c>
      <c r="BG365" s="107">
        <v>46176</v>
      </c>
      <c r="BH365" s="107">
        <f t="shared" si="172"/>
        <v>46206</v>
      </c>
      <c r="BI365" s="23">
        <v>5</v>
      </c>
      <c r="BJ365" s="6"/>
      <c r="BK365" s="6"/>
      <c r="BL365" s="24">
        <f>VLOOKUP(A365,[2]Sheet1!$D$2:$H$933,5,0)</f>
        <v>0</v>
      </c>
      <c r="BM365" s="6" t="s">
        <v>3828</v>
      </c>
      <c r="BN365" s="6" t="s">
        <v>3829</v>
      </c>
      <c r="BO365" s="6" t="s">
        <v>3820</v>
      </c>
      <c r="BP365" s="6" t="s">
        <v>3821</v>
      </c>
      <c r="BQ365" s="6" t="s">
        <v>3830</v>
      </c>
      <c r="BR365" t="s">
        <v>3823</v>
      </c>
      <c r="BS365" t="s">
        <v>3824</v>
      </c>
      <c r="BT365" t="s">
        <v>3825</v>
      </c>
      <c r="BU365" t="s">
        <v>3826</v>
      </c>
      <c r="BV365" t="s">
        <v>3827</v>
      </c>
      <c r="BW365" t="s">
        <v>3835</v>
      </c>
      <c r="BX365">
        <v>0</v>
      </c>
      <c r="BY365" t="s">
        <v>3867</v>
      </c>
      <c r="BZ365" t="s">
        <v>3871</v>
      </c>
    </row>
    <row r="366" spans="1:78" x14ac:dyDescent="0.25">
      <c r="A366" s="7" t="s">
        <v>1551</v>
      </c>
      <c r="B366" s="7" t="s">
        <v>181</v>
      </c>
      <c r="C366" s="7" t="s">
        <v>1549</v>
      </c>
      <c r="D366" s="8" t="s">
        <v>1550</v>
      </c>
      <c r="E366" s="7" t="s">
        <v>1552</v>
      </c>
      <c r="F366" s="9">
        <v>45108</v>
      </c>
      <c r="G366" s="9" t="s">
        <v>77</v>
      </c>
      <c r="H366" s="9" t="s">
        <v>72</v>
      </c>
      <c r="I366" s="8" t="s">
        <v>78</v>
      </c>
      <c r="J366" s="10">
        <v>1484.36</v>
      </c>
      <c r="K366" s="10">
        <v>1636</v>
      </c>
      <c r="L366" s="10">
        <f t="shared" si="144"/>
        <v>151.6400000000001</v>
      </c>
      <c r="M366" s="10">
        <v>672.75</v>
      </c>
      <c r="N366" s="10">
        <v>742</v>
      </c>
      <c r="O366" s="10">
        <f t="shared" si="145"/>
        <v>69.25</v>
      </c>
      <c r="P366" s="11">
        <v>8958.0634077986469</v>
      </c>
      <c r="Q366" s="11">
        <v>19765.129691564474</v>
      </c>
      <c r="R366" s="11">
        <v>20000</v>
      </c>
      <c r="S366" s="11">
        <v>13296991</v>
      </c>
      <c r="T366" s="11">
        <v>1595640</v>
      </c>
      <c r="U366" s="12">
        <f t="shared" si="146"/>
        <v>0.12000008122138309</v>
      </c>
      <c r="V366" s="13">
        <f>L366*R366</f>
        <v>3032800.0000000019</v>
      </c>
      <c r="W366" s="10">
        <f t="shared" si="147"/>
        <v>363936.24632821087</v>
      </c>
      <c r="X366" s="15"/>
      <c r="Y366" s="15"/>
      <c r="Z366" s="11">
        <f t="shared" si="148"/>
        <v>16329791.000000002</v>
      </c>
      <c r="AA366" s="14">
        <v>564330</v>
      </c>
      <c r="AB366" s="14">
        <v>67720</v>
      </c>
      <c r="AC366" s="11">
        <f t="shared" si="149"/>
        <v>15765461.000000002</v>
      </c>
      <c r="AD366" s="10">
        <f t="shared" si="150"/>
        <v>300</v>
      </c>
      <c r="AE366" s="15">
        <v>201825</v>
      </c>
      <c r="AF366" s="16">
        <v>36328</v>
      </c>
      <c r="AG366" s="15">
        <f t="shared" si="151"/>
        <v>20775</v>
      </c>
      <c r="AH366" s="15">
        <f t="shared" si="152"/>
        <v>3739.5</v>
      </c>
      <c r="AI366" s="15">
        <f t="shared" si="153"/>
        <v>222600</v>
      </c>
      <c r="AJ366" s="15">
        <f t="shared" si="154"/>
        <v>40068</v>
      </c>
      <c r="AK366" s="10">
        <v>201825</v>
      </c>
      <c r="AL366" s="15">
        <f t="shared" si="155"/>
        <v>222600</v>
      </c>
      <c r="AM366" s="15">
        <f t="shared" si="156"/>
        <v>15988061</v>
      </c>
      <c r="AN366" s="15">
        <f t="shared" si="157"/>
        <v>1931925</v>
      </c>
      <c r="AO366" s="15">
        <f t="shared" si="162"/>
        <v>2154525.96</v>
      </c>
      <c r="AP366" s="17">
        <f t="shared" si="158"/>
        <v>18142586.960000001</v>
      </c>
      <c r="AQ366" s="15">
        <v>11356579.960000001</v>
      </c>
      <c r="AR366" s="15">
        <v>0.96</v>
      </c>
      <c r="AS366" s="18">
        <f t="shared" si="163"/>
        <v>6786007</v>
      </c>
      <c r="AT366" s="19">
        <v>0</v>
      </c>
      <c r="AU366" s="8">
        <v>8800</v>
      </c>
      <c r="AV366" s="13">
        <f t="shared" si="164"/>
        <v>6529600</v>
      </c>
      <c r="AW366" s="18">
        <f t="shared" si="165"/>
        <v>15988061</v>
      </c>
      <c r="AX366" s="15">
        <f t="shared" si="159"/>
        <v>15989000</v>
      </c>
      <c r="AY366" s="20">
        <v>0.05</v>
      </c>
      <c r="AZ366" s="13">
        <f t="shared" si="160"/>
        <v>799450</v>
      </c>
      <c r="BA366" s="15">
        <f t="shared" si="161"/>
        <v>799500</v>
      </c>
      <c r="BB366" s="21">
        <f t="shared" si="166"/>
        <v>7585507</v>
      </c>
      <c r="BC366" s="10">
        <f t="shared" si="167"/>
        <v>10.215850602279778</v>
      </c>
      <c r="BD366" s="10">
        <f t="shared" si="168"/>
        <v>10.293571163136381</v>
      </c>
      <c r="BE366" s="10">
        <v>151.99</v>
      </c>
      <c r="BF366" s="10">
        <v>68.930000000000007</v>
      </c>
      <c r="BG366" s="107">
        <v>46176</v>
      </c>
      <c r="BH366" s="107">
        <f t="shared" si="172"/>
        <v>46206</v>
      </c>
      <c r="BI366" s="23">
        <v>5</v>
      </c>
      <c r="BJ366" s="6"/>
      <c r="BK366" s="6"/>
      <c r="BL366" s="24">
        <f>VLOOKUP(A366,[2]Sheet1!$D$2:$H$933,5,0)</f>
        <v>0</v>
      </c>
      <c r="BM366" s="6" t="s">
        <v>3828</v>
      </c>
      <c r="BN366" s="6" t="s">
        <v>3829</v>
      </c>
      <c r="BO366" s="6" t="s">
        <v>3820</v>
      </c>
      <c r="BP366" s="6" t="s">
        <v>3821</v>
      </c>
      <c r="BQ366" s="6" t="s">
        <v>3830</v>
      </c>
      <c r="BR366" t="s">
        <v>3823</v>
      </c>
      <c r="BS366" t="s">
        <v>3824</v>
      </c>
      <c r="BT366" t="s">
        <v>3825</v>
      </c>
      <c r="BU366" t="s">
        <v>3826</v>
      </c>
      <c r="BV366" t="s">
        <v>3827</v>
      </c>
      <c r="BW366" t="s">
        <v>3835</v>
      </c>
      <c r="BX366">
        <v>0</v>
      </c>
      <c r="BY366" t="s">
        <v>3861</v>
      </c>
      <c r="BZ366" t="s">
        <v>3863</v>
      </c>
    </row>
    <row r="367" spans="1:78" x14ac:dyDescent="0.25">
      <c r="A367" s="7" t="s">
        <v>1555</v>
      </c>
      <c r="B367" s="7" t="s">
        <v>181</v>
      </c>
      <c r="C367" s="7" t="s">
        <v>1553</v>
      </c>
      <c r="D367" s="8" t="s">
        <v>1554</v>
      </c>
      <c r="E367" s="7" t="s">
        <v>1556</v>
      </c>
      <c r="F367" s="9">
        <v>45076</v>
      </c>
      <c r="G367" s="9" t="s">
        <v>65</v>
      </c>
      <c r="H367" s="9" t="s">
        <v>66</v>
      </c>
      <c r="I367" s="8" t="s">
        <v>78</v>
      </c>
      <c r="J367" s="10">
        <v>845.4</v>
      </c>
      <c r="K367" s="10">
        <v>845.4</v>
      </c>
      <c r="L367" s="10">
        <f t="shared" si="144"/>
        <v>0</v>
      </c>
      <c r="M367" s="10">
        <v>392.35</v>
      </c>
      <c r="N367" s="10">
        <v>392.35</v>
      </c>
      <c r="O367" s="10">
        <f t="shared" si="145"/>
        <v>0</v>
      </c>
      <c r="P367" s="11">
        <v>10690</v>
      </c>
      <c r="Q367" s="11">
        <v>23033.837135210906</v>
      </c>
      <c r="R367" s="11">
        <v>22000</v>
      </c>
      <c r="S367" s="11">
        <v>9037326</v>
      </c>
      <c r="T367" s="11">
        <v>1084480</v>
      </c>
      <c r="U367" s="12">
        <f t="shared" si="146"/>
        <v>0.1200000973739356</v>
      </c>
      <c r="V367" s="13">
        <f t="shared" ref="V367:V372" si="173">L367*P367</f>
        <v>0</v>
      </c>
      <c r="W367" s="10">
        <f t="shared" si="147"/>
        <v>0</v>
      </c>
      <c r="X367" s="10"/>
      <c r="Y367" s="10"/>
      <c r="Z367" s="11">
        <f t="shared" si="148"/>
        <v>9037326</v>
      </c>
      <c r="AA367" s="14"/>
      <c r="AB367" s="14"/>
      <c r="AC367" s="11">
        <f t="shared" si="149"/>
        <v>9037326</v>
      </c>
      <c r="AD367" s="10">
        <f t="shared" si="150"/>
        <v>300</v>
      </c>
      <c r="AE367" s="15">
        <v>117705</v>
      </c>
      <c r="AF367" s="16">
        <v>21186</v>
      </c>
      <c r="AG367" s="15">
        <f t="shared" si="151"/>
        <v>0</v>
      </c>
      <c r="AH367" s="15">
        <f t="shared" si="152"/>
        <v>0</v>
      </c>
      <c r="AI367" s="15">
        <f t="shared" si="153"/>
        <v>117705</v>
      </c>
      <c r="AJ367" s="15">
        <f t="shared" si="154"/>
        <v>21187</v>
      </c>
      <c r="AK367" s="10">
        <v>117705</v>
      </c>
      <c r="AL367" s="15">
        <f t="shared" si="155"/>
        <v>117705</v>
      </c>
      <c r="AM367" s="15">
        <f t="shared" si="156"/>
        <v>9155031</v>
      </c>
      <c r="AN367" s="15">
        <f t="shared" si="157"/>
        <v>1105667</v>
      </c>
      <c r="AO367" s="15">
        <f t="shared" si="162"/>
        <v>1225486.3600000001</v>
      </c>
      <c r="AP367" s="17">
        <f t="shared" si="158"/>
        <v>10380517.359999999</v>
      </c>
      <c r="AQ367" s="15">
        <v>9109625</v>
      </c>
      <c r="AR367" s="15">
        <v>2114.36</v>
      </c>
      <c r="AS367" s="18">
        <f t="shared" si="163"/>
        <v>1270892</v>
      </c>
      <c r="AT367" s="19">
        <v>0</v>
      </c>
      <c r="AU367" s="8">
        <v>8800</v>
      </c>
      <c r="AV367" s="13">
        <f t="shared" si="164"/>
        <v>3452680</v>
      </c>
      <c r="AW367" s="18">
        <f t="shared" si="165"/>
        <v>9155031</v>
      </c>
      <c r="AX367" s="15">
        <f t="shared" si="159"/>
        <v>9156000</v>
      </c>
      <c r="AY367" s="20">
        <v>7.0000000000000007E-2</v>
      </c>
      <c r="AZ367" s="13">
        <f t="shared" si="160"/>
        <v>640920.00000000012</v>
      </c>
      <c r="BA367" s="15">
        <f t="shared" si="161"/>
        <v>641000</v>
      </c>
      <c r="BB367" s="21">
        <f t="shared" si="166"/>
        <v>1911892</v>
      </c>
      <c r="BC367" s="10">
        <f t="shared" si="167"/>
        <v>0</v>
      </c>
      <c r="BD367" s="10">
        <f t="shared" si="168"/>
        <v>0</v>
      </c>
      <c r="BE367" s="10">
        <v>78.540000000000006</v>
      </c>
      <c r="BF367" s="10">
        <v>36.450000000000003</v>
      </c>
      <c r="BG367" s="107">
        <v>46176</v>
      </c>
      <c r="BH367" s="107">
        <f t="shared" si="172"/>
        <v>46206</v>
      </c>
      <c r="BI367" s="23">
        <v>7</v>
      </c>
      <c r="BJ367" s="6"/>
      <c r="BK367" s="6"/>
      <c r="BL367" s="24">
        <f>VLOOKUP(A367,[2]Sheet1!$D$2:$H$933,5,0)</f>
        <v>0</v>
      </c>
      <c r="BM367" s="6" t="s">
        <v>3828</v>
      </c>
      <c r="BN367" s="6" t="s">
        <v>3829</v>
      </c>
      <c r="BO367" s="6" t="s">
        <v>3820</v>
      </c>
      <c r="BP367" s="6" t="s">
        <v>3821</v>
      </c>
      <c r="BQ367" s="6" t="s">
        <v>3830</v>
      </c>
      <c r="BR367" t="s">
        <v>3823</v>
      </c>
      <c r="BS367" t="s">
        <v>3824</v>
      </c>
      <c r="BT367" t="s">
        <v>3825</v>
      </c>
      <c r="BU367" t="s">
        <v>3826</v>
      </c>
      <c r="BV367" t="s">
        <v>3827</v>
      </c>
      <c r="BW367" t="s">
        <v>3835</v>
      </c>
      <c r="BX367">
        <v>0</v>
      </c>
      <c r="BY367" t="s">
        <v>3869</v>
      </c>
      <c r="BZ367" t="s">
        <v>3860</v>
      </c>
    </row>
    <row r="368" spans="1:78" x14ac:dyDescent="0.25">
      <c r="A368" s="7" t="s">
        <v>1559</v>
      </c>
      <c r="B368" s="7" t="s">
        <v>181</v>
      </c>
      <c r="C368" s="7" t="s">
        <v>1557</v>
      </c>
      <c r="D368" s="8" t="s">
        <v>1558</v>
      </c>
      <c r="E368" s="7" t="s">
        <v>1134</v>
      </c>
      <c r="F368" s="9">
        <v>45062</v>
      </c>
      <c r="G368" s="9" t="s">
        <v>65</v>
      </c>
      <c r="H368" s="9" t="s">
        <v>66</v>
      </c>
      <c r="I368" s="8" t="s">
        <v>78</v>
      </c>
      <c r="J368" s="10">
        <v>869.73</v>
      </c>
      <c r="K368" s="10">
        <v>869.73</v>
      </c>
      <c r="L368" s="10">
        <f t="shared" si="144"/>
        <v>0</v>
      </c>
      <c r="M368" s="10">
        <v>402.04</v>
      </c>
      <c r="N368" s="10">
        <v>402.04</v>
      </c>
      <c r="O368" s="10">
        <f t="shared" si="145"/>
        <v>0</v>
      </c>
      <c r="P368" s="11">
        <v>9701.3096018304532</v>
      </c>
      <c r="Q368" s="11">
        <v>20986.767485822304</v>
      </c>
      <c r="R368" s="11">
        <v>22000</v>
      </c>
      <c r="S368" s="11">
        <v>8437520</v>
      </c>
      <c r="T368" s="11">
        <v>1012502</v>
      </c>
      <c r="U368" s="12">
        <f t="shared" si="146"/>
        <v>0.11999995259270496</v>
      </c>
      <c r="V368" s="13">
        <f t="shared" si="173"/>
        <v>0</v>
      </c>
      <c r="W368" s="10">
        <f t="shared" si="147"/>
        <v>0</v>
      </c>
      <c r="X368" s="10"/>
      <c r="Y368" s="10"/>
      <c r="Z368" s="11">
        <f t="shared" si="148"/>
        <v>8437520</v>
      </c>
      <c r="AA368" s="14"/>
      <c r="AB368" s="14"/>
      <c r="AC368" s="11">
        <f t="shared" si="149"/>
        <v>8437520</v>
      </c>
      <c r="AD368" s="10">
        <f t="shared" si="150"/>
        <v>300</v>
      </c>
      <c r="AE368" s="15">
        <v>120612</v>
      </c>
      <c r="AF368" s="16">
        <v>21710</v>
      </c>
      <c r="AG368" s="15">
        <f t="shared" si="151"/>
        <v>0</v>
      </c>
      <c r="AH368" s="15">
        <f t="shared" si="152"/>
        <v>0</v>
      </c>
      <c r="AI368" s="15">
        <f t="shared" si="153"/>
        <v>120612</v>
      </c>
      <c r="AJ368" s="15">
        <f t="shared" si="154"/>
        <v>21711</v>
      </c>
      <c r="AK368" s="10">
        <v>120612</v>
      </c>
      <c r="AL368" s="15">
        <f t="shared" si="155"/>
        <v>120612</v>
      </c>
      <c r="AM368" s="15">
        <f t="shared" si="156"/>
        <v>8558132</v>
      </c>
      <c r="AN368" s="15">
        <f t="shared" si="157"/>
        <v>1034213</v>
      </c>
      <c r="AO368" s="15">
        <f t="shared" si="162"/>
        <v>1157038</v>
      </c>
      <c r="AP368" s="17">
        <f t="shared" si="158"/>
        <v>9715170</v>
      </c>
      <c r="AQ368" s="15">
        <v>5111267.59</v>
      </c>
      <c r="AR368" s="15">
        <v>2213</v>
      </c>
      <c r="AS368" s="18">
        <f t="shared" si="163"/>
        <v>4603902</v>
      </c>
      <c r="AT368" s="19">
        <v>0</v>
      </c>
      <c r="AU368" s="8">
        <v>8800</v>
      </c>
      <c r="AV368" s="13">
        <f t="shared" si="164"/>
        <v>3537952</v>
      </c>
      <c r="AW368" s="18">
        <f t="shared" si="165"/>
        <v>8558132</v>
      </c>
      <c r="AX368" s="15">
        <f t="shared" si="159"/>
        <v>8559000</v>
      </c>
      <c r="AY368" s="20">
        <v>0.05</v>
      </c>
      <c r="AZ368" s="13">
        <f t="shared" si="160"/>
        <v>427950</v>
      </c>
      <c r="BA368" s="15">
        <f t="shared" si="161"/>
        <v>428000</v>
      </c>
      <c r="BB368" s="21">
        <f t="shared" si="166"/>
        <v>5031902</v>
      </c>
      <c r="BC368" s="10">
        <f t="shared" si="167"/>
        <v>0</v>
      </c>
      <c r="BD368" s="10">
        <f t="shared" si="168"/>
        <v>0</v>
      </c>
      <c r="BE368" s="10">
        <v>80.8</v>
      </c>
      <c r="BF368" s="10">
        <v>37.35</v>
      </c>
      <c r="BG368" s="107">
        <v>46176</v>
      </c>
      <c r="BH368" s="107">
        <f t="shared" si="172"/>
        <v>46206</v>
      </c>
      <c r="BI368" s="23">
        <v>5</v>
      </c>
      <c r="BJ368" s="6"/>
      <c r="BK368" s="6"/>
      <c r="BL368" s="24">
        <f>VLOOKUP(A368,[2]Sheet1!$D$2:$H$933,5,0)</f>
        <v>0</v>
      </c>
      <c r="BM368" s="6" t="s">
        <v>3828</v>
      </c>
      <c r="BN368" s="6" t="s">
        <v>3829</v>
      </c>
      <c r="BO368" s="6" t="s">
        <v>3820</v>
      </c>
      <c r="BP368" s="6" t="s">
        <v>3821</v>
      </c>
      <c r="BQ368" s="6" t="s">
        <v>3830</v>
      </c>
      <c r="BR368" t="s">
        <v>3823</v>
      </c>
      <c r="BS368" t="s">
        <v>3824</v>
      </c>
      <c r="BT368" t="s">
        <v>3825</v>
      </c>
      <c r="BU368" t="s">
        <v>3826</v>
      </c>
      <c r="BV368" t="s">
        <v>3827</v>
      </c>
      <c r="BW368" t="s">
        <v>3835</v>
      </c>
      <c r="BX368">
        <v>0</v>
      </c>
      <c r="BY368" t="s">
        <v>3859</v>
      </c>
      <c r="BZ368" t="s">
        <v>3860</v>
      </c>
    </row>
    <row r="369" spans="1:78" x14ac:dyDescent="0.25">
      <c r="A369" s="7" t="s">
        <v>1562</v>
      </c>
      <c r="B369" s="7" t="s">
        <v>181</v>
      </c>
      <c r="C369" s="7" t="s">
        <v>1560</v>
      </c>
      <c r="D369" s="8" t="s">
        <v>1561</v>
      </c>
      <c r="E369" s="7" t="s">
        <v>1563</v>
      </c>
      <c r="F369" s="9">
        <v>44892</v>
      </c>
      <c r="G369" s="9" t="s">
        <v>527</v>
      </c>
      <c r="H369" s="9" t="s">
        <v>72</v>
      </c>
      <c r="I369" s="8" t="s">
        <v>78</v>
      </c>
      <c r="J369" s="10">
        <v>665.22</v>
      </c>
      <c r="K369" s="10">
        <v>665.22</v>
      </c>
      <c r="L369" s="10">
        <f t="shared" si="144"/>
        <v>0</v>
      </c>
      <c r="M369" s="10">
        <v>293.86</v>
      </c>
      <c r="N369" s="10">
        <v>293.86</v>
      </c>
      <c r="O369" s="10">
        <f t="shared" si="145"/>
        <v>0</v>
      </c>
      <c r="P369" s="11">
        <v>12231.291903430443</v>
      </c>
      <c r="Q369" s="11">
        <v>27688.354998979103</v>
      </c>
      <c r="R369" s="11">
        <v>20000</v>
      </c>
      <c r="S369" s="11">
        <v>8136500</v>
      </c>
      <c r="T369" s="11">
        <v>976382</v>
      </c>
      <c r="U369" s="12">
        <f t="shared" si="146"/>
        <v>0.12000024580593621</v>
      </c>
      <c r="V369" s="13">
        <f t="shared" si="173"/>
        <v>0</v>
      </c>
      <c r="W369" s="10">
        <f t="shared" si="147"/>
        <v>0</v>
      </c>
      <c r="X369" s="10"/>
      <c r="Y369" s="10"/>
      <c r="Z369" s="11">
        <f t="shared" si="148"/>
        <v>8136500</v>
      </c>
      <c r="AA369" s="14">
        <v>579758</v>
      </c>
      <c r="AB369" s="14">
        <v>69570</v>
      </c>
      <c r="AC369" s="11">
        <f t="shared" si="149"/>
        <v>7556742</v>
      </c>
      <c r="AD369" s="10">
        <f t="shared" si="150"/>
        <v>300</v>
      </c>
      <c r="AE369" s="15">
        <v>88158</v>
      </c>
      <c r="AF369" s="16">
        <v>15868</v>
      </c>
      <c r="AG369" s="15">
        <f t="shared" si="151"/>
        <v>0</v>
      </c>
      <c r="AH369" s="15">
        <f t="shared" si="152"/>
        <v>0</v>
      </c>
      <c r="AI369" s="15">
        <f t="shared" si="153"/>
        <v>88158</v>
      </c>
      <c r="AJ369" s="15">
        <f t="shared" si="154"/>
        <v>15869</v>
      </c>
      <c r="AK369" s="10">
        <v>88158</v>
      </c>
      <c r="AL369" s="15">
        <f t="shared" si="155"/>
        <v>88158</v>
      </c>
      <c r="AM369" s="15">
        <f t="shared" si="156"/>
        <v>7644900</v>
      </c>
      <c r="AN369" s="15">
        <f t="shared" si="157"/>
        <v>922681</v>
      </c>
      <c r="AO369" s="15">
        <f t="shared" si="162"/>
        <v>1013139</v>
      </c>
      <c r="AP369" s="17">
        <f t="shared" si="158"/>
        <v>8658039</v>
      </c>
      <c r="AQ369" s="15">
        <v>7307442</v>
      </c>
      <c r="AR369" s="15">
        <v>2300</v>
      </c>
      <c r="AS369" s="18">
        <f t="shared" si="163"/>
        <v>1350597</v>
      </c>
      <c r="AT369" s="19">
        <v>0</v>
      </c>
      <c r="AU369" s="8">
        <v>8800</v>
      </c>
      <c r="AV369" s="13">
        <f t="shared" si="164"/>
        <v>2585968</v>
      </c>
      <c r="AW369" s="18">
        <f t="shared" si="165"/>
        <v>7644900</v>
      </c>
      <c r="AX369" s="15">
        <f t="shared" si="159"/>
        <v>7645000</v>
      </c>
      <c r="AY369" s="20">
        <v>0.06</v>
      </c>
      <c r="AZ369" s="13">
        <f t="shared" si="160"/>
        <v>458700</v>
      </c>
      <c r="BA369" s="15">
        <f t="shared" si="161"/>
        <v>458700</v>
      </c>
      <c r="BB369" s="21">
        <f t="shared" si="166"/>
        <v>1809297</v>
      </c>
      <c r="BC369" s="10">
        <f t="shared" si="167"/>
        <v>0</v>
      </c>
      <c r="BD369" s="10">
        <f t="shared" si="168"/>
        <v>0</v>
      </c>
      <c r="BE369" s="10">
        <v>61.8</v>
      </c>
      <c r="BF369" s="10">
        <v>27.3</v>
      </c>
      <c r="BG369" s="107">
        <v>46176</v>
      </c>
      <c r="BH369" s="107">
        <f t="shared" si="172"/>
        <v>46206</v>
      </c>
      <c r="BI369" s="23">
        <v>6</v>
      </c>
      <c r="BJ369" s="6"/>
      <c r="BK369" s="6"/>
      <c r="BL369" s="24">
        <f>VLOOKUP(A369,[2]Sheet1!$D$2:$H$933,5,0)</f>
        <v>0</v>
      </c>
      <c r="BM369" s="6" t="s">
        <v>3828</v>
      </c>
      <c r="BN369" s="6" t="s">
        <v>3829</v>
      </c>
      <c r="BO369" s="6" t="s">
        <v>3820</v>
      </c>
      <c r="BP369" s="6" t="s">
        <v>3821</v>
      </c>
      <c r="BQ369" s="6" t="s">
        <v>3830</v>
      </c>
      <c r="BR369" t="s">
        <v>3823</v>
      </c>
      <c r="BS369" t="s">
        <v>3824</v>
      </c>
      <c r="BT369" t="s">
        <v>3825</v>
      </c>
      <c r="BU369" t="s">
        <v>3826</v>
      </c>
      <c r="BV369" t="s">
        <v>3827</v>
      </c>
      <c r="BW369" t="s">
        <v>3835</v>
      </c>
      <c r="BX369">
        <v>0</v>
      </c>
      <c r="BY369" t="s">
        <v>3859</v>
      </c>
      <c r="BZ369" t="s">
        <v>3871</v>
      </c>
    </row>
    <row r="370" spans="1:78" x14ac:dyDescent="0.25">
      <c r="A370" s="7" t="s">
        <v>1566</v>
      </c>
      <c r="B370" s="7" t="s">
        <v>181</v>
      </c>
      <c r="C370" s="7" t="s">
        <v>1564</v>
      </c>
      <c r="D370" s="8" t="s">
        <v>1565</v>
      </c>
      <c r="E370" s="7" t="s">
        <v>1567</v>
      </c>
      <c r="F370" s="9">
        <v>44875</v>
      </c>
      <c r="G370" s="9" t="s">
        <v>527</v>
      </c>
      <c r="H370" s="9" t="s">
        <v>72</v>
      </c>
      <c r="I370" s="8" t="s">
        <v>78</v>
      </c>
      <c r="J370" s="10">
        <v>556.5</v>
      </c>
      <c r="K370" s="10">
        <v>556.5</v>
      </c>
      <c r="L370" s="10">
        <f t="shared" si="144"/>
        <v>0</v>
      </c>
      <c r="M370" s="10">
        <v>257.26</v>
      </c>
      <c r="N370" s="10">
        <v>257.26</v>
      </c>
      <c r="O370" s="10">
        <f t="shared" si="145"/>
        <v>0</v>
      </c>
      <c r="P370" s="11">
        <v>13650</v>
      </c>
      <c r="Q370" s="11">
        <v>29527.42361812952</v>
      </c>
      <c r="R370" s="11">
        <v>20000</v>
      </c>
      <c r="S370" s="11">
        <v>7596225</v>
      </c>
      <c r="T370" s="11">
        <v>911546</v>
      </c>
      <c r="U370" s="12">
        <f t="shared" si="146"/>
        <v>0.11999986835566351</v>
      </c>
      <c r="V370" s="13">
        <f t="shared" si="173"/>
        <v>0</v>
      </c>
      <c r="W370" s="10">
        <f t="shared" si="147"/>
        <v>0</v>
      </c>
      <c r="X370" s="10"/>
      <c r="Y370" s="10"/>
      <c r="Z370" s="11">
        <f t="shared" si="148"/>
        <v>7596225</v>
      </c>
      <c r="AA370" s="14"/>
      <c r="AB370" s="14"/>
      <c r="AC370" s="11">
        <f t="shared" si="149"/>
        <v>7596225</v>
      </c>
      <c r="AD370" s="10">
        <f t="shared" si="150"/>
        <v>300</v>
      </c>
      <c r="AE370" s="15">
        <v>77178</v>
      </c>
      <c r="AF370" s="16">
        <v>13892</v>
      </c>
      <c r="AG370" s="15">
        <f t="shared" si="151"/>
        <v>0</v>
      </c>
      <c r="AH370" s="15">
        <f t="shared" si="152"/>
        <v>0</v>
      </c>
      <c r="AI370" s="15">
        <f t="shared" si="153"/>
        <v>77178</v>
      </c>
      <c r="AJ370" s="15">
        <f t="shared" si="154"/>
        <v>13893</v>
      </c>
      <c r="AK370" s="10">
        <v>77178</v>
      </c>
      <c r="AL370" s="15">
        <f t="shared" si="155"/>
        <v>77178</v>
      </c>
      <c r="AM370" s="15">
        <f t="shared" si="156"/>
        <v>7673403</v>
      </c>
      <c r="AN370" s="15">
        <f t="shared" si="157"/>
        <v>925439</v>
      </c>
      <c r="AO370" s="15">
        <f t="shared" si="162"/>
        <v>1004845</v>
      </c>
      <c r="AP370" s="17">
        <f t="shared" si="158"/>
        <v>8678248</v>
      </c>
      <c r="AQ370" s="15">
        <v>7623343.1200000001</v>
      </c>
      <c r="AR370" s="15">
        <v>2228</v>
      </c>
      <c r="AS370" s="18">
        <f t="shared" si="163"/>
        <v>1054905</v>
      </c>
      <c r="AT370" s="19">
        <v>0</v>
      </c>
      <c r="AU370" s="8">
        <v>8800</v>
      </c>
      <c r="AV370" s="13">
        <f t="shared" si="164"/>
        <v>2263888</v>
      </c>
      <c r="AW370" s="18">
        <f t="shared" si="165"/>
        <v>7673403</v>
      </c>
      <c r="AX370" s="15">
        <f t="shared" si="159"/>
        <v>7674000</v>
      </c>
      <c r="AY370" s="20">
        <v>0.05</v>
      </c>
      <c r="AZ370" s="13">
        <f t="shared" si="160"/>
        <v>383700</v>
      </c>
      <c r="BA370" s="15">
        <f t="shared" si="161"/>
        <v>383700</v>
      </c>
      <c r="BB370" s="21">
        <f t="shared" si="166"/>
        <v>1438605</v>
      </c>
      <c r="BC370" s="10">
        <f t="shared" si="167"/>
        <v>0</v>
      </c>
      <c r="BD370" s="10">
        <f t="shared" si="168"/>
        <v>0</v>
      </c>
      <c r="BE370" s="10">
        <v>51.7</v>
      </c>
      <c r="BF370" s="10">
        <v>23.9</v>
      </c>
      <c r="BG370" s="107">
        <v>46176</v>
      </c>
      <c r="BH370" s="107">
        <f t="shared" si="172"/>
        <v>46206</v>
      </c>
      <c r="BI370" s="23">
        <v>5</v>
      </c>
      <c r="BJ370" s="6"/>
      <c r="BK370" s="6"/>
      <c r="BL370" s="24">
        <f>VLOOKUP(A370,[2]Sheet1!$D$2:$H$933,5,0)</f>
        <v>0</v>
      </c>
      <c r="BM370" s="6" t="s">
        <v>3828</v>
      </c>
      <c r="BN370" s="6" t="s">
        <v>3829</v>
      </c>
      <c r="BO370" s="6" t="s">
        <v>3820</v>
      </c>
      <c r="BP370" s="6" t="s">
        <v>3821</v>
      </c>
      <c r="BQ370" s="6" t="s">
        <v>3830</v>
      </c>
      <c r="BR370" t="s">
        <v>3823</v>
      </c>
      <c r="BS370" t="s">
        <v>3824</v>
      </c>
      <c r="BT370" t="s">
        <v>3825</v>
      </c>
      <c r="BU370" t="s">
        <v>3826</v>
      </c>
      <c r="BV370" t="s">
        <v>3827</v>
      </c>
      <c r="BW370" t="s">
        <v>3835</v>
      </c>
      <c r="BX370">
        <v>0</v>
      </c>
      <c r="BY370" t="s">
        <v>3861</v>
      </c>
      <c r="BZ370" t="s">
        <v>3871</v>
      </c>
    </row>
    <row r="371" spans="1:78" x14ac:dyDescent="0.25">
      <c r="A371" s="7" t="s">
        <v>1570</v>
      </c>
      <c r="B371" s="7" t="s">
        <v>181</v>
      </c>
      <c r="C371" s="7" t="s">
        <v>1568</v>
      </c>
      <c r="D371" s="8" t="s">
        <v>1569</v>
      </c>
      <c r="E371" s="7" t="s">
        <v>1571</v>
      </c>
      <c r="F371" s="9">
        <v>44896</v>
      </c>
      <c r="G371" s="9" t="s">
        <v>77</v>
      </c>
      <c r="H371" s="9" t="s">
        <v>92</v>
      </c>
      <c r="I371" s="8" t="s">
        <v>78</v>
      </c>
      <c r="J371" s="10">
        <v>226.04</v>
      </c>
      <c r="K371" s="10">
        <v>226.04</v>
      </c>
      <c r="L371" s="10">
        <f t="shared" si="144"/>
        <v>0</v>
      </c>
      <c r="M371" s="10">
        <v>94.4</v>
      </c>
      <c r="N371" s="10">
        <v>94.4</v>
      </c>
      <c r="O371" s="10">
        <f t="shared" si="145"/>
        <v>0</v>
      </c>
      <c r="P371" s="11">
        <v>19000</v>
      </c>
      <c r="Q371" s="11">
        <v>45495.338983050846</v>
      </c>
      <c r="R371" s="11">
        <v>28000</v>
      </c>
      <c r="S371" s="11">
        <v>4294760</v>
      </c>
      <c r="T371" s="11">
        <v>515372</v>
      </c>
      <c r="U371" s="12">
        <f t="shared" si="146"/>
        <v>0.12000018627350539</v>
      </c>
      <c r="V371" s="13">
        <f t="shared" si="173"/>
        <v>0</v>
      </c>
      <c r="W371" s="10">
        <f t="shared" si="147"/>
        <v>0</v>
      </c>
      <c r="X371" s="10"/>
      <c r="Y371" s="10"/>
      <c r="Z371" s="11">
        <f t="shared" si="148"/>
        <v>4294760</v>
      </c>
      <c r="AA371" s="14">
        <v>660509</v>
      </c>
      <c r="AB371" s="14">
        <v>79262</v>
      </c>
      <c r="AC371" s="11">
        <f t="shared" si="149"/>
        <v>3634251</v>
      </c>
      <c r="AD371" s="10">
        <f t="shared" si="150"/>
        <v>300</v>
      </c>
      <c r="AE371" s="15">
        <v>28320</v>
      </c>
      <c r="AF371" s="16">
        <v>5098</v>
      </c>
      <c r="AG371" s="15">
        <f t="shared" si="151"/>
        <v>0</v>
      </c>
      <c r="AH371" s="15">
        <f t="shared" si="152"/>
        <v>0</v>
      </c>
      <c r="AI371" s="15">
        <f t="shared" si="153"/>
        <v>28320</v>
      </c>
      <c r="AJ371" s="15">
        <f t="shared" si="154"/>
        <v>5098</v>
      </c>
      <c r="AK371" s="10">
        <v>28320</v>
      </c>
      <c r="AL371" s="15">
        <f t="shared" si="155"/>
        <v>28320</v>
      </c>
      <c r="AM371" s="15">
        <f t="shared" si="156"/>
        <v>3662571</v>
      </c>
      <c r="AN371" s="15">
        <f t="shared" si="157"/>
        <v>441208</v>
      </c>
      <c r="AO371" s="15">
        <f t="shared" si="162"/>
        <v>471728</v>
      </c>
      <c r="AP371" s="17">
        <f t="shared" si="158"/>
        <v>4134299</v>
      </c>
      <c r="AQ371" s="15">
        <v>3591547.4299999997</v>
      </c>
      <c r="AR371" s="15">
        <v>2200</v>
      </c>
      <c r="AS371" s="18">
        <f t="shared" si="163"/>
        <v>542752</v>
      </c>
      <c r="AT371" s="19">
        <v>0</v>
      </c>
      <c r="AU371" s="8">
        <v>8800</v>
      </c>
      <c r="AV371" s="13">
        <f t="shared" si="164"/>
        <v>830720</v>
      </c>
      <c r="AW371" s="18">
        <f t="shared" si="165"/>
        <v>3662571</v>
      </c>
      <c r="AX371" s="15">
        <f t="shared" si="159"/>
        <v>3663000</v>
      </c>
      <c r="AY371" s="20">
        <v>7.0000000000000007E-2</v>
      </c>
      <c r="AZ371" s="13">
        <f t="shared" si="160"/>
        <v>256410.00000000003</v>
      </c>
      <c r="BA371" s="15">
        <f t="shared" si="161"/>
        <v>256500</v>
      </c>
      <c r="BB371" s="21">
        <f t="shared" si="166"/>
        <v>799252</v>
      </c>
      <c r="BC371" s="10">
        <f t="shared" si="167"/>
        <v>0</v>
      </c>
      <c r="BD371" s="10">
        <f t="shared" si="168"/>
        <v>0</v>
      </c>
      <c r="BE371" s="10">
        <v>21</v>
      </c>
      <c r="BF371" s="10">
        <v>8.77</v>
      </c>
      <c r="BG371" s="107">
        <v>46176</v>
      </c>
      <c r="BH371" s="107">
        <f t="shared" si="172"/>
        <v>46206</v>
      </c>
      <c r="BI371" s="23">
        <v>7</v>
      </c>
      <c r="BJ371" s="6"/>
      <c r="BK371" s="6"/>
      <c r="BL371" s="24">
        <f>VLOOKUP(A371,[2]Sheet1!$D$2:$H$933,5,0)</f>
        <v>0</v>
      </c>
      <c r="BM371" s="6" t="s">
        <v>3828</v>
      </c>
      <c r="BN371" s="6" t="s">
        <v>3829</v>
      </c>
      <c r="BO371" s="6" t="s">
        <v>3820</v>
      </c>
      <c r="BP371" s="6" t="s">
        <v>3821</v>
      </c>
      <c r="BQ371" s="6" t="s">
        <v>3830</v>
      </c>
      <c r="BR371" t="s">
        <v>3823</v>
      </c>
      <c r="BS371" t="s">
        <v>3824</v>
      </c>
      <c r="BT371" t="s">
        <v>3825</v>
      </c>
      <c r="BU371" t="s">
        <v>3826</v>
      </c>
      <c r="BV371" t="s">
        <v>3827</v>
      </c>
      <c r="BW371" t="s">
        <v>3835</v>
      </c>
      <c r="BX371">
        <v>0</v>
      </c>
      <c r="BY371" t="s">
        <v>3869</v>
      </c>
      <c r="BZ371" t="s">
        <v>3863</v>
      </c>
    </row>
    <row r="372" spans="1:78" x14ac:dyDescent="0.25">
      <c r="A372" s="7" t="s">
        <v>1574</v>
      </c>
      <c r="B372" s="7" t="s">
        <v>181</v>
      </c>
      <c r="C372" s="7" t="s">
        <v>1572</v>
      </c>
      <c r="D372" s="8" t="s">
        <v>1573</v>
      </c>
      <c r="E372" s="7" t="s">
        <v>1575</v>
      </c>
      <c r="F372" s="9">
        <v>44854</v>
      </c>
      <c r="G372" s="9" t="s">
        <v>404</v>
      </c>
      <c r="H372" s="9" t="s">
        <v>72</v>
      </c>
      <c r="I372" s="8" t="s">
        <v>78</v>
      </c>
      <c r="J372" s="10">
        <v>652.29999999999995</v>
      </c>
      <c r="K372" s="10">
        <v>652.29999999999995</v>
      </c>
      <c r="L372" s="10">
        <f t="shared" si="144"/>
        <v>0</v>
      </c>
      <c r="M372" s="10">
        <v>289.55</v>
      </c>
      <c r="N372" s="10">
        <v>289.55</v>
      </c>
      <c r="O372" s="10">
        <f t="shared" si="145"/>
        <v>0</v>
      </c>
      <c r="P372" s="11">
        <v>12031.249425111146</v>
      </c>
      <c r="Q372" s="11">
        <v>27104.071835606974</v>
      </c>
      <c r="R372" s="11">
        <v>20000</v>
      </c>
      <c r="S372" s="11">
        <v>7847984</v>
      </c>
      <c r="T372" s="11">
        <v>941760</v>
      </c>
      <c r="U372" s="12">
        <f t="shared" si="146"/>
        <v>0.12000024464881681</v>
      </c>
      <c r="V372" s="13">
        <f t="shared" si="173"/>
        <v>0</v>
      </c>
      <c r="W372" s="10">
        <f t="shared" si="147"/>
        <v>0</v>
      </c>
      <c r="X372" s="10"/>
      <c r="Y372" s="10"/>
      <c r="Z372" s="11">
        <f t="shared" si="148"/>
        <v>7847984</v>
      </c>
      <c r="AA372" s="14">
        <v>969787</v>
      </c>
      <c r="AB372" s="14">
        <v>116374</v>
      </c>
      <c r="AC372" s="11">
        <f t="shared" si="149"/>
        <v>6878197</v>
      </c>
      <c r="AD372" s="10">
        <f t="shared" si="150"/>
        <v>300</v>
      </c>
      <c r="AE372" s="15">
        <v>86865</v>
      </c>
      <c r="AF372" s="16">
        <v>15636</v>
      </c>
      <c r="AG372" s="15">
        <f t="shared" si="151"/>
        <v>0</v>
      </c>
      <c r="AH372" s="15">
        <f t="shared" si="152"/>
        <v>0</v>
      </c>
      <c r="AI372" s="15">
        <f t="shared" si="153"/>
        <v>86865</v>
      </c>
      <c r="AJ372" s="15">
        <f t="shared" si="154"/>
        <v>15636</v>
      </c>
      <c r="AK372" s="10">
        <v>86865</v>
      </c>
      <c r="AL372" s="15">
        <f t="shared" si="155"/>
        <v>86865</v>
      </c>
      <c r="AM372" s="15">
        <f t="shared" si="156"/>
        <v>6965062</v>
      </c>
      <c r="AN372" s="15">
        <f t="shared" si="157"/>
        <v>841022</v>
      </c>
      <c r="AO372" s="15">
        <f t="shared" si="162"/>
        <v>930115</v>
      </c>
      <c r="AP372" s="17">
        <f t="shared" si="158"/>
        <v>7895177</v>
      </c>
      <c r="AQ372" s="15">
        <v>6701267</v>
      </c>
      <c r="AR372" s="15">
        <v>2228</v>
      </c>
      <c r="AS372" s="18">
        <f t="shared" si="163"/>
        <v>1193910</v>
      </c>
      <c r="AT372" s="19">
        <v>0</v>
      </c>
      <c r="AU372" s="8">
        <v>8800</v>
      </c>
      <c r="AV372" s="13">
        <f t="shared" si="164"/>
        <v>2548040</v>
      </c>
      <c r="AW372" s="18">
        <f t="shared" si="165"/>
        <v>6965062</v>
      </c>
      <c r="AX372" s="15">
        <f t="shared" si="159"/>
        <v>6966000</v>
      </c>
      <c r="AY372" s="20">
        <v>7.0000000000000007E-2</v>
      </c>
      <c r="AZ372" s="13">
        <f t="shared" si="160"/>
        <v>487620.00000000006</v>
      </c>
      <c r="BA372" s="15">
        <f t="shared" si="161"/>
        <v>487700</v>
      </c>
      <c r="BB372" s="21">
        <f t="shared" si="166"/>
        <v>1681610</v>
      </c>
      <c r="BC372" s="10">
        <f t="shared" si="167"/>
        <v>0</v>
      </c>
      <c r="BD372" s="10">
        <f t="shared" si="168"/>
        <v>0</v>
      </c>
      <c r="BE372" s="10">
        <v>60.6</v>
      </c>
      <c r="BF372" s="10">
        <v>26.9</v>
      </c>
      <c r="BG372" s="107">
        <v>46176</v>
      </c>
      <c r="BH372" s="107">
        <f t="shared" si="172"/>
        <v>46206</v>
      </c>
      <c r="BI372" s="23">
        <v>7</v>
      </c>
      <c r="BJ372" s="6"/>
      <c r="BK372" s="6"/>
      <c r="BL372" s="24">
        <f>VLOOKUP(A372,[2]Sheet1!$D$2:$H$933,5,0)</f>
        <v>0</v>
      </c>
      <c r="BM372" s="6" t="s">
        <v>3828</v>
      </c>
      <c r="BN372" s="6" t="s">
        <v>3829</v>
      </c>
      <c r="BO372" s="6" t="s">
        <v>3820</v>
      </c>
      <c r="BP372" s="6" t="s">
        <v>3821</v>
      </c>
      <c r="BQ372" s="6" t="s">
        <v>3830</v>
      </c>
      <c r="BR372" t="s">
        <v>3823</v>
      </c>
      <c r="BS372" t="s">
        <v>3824</v>
      </c>
      <c r="BT372" t="s">
        <v>3825</v>
      </c>
      <c r="BU372" t="s">
        <v>3826</v>
      </c>
      <c r="BV372" t="s">
        <v>3827</v>
      </c>
      <c r="BW372" t="s">
        <v>3835</v>
      </c>
      <c r="BX372">
        <v>0</v>
      </c>
      <c r="BY372" t="s">
        <v>3864</v>
      </c>
      <c r="BZ372" t="s">
        <v>3863</v>
      </c>
    </row>
    <row r="373" spans="1:78" x14ac:dyDescent="0.25">
      <c r="A373" s="48" t="s">
        <v>1578</v>
      </c>
      <c r="B373" s="48" t="s">
        <v>181</v>
      </c>
      <c r="C373" s="48" t="s">
        <v>1576</v>
      </c>
      <c r="D373" s="49" t="s">
        <v>1577</v>
      </c>
      <c r="E373" s="48" t="s">
        <v>1579</v>
      </c>
      <c r="F373" s="50">
        <v>44905</v>
      </c>
      <c r="G373" s="50" t="s">
        <v>717</v>
      </c>
      <c r="H373" s="50" t="s">
        <v>92</v>
      </c>
      <c r="I373" s="49" t="s">
        <v>78</v>
      </c>
      <c r="J373" s="51">
        <v>406.88</v>
      </c>
      <c r="K373" s="51">
        <v>412</v>
      </c>
      <c r="L373" s="51">
        <f t="shared" si="144"/>
        <v>5.1200000000000045</v>
      </c>
      <c r="M373" s="51">
        <v>175.45</v>
      </c>
      <c r="N373" s="51">
        <v>182</v>
      </c>
      <c r="O373" s="51">
        <f t="shared" si="145"/>
        <v>6.5500000000000114</v>
      </c>
      <c r="P373" s="52">
        <v>22635.000491545419</v>
      </c>
      <c r="Q373" s="52">
        <v>52492.043317184383</v>
      </c>
      <c r="R373" s="52">
        <v>28000</v>
      </c>
      <c r="S373" s="52">
        <v>9209729</v>
      </c>
      <c r="T373" s="52">
        <v>1105170</v>
      </c>
      <c r="U373" s="53">
        <f t="shared" si="146"/>
        <v>0.12000027362368643</v>
      </c>
      <c r="V373" s="13">
        <f>L373*R373</f>
        <v>143360.00000000012</v>
      </c>
      <c r="W373" s="51">
        <f t="shared" si="147"/>
        <v>17203.239226691701</v>
      </c>
      <c r="X373" s="55"/>
      <c r="Y373" s="55"/>
      <c r="Z373" s="52">
        <f t="shared" si="148"/>
        <v>9353089</v>
      </c>
      <c r="AA373" s="56">
        <v>571344</v>
      </c>
      <c r="AB373" s="56">
        <v>68561</v>
      </c>
      <c r="AC373" s="52">
        <f t="shared" si="149"/>
        <v>8781745</v>
      </c>
      <c r="AD373" s="51">
        <f t="shared" si="150"/>
        <v>300</v>
      </c>
      <c r="AE373" s="55">
        <v>52635</v>
      </c>
      <c r="AF373" s="57">
        <v>9474</v>
      </c>
      <c r="AG373" s="55">
        <f t="shared" si="151"/>
        <v>1965.0000000000034</v>
      </c>
      <c r="AH373" s="55">
        <f t="shared" si="152"/>
        <v>353.70000000000061</v>
      </c>
      <c r="AI373" s="55">
        <f t="shared" si="153"/>
        <v>54600</v>
      </c>
      <c r="AJ373" s="55">
        <f t="shared" si="154"/>
        <v>9828</v>
      </c>
      <c r="AK373" s="51">
        <v>52635</v>
      </c>
      <c r="AL373" s="55">
        <f t="shared" si="155"/>
        <v>54600</v>
      </c>
      <c r="AM373" s="15">
        <f t="shared" si="156"/>
        <v>8836345</v>
      </c>
      <c r="AN373" s="15">
        <f t="shared" si="157"/>
        <v>1063641</v>
      </c>
      <c r="AO373" s="55">
        <f t="shared" si="162"/>
        <v>1118467</v>
      </c>
      <c r="AP373" s="58">
        <f t="shared" si="158"/>
        <v>9954812</v>
      </c>
      <c r="AQ373" s="55">
        <v>8483435.0500000007</v>
      </c>
      <c r="AR373" s="15">
        <v>226</v>
      </c>
      <c r="AS373" s="18">
        <f t="shared" si="163"/>
        <v>1471377</v>
      </c>
      <c r="AT373" s="60">
        <v>0</v>
      </c>
      <c r="AU373" s="49">
        <v>8800</v>
      </c>
      <c r="AV373" s="54">
        <f t="shared" si="164"/>
        <v>1601600</v>
      </c>
      <c r="AW373" s="59">
        <f t="shared" si="165"/>
        <v>8836345</v>
      </c>
      <c r="AX373" s="55">
        <f t="shared" si="159"/>
        <v>8837000</v>
      </c>
      <c r="AY373" s="61">
        <v>0.06</v>
      </c>
      <c r="AZ373" s="54">
        <f t="shared" si="160"/>
        <v>530220</v>
      </c>
      <c r="BA373" s="55">
        <f t="shared" si="161"/>
        <v>530300</v>
      </c>
      <c r="BB373" s="62">
        <f t="shared" si="166"/>
        <v>2001677</v>
      </c>
      <c r="BC373" s="51">
        <f t="shared" si="167"/>
        <v>1.2583562721195451</v>
      </c>
      <c r="BD373" s="51">
        <f t="shared" si="168"/>
        <v>3.733257338273019</v>
      </c>
      <c r="BE373" s="51">
        <v>38.28</v>
      </c>
      <c r="BF373" s="51">
        <v>16.91</v>
      </c>
      <c r="BG373" s="107">
        <v>46176</v>
      </c>
      <c r="BH373" s="109">
        <f t="shared" si="172"/>
        <v>46206</v>
      </c>
      <c r="BI373" s="63">
        <v>6</v>
      </c>
      <c r="BJ373" s="24" t="s">
        <v>350</v>
      </c>
      <c r="BK373" s="6"/>
      <c r="BL373" s="24">
        <f>VLOOKUP(A373,[2]Sheet1!$D$2:$H$933,5,0)</f>
        <v>0</v>
      </c>
      <c r="BM373" s="6" t="s">
        <v>3828</v>
      </c>
      <c r="BN373" s="6" t="s">
        <v>3829</v>
      </c>
      <c r="BO373" s="6" t="s">
        <v>3820</v>
      </c>
      <c r="BP373" s="6" t="s">
        <v>3821</v>
      </c>
      <c r="BQ373" s="6" t="s">
        <v>3830</v>
      </c>
      <c r="BR373" t="s">
        <v>3823</v>
      </c>
      <c r="BS373" t="s">
        <v>3824</v>
      </c>
      <c r="BT373" t="s">
        <v>3825</v>
      </c>
      <c r="BU373" t="s">
        <v>3826</v>
      </c>
      <c r="BV373" t="s">
        <v>3827</v>
      </c>
      <c r="BW373" t="s">
        <v>3835</v>
      </c>
      <c r="BX373">
        <v>0</v>
      </c>
      <c r="BY373" t="s">
        <v>3869</v>
      </c>
      <c r="BZ373" t="s">
        <v>3872</v>
      </c>
    </row>
    <row r="374" spans="1:78" x14ac:dyDescent="0.25">
      <c r="A374" s="7" t="s">
        <v>1582</v>
      </c>
      <c r="B374" s="7" t="s">
        <v>181</v>
      </c>
      <c r="C374" s="7" t="s">
        <v>1580</v>
      </c>
      <c r="D374" s="8" t="s">
        <v>1581</v>
      </c>
      <c r="E374" s="7" t="s">
        <v>1583</v>
      </c>
      <c r="F374" s="9">
        <v>45001</v>
      </c>
      <c r="G374" s="9" t="s">
        <v>717</v>
      </c>
      <c r="H374" s="9" t="s">
        <v>72</v>
      </c>
      <c r="I374" s="8" t="s">
        <v>78</v>
      </c>
      <c r="J374" s="10">
        <v>794.38</v>
      </c>
      <c r="K374" s="10">
        <v>794.38</v>
      </c>
      <c r="L374" s="10">
        <f t="shared" ref="L374:L437" si="174">K374-J374</f>
        <v>0</v>
      </c>
      <c r="M374" s="10">
        <v>353.6</v>
      </c>
      <c r="N374" s="10">
        <v>353.6</v>
      </c>
      <c r="O374" s="10">
        <f t="shared" ref="O374:O437" si="175">N374-M374</f>
        <v>0</v>
      </c>
      <c r="P374" s="11">
        <v>9932.9237896220948</v>
      </c>
      <c r="Q374" s="11">
        <v>22314.807692307691</v>
      </c>
      <c r="R374" s="11">
        <v>20000</v>
      </c>
      <c r="S374" s="11">
        <v>7890516</v>
      </c>
      <c r="T374" s="11">
        <v>946862</v>
      </c>
      <c r="U374" s="12">
        <f t="shared" ref="U374:U437" si="176">T374/S374</f>
        <v>0.12000001013875392</v>
      </c>
      <c r="V374" s="13">
        <f t="shared" ref="V374:V387" si="177">L374*P374</f>
        <v>0</v>
      </c>
      <c r="W374" s="10">
        <f t="shared" ref="W374:W437" si="178">V374*U374</f>
        <v>0</v>
      </c>
      <c r="X374" s="10"/>
      <c r="Y374" s="10"/>
      <c r="Z374" s="11">
        <f t="shared" ref="Z374:Z437" si="179">S374+V374+X374</f>
        <v>7890516</v>
      </c>
      <c r="AA374" s="14"/>
      <c r="AB374" s="14"/>
      <c r="AC374" s="11">
        <f t="shared" ref="AC374:AC437" si="180">Z374-AA374</f>
        <v>7890516</v>
      </c>
      <c r="AD374" s="10">
        <f t="shared" ref="AD374:AD437" si="181">AE374/M374</f>
        <v>300</v>
      </c>
      <c r="AE374" s="15">
        <v>106080</v>
      </c>
      <c r="AF374" s="16">
        <v>19094</v>
      </c>
      <c r="AG374" s="15">
        <f t="shared" ref="AG374:AG437" si="182">(AD374*O374)</f>
        <v>0</v>
      </c>
      <c r="AH374" s="15">
        <f t="shared" ref="AH374:AH437" si="183">AG374*18%</f>
        <v>0</v>
      </c>
      <c r="AI374" s="15">
        <f t="shared" ref="AI374:AI437" si="184">AD374*N374</f>
        <v>106080</v>
      </c>
      <c r="AJ374" s="15">
        <f t="shared" ref="AJ374:AJ437" si="185">ROUNDUP(AI374*18%,0)</f>
        <v>19095</v>
      </c>
      <c r="AK374" s="10">
        <v>106080</v>
      </c>
      <c r="AL374" s="15">
        <f t="shared" ref="AL374:AL437" si="186">N374*300</f>
        <v>106080</v>
      </c>
      <c r="AM374" s="15">
        <f t="shared" ref="AM374:AM437" si="187">ROUND(AI374+AC374,0)</f>
        <v>7996596</v>
      </c>
      <c r="AN374" s="15">
        <f t="shared" ref="AN374:AN437" si="188">ROUNDUP(AJ374+W374+T374+Y374-AB374,0)</f>
        <v>965957</v>
      </c>
      <c r="AO374" s="15">
        <f t="shared" si="162"/>
        <v>1074235.72</v>
      </c>
      <c r="AP374" s="17">
        <f t="shared" ref="AP374:AP437" si="189">AM374+AO374</f>
        <v>9070831.7200000007</v>
      </c>
      <c r="AQ374" s="15">
        <v>7640449.8099999996</v>
      </c>
      <c r="AR374" s="15">
        <v>2198.7199999999998</v>
      </c>
      <c r="AS374" s="18">
        <f t="shared" si="163"/>
        <v>1430382</v>
      </c>
      <c r="AT374" s="19">
        <v>0</v>
      </c>
      <c r="AU374" s="8">
        <v>8800</v>
      </c>
      <c r="AV374" s="13">
        <f t="shared" si="164"/>
        <v>3111680</v>
      </c>
      <c r="AW374" s="18">
        <f t="shared" si="165"/>
        <v>7996596</v>
      </c>
      <c r="AX374" s="15">
        <f t="shared" ref="AX374:AX437" si="190">CEILING((AW374),1000)</f>
        <v>7997000</v>
      </c>
      <c r="AY374" s="20">
        <v>0.06</v>
      </c>
      <c r="AZ374" s="13">
        <f t="shared" ref="AZ374:AZ437" si="191">AY374*AX374</f>
        <v>479820</v>
      </c>
      <c r="BA374" s="15">
        <f t="shared" ref="BA374:BA437" si="192">CEILING(AZ374,100)</f>
        <v>479900</v>
      </c>
      <c r="BB374" s="21">
        <f t="shared" si="166"/>
        <v>1910282</v>
      </c>
      <c r="BC374" s="10">
        <f t="shared" si="167"/>
        <v>0</v>
      </c>
      <c r="BD374" s="10">
        <f t="shared" si="168"/>
        <v>0</v>
      </c>
      <c r="BE374" s="10">
        <v>73.8</v>
      </c>
      <c r="BF374" s="10">
        <v>32.85</v>
      </c>
      <c r="BG374" s="107">
        <v>46176</v>
      </c>
      <c r="BH374" s="107">
        <f t="shared" si="172"/>
        <v>46206</v>
      </c>
      <c r="BI374" s="23">
        <v>6</v>
      </c>
      <c r="BJ374" s="6"/>
      <c r="BK374" s="6"/>
      <c r="BL374" s="24">
        <f>VLOOKUP(A374,[2]Sheet1!$D$2:$H$933,5,0)</f>
        <v>0</v>
      </c>
      <c r="BM374" s="6" t="s">
        <v>3828</v>
      </c>
      <c r="BN374" s="6" t="s">
        <v>3829</v>
      </c>
      <c r="BO374" s="6" t="s">
        <v>3820</v>
      </c>
      <c r="BP374" s="6" t="s">
        <v>3821</v>
      </c>
      <c r="BQ374" s="6" t="s">
        <v>3830</v>
      </c>
      <c r="BR374" t="s">
        <v>3823</v>
      </c>
      <c r="BS374" t="s">
        <v>3824</v>
      </c>
      <c r="BT374" t="s">
        <v>3825</v>
      </c>
      <c r="BU374" t="s">
        <v>3826</v>
      </c>
      <c r="BV374" t="s">
        <v>3827</v>
      </c>
      <c r="BW374" t="s">
        <v>3835</v>
      </c>
      <c r="BX374">
        <v>0</v>
      </c>
      <c r="BY374" t="s">
        <v>3866</v>
      </c>
      <c r="BZ374" t="s">
        <v>3872</v>
      </c>
    </row>
    <row r="375" spans="1:78" x14ac:dyDescent="0.25">
      <c r="A375" s="7" t="s">
        <v>1586</v>
      </c>
      <c r="B375" s="7" t="s">
        <v>181</v>
      </c>
      <c r="C375" s="7" t="s">
        <v>1584</v>
      </c>
      <c r="D375" s="8" t="s">
        <v>1585</v>
      </c>
      <c r="E375" s="7" t="s">
        <v>1587</v>
      </c>
      <c r="F375" s="9">
        <v>44970</v>
      </c>
      <c r="G375" s="9" t="s">
        <v>65</v>
      </c>
      <c r="H375" s="9" t="s">
        <v>66</v>
      </c>
      <c r="I375" s="8" t="s">
        <v>78</v>
      </c>
      <c r="J375" s="10">
        <v>489.76</v>
      </c>
      <c r="K375" s="10">
        <v>489.76</v>
      </c>
      <c r="L375" s="10">
        <f t="shared" si="174"/>
        <v>0</v>
      </c>
      <c r="M375" s="10">
        <v>219.59</v>
      </c>
      <c r="N375" s="10">
        <v>219.59</v>
      </c>
      <c r="O375" s="10">
        <f t="shared" si="175"/>
        <v>0</v>
      </c>
      <c r="P375" s="11">
        <v>14255.482277033649</v>
      </c>
      <c r="Q375" s="11">
        <v>31794.548932100734</v>
      </c>
      <c r="R375" s="11">
        <v>22000</v>
      </c>
      <c r="S375" s="11">
        <v>6981765</v>
      </c>
      <c r="T375" s="11">
        <v>837812</v>
      </c>
      <c r="U375" s="12">
        <f t="shared" si="176"/>
        <v>0.12000002864605154</v>
      </c>
      <c r="V375" s="13">
        <f t="shared" si="177"/>
        <v>0</v>
      </c>
      <c r="W375" s="10">
        <f t="shared" si="178"/>
        <v>0</v>
      </c>
      <c r="X375" s="10"/>
      <c r="Y375" s="10"/>
      <c r="Z375" s="11">
        <f t="shared" si="179"/>
        <v>6981765</v>
      </c>
      <c r="AA375" s="14"/>
      <c r="AB375" s="14"/>
      <c r="AC375" s="11">
        <f t="shared" si="180"/>
        <v>6981765</v>
      </c>
      <c r="AD375" s="10">
        <f t="shared" si="181"/>
        <v>300</v>
      </c>
      <c r="AE375" s="15">
        <v>65877</v>
      </c>
      <c r="AF375" s="16">
        <v>11858</v>
      </c>
      <c r="AG375" s="15">
        <f t="shared" si="182"/>
        <v>0</v>
      </c>
      <c r="AH375" s="15">
        <f t="shared" si="183"/>
        <v>0</v>
      </c>
      <c r="AI375" s="15">
        <f t="shared" si="184"/>
        <v>65877</v>
      </c>
      <c r="AJ375" s="15">
        <f t="shared" si="185"/>
        <v>11858</v>
      </c>
      <c r="AK375" s="10">
        <v>65877</v>
      </c>
      <c r="AL375" s="15">
        <f t="shared" si="186"/>
        <v>65877</v>
      </c>
      <c r="AM375" s="15">
        <f t="shared" si="187"/>
        <v>7047642</v>
      </c>
      <c r="AN375" s="15">
        <f t="shared" si="188"/>
        <v>849670</v>
      </c>
      <c r="AO375" s="15">
        <f t="shared" si="162"/>
        <v>918064</v>
      </c>
      <c r="AP375" s="17">
        <f t="shared" si="189"/>
        <v>7965706</v>
      </c>
      <c r="AQ375" s="15">
        <v>6873704</v>
      </c>
      <c r="AR375" s="15">
        <v>2517</v>
      </c>
      <c r="AS375" s="18">
        <f t="shared" si="163"/>
        <v>1092002</v>
      </c>
      <c r="AT375" s="19">
        <v>0</v>
      </c>
      <c r="AU375" s="8">
        <v>8800</v>
      </c>
      <c r="AV375" s="13">
        <f t="shared" si="164"/>
        <v>1932392</v>
      </c>
      <c r="AW375" s="18">
        <f t="shared" si="165"/>
        <v>7047642</v>
      </c>
      <c r="AX375" s="15">
        <f t="shared" si="190"/>
        <v>7048000</v>
      </c>
      <c r="AY375" s="20">
        <v>0.06</v>
      </c>
      <c r="AZ375" s="13">
        <f t="shared" si="191"/>
        <v>422880</v>
      </c>
      <c r="BA375" s="15">
        <f t="shared" si="192"/>
        <v>422900</v>
      </c>
      <c r="BB375" s="21">
        <f t="shared" si="166"/>
        <v>1514902</v>
      </c>
      <c r="BC375" s="10">
        <f t="shared" si="167"/>
        <v>0</v>
      </c>
      <c r="BD375" s="10">
        <f t="shared" si="168"/>
        <v>0</v>
      </c>
      <c r="BE375" s="10">
        <v>45.5</v>
      </c>
      <c r="BF375" s="10">
        <v>20.399999999999999</v>
      </c>
      <c r="BG375" s="107">
        <v>46176</v>
      </c>
      <c r="BH375" s="107">
        <f t="shared" si="172"/>
        <v>46206</v>
      </c>
      <c r="BI375" s="23">
        <v>6</v>
      </c>
      <c r="BJ375" s="6"/>
      <c r="BK375" s="6"/>
      <c r="BL375" s="24">
        <f>VLOOKUP(A375,[2]Sheet1!$D$2:$H$933,5,0)</f>
        <v>0</v>
      </c>
      <c r="BM375" s="6" t="s">
        <v>3828</v>
      </c>
      <c r="BN375" s="6" t="s">
        <v>3829</v>
      </c>
      <c r="BO375" s="6" t="s">
        <v>3820</v>
      </c>
      <c r="BP375" s="6" t="s">
        <v>3821</v>
      </c>
      <c r="BQ375" s="6" t="s">
        <v>3830</v>
      </c>
      <c r="BR375" t="s">
        <v>3823</v>
      </c>
      <c r="BS375" t="s">
        <v>3824</v>
      </c>
      <c r="BT375" t="s">
        <v>3825</v>
      </c>
      <c r="BU375" t="s">
        <v>3826</v>
      </c>
      <c r="BV375" t="s">
        <v>3827</v>
      </c>
      <c r="BW375" t="s">
        <v>3835</v>
      </c>
      <c r="BX375">
        <v>0</v>
      </c>
      <c r="BY375" t="s">
        <v>3870</v>
      </c>
      <c r="BZ375" t="s">
        <v>3860</v>
      </c>
    </row>
    <row r="376" spans="1:78" x14ac:dyDescent="0.25">
      <c r="A376" s="48" t="s">
        <v>1590</v>
      </c>
      <c r="B376" s="48" t="s">
        <v>181</v>
      </c>
      <c r="C376" s="48" t="s">
        <v>1588</v>
      </c>
      <c r="D376" s="49" t="s">
        <v>1589</v>
      </c>
      <c r="E376" s="48" t="s">
        <v>1591</v>
      </c>
      <c r="F376" s="50">
        <v>44909</v>
      </c>
      <c r="G376" s="50" t="s">
        <v>77</v>
      </c>
      <c r="H376" s="50" t="s">
        <v>92</v>
      </c>
      <c r="I376" s="49" t="s">
        <v>78</v>
      </c>
      <c r="J376" s="51">
        <v>293.43</v>
      </c>
      <c r="K376" s="51">
        <v>293.43</v>
      </c>
      <c r="L376" s="51">
        <f t="shared" si="174"/>
        <v>0</v>
      </c>
      <c r="M376" s="51">
        <v>128.52000000000001</v>
      </c>
      <c r="N376" s="51">
        <v>128.52000000000001</v>
      </c>
      <c r="O376" s="51">
        <f t="shared" si="175"/>
        <v>0</v>
      </c>
      <c r="P376" s="52">
        <v>17860.999216167398</v>
      </c>
      <c r="Q376" s="52">
        <v>40779.279489573601</v>
      </c>
      <c r="R376" s="52">
        <v>28000</v>
      </c>
      <c r="S376" s="52">
        <v>5240953</v>
      </c>
      <c r="T376" s="52">
        <v>628916</v>
      </c>
      <c r="U376" s="53">
        <f t="shared" si="176"/>
        <v>0.12000031292018837</v>
      </c>
      <c r="V376" s="54">
        <f t="shared" si="177"/>
        <v>0</v>
      </c>
      <c r="W376" s="51">
        <f t="shared" si="178"/>
        <v>0</v>
      </c>
      <c r="X376" s="51"/>
      <c r="Y376" s="51"/>
      <c r="Z376" s="52">
        <f t="shared" si="179"/>
        <v>5240953</v>
      </c>
      <c r="AA376" s="56">
        <v>627089</v>
      </c>
      <c r="AB376" s="56">
        <v>75251</v>
      </c>
      <c r="AC376" s="52">
        <f t="shared" si="180"/>
        <v>4613864</v>
      </c>
      <c r="AD376" s="51">
        <f t="shared" si="181"/>
        <v>300</v>
      </c>
      <c r="AE376" s="55">
        <v>38556</v>
      </c>
      <c r="AF376" s="57">
        <v>6940</v>
      </c>
      <c r="AG376" s="55">
        <f t="shared" si="182"/>
        <v>0</v>
      </c>
      <c r="AH376" s="55">
        <f t="shared" si="183"/>
        <v>0</v>
      </c>
      <c r="AI376" s="55">
        <f t="shared" si="184"/>
        <v>38556</v>
      </c>
      <c r="AJ376" s="55">
        <f t="shared" si="185"/>
        <v>6941</v>
      </c>
      <c r="AK376" s="51">
        <v>38556</v>
      </c>
      <c r="AL376" s="55">
        <f t="shared" si="186"/>
        <v>38556</v>
      </c>
      <c r="AM376" s="15">
        <f t="shared" si="187"/>
        <v>4652420</v>
      </c>
      <c r="AN376" s="15">
        <f t="shared" si="188"/>
        <v>560606</v>
      </c>
      <c r="AO376" s="55">
        <f t="shared" si="162"/>
        <v>602857</v>
      </c>
      <c r="AP376" s="58">
        <f t="shared" si="189"/>
        <v>5255277</v>
      </c>
      <c r="AQ376" s="55">
        <v>4539645</v>
      </c>
      <c r="AR376" s="15">
        <v>3695</v>
      </c>
      <c r="AS376" s="18">
        <f t="shared" si="163"/>
        <v>715632</v>
      </c>
      <c r="AT376" s="60">
        <v>0</v>
      </c>
      <c r="AU376" s="49">
        <v>8800</v>
      </c>
      <c r="AV376" s="54">
        <f t="shared" si="164"/>
        <v>1130976</v>
      </c>
      <c r="AW376" s="59">
        <f t="shared" si="165"/>
        <v>4652420</v>
      </c>
      <c r="AX376" s="55">
        <f t="shared" si="190"/>
        <v>4653000</v>
      </c>
      <c r="AY376" s="61">
        <v>7.0000000000000007E-2</v>
      </c>
      <c r="AZ376" s="54">
        <f t="shared" si="191"/>
        <v>325710.00000000006</v>
      </c>
      <c r="BA376" s="55">
        <f t="shared" si="192"/>
        <v>325800</v>
      </c>
      <c r="BB376" s="62">
        <f t="shared" si="166"/>
        <v>1041432</v>
      </c>
      <c r="BC376" s="51">
        <f t="shared" si="167"/>
        <v>0</v>
      </c>
      <c r="BD376" s="51">
        <f t="shared" si="168"/>
        <v>0</v>
      </c>
      <c r="BE376" s="51">
        <v>27.26</v>
      </c>
      <c r="BF376" s="51">
        <v>11.94</v>
      </c>
      <c r="BG376" s="107">
        <v>46176</v>
      </c>
      <c r="BH376" s="109">
        <f t="shared" si="172"/>
        <v>46206</v>
      </c>
      <c r="BI376" s="63">
        <v>7</v>
      </c>
      <c r="BJ376" s="24" t="s">
        <v>350</v>
      </c>
      <c r="BK376" s="6"/>
      <c r="BL376" s="24">
        <f>VLOOKUP(A376,[2]Sheet1!$D$2:$H$933,5,0)</f>
        <v>0</v>
      </c>
      <c r="BM376" s="6" t="s">
        <v>3828</v>
      </c>
      <c r="BN376" s="6" t="s">
        <v>3829</v>
      </c>
      <c r="BO376" s="6" t="s">
        <v>3820</v>
      </c>
      <c r="BP376" s="6" t="s">
        <v>3821</v>
      </c>
      <c r="BQ376" s="6" t="s">
        <v>3830</v>
      </c>
      <c r="BR376" t="s">
        <v>3823</v>
      </c>
      <c r="BS376" t="s">
        <v>3824</v>
      </c>
      <c r="BT376" t="s">
        <v>3825</v>
      </c>
      <c r="BU376" t="s">
        <v>3826</v>
      </c>
      <c r="BV376" t="s">
        <v>3827</v>
      </c>
      <c r="BW376" t="s">
        <v>3835</v>
      </c>
      <c r="BX376">
        <v>0</v>
      </c>
      <c r="BY376" t="s">
        <v>3859</v>
      </c>
      <c r="BZ376" t="s">
        <v>3863</v>
      </c>
    </row>
    <row r="377" spans="1:78" x14ac:dyDescent="0.25">
      <c r="A377" s="7" t="s">
        <v>1594</v>
      </c>
      <c r="B377" s="7" t="s">
        <v>181</v>
      </c>
      <c r="C377" s="7" t="s">
        <v>1592</v>
      </c>
      <c r="D377" s="8" t="s">
        <v>1593</v>
      </c>
      <c r="E377" s="7" t="s">
        <v>1595</v>
      </c>
      <c r="F377" s="9">
        <v>44906</v>
      </c>
      <c r="G377" s="9" t="s">
        <v>77</v>
      </c>
      <c r="H377" s="9" t="s">
        <v>92</v>
      </c>
      <c r="I377" s="8" t="s">
        <v>78</v>
      </c>
      <c r="J377" s="10">
        <v>285.25</v>
      </c>
      <c r="K377" s="10">
        <v>285.25</v>
      </c>
      <c r="L377" s="10">
        <f t="shared" si="174"/>
        <v>0</v>
      </c>
      <c r="M377" s="10">
        <v>115.93</v>
      </c>
      <c r="N377" s="10">
        <v>115.93</v>
      </c>
      <c r="O377" s="10">
        <f t="shared" si="175"/>
        <v>0</v>
      </c>
      <c r="P377" s="11">
        <v>20362.00175284838</v>
      </c>
      <c r="Q377" s="11">
        <v>50101.449150349348</v>
      </c>
      <c r="R377" s="11">
        <v>28000</v>
      </c>
      <c r="S377" s="11">
        <v>5808261</v>
      </c>
      <c r="T377" s="11">
        <v>696994</v>
      </c>
      <c r="U377" s="12">
        <f t="shared" si="176"/>
        <v>0.12000046141177195</v>
      </c>
      <c r="V377" s="13">
        <f t="shared" si="177"/>
        <v>0</v>
      </c>
      <c r="W377" s="10">
        <f t="shared" si="178"/>
        <v>0</v>
      </c>
      <c r="X377" s="10"/>
      <c r="Y377" s="10"/>
      <c r="Z377" s="11">
        <f t="shared" si="179"/>
        <v>5808261</v>
      </c>
      <c r="AA377" s="14">
        <v>622591</v>
      </c>
      <c r="AB377" s="14">
        <v>74710</v>
      </c>
      <c r="AC377" s="11">
        <f t="shared" si="180"/>
        <v>5185670</v>
      </c>
      <c r="AD377" s="10">
        <f t="shared" si="181"/>
        <v>300</v>
      </c>
      <c r="AE377" s="15">
        <v>34779</v>
      </c>
      <c r="AF377" s="16">
        <v>6260</v>
      </c>
      <c r="AG377" s="15">
        <f t="shared" si="182"/>
        <v>0</v>
      </c>
      <c r="AH377" s="15">
        <f t="shared" si="183"/>
        <v>0</v>
      </c>
      <c r="AI377" s="15">
        <f t="shared" si="184"/>
        <v>34779</v>
      </c>
      <c r="AJ377" s="15">
        <f t="shared" si="185"/>
        <v>6261</v>
      </c>
      <c r="AK377" s="10">
        <v>34779</v>
      </c>
      <c r="AL377" s="15">
        <f t="shared" si="186"/>
        <v>34779</v>
      </c>
      <c r="AM377" s="15">
        <f t="shared" si="187"/>
        <v>5220449</v>
      </c>
      <c r="AN377" s="15">
        <f t="shared" si="188"/>
        <v>628545</v>
      </c>
      <c r="AO377" s="15">
        <f t="shared" si="162"/>
        <v>663552</v>
      </c>
      <c r="AP377" s="17">
        <f t="shared" si="189"/>
        <v>5884001</v>
      </c>
      <c r="AQ377" s="15">
        <v>4414078</v>
      </c>
      <c r="AR377" s="15">
        <v>228</v>
      </c>
      <c r="AS377" s="18">
        <f t="shared" si="163"/>
        <v>1469923</v>
      </c>
      <c r="AT377" s="19">
        <v>0</v>
      </c>
      <c r="AU377" s="8">
        <v>8800</v>
      </c>
      <c r="AV377" s="13">
        <f t="shared" si="164"/>
        <v>1020184.0000000001</v>
      </c>
      <c r="AW377" s="18">
        <f t="shared" si="165"/>
        <v>5220449</v>
      </c>
      <c r="AX377" s="15">
        <f t="shared" si="190"/>
        <v>5221000</v>
      </c>
      <c r="AY377" s="20">
        <v>0.06</v>
      </c>
      <c r="AZ377" s="13">
        <f t="shared" si="191"/>
        <v>313260</v>
      </c>
      <c r="BA377" s="15">
        <f t="shared" si="192"/>
        <v>313300</v>
      </c>
      <c r="BB377" s="21">
        <f t="shared" si="166"/>
        <v>1783223</v>
      </c>
      <c r="BC377" s="10">
        <f t="shared" si="167"/>
        <v>0</v>
      </c>
      <c r="BD377" s="10">
        <f t="shared" si="168"/>
        <v>0</v>
      </c>
      <c r="BE377" s="10">
        <v>26.5</v>
      </c>
      <c r="BF377" s="10">
        <v>10.77</v>
      </c>
      <c r="BG377" s="107">
        <v>46176</v>
      </c>
      <c r="BH377" s="107">
        <f t="shared" si="172"/>
        <v>46206</v>
      </c>
      <c r="BI377" s="23">
        <v>6</v>
      </c>
      <c r="BJ377" s="6"/>
      <c r="BK377" s="6"/>
      <c r="BL377" s="24">
        <f>VLOOKUP(A377,[2]Sheet1!$D$2:$H$933,5,0)</f>
        <v>0</v>
      </c>
      <c r="BM377" s="6" t="s">
        <v>3828</v>
      </c>
      <c r="BN377" s="6" t="s">
        <v>3829</v>
      </c>
      <c r="BO377" s="6" t="s">
        <v>3820</v>
      </c>
      <c r="BP377" s="6" t="s">
        <v>3821</v>
      </c>
      <c r="BQ377" s="6" t="s">
        <v>3830</v>
      </c>
      <c r="BR377" t="s">
        <v>3823</v>
      </c>
      <c r="BS377" t="s">
        <v>3824</v>
      </c>
      <c r="BT377" t="s">
        <v>3825</v>
      </c>
      <c r="BU377" t="s">
        <v>3826</v>
      </c>
      <c r="BV377" t="s">
        <v>3827</v>
      </c>
      <c r="BW377" t="s">
        <v>3835</v>
      </c>
      <c r="BX377">
        <v>0</v>
      </c>
      <c r="BY377" t="s">
        <v>3867</v>
      </c>
      <c r="BZ377" t="s">
        <v>3863</v>
      </c>
    </row>
    <row r="378" spans="1:78" x14ac:dyDescent="0.25">
      <c r="A378" s="7" t="s">
        <v>1598</v>
      </c>
      <c r="B378" s="7" t="s">
        <v>181</v>
      </c>
      <c r="C378" s="7" t="s">
        <v>1596</v>
      </c>
      <c r="D378" s="8" t="s">
        <v>1597</v>
      </c>
      <c r="E378" s="7" t="s">
        <v>1146</v>
      </c>
      <c r="F378" s="9">
        <v>45003</v>
      </c>
      <c r="G378" s="9" t="s">
        <v>717</v>
      </c>
      <c r="H378" s="9" t="s">
        <v>66</v>
      </c>
      <c r="I378" s="8" t="s">
        <v>78</v>
      </c>
      <c r="J378" s="10">
        <v>406.45</v>
      </c>
      <c r="K378" s="10">
        <v>406.45</v>
      </c>
      <c r="L378" s="10">
        <f t="shared" si="174"/>
        <v>0</v>
      </c>
      <c r="M378" s="10">
        <v>165.23</v>
      </c>
      <c r="N378" s="10">
        <v>165.23</v>
      </c>
      <c r="O378" s="10">
        <f t="shared" si="175"/>
        <v>0</v>
      </c>
      <c r="P378" s="11">
        <v>12058.088325747325</v>
      </c>
      <c r="Q378" s="11">
        <v>29661.744235308361</v>
      </c>
      <c r="R378" s="11">
        <v>22000</v>
      </c>
      <c r="S378" s="11">
        <v>4901010</v>
      </c>
      <c r="T378" s="11">
        <v>588122</v>
      </c>
      <c r="U378" s="12">
        <f t="shared" si="176"/>
        <v>0.12000016323166041</v>
      </c>
      <c r="V378" s="13">
        <f t="shared" si="177"/>
        <v>0</v>
      </c>
      <c r="W378" s="10">
        <f t="shared" si="178"/>
        <v>0</v>
      </c>
      <c r="X378" s="10"/>
      <c r="Y378" s="10"/>
      <c r="Z378" s="11">
        <f t="shared" si="179"/>
        <v>4901010</v>
      </c>
      <c r="AA378" s="14"/>
      <c r="AB378" s="14"/>
      <c r="AC378" s="11">
        <f t="shared" si="180"/>
        <v>4901010</v>
      </c>
      <c r="AD378" s="10">
        <f t="shared" si="181"/>
        <v>300</v>
      </c>
      <c r="AE378" s="15">
        <v>49569</v>
      </c>
      <c r="AF378" s="16">
        <v>8922</v>
      </c>
      <c r="AG378" s="15">
        <f t="shared" si="182"/>
        <v>0</v>
      </c>
      <c r="AH378" s="15">
        <f t="shared" si="183"/>
        <v>0</v>
      </c>
      <c r="AI378" s="15">
        <f t="shared" si="184"/>
        <v>49569</v>
      </c>
      <c r="AJ378" s="15">
        <f t="shared" si="185"/>
        <v>8923</v>
      </c>
      <c r="AK378" s="10">
        <v>49569</v>
      </c>
      <c r="AL378" s="15">
        <f t="shared" si="186"/>
        <v>49569</v>
      </c>
      <c r="AM378" s="15">
        <f t="shared" si="187"/>
        <v>4950579</v>
      </c>
      <c r="AN378" s="15">
        <f t="shared" si="188"/>
        <v>597045</v>
      </c>
      <c r="AO378" s="15">
        <f t="shared" si="162"/>
        <v>649188</v>
      </c>
      <c r="AP378" s="17">
        <f t="shared" si="189"/>
        <v>5599767</v>
      </c>
      <c r="AQ378" s="15">
        <v>4980041</v>
      </c>
      <c r="AR378" s="15">
        <v>2574</v>
      </c>
      <c r="AS378" s="18">
        <f t="shared" si="163"/>
        <v>619726</v>
      </c>
      <c r="AT378" s="19">
        <v>0</v>
      </c>
      <c r="AU378" s="8">
        <v>8800</v>
      </c>
      <c r="AV378" s="13">
        <f t="shared" si="164"/>
        <v>1454024</v>
      </c>
      <c r="AW378" s="18">
        <f t="shared" si="165"/>
        <v>4950579</v>
      </c>
      <c r="AX378" s="15">
        <f t="shared" si="190"/>
        <v>4951000</v>
      </c>
      <c r="AY378" s="20">
        <v>0.06</v>
      </c>
      <c r="AZ378" s="13">
        <f t="shared" si="191"/>
        <v>297060</v>
      </c>
      <c r="BA378" s="15">
        <f t="shared" si="192"/>
        <v>297100</v>
      </c>
      <c r="BB378" s="21">
        <f t="shared" si="166"/>
        <v>916826</v>
      </c>
      <c r="BC378" s="10">
        <f t="shared" si="167"/>
        <v>0</v>
      </c>
      <c r="BD378" s="10">
        <f t="shared" si="168"/>
        <v>0</v>
      </c>
      <c r="BE378" s="10">
        <v>37.76</v>
      </c>
      <c r="BF378" s="10">
        <v>15.35</v>
      </c>
      <c r="BG378" s="107">
        <v>46176</v>
      </c>
      <c r="BH378" s="107">
        <f t="shared" si="172"/>
        <v>46206</v>
      </c>
      <c r="BI378" s="23">
        <v>6</v>
      </c>
      <c r="BJ378" s="6"/>
      <c r="BK378" s="6"/>
      <c r="BL378" s="24">
        <f>VLOOKUP(A378,[2]Sheet1!$D$2:$H$933,5,0)</f>
        <v>0</v>
      </c>
      <c r="BM378" s="6" t="s">
        <v>3828</v>
      </c>
      <c r="BN378" s="6" t="s">
        <v>3829</v>
      </c>
      <c r="BO378" s="6" t="s">
        <v>3820</v>
      </c>
      <c r="BP378" s="6" t="s">
        <v>3821</v>
      </c>
      <c r="BQ378" s="6" t="s">
        <v>3830</v>
      </c>
      <c r="BR378" t="s">
        <v>3823</v>
      </c>
      <c r="BS378" t="s">
        <v>3824</v>
      </c>
      <c r="BT378" t="s">
        <v>3825</v>
      </c>
      <c r="BU378" t="s">
        <v>3826</v>
      </c>
      <c r="BV378" t="s">
        <v>3827</v>
      </c>
      <c r="BW378" t="s">
        <v>3835</v>
      </c>
      <c r="BX378">
        <v>0</v>
      </c>
      <c r="BY378" t="s">
        <v>3866</v>
      </c>
      <c r="BZ378" t="s">
        <v>3872</v>
      </c>
    </row>
    <row r="379" spans="1:78" x14ac:dyDescent="0.25">
      <c r="A379" s="7" t="s">
        <v>1601</v>
      </c>
      <c r="B379" s="7" t="s">
        <v>181</v>
      </c>
      <c r="C379" s="7" t="s">
        <v>1599</v>
      </c>
      <c r="D379" s="8" t="s">
        <v>1600</v>
      </c>
      <c r="E379" s="7" t="s">
        <v>1602</v>
      </c>
      <c r="F379" s="9">
        <v>44989</v>
      </c>
      <c r="G379" s="9" t="s">
        <v>527</v>
      </c>
      <c r="H379" s="9" t="s">
        <v>66</v>
      </c>
      <c r="I379" s="8" t="s">
        <v>67</v>
      </c>
      <c r="J379" s="10">
        <v>371.24</v>
      </c>
      <c r="K379" s="10">
        <v>371.24</v>
      </c>
      <c r="L379" s="10">
        <f t="shared" si="174"/>
        <v>0</v>
      </c>
      <c r="M379" s="10">
        <v>148.54</v>
      </c>
      <c r="N379" s="10">
        <v>148.54</v>
      </c>
      <c r="O379" s="10">
        <f t="shared" si="175"/>
        <v>0</v>
      </c>
      <c r="P379" s="11">
        <v>11043.998491541859</v>
      </c>
      <c r="Q379" s="11">
        <v>27601.81769220412</v>
      </c>
      <c r="R379" s="11">
        <v>22000</v>
      </c>
      <c r="S379" s="11">
        <v>4099974</v>
      </c>
      <c r="T379" s="11">
        <v>491998</v>
      </c>
      <c r="U379" s="12">
        <f t="shared" si="176"/>
        <v>0.12000027317246402</v>
      </c>
      <c r="V379" s="13">
        <f t="shared" si="177"/>
        <v>0</v>
      </c>
      <c r="W379" s="10">
        <f t="shared" si="178"/>
        <v>0</v>
      </c>
      <c r="X379" s="10"/>
      <c r="Y379" s="10"/>
      <c r="Z379" s="11">
        <f t="shared" si="179"/>
        <v>4099974</v>
      </c>
      <c r="AA379" s="14"/>
      <c r="AB379" s="14"/>
      <c r="AC379" s="11">
        <f t="shared" si="180"/>
        <v>4099974</v>
      </c>
      <c r="AD379" s="10">
        <f t="shared" si="181"/>
        <v>300</v>
      </c>
      <c r="AE379" s="15">
        <v>44562</v>
      </c>
      <c r="AF379" s="16">
        <v>8022</v>
      </c>
      <c r="AG379" s="15">
        <f t="shared" si="182"/>
        <v>0</v>
      </c>
      <c r="AH379" s="15">
        <f t="shared" si="183"/>
        <v>0</v>
      </c>
      <c r="AI379" s="15">
        <f t="shared" si="184"/>
        <v>44562</v>
      </c>
      <c r="AJ379" s="15">
        <f t="shared" si="185"/>
        <v>8022</v>
      </c>
      <c r="AK379" s="10">
        <v>44562</v>
      </c>
      <c r="AL379" s="15">
        <f t="shared" si="186"/>
        <v>44562</v>
      </c>
      <c r="AM379" s="15">
        <f t="shared" si="187"/>
        <v>4144536</v>
      </c>
      <c r="AN379" s="15">
        <f t="shared" si="188"/>
        <v>500020</v>
      </c>
      <c r="AO379" s="15">
        <f t="shared" si="162"/>
        <v>547170</v>
      </c>
      <c r="AP379" s="17">
        <f t="shared" si="189"/>
        <v>4691706</v>
      </c>
      <c r="AQ379" s="15">
        <v>3972891</v>
      </c>
      <c r="AR379" s="15">
        <v>2588</v>
      </c>
      <c r="AS379" s="18">
        <f t="shared" si="163"/>
        <v>718815</v>
      </c>
      <c r="AT379" s="19">
        <v>0</v>
      </c>
      <c r="AU379" s="8">
        <v>8800</v>
      </c>
      <c r="AV379" s="13">
        <f t="shared" si="164"/>
        <v>1307152</v>
      </c>
      <c r="AW379" s="18">
        <f t="shared" si="165"/>
        <v>4144536</v>
      </c>
      <c r="AX379" s="15">
        <f t="shared" si="190"/>
        <v>4145000</v>
      </c>
      <c r="AY379" s="20">
        <v>7.0000000000000007E-2</v>
      </c>
      <c r="AZ379" s="13">
        <f t="shared" si="191"/>
        <v>290150</v>
      </c>
      <c r="BA379" s="15">
        <f t="shared" si="192"/>
        <v>290200</v>
      </c>
      <c r="BB379" s="21">
        <f t="shared" si="166"/>
        <v>1009015</v>
      </c>
      <c r="BC379" s="10">
        <f t="shared" si="167"/>
        <v>0</v>
      </c>
      <c r="BD379" s="10">
        <f t="shared" si="168"/>
        <v>0</v>
      </c>
      <c r="BE379" s="10">
        <v>34.49</v>
      </c>
      <c r="BF379" s="10">
        <v>13.8</v>
      </c>
      <c r="BG379" s="107">
        <v>46176</v>
      </c>
      <c r="BH379" s="107">
        <f t="shared" si="172"/>
        <v>46206</v>
      </c>
      <c r="BI379" s="23">
        <v>7</v>
      </c>
      <c r="BJ379" s="6"/>
      <c r="BK379" s="6"/>
      <c r="BL379" s="24">
        <f>VLOOKUP(A379,[2]Sheet1!$D$2:$H$933,5,0)</f>
        <v>0</v>
      </c>
      <c r="BM379" s="6" t="s">
        <v>3828</v>
      </c>
      <c r="BN379" s="6" t="s">
        <v>3829</v>
      </c>
      <c r="BO379" s="6" t="s">
        <v>3820</v>
      </c>
      <c r="BP379" s="6" t="s">
        <v>3821</v>
      </c>
      <c r="BQ379" s="6" t="s">
        <v>3830</v>
      </c>
      <c r="BR379" t="s">
        <v>3823</v>
      </c>
      <c r="BS379" t="s">
        <v>3824</v>
      </c>
      <c r="BT379" t="s">
        <v>3825</v>
      </c>
      <c r="BU379" t="s">
        <v>3826</v>
      </c>
      <c r="BV379" t="s">
        <v>3827</v>
      </c>
      <c r="BW379" t="s">
        <v>3835</v>
      </c>
      <c r="BX379">
        <v>0</v>
      </c>
      <c r="BY379" t="s">
        <v>3867</v>
      </c>
      <c r="BZ379" t="s">
        <v>3871</v>
      </c>
    </row>
    <row r="380" spans="1:78" x14ac:dyDescent="0.25">
      <c r="A380" s="7" t="s">
        <v>1605</v>
      </c>
      <c r="B380" s="7" t="s">
        <v>181</v>
      </c>
      <c r="C380" s="7" t="s">
        <v>1603</v>
      </c>
      <c r="D380" s="8" t="s">
        <v>1604</v>
      </c>
      <c r="E380" s="7" t="s">
        <v>1606</v>
      </c>
      <c r="F380" s="9">
        <v>44874</v>
      </c>
      <c r="G380" s="9" t="s">
        <v>404</v>
      </c>
      <c r="H380" s="9" t="s">
        <v>66</v>
      </c>
      <c r="I380" s="8" t="s">
        <v>78</v>
      </c>
      <c r="J380" s="10">
        <v>709.99</v>
      </c>
      <c r="K380" s="10">
        <v>709.99</v>
      </c>
      <c r="L380" s="10">
        <f t="shared" si="174"/>
        <v>0</v>
      </c>
      <c r="M380" s="10">
        <v>314.85000000000002</v>
      </c>
      <c r="N380" s="10">
        <v>314.85000000000002</v>
      </c>
      <c r="O380" s="10">
        <f t="shared" si="175"/>
        <v>0</v>
      </c>
      <c r="P380" s="11">
        <v>16204.000056338822</v>
      </c>
      <c r="Q380" s="11">
        <v>36540.187390821025</v>
      </c>
      <c r="R380" s="11">
        <v>22000</v>
      </c>
      <c r="S380" s="11">
        <v>11504678</v>
      </c>
      <c r="T380" s="11">
        <v>1380562</v>
      </c>
      <c r="U380" s="12">
        <f t="shared" si="176"/>
        <v>0.12000005562954479</v>
      </c>
      <c r="V380" s="13">
        <f t="shared" si="177"/>
        <v>0</v>
      </c>
      <c r="W380" s="10">
        <f t="shared" si="178"/>
        <v>0</v>
      </c>
      <c r="X380" s="10"/>
      <c r="Y380" s="10"/>
      <c r="Z380" s="11">
        <f t="shared" si="179"/>
        <v>11504678</v>
      </c>
      <c r="AA380" s="14">
        <v>1039290</v>
      </c>
      <c r="AB380" s="14">
        <v>124714</v>
      </c>
      <c r="AC380" s="11">
        <f t="shared" si="180"/>
        <v>10465388</v>
      </c>
      <c r="AD380" s="10">
        <f t="shared" si="181"/>
        <v>300</v>
      </c>
      <c r="AE380" s="15">
        <v>94455</v>
      </c>
      <c r="AF380" s="16">
        <v>17002</v>
      </c>
      <c r="AG380" s="15">
        <f t="shared" si="182"/>
        <v>0</v>
      </c>
      <c r="AH380" s="15">
        <f t="shared" si="183"/>
        <v>0</v>
      </c>
      <c r="AI380" s="15">
        <f t="shared" si="184"/>
        <v>94455</v>
      </c>
      <c r="AJ380" s="15">
        <f t="shared" si="185"/>
        <v>17002</v>
      </c>
      <c r="AK380" s="10">
        <v>94455</v>
      </c>
      <c r="AL380" s="15">
        <f t="shared" si="186"/>
        <v>94455</v>
      </c>
      <c r="AM380" s="15">
        <f t="shared" si="187"/>
        <v>10559843</v>
      </c>
      <c r="AN380" s="15">
        <f t="shared" si="188"/>
        <v>1272850</v>
      </c>
      <c r="AO380" s="15">
        <f t="shared" si="162"/>
        <v>1369997</v>
      </c>
      <c r="AP380" s="17">
        <f t="shared" si="189"/>
        <v>11929840</v>
      </c>
      <c r="AQ380" s="15">
        <v>10329169</v>
      </c>
      <c r="AR380" s="15">
        <v>2692</v>
      </c>
      <c r="AS380" s="18">
        <f t="shared" si="163"/>
        <v>1600671</v>
      </c>
      <c r="AT380" s="19">
        <v>0</v>
      </c>
      <c r="AU380" s="8">
        <v>8800</v>
      </c>
      <c r="AV380" s="13">
        <f t="shared" si="164"/>
        <v>2770680</v>
      </c>
      <c r="AW380" s="18">
        <f t="shared" si="165"/>
        <v>10559843</v>
      </c>
      <c r="AX380" s="15">
        <f t="shared" si="190"/>
        <v>10560000</v>
      </c>
      <c r="AY380" s="20">
        <v>0.05</v>
      </c>
      <c r="AZ380" s="13">
        <f t="shared" si="191"/>
        <v>528000</v>
      </c>
      <c r="BA380" s="15">
        <f t="shared" si="192"/>
        <v>528000</v>
      </c>
      <c r="BB380" s="21">
        <f t="shared" si="166"/>
        <v>2128671</v>
      </c>
      <c r="BC380" s="10">
        <f t="shared" si="167"/>
        <v>0</v>
      </c>
      <c r="BD380" s="10">
        <f t="shared" si="168"/>
        <v>0</v>
      </c>
      <c r="BE380" s="10">
        <v>65.959999999999994</v>
      </c>
      <c r="BF380" s="10">
        <v>29.25</v>
      </c>
      <c r="BG380" s="107">
        <v>46176</v>
      </c>
      <c r="BH380" s="107">
        <f t="shared" si="172"/>
        <v>46206</v>
      </c>
      <c r="BI380" s="23">
        <v>5</v>
      </c>
      <c r="BJ380" s="6"/>
      <c r="BK380" s="6"/>
      <c r="BL380" s="24">
        <f>VLOOKUP(A380,[2]Sheet1!$D$2:$H$933,5,0)</f>
        <v>0</v>
      </c>
      <c r="BM380" s="6" t="s">
        <v>3828</v>
      </c>
      <c r="BN380" s="6" t="s">
        <v>3829</v>
      </c>
      <c r="BO380" s="6" t="s">
        <v>3820</v>
      </c>
      <c r="BP380" s="6" t="s">
        <v>3821</v>
      </c>
      <c r="BQ380" s="6" t="s">
        <v>3830</v>
      </c>
      <c r="BR380" t="s">
        <v>3823</v>
      </c>
      <c r="BS380" t="s">
        <v>3824</v>
      </c>
      <c r="BT380" t="s">
        <v>3825</v>
      </c>
      <c r="BU380" t="s">
        <v>3826</v>
      </c>
      <c r="BV380" t="s">
        <v>3827</v>
      </c>
      <c r="BW380" t="s">
        <v>3835</v>
      </c>
      <c r="BX380">
        <v>0</v>
      </c>
      <c r="BY380" t="s">
        <v>3862</v>
      </c>
      <c r="BZ380" t="s">
        <v>3863</v>
      </c>
    </row>
    <row r="381" spans="1:78" x14ac:dyDescent="0.25">
      <c r="A381" s="7" t="s">
        <v>1609</v>
      </c>
      <c r="B381" s="7" t="s">
        <v>181</v>
      </c>
      <c r="C381" s="7" t="s">
        <v>1607</v>
      </c>
      <c r="D381" s="8" t="s">
        <v>1608</v>
      </c>
      <c r="E381" s="7" t="s">
        <v>1610</v>
      </c>
      <c r="F381" s="9">
        <v>44866</v>
      </c>
      <c r="G381" s="9" t="s">
        <v>527</v>
      </c>
      <c r="H381" s="9" t="s">
        <v>66</v>
      </c>
      <c r="I381" s="8" t="s">
        <v>78</v>
      </c>
      <c r="J381" s="10">
        <v>658.76</v>
      </c>
      <c r="K381" s="10">
        <v>658.76</v>
      </c>
      <c r="L381" s="10">
        <f t="shared" si="174"/>
        <v>0</v>
      </c>
      <c r="M381" s="10">
        <v>299.77999999999997</v>
      </c>
      <c r="N381" s="10">
        <v>299.77999999999997</v>
      </c>
      <c r="O381" s="10">
        <f t="shared" si="175"/>
        <v>0</v>
      </c>
      <c r="P381" s="11">
        <v>17482.249984819966</v>
      </c>
      <c r="Q381" s="11">
        <v>38416.862365734873</v>
      </c>
      <c r="R381" s="11">
        <v>22000</v>
      </c>
      <c r="S381" s="11">
        <v>11516607</v>
      </c>
      <c r="T381" s="11">
        <v>1381994</v>
      </c>
      <c r="U381" s="12">
        <f t="shared" si="176"/>
        <v>0.12000010072411084</v>
      </c>
      <c r="V381" s="13">
        <f t="shared" si="177"/>
        <v>0</v>
      </c>
      <c r="W381" s="10">
        <f t="shared" si="178"/>
        <v>0</v>
      </c>
      <c r="X381" s="10"/>
      <c r="Y381" s="10"/>
      <c r="Z381" s="11">
        <f t="shared" si="179"/>
        <v>11516607</v>
      </c>
      <c r="AA381" s="14"/>
      <c r="AB381" s="14"/>
      <c r="AC381" s="11">
        <f t="shared" si="180"/>
        <v>11516607</v>
      </c>
      <c r="AD381" s="10">
        <f t="shared" si="181"/>
        <v>300</v>
      </c>
      <c r="AE381" s="15">
        <v>89934</v>
      </c>
      <c r="AF381" s="16">
        <v>16188</v>
      </c>
      <c r="AG381" s="15">
        <f t="shared" si="182"/>
        <v>0</v>
      </c>
      <c r="AH381" s="15">
        <f t="shared" si="183"/>
        <v>0</v>
      </c>
      <c r="AI381" s="15">
        <f t="shared" si="184"/>
        <v>89933.999999999985</v>
      </c>
      <c r="AJ381" s="15">
        <f t="shared" si="185"/>
        <v>16189</v>
      </c>
      <c r="AK381" s="10">
        <v>89934</v>
      </c>
      <c r="AL381" s="15">
        <f t="shared" si="186"/>
        <v>89933.999999999985</v>
      </c>
      <c r="AM381" s="15">
        <f t="shared" si="187"/>
        <v>11606541</v>
      </c>
      <c r="AN381" s="15">
        <f t="shared" si="188"/>
        <v>1398183</v>
      </c>
      <c r="AO381" s="15">
        <f t="shared" ref="AO381:AO442" si="193">AN381+AL381+AR381</f>
        <v>1492025</v>
      </c>
      <c r="AP381" s="17">
        <f t="shared" si="189"/>
        <v>13098566</v>
      </c>
      <c r="AQ381" s="15">
        <v>10485418.039999999</v>
      </c>
      <c r="AR381" s="15">
        <v>3908</v>
      </c>
      <c r="AS381" s="18">
        <f t="shared" ref="AS381:AS442" si="194">ROUND(AP381-AQ381,0)</f>
        <v>2613148</v>
      </c>
      <c r="AT381" s="19">
        <v>0</v>
      </c>
      <c r="AU381" s="8">
        <v>8800</v>
      </c>
      <c r="AV381" s="13">
        <f t="shared" ref="AV381:AV442" si="195">AU381*N381</f>
        <v>2638063.9999999995</v>
      </c>
      <c r="AW381" s="18">
        <f t="shared" ref="AW381:AW442" si="196">MAX(AM381,AT381,AV381)</f>
        <v>11606541</v>
      </c>
      <c r="AX381" s="15">
        <f t="shared" si="190"/>
        <v>11607000</v>
      </c>
      <c r="AY381" s="20">
        <v>7.0000000000000007E-2</v>
      </c>
      <c r="AZ381" s="13">
        <f t="shared" si="191"/>
        <v>812490.00000000012</v>
      </c>
      <c r="BA381" s="15">
        <f t="shared" si="192"/>
        <v>812500</v>
      </c>
      <c r="BB381" s="21">
        <f t="shared" ref="BB381:BB442" si="197">BA381+AS381</f>
        <v>3425648</v>
      </c>
      <c r="BC381" s="10">
        <f t="shared" ref="BC381:BC442" si="198">L381/J381%</f>
        <v>0</v>
      </c>
      <c r="BD381" s="10">
        <f t="shared" ref="BD381:BD442" si="199">O381/M381%</f>
        <v>0</v>
      </c>
      <c r="BE381" s="10">
        <v>61.2</v>
      </c>
      <c r="BF381" s="10">
        <v>27.85</v>
      </c>
      <c r="BG381" s="107">
        <v>46176</v>
      </c>
      <c r="BH381" s="107">
        <f t="shared" si="172"/>
        <v>46206</v>
      </c>
      <c r="BI381" s="23">
        <v>7</v>
      </c>
      <c r="BJ381" s="6"/>
      <c r="BK381" s="6"/>
      <c r="BL381" s="24">
        <f>VLOOKUP(A381,[2]Sheet1!$D$2:$H$933,5,0)</f>
        <v>0</v>
      </c>
      <c r="BM381" s="6" t="s">
        <v>3828</v>
      </c>
      <c r="BN381" s="6" t="s">
        <v>3829</v>
      </c>
      <c r="BO381" s="6" t="s">
        <v>3820</v>
      </c>
      <c r="BP381" s="6" t="s">
        <v>3821</v>
      </c>
      <c r="BQ381" s="6" t="s">
        <v>3830</v>
      </c>
      <c r="BR381" t="s">
        <v>3823</v>
      </c>
      <c r="BS381" t="s">
        <v>3824</v>
      </c>
      <c r="BT381" t="s">
        <v>3825</v>
      </c>
      <c r="BU381" t="s">
        <v>3826</v>
      </c>
      <c r="BV381" t="s">
        <v>3827</v>
      </c>
      <c r="BW381" t="s">
        <v>3835</v>
      </c>
      <c r="BX381">
        <v>0</v>
      </c>
      <c r="BY381" t="s">
        <v>3869</v>
      </c>
      <c r="BZ381" t="s">
        <v>3871</v>
      </c>
    </row>
    <row r="382" spans="1:78" x14ac:dyDescent="0.25">
      <c r="A382" s="7" t="s">
        <v>1613</v>
      </c>
      <c r="B382" s="7" t="s">
        <v>181</v>
      </c>
      <c r="C382" s="7" t="s">
        <v>1611</v>
      </c>
      <c r="D382" s="8" t="s">
        <v>1612</v>
      </c>
      <c r="E382" s="7" t="s">
        <v>1614</v>
      </c>
      <c r="F382" s="9">
        <v>45084</v>
      </c>
      <c r="G382" s="9" t="s">
        <v>527</v>
      </c>
      <c r="H382" s="9" t="s">
        <v>87</v>
      </c>
      <c r="I382" s="8" t="s">
        <v>78</v>
      </c>
      <c r="J382" s="10">
        <v>876.19</v>
      </c>
      <c r="K382" s="10">
        <v>876.19</v>
      </c>
      <c r="L382" s="10">
        <f t="shared" si="174"/>
        <v>0</v>
      </c>
      <c r="M382" s="10">
        <v>404.19</v>
      </c>
      <c r="N382" s="10">
        <v>404.19</v>
      </c>
      <c r="O382" s="10">
        <f t="shared" si="175"/>
        <v>0</v>
      </c>
      <c r="P382" s="11">
        <v>9723.2175669660683</v>
      </c>
      <c r="Q382" s="11">
        <v>21077.676340334991</v>
      </c>
      <c r="R382" s="11">
        <v>40000</v>
      </c>
      <c r="S382" s="11">
        <v>8519386</v>
      </c>
      <c r="T382" s="11">
        <v>1022326</v>
      </c>
      <c r="U382" s="12">
        <f t="shared" si="176"/>
        <v>0.11999996243860767</v>
      </c>
      <c r="V382" s="13">
        <f t="shared" si="177"/>
        <v>0</v>
      </c>
      <c r="W382" s="10">
        <f t="shared" si="178"/>
        <v>0</v>
      </c>
      <c r="X382" s="10"/>
      <c r="Y382" s="10"/>
      <c r="Z382" s="11">
        <f t="shared" si="179"/>
        <v>8519386</v>
      </c>
      <c r="AA382" s="14">
        <v>1022531</v>
      </c>
      <c r="AB382" s="14">
        <v>122704</v>
      </c>
      <c r="AC382" s="11">
        <f t="shared" si="180"/>
        <v>7496855</v>
      </c>
      <c r="AD382" s="10">
        <f t="shared" si="181"/>
        <v>300</v>
      </c>
      <c r="AE382" s="15">
        <v>121257</v>
      </c>
      <c r="AF382" s="16">
        <v>21826</v>
      </c>
      <c r="AG382" s="15">
        <f t="shared" si="182"/>
        <v>0</v>
      </c>
      <c r="AH382" s="15">
        <f t="shared" si="183"/>
        <v>0</v>
      </c>
      <c r="AI382" s="15">
        <f t="shared" si="184"/>
        <v>121257</v>
      </c>
      <c r="AJ382" s="15">
        <f t="shared" si="185"/>
        <v>21827</v>
      </c>
      <c r="AK382" s="10">
        <v>121257</v>
      </c>
      <c r="AL382" s="15">
        <f t="shared" si="186"/>
        <v>121257</v>
      </c>
      <c r="AM382" s="15">
        <f t="shared" si="187"/>
        <v>7618112</v>
      </c>
      <c r="AN382" s="15">
        <f t="shared" si="188"/>
        <v>921449</v>
      </c>
      <c r="AO382" s="15">
        <f t="shared" si="193"/>
        <v>1045403.72</v>
      </c>
      <c r="AP382" s="17">
        <f t="shared" si="189"/>
        <v>8663515.7200000007</v>
      </c>
      <c r="AQ382" s="15">
        <v>7425808.5999999996</v>
      </c>
      <c r="AR382" s="15">
        <v>2697.72</v>
      </c>
      <c r="AS382" s="18">
        <f t="shared" si="194"/>
        <v>1237707</v>
      </c>
      <c r="AT382" s="19">
        <v>0</v>
      </c>
      <c r="AU382" s="8">
        <v>8800</v>
      </c>
      <c r="AV382" s="13">
        <f t="shared" si="195"/>
        <v>3556872</v>
      </c>
      <c r="AW382" s="18">
        <f t="shared" si="196"/>
        <v>7618112</v>
      </c>
      <c r="AX382" s="15">
        <f t="shared" si="190"/>
        <v>7619000</v>
      </c>
      <c r="AY382" s="20">
        <v>0.05</v>
      </c>
      <c r="AZ382" s="13">
        <f t="shared" si="191"/>
        <v>380950</v>
      </c>
      <c r="BA382" s="15">
        <f t="shared" si="192"/>
        <v>381000</v>
      </c>
      <c r="BB382" s="21">
        <f t="shared" si="197"/>
        <v>1618707</v>
      </c>
      <c r="BC382" s="10">
        <f t="shared" si="198"/>
        <v>0</v>
      </c>
      <c r="BD382" s="10">
        <f t="shared" si="199"/>
        <v>0</v>
      </c>
      <c r="BE382" s="10">
        <v>81.400000000000006</v>
      </c>
      <c r="BF382" s="10">
        <v>37.549999999999997</v>
      </c>
      <c r="BG382" s="107">
        <v>46176</v>
      </c>
      <c r="BH382" s="107">
        <f t="shared" si="172"/>
        <v>46206</v>
      </c>
      <c r="BI382" s="23">
        <v>5</v>
      </c>
      <c r="BJ382" s="6"/>
      <c r="BK382" s="6"/>
      <c r="BL382" s="24">
        <f>VLOOKUP(A382,[2]Sheet1!$D$2:$H$933,5,0)</f>
        <v>0</v>
      </c>
      <c r="BM382" s="6" t="s">
        <v>3828</v>
      </c>
      <c r="BN382" s="6" t="s">
        <v>3829</v>
      </c>
      <c r="BO382" s="6" t="s">
        <v>3820</v>
      </c>
      <c r="BP382" s="6" t="s">
        <v>3821</v>
      </c>
      <c r="BQ382" s="6" t="s">
        <v>3830</v>
      </c>
      <c r="BR382" t="s">
        <v>3823</v>
      </c>
      <c r="BS382" t="s">
        <v>3824</v>
      </c>
      <c r="BT382" t="s">
        <v>3825</v>
      </c>
      <c r="BU382" t="s">
        <v>3826</v>
      </c>
      <c r="BV382" t="s">
        <v>3827</v>
      </c>
      <c r="BW382" t="s">
        <v>3835</v>
      </c>
      <c r="BX382">
        <v>0</v>
      </c>
      <c r="BY382" t="s">
        <v>3861</v>
      </c>
      <c r="BZ382" t="s">
        <v>3871</v>
      </c>
    </row>
    <row r="383" spans="1:78" x14ac:dyDescent="0.25">
      <c r="A383" s="7" t="s">
        <v>1617</v>
      </c>
      <c r="B383" s="7" t="s">
        <v>181</v>
      </c>
      <c r="C383" s="7" t="s">
        <v>1615</v>
      </c>
      <c r="D383" s="8" t="s">
        <v>1616</v>
      </c>
      <c r="E383" s="7" t="s">
        <v>1618</v>
      </c>
      <c r="F383" s="9">
        <v>44930</v>
      </c>
      <c r="G383" s="9" t="s">
        <v>527</v>
      </c>
      <c r="H383" s="9" t="s">
        <v>1167</v>
      </c>
      <c r="I383" s="8" t="s">
        <v>635</v>
      </c>
      <c r="J383" s="10">
        <v>2084.13</v>
      </c>
      <c r="K383" s="10">
        <v>2084.13</v>
      </c>
      <c r="L383" s="10">
        <f t="shared" si="174"/>
        <v>0</v>
      </c>
      <c r="M383" s="10">
        <v>229.27</v>
      </c>
      <c r="N383" s="10">
        <v>229.27</v>
      </c>
      <c r="O383" s="10">
        <f t="shared" si="175"/>
        <v>0</v>
      </c>
      <c r="P383" s="11">
        <v>10710.999793678897</v>
      </c>
      <c r="Q383" s="11">
        <v>97366.057486805948</v>
      </c>
      <c r="R383" s="11">
        <v>20000</v>
      </c>
      <c r="S383" s="11">
        <v>22323116</v>
      </c>
      <c r="T383" s="11">
        <v>2678774</v>
      </c>
      <c r="U383" s="12">
        <f t="shared" si="176"/>
        <v>0.12000000358372909</v>
      </c>
      <c r="V383" s="13">
        <f t="shared" si="177"/>
        <v>0</v>
      </c>
      <c r="W383" s="10">
        <f t="shared" si="178"/>
        <v>0</v>
      </c>
      <c r="X383" s="10"/>
      <c r="Y383" s="10"/>
      <c r="Z383" s="11">
        <f t="shared" si="179"/>
        <v>22323116</v>
      </c>
      <c r="AA383" s="14">
        <v>4349693</v>
      </c>
      <c r="AB383" s="14">
        <v>521964</v>
      </c>
      <c r="AC383" s="11">
        <f t="shared" si="180"/>
        <v>17973423</v>
      </c>
      <c r="AD383" s="10">
        <f t="shared" si="181"/>
        <v>300</v>
      </c>
      <c r="AE383" s="15">
        <v>68781</v>
      </c>
      <c r="AF383" s="16">
        <v>12380</v>
      </c>
      <c r="AG383" s="15">
        <f t="shared" si="182"/>
        <v>0</v>
      </c>
      <c r="AH383" s="15">
        <f t="shared" si="183"/>
        <v>0</v>
      </c>
      <c r="AI383" s="15">
        <f t="shared" si="184"/>
        <v>68781</v>
      </c>
      <c r="AJ383" s="15">
        <f t="shared" si="185"/>
        <v>12381</v>
      </c>
      <c r="AK383" s="10">
        <v>68781</v>
      </c>
      <c r="AL383" s="15">
        <f t="shared" si="186"/>
        <v>68781</v>
      </c>
      <c r="AM383" s="15">
        <f t="shared" si="187"/>
        <v>18042204</v>
      </c>
      <c r="AN383" s="15">
        <f t="shared" si="188"/>
        <v>2169191</v>
      </c>
      <c r="AO383" s="15">
        <f t="shared" si="193"/>
        <v>2240946</v>
      </c>
      <c r="AP383" s="17">
        <f t="shared" si="189"/>
        <v>20283150</v>
      </c>
      <c r="AQ383" s="15">
        <v>17539603</v>
      </c>
      <c r="AR383" s="15">
        <v>2974</v>
      </c>
      <c r="AS383" s="18">
        <f t="shared" si="194"/>
        <v>2743547</v>
      </c>
      <c r="AT383" s="19">
        <v>0</v>
      </c>
      <c r="AU383" s="8">
        <v>8800</v>
      </c>
      <c r="AV383" s="13">
        <f t="shared" si="195"/>
        <v>2017576</v>
      </c>
      <c r="AW383" s="18">
        <f t="shared" si="196"/>
        <v>18042204</v>
      </c>
      <c r="AX383" s="15">
        <f t="shared" si="190"/>
        <v>18043000</v>
      </c>
      <c r="AY383" s="20">
        <v>0.06</v>
      </c>
      <c r="AZ383" s="13">
        <f t="shared" si="191"/>
        <v>1082580</v>
      </c>
      <c r="BA383" s="15">
        <f t="shared" si="192"/>
        <v>1082600</v>
      </c>
      <c r="BB383" s="21">
        <f t="shared" si="197"/>
        <v>3826147</v>
      </c>
      <c r="BC383" s="10">
        <f t="shared" si="198"/>
        <v>0</v>
      </c>
      <c r="BD383" s="10">
        <f t="shared" si="199"/>
        <v>0</v>
      </c>
      <c r="BE383" s="10">
        <v>193.62</v>
      </c>
      <c r="BF383" s="10">
        <v>21.3</v>
      </c>
      <c r="BG383" s="107">
        <v>46176</v>
      </c>
      <c r="BH383" s="107">
        <f t="shared" si="172"/>
        <v>46206</v>
      </c>
      <c r="BI383" s="23">
        <v>6</v>
      </c>
      <c r="BJ383" s="6"/>
      <c r="BK383" s="24"/>
      <c r="BL383" s="24">
        <f>VLOOKUP(A383,[2]Sheet1!$D$2:$H$933,5,0)</f>
        <v>0</v>
      </c>
      <c r="BM383" s="6" t="s">
        <v>3828</v>
      </c>
      <c r="BN383" s="6" t="s">
        <v>3829</v>
      </c>
      <c r="BO383" s="6" t="s">
        <v>3820</v>
      </c>
      <c r="BP383" s="6" t="s">
        <v>3821</v>
      </c>
      <c r="BQ383" s="6" t="s">
        <v>3830</v>
      </c>
      <c r="BR383" t="s">
        <v>3823</v>
      </c>
      <c r="BS383" t="s">
        <v>3824</v>
      </c>
      <c r="BT383" t="s">
        <v>3825</v>
      </c>
      <c r="BU383" t="s">
        <v>3826</v>
      </c>
      <c r="BV383" t="s">
        <v>3827</v>
      </c>
      <c r="BW383" t="s">
        <v>3835</v>
      </c>
      <c r="BX383">
        <v>0</v>
      </c>
      <c r="BY383" t="s">
        <v>3867</v>
      </c>
      <c r="BZ383" t="s">
        <v>3871</v>
      </c>
    </row>
    <row r="384" spans="1:78" x14ac:dyDescent="0.25">
      <c r="A384" s="48" t="s">
        <v>1621</v>
      </c>
      <c r="B384" s="48" t="s">
        <v>181</v>
      </c>
      <c r="C384" s="48" t="s">
        <v>1619</v>
      </c>
      <c r="D384" s="49" t="s">
        <v>1620</v>
      </c>
      <c r="E384" s="48" t="s">
        <v>1622</v>
      </c>
      <c r="F384" s="50">
        <v>44897</v>
      </c>
      <c r="G384" s="50" t="s">
        <v>527</v>
      </c>
      <c r="H384" s="50" t="s">
        <v>66</v>
      </c>
      <c r="I384" s="49" t="s">
        <v>67</v>
      </c>
      <c r="J384" s="51">
        <v>270.3</v>
      </c>
      <c r="K384" s="51">
        <v>270.3</v>
      </c>
      <c r="L384" s="51">
        <f t="shared" si="174"/>
        <v>0</v>
      </c>
      <c r="M384" s="51">
        <v>107.64</v>
      </c>
      <c r="N384" s="51">
        <v>107.64</v>
      </c>
      <c r="O384" s="51">
        <f t="shared" si="175"/>
        <v>0</v>
      </c>
      <c r="P384" s="52">
        <v>15147.003329633739</v>
      </c>
      <c r="Q384" s="52">
        <v>38036.371237458196</v>
      </c>
      <c r="R384" s="52">
        <v>22000</v>
      </c>
      <c r="S384" s="52">
        <v>4094235</v>
      </c>
      <c r="T384" s="52">
        <v>491310</v>
      </c>
      <c r="U384" s="53">
        <f t="shared" si="176"/>
        <v>0.12000043964257059</v>
      </c>
      <c r="V384" s="54">
        <f t="shared" si="177"/>
        <v>0</v>
      </c>
      <c r="W384" s="51">
        <f t="shared" si="178"/>
        <v>0</v>
      </c>
      <c r="X384" s="51"/>
      <c r="Y384" s="51"/>
      <c r="Z384" s="52">
        <f t="shared" si="179"/>
        <v>4094235</v>
      </c>
      <c r="AA384" s="56">
        <v>396198</v>
      </c>
      <c r="AB384" s="56">
        <v>47544</v>
      </c>
      <c r="AC384" s="52">
        <f t="shared" si="180"/>
        <v>3698037</v>
      </c>
      <c r="AD384" s="51">
        <f t="shared" si="181"/>
        <v>300</v>
      </c>
      <c r="AE384" s="55">
        <v>32292</v>
      </c>
      <c r="AF384" s="57">
        <v>5812</v>
      </c>
      <c r="AG384" s="55">
        <f t="shared" si="182"/>
        <v>0</v>
      </c>
      <c r="AH384" s="55">
        <f t="shared" si="183"/>
        <v>0</v>
      </c>
      <c r="AI384" s="55">
        <f t="shared" si="184"/>
        <v>32292</v>
      </c>
      <c r="AJ384" s="55">
        <f t="shared" si="185"/>
        <v>5813</v>
      </c>
      <c r="AK384" s="51">
        <v>32292</v>
      </c>
      <c r="AL384" s="55">
        <f t="shared" si="186"/>
        <v>32292</v>
      </c>
      <c r="AM384" s="15">
        <f t="shared" si="187"/>
        <v>3730329</v>
      </c>
      <c r="AN384" s="15">
        <f t="shared" si="188"/>
        <v>449579</v>
      </c>
      <c r="AO384" s="55">
        <f t="shared" si="193"/>
        <v>483275</v>
      </c>
      <c r="AP384" s="58">
        <f t="shared" si="189"/>
        <v>4213604</v>
      </c>
      <c r="AQ384" s="55">
        <v>3683251</v>
      </c>
      <c r="AR384" s="15">
        <v>1404</v>
      </c>
      <c r="AS384" s="18">
        <f t="shared" si="194"/>
        <v>530353</v>
      </c>
      <c r="AT384" s="60">
        <v>0</v>
      </c>
      <c r="AU384" s="49">
        <v>8800</v>
      </c>
      <c r="AV384" s="54">
        <f t="shared" si="195"/>
        <v>947232</v>
      </c>
      <c r="AW384" s="59">
        <f t="shared" si="196"/>
        <v>3730329</v>
      </c>
      <c r="AX384" s="55">
        <f t="shared" si="190"/>
        <v>3731000</v>
      </c>
      <c r="AY384" s="61">
        <v>0.06</v>
      </c>
      <c r="AZ384" s="54">
        <f t="shared" si="191"/>
        <v>223860</v>
      </c>
      <c r="BA384" s="55">
        <f t="shared" si="192"/>
        <v>223900</v>
      </c>
      <c r="BB384" s="62">
        <f t="shared" si="197"/>
        <v>754253</v>
      </c>
      <c r="BC384" s="51">
        <f t="shared" si="198"/>
        <v>0</v>
      </c>
      <c r="BD384" s="51">
        <f t="shared" si="199"/>
        <v>0</v>
      </c>
      <c r="BE384" s="51">
        <v>25.11</v>
      </c>
      <c r="BF384" s="51">
        <v>10</v>
      </c>
      <c r="BG384" s="107">
        <v>46176</v>
      </c>
      <c r="BH384" s="109">
        <f t="shared" si="172"/>
        <v>46206</v>
      </c>
      <c r="BI384" s="63">
        <v>6</v>
      </c>
      <c r="BJ384" s="24" t="s">
        <v>350</v>
      </c>
      <c r="BK384" s="6"/>
      <c r="BL384" s="24">
        <f>VLOOKUP(A384,[2]Sheet1!$D$2:$H$933,5,0)</f>
        <v>0</v>
      </c>
      <c r="BM384" s="6" t="s">
        <v>3828</v>
      </c>
      <c r="BN384" s="6" t="s">
        <v>3829</v>
      </c>
      <c r="BO384" s="6" t="s">
        <v>3820</v>
      </c>
      <c r="BP384" s="6" t="s">
        <v>3821</v>
      </c>
      <c r="BQ384" s="6" t="s">
        <v>3830</v>
      </c>
      <c r="BR384" t="s">
        <v>3823</v>
      </c>
      <c r="BS384" t="s">
        <v>3824</v>
      </c>
      <c r="BT384" t="s">
        <v>3825</v>
      </c>
      <c r="BU384" t="s">
        <v>3826</v>
      </c>
      <c r="BV384" t="s">
        <v>3827</v>
      </c>
      <c r="BW384" t="s">
        <v>3835</v>
      </c>
      <c r="BX384">
        <v>0</v>
      </c>
      <c r="BY384" t="s">
        <v>3866</v>
      </c>
      <c r="BZ384" t="s">
        <v>3871</v>
      </c>
    </row>
    <row r="385" spans="1:78" x14ac:dyDescent="0.25">
      <c r="A385" s="7" t="s">
        <v>1626</v>
      </c>
      <c r="B385" s="7" t="s">
        <v>181</v>
      </c>
      <c r="C385" s="7" t="s">
        <v>1624</v>
      </c>
      <c r="D385" s="8" t="s">
        <v>1625</v>
      </c>
      <c r="E385" s="7" t="s">
        <v>1258</v>
      </c>
      <c r="F385" s="9">
        <v>44897</v>
      </c>
      <c r="G385" s="9" t="s">
        <v>404</v>
      </c>
      <c r="H385" s="9" t="s">
        <v>66</v>
      </c>
      <c r="I385" s="8" t="s">
        <v>78</v>
      </c>
      <c r="J385" s="10">
        <v>498.37</v>
      </c>
      <c r="K385" s="10">
        <v>498.37</v>
      </c>
      <c r="L385" s="10">
        <f t="shared" si="174"/>
        <v>0</v>
      </c>
      <c r="M385" s="10">
        <v>217.43</v>
      </c>
      <c r="N385" s="10">
        <v>217.43</v>
      </c>
      <c r="O385" s="10">
        <f t="shared" si="175"/>
        <v>0</v>
      </c>
      <c r="P385" s="11">
        <v>14460.998856271444</v>
      </c>
      <c r="Q385" s="11">
        <v>33145.968817550478</v>
      </c>
      <c r="R385" s="11">
        <v>22000</v>
      </c>
      <c r="S385" s="11">
        <v>7206928</v>
      </c>
      <c r="T385" s="11">
        <v>864832</v>
      </c>
      <c r="U385" s="12">
        <f t="shared" si="176"/>
        <v>0.12000008880344025</v>
      </c>
      <c r="V385" s="13">
        <f t="shared" si="177"/>
        <v>0</v>
      </c>
      <c r="W385" s="10">
        <f t="shared" si="178"/>
        <v>0</v>
      </c>
      <c r="X385" s="10"/>
      <c r="Y385" s="10"/>
      <c r="Z385" s="11">
        <f t="shared" si="179"/>
        <v>7206928</v>
      </c>
      <c r="AA385" s="14"/>
      <c r="AB385" s="14"/>
      <c r="AC385" s="11">
        <f t="shared" si="180"/>
        <v>7206928</v>
      </c>
      <c r="AD385" s="10">
        <f t="shared" si="181"/>
        <v>300</v>
      </c>
      <c r="AE385" s="15">
        <v>65229</v>
      </c>
      <c r="AF385" s="16">
        <v>11742</v>
      </c>
      <c r="AG385" s="15">
        <f t="shared" si="182"/>
        <v>0</v>
      </c>
      <c r="AH385" s="15">
        <f t="shared" si="183"/>
        <v>0</v>
      </c>
      <c r="AI385" s="15">
        <f t="shared" si="184"/>
        <v>65229</v>
      </c>
      <c r="AJ385" s="15">
        <f t="shared" si="185"/>
        <v>11742</v>
      </c>
      <c r="AK385" s="10">
        <v>65229</v>
      </c>
      <c r="AL385" s="15">
        <f t="shared" si="186"/>
        <v>65229</v>
      </c>
      <c r="AM385" s="15">
        <f t="shared" si="187"/>
        <v>7272157</v>
      </c>
      <c r="AN385" s="15">
        <f t="shared" si="188"/>
        <v>876574</v>
      </c>
      <c r="AO385" s="15">
        <f t="shared" si="193"/>
        <v>944839</v>
      </c>
      <c r="AP385" s="17">
        <f t="shared" si="189"/>
        <v>8216996</v>
      </c>
      <c r="AQ385" s="15">
        <v>7206129</v>
      </c>
      <c r="AR385" s="15">
        <v>3036</v>
      </c>
      <c r="AS385" s="18">
        <f t="shared" si="194"/>
        <v>1010867</v>
      </c>
      <c r="AT385" s="19">
        <v>8420935</v>
      </c>
      <c r="AU385" s="8">
        <v>8800</v>
      </c>
      <c r="AV385" s="13">
        <f t="shared" si="195"/>
        <v>1913384</v>
      </c>
      <c r="AW385" s="18">
        <f t="shared" si="196"/>
        <v>8420935</v>
      </c>
      <c r="AX385" s="15">
        <f t="shared" si="190"/>
        <v>8421000</v>
      </c>
      <c r="AY385" s="20">
        <v>0.06</v>
      </c>
      <c r="AZ385" s="13">
        <f t="shared" si="191"/>
        <v>505260</v>
      </c>
      <c r="BA385" s="15">
        <f t="shared" si="192"/>
        <v>505300</v>
      </c>
      <c r="BB385" s="21">
        <f t="shared" si="197"/>
        <v>1516167</v>
      </c>
      <c r="BC385" s="10">
        <f t="shared" si="198"/>
        <v>0</v>
      </c>
      <c r="BD385" s="10">
        <f t="shared" si="199"/>
        <v>0</v>
      </c>
      <c r="BE385" s="10">
        <v>46.3</v>
      </c>
      <c r="BF385" s="10">
        <v>20.2</v>
      </c>
      <c r="BG385" s="107">
        <v>46176</v>
      </c>
      <c r="BH385" s="107">
        <f t="shared" si="172"/>
        <v>46206</v>
      </c>
      <c r="BI385" s="23">
        <v>6</v>
      </c>
      <c r="BJ385" s="6"/>
      <c r="BK385" s="6"/>
      <c r="BL385" s="24">
        <f>VLOOKUP(A385,[2]Sheet1!$D$2:$H$933,5,0)</f>
        <v>0</v>
      </c>
      <c r="BM385" s="6" t="s">
        <v>3828</v>
      </c>
      <c r="BN385" s="6" t="s">
        <v>3829</v>
      </c>
      <c r="BO385" s="6" t="s">
        <v>3820</v>
      </c>
      <c r="BP385" s="6" t="s">
        <v>3821</v>
      </c>
      <c r="BQ385" s="6" t="s">
        <v>3830</v>
      </c>
      <c r="BR385" t="s">
        <v>3823</v>
      </c>
      <c r="BS385" t="s">
        <v>3824</v>
      </c>
      <c r="BT385" t="s">
        <v>3825</v>
      </c>
      <c r="BU385" t="s">
        <v>3826</v>
      </c>
      <c r="BV385" t="s">
        <v>3827</v>
      </c>
      <c r="BW385" t="s">
        <v>3835</v>
      </c>
      <c r="BX385">
        <v>0</v>
      </c>
      <c r="BY385" t="s">
        <v>3869</v>
      </c>
      <c r="BZ385" t="s">
        <v>3863</v>
      </c>
    </row>
    <row r="386" spans="1:78" x14ac:dyDescent="0.25">
      <c r="A386" s="7" t="s">
        <v>1629</v>
      </c>
      <c r="B386" s="7" t="s">
        <v>181</v>
      </c>
      <c r="C386" s="7" t="s">
        <v>1627</v>
      </c>
      <c r="D386" s="8" t="s">
        <v>1628</v>
      </c>
      <c r="E386" s="7" t="s">
        <v>1630</v>
      </c>
      <c r="F386" s="9">
        <v>45013</v>
      </c>
      <c r="G386" s="9" t="s">
        <v>527</v>
      </c>
      <c r="H386" s="9" t="s">
        <v>87</v>
      </c>
      <c r="I386" s="8" t="s">
        <v>67</v>
      </c>
      <c r="J386" s="10">
        <v>226.04</v>
      </c>
      <c r="K386" s="10">
        <v>226.04</v>
      </c>
      <c r="L386" s="10">
        <f t="shared" si="174"/>
        <v>0</v>
      </c>
      <c r="M386" s="10">
        <v>86.11</v>
      </c>
      <c r="N386" s="10">
        <v>86.11</v>
      </c>
      <c r="O386" s="10">
        <f t="shared" si="175"/>
        <v>0</v>
      </c>
      <c r="P386" s="11">
        <v>15545.00088479915</v>
      </c>
      <c r="Q386" s="11">
        <v>40805.852978748117</v>
      </c>
      <c r="R386" s="11">
        <v>40000</v>
      </c>
      <c r="S386" s="11">
        <v>3513792</v>
      </c>
      <c r="T386" s="11">
        <v>421654</v>
      </c>
      <c r="U386" s="12">
        <f t="shared" si="176"/>
        <v>0.11999970402345955</v>
      </c>
      <c r="V386" s="13">
        <f t="shared" si="177"/>
        <v>0</v>
      </c>
      <c r="W386" s="10">
        <f t="shared" si="178"/>
        <v>0</v>
      </c>
      <c r="X386" s="10"/>
      <c r="Y386" s="10"/>
      <c r="Z386" s="11">
        <f t="shared" si="179"/>
        <v>3513792</v>
      </c>
      <c r="AA386" s="14"/>
      <c r="AB386" s="14"/>
      <c r="AC386" s="11">
        <f t="shared" si="180"/>
        <v>3513792</v>
      </c>
      <c r="AD386" s="10">
        <f t="shared" si="181"/>
        <v>300</v>
      </c>
      <c r="AE386" s="15">
        <v>25833</v>
      </c>
      <c r="AF386" s="16">
        <v>4650</v>
      </c>
      <c r="AG386" s="15">
        <f t="shared" si="182"/>
        <v>0</v>
      </c>
      <c r="AH386" s="15">
        <f t="shared" si="183"/>
        <v>0</v>
      </c>
      <c r="AI386" s="15">
        <f t="shared" si="184"/>
        <v>25833</v>
      </c>
      <c r="AJ386" s="15">
        <f t="shared" si="185"/>
        <v>4650</v>
      </c>
      <c r="AK386" s="10">
        <v>25833</v>
      </c>
      <c r="AL386" s="15">
        <f t="shared" si="186"/>
        <v>25833</v>
      </c>
      <c r="AM386" s="15">
        <f t="shared" si="187"/>
        <v>3539625</v>
      </c>
      <c r="AN386" s="15">
        <f t="shared" si="188"/>
        <v>426304</v>
      </c>
      <c r="AO386" s="15">
        <f t="shared" si="193"/>
        <v>455116</v>
      </c>
      <c r="AP386" s="17">
        <f t="shared" si="189"/>
        <v>3994741</v>
      </c>
      <c r="AQ386" s="15">
        <v>3541901</v>
      </c>
      <c r="AR386" s="15">
        <v>2979</v>
      </c>
      <c r="AS386" s="18">
        <f t="shared" si="194"/>
        <v>452840</v>
      </c>
      <c r="AT386" s="19">
        <v>0</v>
      </c>
      <c r="AU386" s="8">
        <v>8800</v>
      </c>
      <c r="AV386" s="13">
        <f t="shared" si="195"/>
        <v>757768</v>
      </c>
      <c r="AW386" s="18">
        <f t="shared" si="196"/>
        <v>3539625</v>
      </c>
      <c r="AX386" s="15">
        <f t="shared" si="190"/>
        <v>3540000</v>
      </c>
      <c r="AY386" s="20">
        <v>7.0000000000000007E-2</v>
      </c>
      <c r="AZ386" s="13">
        <f t="shared" si="191"/>
        <v>247800.00000000003</v>
      </c>
      <c r="BA386" s="15">
        <f t="shared" si="192"/>
        <v>247800</v>
      </c>
      <c r="BB386" s="21">
        <f t="shared" si="197"/>
        <v>700640</v>
      </c>
      <c r="BC386" s="10">
        <f t="shared" si="198"/>
        <v>0</v>
      </c>
      <c r="BD386" s="10">
        <f t="shared" si="199"/>
        <v>0</v>
      </c>
      <c r="BE386" s="10">
        <v>21</v>
      </c>
      <c r="BF386" s="10">
        <v>8</v>
      </c>
      <c r="BG386" s="107">
        <v>46176</v>
      </c>
      <c r="BH386" s="107">
        <f t="shared" si="172"/>
        <v>46206</v>
      </c>
      <c r="BI386" s="23">
        <v>7</v>
      </c>
      <c r="BJ386" s="6"/>
      <c r="BK386" s="6"/>
      <c r="BL386" s="24">
        <f>VLOOKUP(A386,[2]Sheet1!$D$2:$H$933,5,0)</f>
        <v>0</v>
      </c>
      <c r="BM386" s="6" t="s">
        <v>3828</v>
      </c>
      <c r="BN386" s="6" t="s">
        <v>3829</v>
      </c>
      <c r="BO386" s="6" t="s">
        <v>3820</v>
      </c>
      <c r="BP386" s="6" t="s">
        <v>3821</v>
      </c>
      <c r="BQ386" s="6" t="s">
        <v>3830</v>
      </c>
      <c r="BR386" t="s">
        <v>3823</v>
      </c>
      <c r="BS386" t="s">
        <v>3824</v>
      </c>
      <c r="BT386" t="s">
        <v>3825</v>
      </c>
      <c r="BU386" t="s">
        <v>3826</v>
      </c>
      <c r="BV386" t="s">
        <v>3827</v>
      </c>
      <c r="BW386" t="s">
        <v>3835</v>
      </c>
      <c r="BX386">
        <v>0</v>
      </c>
      <c r="BY386" t="s">
        <v>3866</v>
      </c>
      <c r="BZ386" t="s">
        <v>3871</v>
      </c>
    </row>
    <row r="387" spans="1:78" x14ac:dyDescent="0.25">
      <c r="A387" s="31" t="s">
        <v>1633</v>
      </c>
      <c r="B387" s="31" t="s">
        <v>181</v>
      </c>
      <c r="C387" s="31" t="s">
        <v>1631</v>
      </c>
      <c r="D387" s="32" t="s">
        <v>1632</v>
      </c>
      <c r="E387" s="31" t="s">
        <v>1634</v>
      </c>
      <c r="F387" s="33">
        <v>45090</v>
      </c>
      <c r="G387" s="33" t="s">
        <v>363</v>
      </c>
      <c r="H387" s="33" t="s">
        <v>87</v>
      </c>
      <c r="I387" s="32" t="s">
        <v>78</v>
      </c>
      <c r="J387" s="34">
        <v>697.51</v>
      </c>
      <c r="K387" s="34">
        <v>697.51</v>
      </c>
      <c r="L387" s="34">
        <f t="shared" si="174"/>
        <v>0</v>
      </c>
      <c r="M387" s="34">
        <v>317.54000000000002</v>
      </c>
      <c r="N387" s="34">
        <v>317.54000000000002</v>
      </c>
      <c r="O387" s="34">
        <f t="shared" si="175"/>
        <v>0</v>
      </c>
      <c r="P387" s="35">
        <v>22700</v>
      </c>
      <c r="Q387" s="35">
        <v>49862.936952824835</v>
      </c>
      <c r="R387" s="35">
        <v>40000</v>
      </c>
      <c r="S387" s="35">
        <v>15833477</v>
      </c>
      <c r="T387" s="35">
        <v>1900018</v>
      </c>
      <c r="U387" s="36">
        <f t="shared" si="176"/>
        <v>0.12000004799956447</v>
      </c>
      <c r="V387" s="37">
        <f t="shared" si="177"/>
        <v>0</v>
      </c>
      <c r="W387" s="34">
        <f t="shared" si="178"/>
        <v>0</v>
      </c>
      <c r="X387" s="34"/>
      <c r="Y387" s="34"/>
      <c r="Z387" s="35">
        <f t="shared" si="179"/>
        <v>15833477</v>
      </c>
      <c r="AA387" s="38">
        <v>407819</v>
      </c>
      <c r="AB387" s="38">
        <v>48938</v>
      </c>
      <c r="AC387" s="35">
        <f t="shared" si="180"/>
        <v>15425658</v>
      </c>
      <c r="AD387" s="34">
        <f t="shared" si="181"/>
        <v>300</v>
      </c>
      <c r="AE387" s="39">
        <v>95262</v>
      </c>
      <c r="AF387" s="40">
        <v>17148</v>
      </c>
      <c r="AG387" s="39">
        <f t="shared" si="182"/>
        <v>0</v>
      </c>
      <c r="AH387" s="39">
        <f t="shared" si="183"/>
        <v>0</v>
      </c>
      <c r="AI387" s="39">
        <f t="shared" si="184"/>
        <v>95262</v>
      </c>
      <c r="AJ387" s="39">
        <f t="shared" si="185"/>
        <v>17148</v>
      </c>
      <c r="AK387" s="34">
        <v>95262</v>
      </c>
      <c r="AL387" s="39">
        <f t="shared" si="186"/>
        <v>95262</v>
      </c>
      <c r="AM387" s="39">
        <f t="shared" si="187"/>
        <v>15520920</v>
      </c>
      <c r="AN387" s="39">
        <f t="shared" si="188"/>
        <v>1868228</v>
      </c>
      <c r="AO387" s="39">
        <f t="shared" si="193"/>
        <v>1966644</v>
      </c>
      <c r="AP387" s="41">
        <f t="shared" si="189"/>
        <v>17487564</v>
      </c>
      <c r="AQ387" s="39">
        <v>15880979</v>
      </c>
      <c r="AR387" s="15">
        <v>3154</v>
      </c>
      <c r="AS387" s="42">
        <f t="shared" si="194"/>
        <v>1606585</v>
      </c>
      <c r="AT387" s="43">
        <v>0</v>
      </c>
      <c r="AU387" s="32">
        <v>8800</v>
      </c>
      <c r="AV387" s="37">
        <f t="shared" si="195"/>
        <v>2794352</v>
      </c>
      <c r="AW387" s="42">
        <f t="shared" si="196"/>
        <v>15520920</v>
      </c>
      <c r="AX387" s="39">
        <f t="shared" si="190"/>
        <v>15521000</v>
      </c>
      <c r="AY387" s="44">
        <v>0.05</v>
      </c>
      <c r="AZ387" s="37">
        <f t="shared" si="191"/>
        <v>776050</v>
      </c>
      <c r="BA387" s="39">
        <f t="shared" si="192"/>
        <v>776100</v>
      </c>
      <c r="BB387" s="45">
        <f t="shared" si="197"/>
        <v>2382685</v>
      </c>
      <c r="BC387" s="34">
        <f t="shared" si="198"/>
        <v>0</v>
      </c>
      <c r="BD387" s="34">
        <f t="shared" si="199"/>
        <v>0</v>
      </c>
      <c r="BE387" s="34">
        <v>64.8</v>
      </c>
      <c r="BF387" s="34">
        <v>29.5</v>
      </c>
      <c r="BG387" s="107">
        <v>46176</v>
      </c>
      <c r="BH387" s="108">
        <f t="shared" si="172"/>
        <v>46206</v>
      </c>
      <c r="BI387" s="46">
        <v>5</v>
      </c>
      <c r="BJ387" s="47" t="s">
        <v>208</v>
      </c>
      <c r="BK387" s="47"/>
      <c r="BL387" s="24">
        <f>VLOOKUP(A387,[2]Sheet1!$D$2:$H$933,5,0)</f>
        <v>0</v>
      </c>
      <c r="BM387" s="6" t="s">
        <v>3828</v>
      </c>
      <c r="BN387" s="6" t="s">
        <v>3829</v>
      </c>
      <c r="BO387" s="6" t="s">
        <v>3820</v>
      </c>
      <c r="BP387" s="6" t="s">
        <v>3821</v>
      </c>
      <c r="BQ387" s="6" t="s">
        <v>3830</v>
      </c>
      <c r="BR387" t="s">
        <v>3823</v>
      </c>
      <c r="BS387" t="s">
        <v>3824</v>
      </c>
      <c r="BT387" t="s">
        <v>3825</v>
      </c>
      <c r="BU387" t="s">
        <v>3826</v>
      </c>
      <c r="BV387" t="s">
        <v>3827</v>
      </c>
      <c r="BW387" t="s">
        <v>3835</v>
      </c>
      <c r="BX387" s="101"/>
      <c r="BY387" t="s">
        <v>3868</v>
      </c>
      <c r="BZ387" t="s">
        <v>3860</v>
      </c>
    </row>
    <row r="388" spans="1:78" x14ac:dyDescent="0.25">
      <c r="A388" s="7" t="s">
        <v>1637</v>
      </c>
      <c r="B388" s="7" t="s">
        <v>181</v>
      </c>
      <c r="C388" s="7" t="s">
        <v>1635</v>
      </c>
      <c r="D388" s="8" t="s">
        <v>1636</v>
      </c>
      <c r="E388" s="7" t="s">
        <v>1218</v>
      </c>
      <c r="F388" s="9">
        <v>44897</v>
      </c>
      <c r="G388" s="9" t="s">
        <v>717</v>
      </c>
      <c r="H388" s="9" t="s">
        <v>72</v>
      </c>
      <c r="I388" s="8" t="s">
        <v>78</v>
      </c>
      <c r="J388" s="10">
        <v>596.33000000000004</v>
      </c>
      <c r="K388" s="10">
        <v>674</v>
      </c>
      <c r="L388" s="10">
        <f t="shared" si="174"/>
        <v>77.669999999999959</v>
      </c>
      <c r="M388" s="10">
        <v>266.95</v>
      </c>
      <c r="N388" s="10">
        <v>302</v>
      </c>
      <c r="O388" s="10">
        <f t="shared" si="175"/>
        <v>35.050000000000011</v>
      </c>
      <c r="P388" s="11">
        <v>8772.9998490768521</v>
      </c>
      <c r="Q388" s="11">
        <v>19597.688705750141</v>
      </c>
      <c r="R388" s="11">
        <v>20000</v>
      </c>
      <c r="S388" s="11">
        <v>5231603</v>
      </c>
      <c r="T388" s="11">
        <v>627794</v>
      </c>
      <c r="U388" s="12">
        <f t="shared" si="176"/>
        <v>0.12000031347944407</v>
      </c>
      <c r="V388" s="13">
        <f>L388*R388</f>
        <v>1553399.9999999991</v>
      </c>
      <c r="W388" s="10">
        <f t="shared" si="178"/>
        <v>186408.48695896831</v>
      </c>
      <c r="X388" s="15"/>
      <c r="Y388" s="15"/>
      <c r="Z388" s="11">
        <f t="shared" si="179"/>
        <v>6785002.9999999991</v>
      </c>
      <c r="AA388" s="14"/>
      <c r="AB388" s="14"/>
      <c r="AC388" s="11">
        <f t="shared" si="180"/>
        <v>6785002.9999999991</v>
      </c>
      <c r="AD388" s="10">
        <f t="shared" si="181"/>
        <v>300</v>
      </c>
      <c r="AE388" s="15">
        <v>80085</v>
      </c>
      <c r="AF388" s="16">
        <v>14416</v>
      </c>
      <c r="AG388" s="15">
        <f t="shared" si="182"/>
        <v>10515.000000000004</v>
      </c>
      <c r="AH388" s="15">
        <f t="shared" si="183"/>
        <v>1892.7000000000005</v>
      </c>
      <c r="AI388" s="15">
        <f t="shared" si="184"/>
        <v>90600</v>
      </c>
      <c r="AJ388" s="15">
        <f t="shared" si="185"/>
        <v>16308</v>
      </c>
      <c r="AK388" s="10">
        <v>80085</v>
      </c>
      <c r="AL388" s="15">
        <f t="shared" si="186"/>
        <v>90600</v>
      </c>
      <c r="AM388" s="15">
        <f t="shared" si="187"/>
        <v>6875603</v>
      </c>
      <c r="AN388" s="15">
        <f t="shared" si="188"/>
        <v>830511</v>
      </c>
      <c r="AO388" s="15">
        <f t="shared" si="193"/>
        <v>924223</v>
      </c>
      <c r="AP388" s="17">
        <f t="shared" si="189"/>
        <v>7799826</v>
      </c>
      <c r="AQ388" s="15">
        <v>5226335</v>
      </c>
      <c r="AR388" s="15">
        <v>3112</v>
      </c>
      <c r="AS388" s="18">
        <f t="shared" si="194"/>
        <v>2573491</v>
      </c>
      <c r="AT388" s="19">
        <v>0</v>
      </c>
      <c r="AU388" s="8">
        <v>8800</v>
      </c>
      <c r="AV388" s="13">
        <f t="shared" si="195"/>
        <v>2657600</v>
      </c>
      <c r="AW388" s="18">
        <f t="shared" si="196"/>
        <v>6875603</v>
      </c>
      <c r="AX388" s="15">
        <f t="shared" si="190"/>
        <v>6876000</v>
      </c>
      <c r="AY388" s="20">
        <v>7.0000000000000007E-2</v>
      </c>
      <c r="AZ388" s="13">
        <f t="shared" si="191"/>
        <v>481320.00000000006</v>
      </c>
      <c r="BA388" s="15">
        <f t="shared" si="192"/>
        <v>481400</v>
      </c>
      <c r="BB388" s="21">
        <f t="shared" si="197"/>
        <v>3054891</v>
      </c>
      <c r="BC388" s="10">
        <f t="shared" si="198"/>
        <v>13.024667549846553</v>
      </c>
      <c r="BD388" s="10">
        <f t="shared" si="199"/>
        <v>13.129799587937821</v>
      </c>
      <c r="BE388" s="10">
        <v>62.62</v>
      </c>
      <c r="BF388" s="10">
        <v>28.06</v>
      </c>
      <c r="BG388" s="107">
        <v>46176</v>
      </c>
      <c r="BH388" s="107">
        <f t="shared" si="172"/>
        <v>46206</v>
      </c>
      <c r="BI388" s="23">
        <v>7</v>
      </c>
      <c r="BJ388" s="6"/>
      <c r="BK388" s="6"/>
      <c r="BL388" s="24">
        <f>VLOOKUP(A388,[2]Sheet1!$D$2:$H$933,5,0)</f>
        <v>0</v>
      </c>
      <c r="BM388" s="6" t="s">
        <v>3828</v>
      </c>
      <c r="BN388" s="6" t="s">
        <v>3829</v>
      </c>
      <c r="BO388" s="6" t="s">
        <v>3820</v>
      </c>
      <c r="BP388" s="6" t="s">
        <v>3821</v>
      </c>
      <c r="BQ388" s="6" t="s">
        <v>3830</v>
      </c>
      <c r="BR388" t="s">
        <v>3823</v>
      </c>
      <c r="BS388" t="s">
        <v>3824</v>
      </c>
      <c r="BT388" t="s">
        <v>3825</v>
      </c>
      <c r="BU388" t="s">
        <v>3826</v>
      </c>
      <c r="BV388" t="s">
        <v>3827</v>
      </c>
      <c r="BW388" t="s">
        <v>3835</v>
      </c>
      <c r="BX388">
        <v>0</v>
      </c>
      <c r="BY388" t="s">
        <v>3864</v>
      </c>
      <c r="BZ388" t="s">
        <v>3872</v>
      </c>
    </row>
    <row r="389" spans="1:78" x14ac:dyDescent="0.25">
      <c r="A389" s="65" t="s">
        <v>1640</v>
      </c>
      <c r="B389" s="7" t="s">
        <v>181</v>
      </c>
      <c r="C389" s="7" t="s">
        <v>1638</v>
      </c>
      <c r="D389" s="8" t="s">
        <v>1639</v>
      </c>
      <c r="E389" s="7" t="s">
        <v>1641</v>
      </c>
      <c r="F389" s="9">
        <v>44896</v>
      </c>
      <c r="G389" s="9" t="s">
        <v>404</v>
      </c>
      <c r="H389" s="9" t="s">
        <v>87</v>
      </c>
      <c r="I389" s="8" t="s">
        <v>78</v>
      </c>
      <c r="J389" s="10">
        <v>379.97</v>
      </c>
      <c r="K389" s="10">
        <v>379.97</v>
      </c>
      <c r="L389" s="10">
        <f t="shared" si="174"/>
        <v>0</v>
      </c>
      <c r="M389" s="10">
        <v>164.69</v>
      </c>
      <c r="N389" s="10">
        <v>164.69</v>
      </c>
      <c r="O389" s="10">
        <f t="shared" si="175"/>
        <v>0</v>
      </c>
      <c r="P389" s="11">
        <v>20183.943469221253</v>
      </c>
      <c r="Q389" s="11">
        <v>46568.055133887909</v>
      </c>
      <c r="R389" s="11">
        <v>40000</v>
      </c>
      <c r="S389" s="11">
        <v>7669293</v>
      </c>
      <c r="T389" s="11">
        <v>920316</v>
      </c>
      <c r="U389" s="12">
        <f t="shared" si="176"/>
        <v>0.12000010952769702</v>
      </c>
      <c r="V389" s="13">
        <f t="shared" ref="V389:V403" si="200">L389*P389</f>
        <v>0</v>
      </c>
      <c r="W389" s="10">
        <f t="shared" si="178"/>
        <v>0</v>
      </c>
      <c r="X389" s="10"/>
      <c r="Y389" s="10"/>
      <c r="Z389" s="11">
        <f t="shared" si="179"/>
        <v>7669293</v>
      </c>
      <c r="AA389" s="14"/>
      <c r="AB389" s="14"/>
      <c r="AC389" s="11">
        <f t="shared" si="180"/>
        <v>7669293</v>
      </c>
      <c r="AD389" s="10">
        <f t="shared" si="181"/>
        <v>300</v>
      </c>
      <c r="AE389" s="15">
        <v>49407</v>
      </c>
      <c r="AF389" s="16">
        <v>8894</v>
      </c>
      <c r="AG389" s="15">
        <f t="shared" si="182"/>
        <v>0</v>
      </c>
      <c r="AH389" s="15">
        <f t="shared" si="183"/>
        <v>0</v>
      </c>
      <c r="AI389" s="15">
        <f t="shared" si="184"/>
        <v>49407</v>
      </c>
      <c r="AJ389" s="15">
        <f t="shared" si="185"/>
        <v>8894</v>
      </c>
      <c r="AK389" s="10">
        <v>49407</v>
      </c>
      <c r="AL389" s="15">
        <f t="shared" si="186"/>
        <v>49407</v>
      </c>
      <c r="AM389" s="15">
        <f t="shared" si="187"/>
        <v>7718700</v>
      </c>
      <c r="AN389" s="15">
        <f t="shared" si="188"/>
        <v>929210</v>
      </c>
      <c r="AO389" s="15">
        <f t="shared" si="193"/>
        <v>981671.24</v>
      </c>
      <c r="AP389" s="17">
        <f t="shared" si="189"/>
        <v>8700371.2400000002</v>
      </c>
      <c r="AQ389" s="15">
        <v>7730647</v>
      </c>
      <c r="AR389" s="15">
        <v>3054.24</v>
      </c>
      <c r="AS389" s="18">
        <f t="shared" si="194"/>
        <v>969724</v>
      </c>
      <c r="AT389" s="19">
        <v>0</v>
      </c>
      <c r="AU389" s="8">
        <v>8800</v>
      </c>
      <c r="AV389" s="13">
        <f t="shared" si="195"/>
        <v>1449272</v>
      </c>
      <c r="AW389" s="18">
        <f t="shared" si="196"/>
        <v>7718700</v>
      </c>
      <c r="AX389" s="15">
        <f t="shared" si="190"/>
        <v>7719000</v>
      </c>
      <c r="AY389" s="20">
        <v>0.05</v>
      </c>
      <c r="AZ389" s="13">
        <f t="shared" si="191"/>
        <v>385950</v>
      </c>
      <c r="BA389" s="15">
        <f t="shared" si="192"/>
        <v>386000</v>
      </c>
      <c r="BB389" s="21">
        <f t="shared" si="197"/>
        <v>1355724</v>
      </c>
      <c r="BC389" s="10">
        <f t="shared" si="198"/>
        <v>0</v>
      </c>
      <c r="BD389" s="10">
        <f t="shared" si="199"/>
        <v>0</v>
      </c>
      <c r="BE389" s="10">
        <v>35.299999999999997</v>
      </c>
      <c r="BF389" s="10">
        <v>15.3</v>
      </c>
      <c r="BG389" s="107">
        <v>46176</v>
      </c>
      <c r="BH389" s="107">
        <f t="shared" si="172"/>
        <v>46206</v>
      </c>
      <c r="BI389" s="23">
        <v>5</v>
      </c>
      <c r="BJ389" s="6"/>
      <c r="BK389" s="6"/>
      <c r="BL389" s="24">
        <f>VLOOKUP(A389,[2]Sheet1!$D$2:$H$933,5,0)</f>
        <v>0</v>
      </c>
      <c r="BM389" s="6" t="s">
        <v>3828</v>
      </c>
      <c r="BN389" s="6" t="s">
        <v>3829</v>
      </c>
      <c r="BO389" s="6" t="s">
        <v>3820</v>
      </c>
      <c r="BP389" s="6" t="s">
        <v>3821</v>
      </c>
      <c r="BQ389" s="6" t="s">
        <v>3830</v>
      </c>
      <c r="BR389" t="s">
        <v>3823</v>
      </c>
      <c r="BS389" t="s">
        <v>3824</v>
      </c>
      <c r="BT389" t="s">
        <v>3825</v>
      </c>
      <c r="BU389" t="s">
        <v>3826</v>
      </c>
      <c r="BV389" t="s">
        <v>3827</v>
      </c>
      <c r="BW389" t="s">
        <v>3835</v>
      </c>
      <c r="BX389">
        <v>0</v>
      </c>
      <c r="BY389" t="s">
        <v>3869</v>
      </c>
      <c r="BZ389" t="s">
        <v>3863</v>
      </c>
    </row>
    <row r="390" spans="1:78" x14ac:dyDescent="0.25">
      <c r="A390" s="7" t="s">
        <v>1644</v>
      </c>
      <c r="B390" s="7" t="s">
        <v>181</v>
      </c>
      <c r="C390" s="7" t="s">
        <v>1642</v>
      </c>
      <c r="D390" s="8" t="s">
        <v>1643</v>
      </c>
      <c r="E390" s="7" t="s">
        <v>1645</v>
      </c>
      <c r="F390" s="9">
        <v>44867</v>
      </c>
      <c r="G390" s="9" t="s">
        <v>717</v>
      </c>
      <c r="H390" s="9" t="s">
        <v>92</v>
      </c>
      <c r="I390" s="8" t="s">
        <v>78</v>
      </c>
      <c r="J390" s="10">
        <v>1013.54</v>
      </c>
      <c r="K390" s="10">
        <v>1013.54</v>
      </c>
      <c r="L390" s="10">
        <f t="shared" si="174"/>
        <v>0</v>
      </c>
      <c r="M390" s="10">
        <v>460.7</v>
      </c>
      <c r="N390" s="10">
        <v>460.7</v>
      </c>
      <c r="O390" s="10">
        <f t="shared" si="175"/>
        <v>0</v>
      </c>
      <c r="P390" s="11">
        <v>22531.00025652663</v>
      </c>
      <c r="Q390" s="11">
        <v>49568.200564358587</v>
      </c>
      <c r="R390" s="11">
        <v>28000</v>
      </c>
      <c r="S390" s="11">
        <v>22836070</v>
      </c>
      <c r="T390" s="11">
        <v>2740328</v>
      </c>
      <c r="U390" s="12">
        <f t="shared" si="176"/>
        <v>0.1199999824838512</v>
      </c>
      <c r="V390" s="13">
        <f t="shared" si="200"/>
        <v>0</v>
      </c>
      <c r="W390" s="10">
        <f t="shared" si="178"/>
        <v>0</v>
      </c>
      <c r="X390" s="10"/>
      <c r="Y390" s="10"/>
      <c r="Z390" s="11">
        <f t="shared" si="179"/>
        <v>22836070</v>
      </c>
      <c r="AA390" s="14">
        <v>3052532</v>
      </c>
      <c r="AB390" s="14">
        <v>366304</v>
      </c>
      <c r="AC390" s="11">
        <f t="shared" si="180"/>
        <v>19783538</v>
      </c>
      <c r="AD390" s="10">
        <f t="shared" si="181"/>
        <v>300</v>
      </c>
      <c r="AE390" s="15">
        <v>138210</v>
      </c>
      <c r="AF390" s="16">
        <v>24878</v>
      </c>
      <c r="AG390" s="15">
        <f t="shared" si="182"/>
        <v>0</v>
      </c>
      <c r="AH390" s="15">
        <f t="shared" si="183"/>
        <v>0</v>
      </c>
      <c r="AI390" s="15">
        <f t="shared" si="184"/>
        <v>138210</v>
      </c>
      <c r="AJ390" s="15">
        <f t="shared" si="185"/>
        <v>24878</v>
      </c>
      <c r="AK390" s="10">
        <v>138210</v>
      </c>
      <c r="AL390" s="15">
        <f t="shared" si="186"/>
        <v>138210</v>
      </c>
      <c r="AM390" s="15">
        <f t="shared" si="187"/>
        <v>19921748</v>
      </c>
      <c r="AN390" s="15">
        <f t="shared" si="188"/>
        <v>2398902</v>
      </c>
      <c r="AO390" s="15">
        <f t="shared" si="193"/>
        <v>2540261</v>
      </c>
      <c r="AP390" s="17">
        <f t="shared" si="189"/>
        <v>22462009</v>
      </c>
      <c r="AQ390" s="15">
        <v>19508578</v>
      </c>
      <c r="AR390" s="15">
        <v>3149</v>
      </c>
      <c r="AS390" s="18">
        <f t="shared" si="194"/>
        <v>2953431</v>
      </c>
      <c r="AT390" s="19">
        <v>0</v>
      </c>
      <c r="AU390" s="8">
        <v>8800</v>
      </c>
      <c r="AV390" s="13">
        <f t="shared" si="195"/>
        <v>4054160</v>
      </c>
      <c r="AW390" s="18">
        <f t="shared" si="196"/>
        <v>19921748</v>
      </c>
      <c r="AX390" s="15">
        <f t="shared" si="190"/>
        <v>19922000</v>
      </c>
      <c r="AY390" s="20">
        <v>7.0000000000000007E-2</v>
      </c>
      <c r="AZ390" s="13">
        <f t="shared" si="191"/>
        <v>1394540.0000000002</v>
      </c>
      <c r="BA390" s="15">
        <f t="shared" si="192"/>
        <v>1394600</v>
      </c>
      <c r="BB390" s="21">
        <f t="shared" si="197"/>
        <v>4348031</v>
      </c>
      <c r="BC390" s="10">
        <f t="shared" si="198"/>
        <v>0</v>
      </c>
      <c r="BD390" s="10">
        <f t="shared" si="199"/>
        <v>0</v>
      </c>
      <c r="BE390" s="10">
        <v>94.16</v>
      </c>
      <c r="BF390" s="10">
        <v>42.8</v>
      </c>
      <c r="BG390" s="107">
        <v>46176</v>
      </c>
      <c r="BH390" s="107">
        <f t="shared" si="172"/>
        <v>46206</v>
      </c>
      <c r="BI390" s="23">
        <v>7</v>
      </c>
      <c r="BJ390" s="6"/>
      <c r="BK390" s="6"/>
      <c r="BL390" s="24" t="s">
        <v>1646</v>
      </c>
      <c r="BM390" s="6" t="s">
        <v>3828</v>
      </c>
      <c r="BN390" s="6" t="s">
        <v>3829</v>
      </c>
      <c r="BO390" s="6" t="s">
        <v>3820</v>
      </c>
      <c r="BP390" s="6" t="s">
        <v>3821</v>
      </c>
      <c r="BQ390" s="6" t="s">
        <v>3830</v>
      </c>
      <c r="BR390" t="s">
        <v>3823</v>
      </c>
      <c r="BS390" t="s">
        <v>3824</v>
      </c>
      <c r="BT390" t="s">
        <v>3825</v>
      </c>
      <c r="BU390" t="s">
        <v>3826</v>
      </c>
      <c r="BV390" t="s">
        <v>3827</v>
      </c>
      <c r="BW390" t="s">
        <v>3835</v>
      </c>
      <c r="BX390">
        <v>0</v>
      </c>
      <c r="BY390" t="s">
        <v>3864</v>
      </c>
      <c r="BZ390" t="s">
        <v>3872</v>
      </c>
    </row>
    <row r="391" spans="1:78" x14ac:dyDescent="0.25">
      <c r="A391" s="7" t="s">
        <v>1649</v>
      </c>
      <c r="B391" s="7" t="s">
        <v>181</v>
      </c>
      <c r="C391" s="7" t="s">
        <v>1647</v>
      </c>
      <c r="D391" s="8" t="s">
        <v>1648</v>
      </c>
      <c r="E391" s="7" t="s">
        <v>1492</v>
      </c>
      <c r="F391" s="9">
        <v>45177</v>
      </c>
      <c r="G391" s="9" t="s">
        <v>363</v>
      </c>
      <c r="H391" s="9" t="s">
        <v>87</v>
      </c>
      <c r="I391" s="8" t="s">
        <v>67</v>
      </c>
      <c r="J391" s="10">
        <v>220.06</v>
      </c>
      <c r="K391" s="10">
        <v>220.06</v>
      </c>
      <c r="L391" s="10">
        <f t="shared" si="174"/>
        <v>0</v>
      </c>
      <c r="M391" s="10">
        <v>88.26</v>
      </c>
      <c r="N391" s="10">
        <v>88.26</v>
      </c>
      <c r="O391" s="10">
        <f t="shared" si="175"/>
        <v>0</v>
      </c>
      <c r="P391" s="11">
        <v>17995.087703353631</v>
      </c>
      <c r="Q391" s="11">
        <v>44867.425787446176</v>
      </c>
      <c r="R391" s="11">
        <v>40000</v>
      </c>
      <c r="S391" s="11">
        <v>3959999</v>
      </c>
      <c r="T391" s="11">
        <v>475200</v>
      </c>
      <c r="U391" s="12">
        <f t="shared" si="176"/>
        <v>0.12000003030303795</v>
      </c>
      <c r="V391" s="13">
        <f t="shared" si="200"/>
        <v>0</v>
      </c>
      <c r="W391" s="10">
        <f t="shared" si="178"/>
        <v>0</v>
      </c>
      <c r="X391" s="10"/>
      <c r="Y391" s="10"/>
      <c r="Z391" s="11">
        <f t="shared" si="179"/>
        <v>3959999</v>
      </c>
      <c r="AA391" s="14"/>
      <c r="AB391" s="14"/>
      <c r="AC391" s="11">
        <f t="shared" si="180"/>
        <v>3959999</v>
      </c>
      <c r="AD391" s="10">
        <f t="shared" si="181"/>
        <v>300</v>
      </c>
      <c r="AE391" s="15">
        <v>26478</v>
      </c>
      <c r="AF391" s="16">
        <v>4766</v>
      </c>
      <c r="AG391" s="15">
        <f t="shared" si="182"/>
        <v>0</v>
      </c>
      <c r="AH391" s="15">
        <f t="shared" si="183"/>
        <v>0</v>
      </c>
      <c r="AI391" s="15">
        <f t="shared" si="184"/>
        <v>26478</v>
      </c>
      <c r="AJ391" s="15">
        <f t="shared" si="185"/>
        <v>4767</v>
      </c>
      <c r="AK391" s="10">
        <v>26478</v>
      </c>
      <c r="AL391" s="15">
        <f t="shared" si="186"/>
        <v>26478</v>
      </c>
      <c r="AM391" s="15">
        <f t="shared" si="187"/>
        <v>3986477</v>
      </c>
      <c r="AN391" s="15">
        <f t="shared" si="188"/>
        <v>479967</v>
      </c>
      <c r="AO391" s="15">
        <f t="shared" si="193"/>
        <v>509751</v>
      </c>
      <c r="AP391" s="17">
        <f t="shared" si="189"/>
        <v>4496228</v>
      </c>
      <c r="AQ391" s="15">
        <v>3668000</v>
      </c>
      <c r="AR391" s="15">
        <v>3306</v>
      </c>
      <c r="AS391" s="18">
        <f t="shared" si="194"/>
        <v>828228</v>
      </c>
      <c r="AT391" s="19">
        <v>0</v>
      </c>
      <c r="AU391" s="8">
        <v>8800</v>
      </c>
      <c r="AV391" s="13">
        <f t="shared" si="195"/>
        <v>776688</v>
      </c>
      <c r="AW391" s="18">
        <f t="shared" si="196"/>
        <v>3986477</v>
      </c>
      <c r="AX391" s="15">
        <f t="shared" si="190"/>
        <v>3987000</v>
      </c>
      <c r="AY391" s="20">
        <v>0.06</v>
      </c>
      <c r="AZ391" s="13">
        <f t="shared" si="191"/>
        <v>239220</v>
      </c>
      <c r="BA391" s="15">
        <f t="shared" si="192"/>
        <v>239300</v>
      </c>
      <c r="BB391" s="21">
        <f t="shared" si="197"/>
        <v>1067528</v>
      </c>
      <c r="BC391" s="10">
        <f t="shared" si="198"/>
        <v>0</v>
      </c>
      <c r="BD391" s="10">
        <f t="shared" si="199"/>
        <v>0</v>
      </c>
      <c r="BE391" s="10">
        <v>20.440000000000001</v>
      </c>
      <c r="BF391" s="10">
        <v>8.1999999999999993</v>
      </c>
      <c r="BG391" s="107">
        <v>46176</v>
      </c>
      <c r="BH391" s="107">
        <f t="shared" si="172"/>
        <v>46206</v>
      </c>
      <c r="BI391" s="23">
        <v>6</v>
      </c>
      <c r="BJ391" s="6"/>
      <c r="BK391" s="6"/>
      <c r="BL391" s="24">
        <f>VLOOKUP(A391,[2]Sheet1!$D$2:$H$933,5,0)</f>
        <v>0</v>
      </c>
      <c r="BM391" s="6" t="s">
        <v>3828</v>
      </c>
      <c r="BN391" s="6" t="s">
        <v>3829</v>
      </c>
      <c r="BO391" s="6" t="s">
        <v>3820</v>
      </c>
      <c r="BP391" s="6" t="s">
        <v>3821</v>
      </c>
      <c r="BQ391" s="6" t="s">
        <v>3830</v>
      </c>
      <c r="BR391" t="s">
        <v>3823</v>
      </c>
      <c r="BS391" t="s">
        <v>3824</v>
      </c>
      <c r="BT391" t="s">
        <v>3825</v>
      </c>
      <c r="BU391" t="s">
        <v>3826</v>
      </c>
      <c r="BV391" t="s">
        <v>3827</v>
      </c>
      <c r="BW391" t="s">
        <v>3835</v>
      </c>
      <c r="BX391">
        <v>0</v>
      </c>
      <c r="BY391" t="s">
        <v>3867</v>
      </c>
      <c r="BZ391" t="s">
        <v>3860</v>
      </c>
    </row>
    <row r="392" spans="1:78" x14ac:dyDescent="0.25">
      <c r="A392" s="7" t="s">
        <v>1652</v>
      </c>
      <c r="B392" s="7" t="s">
        <v>181</v>
      </c>
      <c r="C392" s="7" t="s">
        <v>1650</v>
      </c>
      <c r="D392" s="8" t="s">
        <v>1651</v>
      </c>
      <c r="E392" s="7" t="s">
        <v>1653</v>
      </c>
      <c r="F392" s="9">
        <v>44896</v>
      </c>
      <c r="G392" s="9" t="s">
        <v>527</v>
      </c>
      <c r="H392" s="9" t="s">
        <v>72</v>
      </c>
      <c r="I392" s="8" t="s">
        <v>635</v>
      </c>
      <c r="J392" s="10">
        <v>796.25</v>
      </c>
      <c r="K392" s="10">
        <v>796.25</v>
      </c>
      <c r="L392" s="10">
        <f t="shared" si="174"/>
        <v>0</v>
      </c>
      <c r="M392" s="10">
        <v>120.56</v>
      </c>
      <c r="N392" s="10">
        <v>120.56</v>
      </c>
      <c r="O392" s="10">
        <f t="shared" si="175"/>
        <v>0</v>
      </c>
      <c r="P392" s="11">
        <v>8324.9996860282572</v>
      </c>
      <c r="Q392" s="11">
        <v>54983.253151957528</v>
      </c>
      <c r="R392" s="11">
        <v>20000</v>
      </c>
      <c r="S392" s="11">
        <v>6628781</v>
      </c>
      <c r="T392" s="11">
        <v>795454</v>
      </c>
      <c r="U392" s="12">
        <f t="shared" si="176"/>
        <v>0.12000004224004383</v>
      </c>
      <c r="V392" s="13">
        <f t="shared" si="200"/>
        <v>0</v>
      </c>
      <c r="W392" s="10">
        <f t="shared" si="178"/>
        <v>0</v>
      </c>
      <c r="X392" s="10"/>
      <c r="Y392" s="10"/>
      <c r="Z392" s="11">
        <f t="shared" si="179"/>
        <v>6628781</v>
      </c>
      <c r="AA392" s="14">
        <v>580355</v>
      </c>
      <c r="AB392" s="14">
        <v>69642</v>
      </c>
      <c r="AC392" s="11">
        <f t="shared" si="180"/>
        <v>6048426</v>
      </c>
      <c r="AD392" s="10">
        <f t="shared" si="181"/>
        <v>300</v>
      </c>
      <c r="AE392" s="15">
        <v>36168</v>
      </c>
      <c r="AF392" s="16">
        <v>6510</v>
      </c>
      <c r="AG392" s="15">
        <f t="shared" si="182"/>
        <v>0</v>
      </c>
      <c r="AH392" s="15">
        <f t="shared" si="183"/>
        <v>0</v>
      </c>
      <c r="AI392" s="15">
        <f t="shared" si="184"/>
        <v>36168</v>
      </c>
      <c r="AJ392" s="15">
        <f t="shared" si="185"/>
        <v>6511</v>
      </c>
      <c r="AK392" s="10">
        <v>36168</v>
      </c>
      <c r="AL392" s="15">
        <f t="shared" si="186"/>
        <v>36168</v>
      </c>
      <c r="AM392" s="15">
        <f t="shared" si="187"/>
        <v>6084594</v>
      </c>
      <c r="AN392" s="15">
        <f t="shared" si="188"/>
        <v>732323</v>
      </c>
      <c r="AO392" s="15">
        <f t="shared" si="193"/>
        <v>771691</v>
      </c>
      <c r="AP392" s="17">
        <f t="shared" si="189"/>
        <v>6856285</v>
      </c>
      <c r="AQ392" s="15">
        <v>6031816</v>
      </c>
      <c r="AR392" s="15">
        <v>3200</v>
      </c>
      <c r="AS392" s="18">
        <f t="shared" si="194"/>
        <v>824469</v>
      </c>
      <c r="AT392" s="19">
        <v>0</v>
      </c>
      <c r="AU392" s="8">
        <v>8800</v>
      </c>
      <c r="AV392" s="13">
        <f t="shared" si="195"/>
        <v>1060928</v>
      </c>
      <c r="AW392" s="18">
        <f t="shared" si="196"/>
        <v>6084594</v>
      </c>
      <c r="AX392" s="15">
        <f t="shared" si="190"/>
        <v>6085000</v>
      </c>
      <c r="AY392" s="20">
        <v>0.06</v>
      </c>
      <c r="AZ392" s="13">
        <f t="shared" si="191"/>
        <v>365100</v>
      </c>
      <c r="BA392" s="15">
        <f t="shared" si="192"/>
        <v>365100</v>
      </c>
      <c r="BB392" s="21">
        <f t="shared" si="197"/>
        <v>1189569</v>
      </c>
      <c r="BC392" s="10">
        <f t="shared" si="198"/>
        <v>0</v>
      </c>
      <c r="BD392" s="10">
        <f t="shared" si="199"/>
        <v>0</v>
      </c>
      <c r="BE392" s="10">
        <v>73.97</v>
      </c>
      <c r="BF392" s="10">
        <v>11.2</v>
      </c>
      <c r="BG392" s="107">
        <v>46176</v>
      </c>
      <c r="BH392" s="107">
        <f t="shared" si="172"/>
        <v>46206</v>
      </c>
      <c r="BI392" s="23">
        <v>6</v>
      </c>
      <c r="BJ392" s="6"/>
      <c r="BK392" s="6"/>
      <c r="BL392" s="24">
        <f>VLOOKUP(A392,[2]Sheet1!$D$2:$H$933,5,0)</f>
        <v>0</v>
      </c>
      <c r="BM392" s="6" t="s">
        <v>3828</v>
      </c>
      <c r="BN392" s="6" t="s">
        <v>3829</v>
      </c>
      <c r="BO392" s="6" t="s">
        <v>3820</v>
      </c>
      <c r="BP392" s="6" t="s">
        <v>3821</v>
      </c>
      <c r="BQ392" s="6" t="s">
        <v>3830</v>
      </c>
      <c r="BR392" t="s">
        <v>3823</v>
      </c>
      <c r="BS392" t="s">
        <v>3824</v>
      </c>
      <c r="BT392" t="s">
        <v>3825</v>
      </c>
      <c r="BU392" t="s">
        <v>3826</v>
      </c>
      <c r="BV392" t="s">
        <v>3827</v>
      </c>
      <c r="BW392" t="s">
        <v>3835</v>
      </c>
      <c r="BX392">
        <v>0</v>
      </c>
      <c r="BY392" t="s">
        <v>3867</v>
      </c>
      <c r="BZ392" t="s">
        <v>3871</v>
      </c>
    </row>
    <row r="393" spans="1:78" x14ac:dyDescent="0.25">
      <c r="A393" s="7" t="s">
        <v>1656</v>
      </c>
      <c r="B393" s="7" t="s">
        <v>181</v>
      </c>
      <c r="C393" s="7" t="s">
        <v>1654</v>
      </c>
      <c r="D393" s="8" t="s">
        <v>1655</v>
      </c>
      <c r="E393" s="7" t="s">
        <v>1657</v>
      </c>
      <c r="F393" s="9">
        <v>44922</v>
      </c>
      <c r="G393" s="9" t="s">
        <v>65</v>
      </c>
      <c r="H393" s="9" t="s">
        <v>72</v>
      </c>
      <c r="I393" s="8" t="s">
        <v>67</v>
      </c>
      <c r="J393" s="10">
        <v>484.38</v>
      </c>
      <c r="K393" s="10">
        <v>484.38</v>
      </c>
      <c r="L393" s="10">
        <f t="shared" si="174"/>
        <v>0</v>
      </c>
      <c r="M393" s="10">
        <v>201.83</v>
      </c>
      <c r="N393" s="10">
        <v>201.83</v>
      </c>
      <c r="O393" s="10">
        <f t="shared" si="175"/>
        <v>0</v>
      </c>
      <c r="P393" s="11">
        <v>11723.47537057682</v>
      </c>
      <c r="Q393" s="11">
        <v>28135.643858692958</v>
      </c>
      <c r="R393" s="11">
        <v>20000</v>
      </c>
      <c r="S393" s="11">
        <v>5678617</v>
      </c>
      <c r="T393" s="11">
        <v>681436</v>
      </c>
      <c r="U393" s="12">
        <f t="shared" si="176"/>
        <v>0.12000034515446278</v>
      </c>
      <c r="V393" s="13">
        <f t="shared" si="200"/>
        <v>0</v>
      </c>
      <c r="W393" s="10">
        <f t="shared" si="178"/>
        <v>0</v>
      </c>
      <c r="X393" s="10"/>
      <c r="Y393" s="10"/>
      <c r="Z393" s="11">
        <f t="shared" si="179"/>
        <v>5678617</v>
      </c>
      <c r="AA393" s="14">
        <v>444237</v>
      </c>
      <c r="AB393" s="14">
        <v>53308</v>
      </c>
      <c r="AC393" s="11">
        <f t="shared" si="180"/>
        <v>5234380</v>
      </c>
      <c r="AD393" s="10">
        <f t="shared" si="181"/>
        <v>300</v>
      </c>
      <c r="AE393" s="15">
        <v>60549</v>
      </c>
      <c r="AF393" s="16">
        <v>10898</v>
      </c>
      <c r="AG393" s="15">
        <f t="shared" si="182"/>
        <v>0</v>
      </c>
      <c r="AH393" s="15">
        <f t="shared" si="183"/>
        <v>0</v>
      </c>
      <c r="AI393" s="15">
        <f t="shared" si="184"/>
        <v>60549.000000000007</v>
      </c>
      <c r="AJ393" s="15">
        <f t="shared" si="185"/>
        <v>10899</v>
      </c>
      <c r="AK393" s="10">
        <v>60549</v>
      </c>
      <c r="AL393" s="15">
        <f t="shared" si="186"/>
        <v>60549.000000000007</v>
      </c>
      <c r="AM393" s="15">
        <f t="shared" si="187"/>
        <v>5294929</v>
      </c>
      <c r="AN393" s="15">
        <f t="shared" si="188"/>
        <v>639027</v>
      </c>
      <c r="AO393" s="15">
        <f t="shared" si="193"/>
        <v>700813.32</v>
      </c>
      <c r="AP393" s="17">
        <f t="shared" si="189"/>
        <v>5995742.3200000003</v>
      </c>
      <c r="AQ393" s="15">
        <v>4643136.41</v>
      </c>
      <c r="AR393" s="15">
        <v>1237.32</v>
      </c>
      <c r="AS393" s="18">
        <f t="shared" si="194"/>
        <v>1352606</v>
      </c>
      <c r="AT393" s="19">
        <v>0</v>
      </c>
      <c r="AU393" s="8">
        <v>8800</v>
      </c>
      <c r="AV393" s="13">
        <f t="shared" si="195"/>
        <v>1776104</v>
      </c>
      <c r="AW393" s="18">
        <f t="shared" si="196"/>
        <v>5294929</v>
      </c>
      <c r="AX393" s="15">
        <f t="shared" si="190"/>
        <v>5295000</v>
      </c>
      <c r="AY393" s="20">
        <v>7.0000000000000007E-2</v>
      </c>
      <c r="AZ393" s="13">
        <f t="shared" si="191"/>
        <v>370650.00000000006</v>
      </c>
      <c r="BA393" s="15">
        <f t="shared" si="192"/>
        <v>370700</v>
      </c>
      <c r="BB393" s="21">
        <f t="shared" si="197"/>
        <v>1723306</v>
      </c>
      <c r="BC393" s="10">
        <f t="shared" si="198"/>
        <v>0</v>
      </c>
      <c r="BD393" s="10">
        <f t="shared" si="199"/>
        <v>0</v>
      </c>
      <c r="BE393" s="10">
        <v>45</v>
      </c>
      <c r="BF393" s="10">
        <v>18.75</v>
      </c>
      <c r="BG393" s="107">
        <v>46176</v>
      </c>
      <c r="BH393" s="107">
        <f t="shared" si="172"/>
        <v>46206</v>
      </c>
      <c r="BI393" s="23">
        <v>7</v>
      </c>
      <c r="BJ393" s="6"/>
      <c r="BK393" s="6"/>
      <c r="BL393" s="24">
        <f>VLOOKUP(A393,[2]Sheet1!$D$2:$H$933,5,0)</f>
        <v>0</v>
      </c>
      <c r="BM393" s="6" t="s">
        <v>3828</v>
      </c>
      <c r="BN393" s="6" t="s">
        <v>3829</v>
      </c>
      <c r="BO393" s="6" t="s">
        <v>3820</v>
      </c>
      <c r="BP393" s="6" t="s">
        <v>3821</v>
      </c>
      <c r="BQ393" s="6" t="s">
        <v>3830</v>
      </c>
      <c r="BR393" t="s">
        <v>3823</v>
      </c>
      <c r="BS393" t="s">
        <v>3824</v>
      </c>
      <c r="BT393" t="s">
        <v>3825</v>
      </c>
      <c r="BU393" t="s">
        <v>3826</v>
      </c>
      <c r="BV393" t="s">
        <v>3827</v>
      </c>
      <c r="BW393" t="s">
        <v>3835</v>
      </c>
      <c r="BX393">
        <v>0</v>
      </c>
      <c r="BY393" t="s">
        <v>3867</v>
      </c>
      <c r="BZ393" t="s">
        <v>3860</v>
      </c>
    </row>
    <row r="394" spans="1:78" x14ac:dyDescent="0.25">
      <c r="A394" s="7" t="s">
        <v>1660</v>
      </c>
      <c r="B394" s="7" t="s">
        <v>181</v>
      </c>
      <c r="C394" s="7" t="s">
        <v>1658</v>
      </c>
      <c r="D394" s="8" t="s">
        <v>1659</v>
      </c>
      <c r="E394" s="7" t="s">
        <v>1661</v>
      </c>
      <c r="F394" s="9">
        <v>45017</v>
      </c>
      <c r="G394" s="9" t="s">
        <v>363</v>
      </c>
      <c r="H394" s="9" t="s">
        <v>87</v>
      </c>
      <c r="I394" s="8" t="s">
        <v>67</v>
      </c>
      <c r="J394" s="10">
        <v>220.06</v>
      </c>
      <c r="K394" s="10">
        <v>220.06</v>
      </c>
      <c r="L394" s="10">
        <f t="shared" si="174"/>
        <v>0</v>
      </c>
      <c r="M394" s="10">
        <v>88.26</v>
      </c>
      <c r="N394" s="10">
        <v>88.26</v>
      </c>
      <c r="O394" s="10">
        <f t="shared" si="175"/>
        <v>0</v>
      </c>
      <c r="P394" s="11">
        <v>17838.934835953831</v>
      </c>
      <c r="Q394" s="11">
        <v>44478.087468842052</v>
      </c>
      <c r="R394" s="11">
        <v>40000</v>
      </c>
      <c r="S394" s="11">
        <v>3925636</v>
      </c>
      <c r="T394" s="11">
        <v>471076</v>
      </c>
      <c r="U394" s="12">
        <f t="shared" si="176"/>
        <v>0.11999991848454619</v>
      </c>
      <c r="V394" s="13">
        <f t="shared" si="200"/>
        <v>0</v>
      </c>
      <c r="W394" s="10">
        <f t="shared" si="178"/>
        <v>0</v>
      </c>
      <c r="X394" s="10"/>
      <c r="Y394" s="10"/>
      <c r="Z394" s="11">
        <f t="shared" si="179"/>
        <v>3925636</v>
      </c>
      <c r="AA394" s="14"/>
      <c r="AB394" s="14"/>
      <c r="AC394" s="11">
        <f t="shared" si="180"/>
        <v>3925636</v>
      </c>
      <c r="AD394" s="10">
        <f t="shared" si="181"/>
        <v>300</v>
      </c>
      <c r="AE394" s="15">
        <v>26478</v>
      </c>
      <c r="AF394" s="16">
        <v>4766</v>
      </c>
      <c r="AG394" s="15">
        <f t="shared" si="182"/>
        <v>0</v>
      </c>
      <c r="AH394" s="15">
        <f t="shared" si="183"/>
        <v>0</v>
      </c>
      <c r="AI394" s="15">
        <f t="shared" si="184"/>
        <v>26478</v>
      </c>
      <c r="AJ394" s="15">
        <f t="shared" si="185"/>
        <v>4767</v>
      </c>
      <c r="AK394" s="10">
        <v>26478</v>
      </c>
      <c r="AL394" s="15">
        <f t="shared" si="186"/>
        <v>26478</v>
      </c>
      <c r="AM394" s="15">
        <f t="shared" si="187"/>
        <v>3952114</v>
      </c>
      <c r="AN394" s="15">
        <f t="shared" si="188"/>
        <v>475843</v>
      </c>
      <c r="AO394" s="15">
        <f t="shared" si="193"/>
        <v>505570.48</v>
      </c>
      <c r="AP394" s="17">
        <f t="shared" si="189"/>
        <v>4457684.4800000004</v>
      </c>
      <c r="AQ394" s="15">
        <v>3730179</v>
      </c>
      <c r="AR394" s="15">
        <v>3249.48</v>
      </c>
      <c r="AS394" s="18">
        <f t="shared" si="194"/>
        <v>727505</v>
      </c>
      <c r="AT394" s="19">
        <v>0</v>
      </c>
      <c r="AU394" s="8">
        <v>8800</v>
      </c>
      <c r="AV394" s="13">
        <f t="shared" si="195"/>
        <v>776688</v>
      </c>
      <c r="AW394" s="18">
        <f t="shared" si="196"/>
        <v>3952114</v>
      </c>
      <c r="AX394" s="15">
        <f t="shared" si="190"/>
        <v>3953000</v>
      </c>
      <c r="AY394" s="20">
        <v>0.05</v>
      </c>
      <c r="AZ394" s="13">
        <f t="shared" si="191"/>
        <v>197650</v>
      </c>
      <c r="BA394" s="15">
        <f t="shared" si="192"/>
        <v>197700</v>
      </c>
      <c r="BB394" s="21">
        <f t="shared" si="197"/>
        <v>925205</v>
      </c>
      <c r="BC394" s="10">
        <f t="shared" si="198"/>
        <v>0</v>
      </c>
      <c r="BD394" s="10">
        <f t="shared" si="199"/>
        <v>0</v>
      </c>
      <c r="BE394" s="10">
        <v>20.440000000000001</v>
      </c>
      <c r="BF394" s="10">
        <v>8.1999999999999993</v>
      </c>
      <c r="BG394" s="107">
        <v>46176</v>
      </c>
      <c r="BH394" s="107">
        <f t="shared" si="172"/>
        <v>46206</v>
      </c>
      <c r="BI394" s="23">
        <v>5</v>
      </c>
      <c r="BJ394" s="6"/>
      <c r="BK394" s="6"/>
      <c r="BL394" s="24">
        <f>VLOOKUP(A394,[2]Sheet1!$D$2:$H$933,5,0)</f>
        <v>0</v>
      </c>
      <c r="BM394" s="6" t="s">
        <v>3828</v>
      </c>
      <c r="BN394" s="6" t="s">
        <v>3829</v>
      </c>
      <c r="BO394" s="6" t="s">
        <v>3820</v>
      </c>
      <c r="BP394" s="6" t="s">
        <v>3821</v>
      </c>
      <c r="BQ394" s="6" t="s">
        <v>3830</v>
      </c>
      <c r="BR394" t="s">
        <v>3823</v>
      </c>
      <c r="BS394" t="s">
        <v>3824</v>
      </c>
      <c r="BT394" t="s">
        <v>3825</v>
      </c>
      <c r="BU394" t="s">
        <v>3826</v>
      </c>
      <c r="BV394" t="s">
        <v>3827</v>
      </c>
      <c r="BW394" t="s">
        <v>3835</v>
      </c>
      <c r="BX394">
        <v>0</v>
      </c>
      <c r="BY394" t="s">
        <v>3859</v>
      </c>
      <c r="BZ394" t="s">
        <v>3860</v>
      </c>
    </row>
    <row r="395" spans="1:78" x14ac:dyDescent="0.25">
      <c r="A395" s="7" t="s">
        <v>1664</v>
      </c>
      <c r="B395" s="7" t="s">
        <v>181</v>
      </c>
      <c r="C395" s="7" t="s">
        <v>1662</v>
      </c>
      <c r="D395" s="8" t="s">
        <v>1663</v>
      </c>
      <c r="E395" s="7" t="s">
        <v>1665</v>
      </c>
      <c r="F395" s="9">
        <v>44867</v>
      </c>
      <c r="G395" s="9" t="s">
        <v>65</v>
      </c>
      <c r="H395" s="9" t="s">
        <v>72</v>
      </c>
      <c r="I395" s="8" t="s">
        <v>78</v>
      </c>
      <c r="J395" s="10">
        <v>369.21</v>
      </c>
      <c r="K395" s="10">
        <v>369.21</v>
      </c>
      <c r="L395" s="10">
        <f t="shared" si="174"/>
        <v>0</v>
      </c>
      <c r="M395" s="10">
        <v>160.38</v>
      </c>
      <c r="N395" s="10">
        <v>160.38</v>
      </c>
      <c r="O395" s="10">
        <f t="shared" si="175"/>
        <v>0</v>
      </c>
      <c r="P395" s="11">
        <v>8013.0007312911357</v>
      </c>
      <c r="Q395" s="11">
        <v>18446.68911335578</v>
      </c>
      <c r="R395" s="11">
        <v>20000</v>
      </c>
      <c r="S395" s="11">
        <v>2958480</v>
      </c>
      <c r="T395" s="11">
        <v>355018</v>
      </c>
      <c r="U395" s="12">
        <f t="shared" si="176"/>
        <v>0.12000013520456451</v>
      </c>
      <c r="V395" s="13">
        <f t="shared" si="200"/>
        <v>0</v>
      </c>
      <c r="W395" s="10">
        <f t="shared" si="178"/>
        <v>0</v>
      </c>
      <c r="X395" s="10"/>
      <c r="Y395" s="10"/>
      <c r="Z395" s="11">
        <f t="shared" si="179"/>
        <v>2958480</v>
      </c>
      <c r="AA395" s="14">
        <v>1035468</v>
      </c>
      <c r="AB395" s="14">
        <v>124256</v>
      </c>
      <c r="AC395" s="11">
        <f t="shared" si="180"/>
        <v>1923012</v>
      </c>
      <c r="AD395" s="10">
        <f t="shared" si="181"/>
        <v>300</v>
      </c>
      <c r="AE395" s="15">
        <v>48114</v>
      </c>
      <c r="AF395" s="16">
        <v>8660</v>
      </c>
      <c r="AG395" s="15">
        <f t="shared" si="182"/>
        <v>0</v>
      </c>
      <c r="AH395" s="15">
        <f t="shared" si="183"/>
        <v>0</v>
      </c>
      <c r="AI395" s="15">
        <f t="shared" si="184"/>
        <v>48114</v>
      </c>
      <c r="AJ395" s="15">
        <f t="shared" si="185"/>
        <v>8661</v>
      </c>
      <c r="AK395" s="10">
        <v>48114</v>
      </c>
      <c r="AL395" s="15">
        <f t="shared" si="186"/>
        <v>48114</v>
      </c>
      <c r="AM395" s="15">
        <f t="shared" si="187"/>
        <v>1971126</v>
      </c>
      <c r="AN395" s="15">
        <f t="shared" si="188"/>
        <v>239423</v>
      </c>
      <c r="AO395" s="15">
        <f t="shared" si="193"/>
        <v>291361</v>
      </c>
      <c r="AP395" s="17">
        <f t="shared" si="189"/>
        <v>2262487</v>
      </c>
      <c r="AQ395" s="15">
        <v>1265170</v>
      </c>
      <c r="AR395" s="15">
        <v>3824</v>
      </c>
      <c r="AS395" s="18">
        <f t="shared" si="194"/>
        <v>997317</v>
      </c>
      <c r="AT395" s="19">
        <v>0</v>
      </c>
      <c r="AU395" s="8">
        <v>8800</v>
      </c>
      <c r="AV395" s="13">
        <f t="shared" si="195"/>
        <v>1411344</v>
      </c>
      <c r="AW395" s="18">
        <f t="shared" si="196"/>
        <v>1971126</v>
      </c>
      <c r="AX395" s="15">
        <f t="shared" si="190"/>
        <v>1972000</v>
      </c>
      <c r="AY395" s="20">
        <v>0.06</v>
      </c>
      <c r="AZ395" s="13">
        <f t="shared" si="191"/>
        <v>118320</v>
      </c>
      <c r="BA395" s="15">
        <f t="shared" si="192"/>
        <v>118400</v>
      </c>
      <c r="BB395" s="21">
        <f t="shared" si="197"/>
        <v>1115717</v>
      </c>
      <c r="BC395" s="10">
        <f t="shared" si="198"/>
        <v>0</v>
      </c>
      <c r="BD395" s="10">
        <f t="shared" si="199"/>
        <v>0</v>
      </c>
      <c r="BE395" s="10">
        <v>34.299999999999997</v>
      </c>
      <c r="BF395" s="10">
        <v>14.9</v>
      </c>
      <c r="BG395" s="107">
        <v>46176</v>
      </c>
      <c r="BH395" s="107">
        <f t="shared" si="172"/>
        <v>46206</v>
      </c>
      <c r="BI395" s="23">
        <v>6</v>
      </c>
      <c r="BJ395" s="6"/>
      <c r="BK395" s="6"/>
      <c r="BL395" s="24">
        <f>VLOOKUP(A395,[2]Sheet1!$D$2:$H$933,5,0)</f>
        <v>0</v>
      </c>
      <c r="BM395" s="6" t="s">
        <v>3828</v>
      </c>
      <c r="BN395" s="6" t="s">
        <v>3829</v>
      </c>
      <c r="BO395" s="6" t="s">
        <v>3820</v>
      </c>
      <c r="BP395" s="6" t="s">
        <v>3821</v>
      </c>
      <c r="BQ395" s="6" t="s">
        <v>3830</v>
      </c>
      <c r="BR395" t="s">
        <v>3823</v>
      </c>
      <c r="BS395" t="s">
        <v>3824</v>
      </c>
      <c r="BT395" t="s">
        <v>3825</v>
      </c>
      <c r="BU395" t="s">
        <v>3826</v>
      </c>
      <c r="BV395" t="s">
        <v>3827</v>
      </c>
      <c r="BW395" t="s">
        <v>3835</v>
      </c>
      <c r="BX395">
        <v>0</v>
      </c>
      <c r="BY395" t="s">
        <v>3862</v>
      </c>
      <c r="BZ395" t="s">
        <v>3860</v>
      </c>
    </row>
    <row r="396" spans="1:78" x14ac:dyDescent="0.25">
      <c r="A396" s="7" t="s">
        <v>1668</v>
      </c>
      <c r="B396" s="7" t="s">
        <v>181</v>
      </c>
      <c r="C396" s="7" t="s">
        <v>1666</v>
      </c>
      <c r="D396" s="8" t="s">
        <v>1667</v>
      </c>
      <c r="E396" s="7" t="s">
        <v>1669</v>
      </c>
      <c r="F396" s="9">
        <v>44890</v>
      </c>
      <c r="G396" s="9" t="s">
        <v>717</v>
      </c>
      <c r="H396" s="9" t="s">
        <v>66</v>
      </c>
      <c r="I396" s="8" t="s">
        <v>78</v>
      </c>
      <c r="J396" s="10">
        <v>406.88</v>
      </c>
      <c r="K396" s="10">
        <v>406.88</v>
      </c>
      <c r="L396" s="10">
        <f t="shared" si="174"/>
        <v>0</v>
      </c>
      <c r="M396" s="10">
        <v>175.45</v>
      </c>
      <c r="N396" s="10">
        <v>175.45</v>
      </c>
      <c r="O396" s="10">
        <f t="shared" si="175"/>
        <v>0</v>
      </c>
      <c r="P396" s="11">
        <v>14745.000983090838</v>
      </c>
      <c r="Q396" s="11">
        <v>34194.619549729272</v>
      </c>
      <c r="R396" s="11">
        <v>22000</v>
      </c>
      <c r="S396" s="11">
        <v>5999446</v>
      </c>
      <c r="T396" s="11">
        <v>719936</v>
      </c>
      <c r="U396" s="12">
        <f t="shared" si="176"/>
        <v>0.1200004133715013</v>
      </c>
      <c r="V396" s="13">
        <f t="shared" si="200"/>
        <v>0</v>
      </c>
      <c r="W396" s="10">
        <f t="shared" si="178"/>
        <v>0</v>
      </c>
      <c r="X396" s="10"/>
      <c r="Y396" s="10"/>
      <c r="Z396" s="11">
        <f t="shared" si="179"/>
        <v>5999446</v>
      </c>
      <c r="AA396" s="14"/>
      <c r="AB396" s="14"/>
      <c r="AC396" s="11">
        <f t="shared" si="180"/>
        <v>5999446</v>
      </c>
      <c r="AD396" s="10">
        <f t="shared" si="181"/>
        <v>300</v>
      </c>
      <c r="AE396" s="15">
        <v>52635</v>
      </c>
      <c r="AF396" s="16">
        <v>9474</v>
      </c>
      <c r="AG396" s="15">
        <f t="shared" si="182"/>
        <v>0</v>
      </c>
      <c r="AH396" s="15">
        <f t="shared" si="183"/>
        <v>0</v>
      </c>
      <c r="AI396" s="15">
        <f t="shared" si="184"/>
        <v>52635</v>
      </c>
      <c r="AJ396" s="15">
        <f t="shared" si="185"/>
        <v>9475</v>
      </c>
      <c r="AK396" s="10">
        <v>52635</v>
      </c>
      <c r="AL396" s="15">
        <f t="shared" si="186"/>
        <v>52635</v>
      </c>
      <c r="AM396" s="15">
        <f t="shared" si="187"/>
        <v>6052081</v>
      </c>
      <c r="AN396" s="15">
        <f t="shared" si="188"/>
        <v>729411</v>
      </c>
      <c r="AO396" s="15">
        <f t="shared" si="193"/>
        <v>785416</v>
      </c>
      <c r="AP396" s="17">
        <f t="shared" si="189"/>
        <v>6837497</v>
      </c>
      <c r="AQ396" s="15">
        <v>5993448</v>
      </c>
      <c r="AR396" s="15">
        <v>3370</v>
      </c>
      <c r="AS396" s="18">
        <f t="shared" si="194"/>
        <v>844049</v>
      </c>
      <c r="AT396" s="19">
        <v>0</v>
      </c>
      <c r="AU396" s="8">
        <v>8800</v>
      </c>
      <c r="AV396" s="13">
        <f t="shared" si="195"/>
        <v>1543960</v>
      </c>
      <c r="AW396" s="18">
        <f t="shared" si="196"/>
        <v>6052081</v>
      </c>
      <c r="AX396" s="15">
        <f t="shared" si="190"/>
        <v>6053000</v>
      </c>
      <c r="AY396" s="20">
        <v>7.0000000000000007E-2</v>
      </c>
      <c r="AZ396" s="13">
        <f t="shared" si="191"/>
        <v>423710.00000000006</v>
      </c>
      <c r="BA396" s="15">
        <f t="shared" si="192"/>
        <v>423800</v>
      </c>
      <c r="BB396" s="21">
        <f t="shared" si="197"/>
        <v>1267849</v>
      </c>
      <c r="BC396" s="10">
        <f t="shared" si="198"/>
        <v>0</v>
      </c>
      <c r="BD396" s="10">
        <f t="shared" si="199"/>
        <v>0</v>
      </c>
      <c r="BE396" s="10">
        <v>37.799999999999997</v>
      </c>
      <c r="BF396" s="10">
        <v>16.3</v>
      </c>
      <c r="BG396" s="107">
        <v>46176</v>
      </c>
      <c r="BH396" s="107">
        <f t="shared" si="172"/>
        <v>46206</v>
      </c>
      <c r="BI396" s="23">
        <v>7</v>
      </c>
      <c r="BJ396" s="6"/>
      <c r="BK396" s="6"/>
      <c r="BL396" s="24">
        <f>VLOOKUP(A396,[2]Sheet1!$D$2:$H$933,5,0)</f>
        <v>0</v>
      </c>
      <c r="BM396" s="6" t="s">
        <v>3828</v>
      </c>
      <c r="BN396" s="6" t="s">
        <v>3829</v>
      </c>
      <c r="BO396" s="6" t="s">
        <v>3820</v>
      </c>
      <c r="BP396" s="6" t="s">
        <v>3821</v>
      </c>
      <c r="BQ396" s="6" t="s">
        <v>3830</v>
      </c>
      <c r="BR396" t="s">
        <v>3823</v>
      </c>
      <c r="BS396" t="s">
        <v>3824</v>
      </c>
      <c r="BT396" t="s">
        <v>3825</v>
      </c>
      <c r="BU396" t="s">
        <v>3826</v>
      </c>
      <c r="BV396" t="s">
        <v>3827</v>
      </c>
      <c r="BW396" t="s">
        <v>3835</v>
      </c>
      <c r="BX396">
        <v>0</v>
      </c>
      <c r="BY396" t="s">
        <v>3859</v>
      </c>
      <c r="BZ396" t="s">
        <v>3872</v>
      </c>
    </row>
    <row r="397" spans="1:78" x14ac:dyDescent="0.25">
      <c r="A397" s="7" t="s">
        <v>1672</v>
      </c>
      <c r="B397" s="7" t="s">
        <v>181</v>
      </c>
      <c r="C397" s="7" t="s">
        <v>1670</v>
      </c>
      <c r="D397" s="8" t="s">
        <v>1671</v>
      </c>
      <c r="E397" s="7" t="s">
        <v>1673</v>
      </c>
      <c r="F397" s="9">
        <v>44987</v>
      </c>
      <c r="G397" s="9" t="s">
        <v>404</v>
      </c>
      <c r="H397" s="9" t="s">
        <v>92</v>
      </c>
      <c r="I397" s="8" t="s">
        <v>78</v>
      </c>
      <c r="J397" s="10">
        <v>789</v>
      </c>
      <c r="K397" s="10">
        <v>789</v>
      </c>
      <c r="L397" s="10">
        <f t="shared" si="174"/>
        <v>0</v>
      </c>
      <c r="M397" s="10">
        <v>367.05</v>
      </c>
      <c r="N397" s="10">
        <v>367.05</v>
      </c>
      <c r="O397" s="10">
        <f t="shared" si="175"/>
        <v>0</v>
      </c>
      <c r="P397" s="11">
        <v>16831.013941698351</v>
      </c>
      <c r="Q397" s="11">
        <v>36179.457839531395</v>
      </c>
      <c r="R397" s="11">
        <v>28000</v>
      </c>
      <c r="S397" s="11">
        <v>13279670</v>
      </c>
      <c r="T397" s="11">
        <v>1593562</v>
      </c>
      <c r="U397" s="12">
        <f t="shared" si="176"/>
        <v>0.12000012048492169</v>
      </c>
      <c r="V397" s="13">
        <f t="shared" si="200"/>
        <v>0</v>
      </c>
      <c r="W397" s="10">
        <f t="shared" si="178"/>
        <v>0</v>
      </c>
      <c r="X397" s="10"/>
      <c r="Y397" s="10"/>
      <c r="Z397" s="11">
        <f t="shared" si="179"/>
        <v>13279670</v>
      </c>
      <c r="AA397" s="14"/>
      <c r="AB397" s="14"/>
      <c r="AC397" s="11">
        <f t="shared" si="180"/>
        <v>13279670</v>
      </c>
      <c r="AD397" s="10">
        <f t="shared" si="181"/>
        <v>300</v>
      </c>
      <c r="AE397" s="15">
        <v>110115</v>
      </c>
      <c r="AF397" s="16">
        <v>19820</v>
      </c>
      <c r="AG397" s="15">
        <f t="shared" si="182"/>
        <v>0</v>
      </c>
      <c r="AH397" s="15">
        <f t="shared" si="183"/>
        <v>0</v>
      </c>
      <c r="AI397" s="15">
        <f t="shared" si="184"/>
        <v>110115</v>
      </c>
      <c r="AJ397" s="15">
        <f t="shared" si="185"/>
        <v>19821</v>
      </c>
      <c r="AK397" s="10">
        <v>110115</v>
      </c>
      <c r="AL397" s="15">
        <f t="shared" si="186"/>
        <v>110115</v>
      </c>
      <c r="AM397" s="15">
        <f t="shared" si="187"/>
        <v>13389785</v>
      </c>
      <c r="AN397" s="15">
        <f t="shared" si="188"/>
        <v>1613383</v>
      </c>
      <c r="AO397" s="15">
        <f t="shared" si="193"/>
        <v>1727068</v>
      </c>
      <c r="AP397" s="17">
        <f t="shared" si="189"/>
        <v>15116853</v>
      </c>
      <c r="AQ397" s="15">
        <v>13029999</v>
      </c>
      <c r="AR397" s="15">
        <v>3570</v>
      </c>
      <c r="AS397" s="18">
        <f t="shared" si="194"/>
        <v>2086854</v>
      </c>
      <c r="AT397" s="19">
        <v>0</v>
      </c>
      <c r="AU397" s="8">
        <v>8800</v>
      </c>
      <c r="AV397" s="13">
        <f t="shared" si="195"/>
        <v>3230040</v>
      </c>
      <c r="AW397" s="18">
        <f t="shared" si="196"/>
        <v>13389785</v>
      </c>
      <c r="AX397" s="15">
        <f t="shared" si="190"/>
        <v>13390000</v>
      </c>
      <c r="AY397" s="20">
        <v>0.05</v>
      </c>
      <c r="AZ397" s="13">
        <f t="shared" si="191"/>
        <v>669500</v>
      </c>
      <c r="BA397" s="15">
        <f t="shared" si="192"/>
        <v>669500</v>
      </c>
      <c r="BB397" s="21">
        <f t="shared" si="197"/>
        <v>2756354</v>
      </c>
      <c r="BC397" s="10">
        <f t="shared" si="198"/>
        <v>0</v>
      </c>
      <c r="BD397" s="10">
        <f t="shared" si="199"/>
        <v>0</v>
      </c>
      <c r="BE397" s="10">
        <v>73.3</v>
      </c>
      <c r="BF397" s="10">
        <v>34.1</v>
      </c>
      <c r="BG397" s="107">
        <v>46176</v>
      </c>
      <c r="BH397" s="107">
        <f t="shared" si="172"/>
        <v>46206</v>
      </c>
      <c r="BI397" s="23">
        <v>5</v>
      </c>
      <c r="BJ397" s="6"/>
      <c r="BK397" s="6"/>
      <c r="BL397" s="24">
        <f>VLOOKUP(A397,[2]Sheet1!$D$2:$H$933,5,0)</f>
        <v>0</v>
      </c>
      <c r="BM397" s="6" t="s">
        <v>3828</v>
      </c>
      <c r="BN397" s="6" t="s">
        <v>3829</v>
      </c>
      <c r="BO397" s="6" t="s">
        <v>3820</v>
      </c>
      <c r="BP397" s="6" t="s">
        <v>3821</v>
      </c>
      <c r="BQ397" s="6" t="s">
        <v>3830</v>
      </c>
      <c r="BR397" t="s">
        <v>3823</v>
      </c>
      <c r="BS397" t="s">
        <v>3824</v>
      </c>
      <c r="BT397" t="s">
        <v>3825</v>
      </c>
      <c r="BU397" t="s">
        <v>3826</v>
      </c>
      <c r="BV397" t="s">
        <v>3827</v>
      </c>
      <c r="BW397" t="s">
        <v>3835</v>
      </c>
      <c r="BX397">
        <v>0</v>
      </c>
      <c r="BY397" t="s">
        <v>3861</v>
      </c>
      <c r="BZ397" t="s">
        <v>3863</v>
      </c>
    </row>
    <row r="398" spans="1:78" x14ac:dyDescent="0.25">
      <c r="A398" s="7" t="s">
        <v>1676</v>
      </c>
      <c r="B398" s="7" t="s">
        <v>181</v>
      </c>
      <c r="C398" s="7" t="s">
        <v>1674</v>
      </c>
      <c r="D398" s="8" t="s">
        <v>1675</v>
      </c>
      <c r="E398" s="7" t="s">
        <v>1677</v>
      </c>
      <c r="F398" s="9">
        <v>44963</v>
      </c>
      <c r="G398" s="9" t="s">
        <v>404</v>
      </c>
      <c r="H398" s="9" t="s">
        <v>92</v>
      </c>
      <c r="I398" s="8" t="s">
        <v>78</v>
      </c>
      <c r="J398" s="10">
        <v>772.42</v>
      </c>
      <c r="K398" s="10">
        <v>772.42</v>
      </c>
      <c r="L398" s="10">
        <f t="shared" si="174"/>
        <v>0</v>
      </c>
      <c r="M398" s="10">
        <v>357.36</v>
      </c>
      <c r="N398" s="10">
        <v>357.36</v>
      </c>
      <c r="O398" s="10">
        <f t="shared" si="175"/>
        <v>0</v>
      </c>
      <c r="P398" s="11">
        <v>20150</v>
      </c>
      <c r="Q398" s="11">
        <v>43553.455898813518</v>
      </c>
      <c r="R398" s="11">
        <v>28000</v>
      </c>
      <c r="S398" s="11">
        <v>15564263</v>
      </c>
      <c r="T398" s="11">
        <v>1867712</v>
      </c>
      <c r="U398" s="12">
        <f t="shared" si="176"/>
        <v>0.12000002826988981</v>
      </c>
      <c r="V398" s="13">
        <f t="shared" si="200"/>
        <v>0</v>
      </c>
      <c r="W398" s="10">
        <f t="shared" si="178"/>
        <v>0</v>
      </c>
      <c r="X398" s="10"/>
      <c r="Y398" s="10"/>
      <c r="Z398" s="11">
        <f t="shared" si="179"/>
        <v>15564263</v>
      </c>
      <c r="AA398" s="14"/>
      <c r="AB398" s="14"/>
      <c r="AC398" s="11">
        <f t="shared" si="180"/>
        <v>15564263</v>
      </c>
      <c r="AD398" s="10">
        <f t="shared" si="181"/>
        <v>300</v>
      </c>
      <c r="AE398" s="15">
        <v>107208</v>
      </c>
      <c r="AF398" s="16">
        <v>19298</v>
      </c>
      <c r="AG398" s="15">
        <f t="shared" si="182"/>
        <v>0</v>
      </c>
      <c r="AH398" s="15">
        <f t="shared" si="183"/>
        <v>0</v>
      </c>
      <c r="AI398" s="15">
        <f t="shared" si="184"/>
        <v>107208</v>
      </c>
      <c r="AJ398" s="15">
        <f t="shared" si="185"/>
        <v>19298</v>
      </c>
      <c r="AK398" s="10">
        <v>107208</v>
      </c>
      <c r="AL398" s="15">
        <f t="shared" si="186"/>
        <v>107208</v>
      </c>
      <c r="AM398" s="15">
        <f t="shared" si="187"/>
        <v>15671471</v>
      </c>
      <c r="AN398" s="15">
        <f t="shared" si="188"/>
        <v>1887010</v>
      </c>
      <c r="AO398" s="15">
        <f t="shared" si="193"/>
        <v>1998192</v>
      </c>
      <c r="AP398" s="17">
        <f t="shared" si="189"/>
        <v>17669663</v>
      </c>
      <c r="AQ398" s="15">
        <v>14648699</v>
      </c>
      <c r="AR398" s="15">
        <v>3974</v>
      </c>
      <c r="AS398" s="18">
        <f t="shared" si="194"/>
        <v>3020964</v>
      </c>
      <c r="AT398" s="19">
        <v>0</v>
      </c>
      <c r="AU398" s="8">
        <v>8800</v>
      </c>
      <c r="AV398" s="13">
        <f t="shared" si="195"/>
        <v>3144768</v>
      </c>
      <c r="AW398" s="18">
        <f t="shared" si="196"/>
        <v>15671471</v>
      </c>
      <c r="AX398" s="15">
        <f t="shared" si="190"/>
        <v>15672000</v>
      </c>
      <c r="AY398" s="20">
        <v>7.0000000000000007E-2</v>
      </c>
      <c r="AZ398" s="13">
        <f t="shared" si="191"/>
        <v>1097040</v>
      </c>
      <c r="BA398" s="15">
        <f t="shared" si="192"/>
        <v>1097100</v>
      </c>
      <c r="BB398" s="21">
        <f t="shared" si="197"/>
        <v>4118064</v>
      </c>
      <c r="BC398" s="10">
        <f t="shared" si="198"/>
        <v>0</v>
      </c>
      <c r="BD398" s="10">
        <f t="shared" si="199"/>
        <v>0</v>
      </c>
      <c r="BE398" s="10">
        <v>71.760000000000005</v>
      </c>
      <c r="BF398" s="10">
        <v>33.200000000000003</v>
      </c>
      <c r="BG398" s="107">
        <v>46176</v>
      </c>
      <c r="BH398" s="107">
        <f t="shared" si="172"/>
        <v>46206</v>
      </c>
      <c r="BI398" s="23">
        <v>7</v>
      </c>
      <c r="BJ398" s="6"/>
      <c r="BK398" s="6"/>
      <c r="BL398" s="24">
        <f>VLOOKUP(A398,[2]Sheet1!$D$2:$H$933,5,0)</f>
        <v>0</v>
      </c>
      <c r="BM398" s="6" t="s">
        <v>3828</v>
      </c>
      <c r="BN398" s="6" t="s">
        <v>3829</v>
      </c>
      <c r="BO398" s="6" t="s">
        <v>3820</v>
      </c>
      <c r="BP398" s="6" t="s">
        <v>3821</v>
      </c>
      <c r="BQ398" s="6" t="s">
        <v>3830</v>
      </c>
      <c r="BR398" t="s">
        <v>3823</v>
      </c>
      <c r="BS398" t="s">
        <v>3824</v>
      </c>
      <c r="BT398" t="s">
        <v>3825</v>
      </c>
      <c r="BU398" t="s">
        <v>3826</v>
      </c>
      <c r="BV398" t="s">
        <v>3827</v>
      </c>
      <c r="BW398" t="s">
        <v>3835</v>
      </c>
      <c r="BX398">
        <v>0</v>
      </c>
      <c r="BY398" t="s">
        <v>3861</v>
      </c>
      <c r="BZ398" t="s">
        <v>3863</v>
      </c>
    </row>
    <row r="399" spans="1:78" x14ac:dyDescent="0.25">
      <c r="A399" s="7" t="s">
        <v>1680</v>
      </c>
      <c r="B399" s="7" t="s">
        <v>181</v>
      </c>
      <c r="C399" s="7" t="s">
        <v>1678</v>
      </c>
      <c r="D399" s="8" t="s">
        <v>1679</v>
      </c>
      <c r="E399" s="7" t="s">
        <v>1681</v>
      </c>
      <c r="F399" s="9">
        <v>44894</v>
      </c>
      <c r="G399" s="9" t="s">
        <v>717</v>
      </c>
      <c r="H399" s="9" t="s">
        <v>92</v>
      </c>
      <c r="I399" s="8" t="s">
        <v>78</v>
      </c>
      <c r="J399" s="10">
        <v>406.88</v>
      </c>
      <c r="K399" s="10">
        <v>406.88</v>
      </c>
      <c r="L399" s="10">
        <f t="shared" si="174"/>
        <v>0</v>
      </c>
      <c r="M399" s="10">
        <v>175.45</v>
      </c>
      <c r="N399" s="10">
        <v>175.45</v>
      </c>
      <c r="O399" s="10">
        <f t="shared" si="175"/>
        <v>0</v>
      </c>
      <c r="P399" s="11">
        <v>23175</v>
      </c>
      <c r="Q399" s="11">
        <v>53744.337418067829</v>
      </c>
      <c r="R399" s="11">
        <v>28000</v>
      </c>
      <c r="S399" s="11">
        <v>9429444</v>
      </c>
      <c r="T399" s="11">
        <v>1131534</v>
      </c>
      <c r="U399" s="12">
        <f t="shared" si="176"/>
        <v>0.12000007635656991</v>
      </c>
      <c r="V399" s="13">
        <f t="shared" si="200"/>
        <v>0</v>
      </c>
      <c r="W399" s="10">
        <f t="shared" si="178"/>
        <v>0</v>
      </c>
      <c r="X399" s="10"/>
      <c r="Y399" s="10"/>
      <c r="Z399" s="11">
        <f t="shared" si="179"/>
        <v>9429444</v>
      </c>
      <c r="AA399" s="14">
        <v>979614</v>
      </c>
      <c r="AB399" s="14">
        <v>117554</v>
      </c>
      <c r="AC399" s="11">
        <f t="shared" si="180"/>
        <v>8449830</v>
      </c>
      <c r="AD399" s="10">
        <f t="shared" si="181"/>
        <v>300</v>
      </c>
      <c r="AE399" s="15">
        <v>52635</v>
      </c>
      <c r="AF399" s="16">
        <v>9474</v>
      </c>
      <c r="AG399" s="15">
        <f t="shared" si="182"/>
        <v>0</v>
      </c>
      <c r="AH399" s="15">
        <f t="shared" si="183"/>
        <v>0</v>
      </c>
      <c r="AI399" s="15">
        <f t="shared" si="184"/>
        <v>52635</v>
      </c>
      <c r="AJ399" s="15">
        <f t="shared" si="185"/>
        <v>9475</v>
      </c>
      <c r="AK399" s="10">
        <v>52635</v>
      </c>
      <c r="AL399" s="15">
        <f t="shared" si="186"/>
        <v>52635</v>
      </c>
      <c r="AM399" s="15">
        <f t="shared" si="187"/>
        <v>8502465</v>
      </c>
      <c r="AN399" s="15">
        <f t="shared" si="188"/>
        <v>1023455</v>
      </c>
      <c r="AO399" s="15">
        <f t="shared" si="193"/>
        <v>1079693</v>
      </c>
      <c r="AP399" s="17">
        <f t="shared" si="189"/>
        <v>9582158</v>
      </c>
      <c r="AQ399" s="15">
        <v>8332644</v>
      </c>
      <c r="AR399" s="15">
        <v>3603</v>
      </c>
      <c r="AS399" s="18">
        <f t="shared" si="194"/>
        <v>1249514</v>
      </c>
      <c r="AT399" s="19">
        <v>0</v>
      </c>
      <c r="AU399" s="8">
        <v>8800</v>
      </c>
      <c r="AV399" s="13">
        <f t="shared" si="195"/>
        <v>1543960</v>
      </c>
      <c r="AW399" s="18">
        <f t="shared" si="196"/>
        <v>8502465</v>
      </c>
      <c r="AX399" s="15">
        <f t="shared" si="190"/>
        <v>8503000</v>
      </c>
      <c r="AY399" s="20">
        <v>0.06</v>
      </c>
      <c r="AZ399" s="13">
        <f t="shared" si="191"/>
        <v>510180</v>
      </c>
      <c r="BA399" s="15">
        <f t="shared" si="192"/>
        <v>510200</v>
      </c>
      <c r="BB399" s="21">
        <f t="shared" si="197"/>
        <v>1759714</v>
      </c>
      <c r="BC399" s="10">
        <f t="shared" si="198"/>
        <v>0</v>
      </c>
      <c r="BD399" s="10">
        <f t="shared" si="199"/>
        <v>0</v>
      </c>
      <c r="BE399" s="10">
        <v>37.799999999999997</v>
      </c>
      <c r="BF399" s="10">
        <v>16.3</v>
      </c>
      <c r="BG399" s="107">
        <v>46176</v>
      </c>
      <c r="BH399" s="107">
        <f t="shared" si="172"/>
        <v>46206</v>
      </c>
      <c r="BI399" s="23">
        <v>6</v>
      </c>
      <c r="BJ399" s="6"/>
      <c r="BK399" s="6"/>
      <c r="BL399" s="24">
        <f>VLOOKUP(A399,[2]Sheet1!$D$2:$H$933,5,0)</f>
        <v>0</v>
      </c>
      <c r="BM399" s="6" t="s">
        <v>3828</v>
      </c>
      <c r="BN399" s="6" t="s">
        <v>3829</v>
      </c>
      <c r="BO399" s="6" t="s">
        <v>3820</v>
      </c>
      <c r="BP399" s="6" t="s">
        <v>3821</v>
      </c>
      <c r="BQ399" s="6" t="s">
        <v>3830</v>
      </c>
      <c r="BR399" t="s">
        <v>3823</v>
      </c>
      <c r="BS399" t="s">
        <v>3824</v>
      </c>
      <c r="BT399" t="s">
        <v>3825</v>
      </c>
      <c r="BU399" t="s">
        <v>3826</v>
      </c>
      <c r="BV399" t="s">
        <v>3827</v>
      </c>
      <c r="BW399" t="s">
        <v>3835</v>
      </c>
      <c r="BX399">
        <v>0</v>
      </c>
      <c r="BY399" t="s">
        <v>3859</v>
      </c>
      <c r="BZ399" t="s">
        <v>3872</v>
      </c>
    </row>
    <row r="400" spans="1:78" x14ac:dyDescent="0.25">
      <c r="A400" s="7" t="s">
        <v>1684</v>
      </c>
      <c r="B400" s="7" t="s">
        <v>181</v>
      </c>
      <c r="C400" s="7" t="s">
        <v>1682</v>
      </c>
      <c r="D400" s="8" t="s">
        <v>1683</v>
      </c>
      <c r="E400" s="7" t="s">
        <v>676</v>
      </c>
      <c r="F400" s="9">
        <v>44898</v>
      </c>
      <c r="G400" s="9" t="s">
        <v>404</v>
      </c>
      <c r="H400" s="9" t="s">
        <v>72</v>
      </c>
      <c r="I400" s="8" t="s">
        <v>78</v>
      </c>
      <c r="J400" s="10">
        <v>664.14</v>
      </c>
      <c r="K400" s="10">
        <v>664.14</v>
      </c>
      <c r="L400" s="10">
        <f t="shared" si="174"/>
        <v>0</v>
      </c>
      <c r="M400" s="10">
        <v>293.86</v>
      </c>
      <c r="N400" s="10">
        <v>293.86</v>
      </c>
      <c r="O400" s="10">
        <f t="shared" si="175"/>
        <v>0</v>
      </c>
      <c r="P400" s="11">
        <v>7500</v>
      </c>
      <c r="Q400" s="11">
        <v>16950.418566664397</v>
      </c>
      <c r="R400" s="11">
        <v>20000</v>
      </c>
      <c r="S400" s="11">
        <v>4981050</v>
      </c>
      <c r="T400" s="11">
        <v>597728</v>
      </c>
      <c r="U400" s="12">
        <f t="shared" si="176"/>
        <v>0.1200004015217675</v>
      </c>
      <c r="V400" s="13">
        <f t="shared" si="200"/>
        <v>0</v>
      </c>
      <c r="W400" s="10">
        <f t="shared" si="178"/>
        <v>0</v>
      </c>
      <c r="X400" s="10"/>
      <c r="Y400" s="10"/>
      <c r="Z400" s="11">
        <f t="shared" si="179"/>
        <v>4981050</v>
      </c>
      <c r="AA400" s="14">
        <v>1743368</v>
      </c>
      <c r="AB400" s="14">
        <v>209204</v>
      </c>
      <c r="AC400" s="11">
        <f t="shared" si="180"/>
        <v>3237682</v>
      </c>
      <c r="AD400" s="10">
        <f t="shared" si="181"/>
        <v>300</v>
      </c>
      <c r="AE400" s="15">
        <v>88158</v>
      </c>
      <c r="AF400" s="16">
        <v>15868</v>
      </c>
      <c r="AG400" s="15">
        <f t="shared" si="182"/>
        <v>0</v>
      </c>
      <c r="AH400" s="15">
        <f t="shared" si="183"/>
        <v>0</v>
      </c>
      <c r="AI400" s="15">
        <f t="shared" si="184"/>
        <v>88158</v>
      </c>
      <c r="AJ400" s="15">
        <f t="shared" si="185"/>
        <v>15869</v>
      </c>
      <c r="AK400" s="10">
        <v>88158</v>
      </c>
      <c r="AL400" s="15">
        <f t="shared" si="186"/>
        <v>88158</v>
      </c>
      <c r="AM400" s="15">
        <f t="shared" si="187"/>
        <v>3325840</v>
      </c>
      <c r="AN400" s="15">
        <f t="shared" si="188"/>
        <v>404393</v>
      </c>
      <c r="AO400" s="15">
        <f t="shared" si="193"/>
        <v>497874</v>
      </c>
      <c r="AP400" s="17">
        <f t="shared" si="189"/>
        <v>3823714</v>
      </c>
      <c r="AQ400" s="15">
        <v>2017035</v>
      </c>
      <c r="AR400" s="15">
        <v>5323</v>
      </c>
      <c r="AS400" s="18">
        <f t="shared" si="194"/>
        <v>1806679</v>
      </c>
      <c r="AT400" s="19">
        <v>0</v>
      </c>
      <c r="AU400" s="8">
        <v>8800</v>
      </c>
      <c r="AV400" s="13">
        <f t="shared" si="195"/>
        <v>2585968</v>
      </c>
      <c r="AW400" s="18">
        <f t="shared" si="196"/>
        <v>3325840</v>
      </c>
      <c r="AX400" s="15">
        <f t="shared" si="190"/>
        <v>3326000</v>
      </c>
      <c r="AY400" s="20">
        <v>0.05</v>
      </c>
      <c r="AZ400" s="13">
        <f t="shared" si="191"/>
        <v>166300</v>
      </c>
      <c r="BA400" s="15">
        <f t="shared" si="192"/>
        <v>166300</v>
      </c>
      <c r="BB400" s="21">
        <f t="shared" si="197"/>
        <v>1972979</v>
      </c>
      <c r="BC400" s="10">
        <f t="shared" si="198"/>
        <v>0</v>
      </c>
      <c r="BD400" s="10">
        <f t="shared" si="199"/>
        <v>0</v>
      </c>
      <c r="BE400" s="10">
        <v>61.7</v>
      </c>
      <c r="BF400" s="10">
        <v>27.3</v>
      </c>
      <c r="BG400" s="107">
        <v>46176</v>
      </c>
      <c r="BH400" s="107">
        <f t="shared" si="172"/>
        <v>46206</v>
      </c>
      <c r="BI400" s="23">
        <v>5</v>
      </c>
      <c r="BJ400" s="6"/>
      <c r="BK400" s="6"/>
      <c r="BL400" s="24">
        <f>VLOOKUP(A400,[2]Sheet1!$D$2:$H$933,5,0)</f>
        <v>0</v>
      </c>
      <c r="BM400" s="6" t="s">
        <v>3828</v>
      </c>
      <c r="BN400" s="6" t="s">
        <v>3829</v>
      </c>
      <c r="BO400" s="6" t="s">
        <v>3820</v>
      </c>
      <c r="BP400" s="6" t="s">
        <v>3821</v>
      </c>
      <c r="BQ400" s="6" t="s">
        <v>3830</v>
      </c>
      <c r="BR400" t="s">
        <v>3823</v>
      </c>
      <c r="BS400" t="s">
        <v>3824</v>
      </c>
      <c r="BT400" t="s">
        <v>3825</v>
      </c>
      <c r="BU400" t="s">
        <v>3826</v>
      </c>
      <c r="BV400" t="s">
        <v>3827</v>
      </c>
      <c r="BW400" t="s">
        <v>3835</v>
      </c>
      <c r="BX400">
        <v>0</v>
      </c>
      <c r="BY400" t="s">
        <v>3869</v>
      </c>
      <c r="BZ400" t="s">
        <v>3863</v>
      </c>
    </row>
    <row r="401" spans="1:78" x14ac:dyDescent="0.25">
      <c r="A401" s="7" t="s">
        <v>1687</v>
      </c>
      <c r="B401" s="7" t="s">
        <v>181</v>
      </c>
      <c r="C401" s="7" t="s">
        <v>1685</v>
      </c>
      <c r="D401" s="8" t="s">
        <v>1686</v>
      </c>
      <c r="E401" s="7" t="s">
        <v>442</v>
      </c>
      <c r="F401" s="9">
        <v>44931</v>
      </c>
      <c r="G401" s="9" t="s">
        <v>65</v>
      </c>
      <c r="H401" s="9" t="s">
        <v>72</v>
      </c>
      <c r="I401" s="8" t="s">
        <v>78</v>
      </c>
      <c r="J401" s="10">
        <v>665.22</v>
      </c>
      <c r="K401" s="10">
        <v>665.22</v>
      </c>
      <c r="L401" s="10">
        <f t="shared" si="174"/>
        <v>0</v>
      </c>
      <c r="M401" s="10">
        <v>305.7</v>
      </c>
      <c r="N401" s="10">
        <v>305.7</v>
      </c>
      <c r="O401" s="10">
        <f t="shared" si="175"/>
        <v>0</v>
      </c>
      <c r="P401" s="11">
        <v>7595.9998196085498</v>
      </c>
      <c r="Q401" s="11">
        <v>16529.313052011777</v>
      </c>
      <c r="R401" s="11">
        <v>20000</v>
      </c>
      <c r="S401" s="11">
        <v>5053011</v>
      </c>
      <c r="T401" s="11">
        <v>606360</v>
      </c>
      <c r="U401" s="12">
        <f t="shared" si="176"/>
        <v>0.11999973876961677</v>
      </c>
      <c r="V401" s="13">
        <f t="shared" si="200"/>
        <v>0</v>
      </c>
      <c r="W401" s="10">
        <f t="shared" si="178"/>
        <v>0</v>
      </c>
      <c r="X401" s="10"/>
      <c r="Y401" s="10"/>
      <c r="Z401" s="11">
        <f t="shared" si="179"/>
        <v>5053011</v>
      </c>
      <c r="AA401" s="14">
        <v>968722</v>
      </c>
      <c r="AB401" s="14">
        <v>116246</v>
      </c>
      <c r="AC401" s="11">
        <f t="shared" si="180"/>
        <v>4084289</v>
      </c>
      <c r="AD401" s="10">
        <f t="shared" si="181"/>
        <v>300</v>
      </c>
      <c r="AE401" s="15">
        <v>91710</v>
      </c>
      <c r="AF401" s="16">
        <v>16508</v>
      </c>
      <c r="AG401" s="15">
        <f t="shared" si="182"/>
        <v>0</v>
      </c>
      <c r="AH401" s="15">
        <f t="shared" si="183"/>
        <v>0</v>
      </c>
      <c r="AI401" s="15">
        <f t="shared" si="184"/>
        <v>91710</v>
      </c>
      <c r="AJ401" s="15">
        <f t="shared" si="185"/>
        <v>16508</v>
      </c>
      <c r="AK401" s="10">
        <v>91710</v>
      </c>
      <c r="AL401" s="15">
        <f t="shared" si="186"/>
        <v>91710</v>
      </c>
      <c r="AM401" s="15">
        <f t="shared" si="187"/>
        <v>4175999</v>
      </c>
      <c r="AN401" s="15">
        <f t="shared" si="188"/>
        <v>506622</v>
      </c>
      <c r="AO401" s="15">
        <f t="shared" si="193"/>
        <v>598332</v>
      </c>
      <c r="AP401" s="17">
        <f t="shared" si="189"/>
        <v>4774331</v>
      </c>
      <c r="AQ401" s="15">
        <v>2923496</v>
      </c>
      <c r="AR401" s="15">
        <v>0</v>
      </c>
      <c r="AS401" s="18">
        <f t="shared" si="194"/>
        <v>1850835</v>
      </c>
      <c r="AT401" s="19">
        <v>0</v>
      </c>
      <c r="AU401" s="8">
        <v>8800</v>
      </c>
      <c r="AV401" s="13">
        <f t="shared" si="195"/>
        <v>2690160</v>
      </c>
      <c r="AW401" s="18">
        <f t="shared" si="196"/>
        <v>4175999</v>
      </c>
      <c r="AX401" s="15">
        <f t="shared" si="190"/>
        <v>4176000</v>
      </c>
      <c r="AY401" s="20">
        <v>5.67E-2</v>
      </c>
      <c r="AZ401" s="13">
        <f t="shared" si="191"/>
        <v>236779.2</v>
      </c>
      <c r="BA401" s="15">
        <f t="shared" si="192"/>
        <v>236800</v>
      </c>
      <c r="BB401" s="21">
        <f t="shared" si="197"/>
        <v>2087635</v>
      </c>
      <c r="BC401" s="10">
        <f t="shared" si="198"/>
        <v>0</v>
      </c>
      <c r="BD401" s="10">
        <f t="shared" si="199"/>
        <v>0</v>
      </c>
      <c r="BE401" s="10">
        <v>61.8</v>
      </c>
      <c r="BF401" s="10">
        <v>28.4</v>
      </c>
      <c r="BG401" s="107">
        <v>46176</v>
      </c>
      <c r="BH401" s="107">
        <f t="shared" si="172"/>
        <v>46206</v>
      </c>
      <c r="BI401" s="23">
        <v>5.67</v>
      </c>
      <c r="BJ401" s="6"/>
      <c r="BK401" s="6"/>
      <c r="BL401" s="24">
        <f>VLOOKUP(A401,[2]Sheet1!$D$2:$H$933,5,0)</f>
        <v>0</v>
      </c>
      <c r="BM401" s="6" t="s">
        <v>3828</v>
      </c>
      <c r="BN401" s="6" t="s">
        <v>3829</v>
      </c>
      <c r="BO401" s="6" t="s">
        <v>3820</v>
      </c>
      <c r="BP401" s="6" t="s">
        <v>3821</v>
      </c>
      <c r="BQ401" s="6" t="s">
        <v>3830</v>
      </c>
      <c r="BR401" t="s">
        <v>3823</v>
      </c>
      <c r="BS401" t="s">
        <v>3824</v>
      </c>
      <c r="BT401" t="s">
        <v>3825</v>
      </c>
      <c r="BU401" t="s">
        <v>3826</v>
      </c>
      <c r="BV401" t="s">
        <v>3827</v>
      </c>
      <c r="BW401" t="s">
        <v>3835</v>
      </c>
      <c r="BX401">
        <v>0</v>
      </c>
      <c r="BY401" t="s">
        <v>3867</v>
      </c>
      <c r="BZ401" t="s">
        <v>3860</v>
      </c>
    </row>
    <row r="402" spans="1:78" x14ac:dyDescent="0.25">
      <c r="A402" s="7" t="s">
        <v>1690</v>
      </c>
      <c r="B402" s="7" t="s">
        <v>181</v>
      </c>
      <c r="C402" s="7" t="s">
        <v>1688</v>
      </c>
      <c r="D402" s="8" t="s">
        <v>1689</v>
      </c>
      <c r="E402" s="7" t="s">
        <v>1691</v>
      </c>
      <c r="F402" s="9">
        <v>44938</v>
      </c>
      <c r="G402" s="9" t="s">
        <v>527</v>
      </c>
      <c r="H402" s="9" t="s">
        <v>72</v>
      </c>
      <c r="I402" s="8" t="s">
        <v>635</v>
      </c>
      <c r="J402" s="10">
        <v>796.25</v>
      </c>
      <c r="K402" s="10">
        <v>796.25</v>
      </c>
      <c r="L402" s="10">
        <f t="shared" si="174"/>
        <v>0</v>
      </c>
      <c r="M402" s="10">
        <v>120.56</v>
      </c>
      <c r="N402" s="10">
        <v>120.56</v>
      </c>
      <c r="O402" s="10">
        <f t="shared" si="175"/>
        <v>0</v>
      </c>
      <c r="P402" s="11">
        <v>9190.3899529042392</v>
      </c>
      <c r="Q402" s="11">
        <v>60698.805573988051</v>
      </c>
      <c r="R402" s="11">
        <v>20000</v>
      </c>
      <c r="S402" s="11">
        <v>7317848</v>
      </c>
      <c r="T402" s="11">
        <v>878142</v>
      </c>
      <c r="U402" s="12">
        <f t="shared" si="176"/>
        <v>0.12000003279652707</v>
      </c>
      <c r="V402" s="13">
        <f t="shared" si="200"/>
        <v>0</v>
      </c>
      <c r="W402" s="10">
        <f t="shared" si="178"/>
        <v>0</v>
      </c>
      <c r="X402" s="10"/>
      <c r="Y402" s="10"/>
      <c r="Z402" s="11">
        <f t="shared" si="179"/>
        <v>7317848</v>
      </c>
      <c r="AA402" s="14">
        <v>926358</v>
      </c>
      <c r="AB402" s="14">
        <v>111162</v>
      </c>
      <c r="AC402" s="11">
        <f t="shared" si="180"/>
        <v>6391490</v>
      </c>
      <c r="AD402" s="10">
        <f t="shared" si="181"/>
        <v>300</v>
      </c>
      <c r="AE402" s="15">
        <v>36168</v>
      </c>
      <c r="AF402" s="16">
        <v>6510</v>
      </c>
      <c r="AG402" s="15">
        <f t="shared" si="182"/>
        <v>0</v>
      </c>
      <c r="AH402" s="15">
        <f t="shared" si="183"/>
        <v>0</v>
      </c>
      <c r="AI402" s="15">
        <f t="shared" si="184"/>
        <v>36168</v>
      </c>
      <c r="AJ402" s="15">
        <f t="shared" si="185"/>
        <v>6511</v>
      </c>
      <c r="AK402" s="10">
        <v>36168</v>
      </c>
      <c r="AL402" s="15">
        <f t="shared" si="186"/>
        <v>36168</v>
      </c>
      <c r="AM402" s="15">
        <f t="shared" si="187"/>
        <v>6427658</v>
      </c>
      <c r="AN402" s="15">
        <f t="shared" si="188"/>
        <v>773491</v>
      </c>
      <c r="AO402" s="15">
        <f t="shared" si="193"/>
        <v>809906</v>
      </c>
      <c r="AP402" s="17">
        <f t="shared" si="189"/>
        <v>7237564</v>
      </c>
      <c r="AQ402" s="15">
        <v>5204945</v>
      </c>
      <c r="AR402" s="15">
        <v>247</v>
      </c>
      <c r="AS402" s="18">
        <f t="shared" si="194"/>
        <v>2032619</v>
      </c>
      <c r="AT402" s="19">
        <v>0</v>
      </c>
      <c r="AU402" s="8">
        <v>8800</v>
      </c>
      <c r="AV402" s="13">
        <f t="shared" si="195"/>
        <v>1060928</v>
      </c>
      <c r="AW402" s="18">
        <f t="shared" si="196"/>
        <v>6427658</v>
      </c>
      <c r="AX402" s="15">
        <f t="shared" si="190"/>
        <v>6428000</v>
      </c>
      <c r="AY402" s="20">
        <v>0.05</v>
      </c>
      <c r="AZ402" s="13">
        <f t="shared" si="191"/>
        <v>321400</v>
      </c>
      <c r="BA402" s="15">
        <f t="shared" si="192"/>
        <v>321400</v>
      </c>
      <c r="BB402" s="21">
        <f t="shared" si="197"/>
        <v>2354019</v>
      </c>
      <c r="BC402" s="10">
        <f t="shared" si="198"/>
        <v>0</v>
      </c>
      <c r="BD402" s="10">
        <f t="shared" si="199"/>
        <v>0</v>
      </c>
      <c r="BE402" s="10">
        <v>73.97</v>
      </c>
      <c r="BF402" s="10">
        <v>11.2</v>
      </c>
      <c r="BG402" s="107">
        <v>46176</v>
      </c>
      <c r="BH402" s="107">
        <f t="shared" si="172"/>
        <v>46206</v>
      </c>
      <c r="BI402" s="23">
        <v>5</v>
      </c>
      <c r="BJ402" s="6"/>
      <c r="BK402" s="6"/>
      <c r="BL402" s="24">
        <f>VLOOKUP(A402,[2]Sheet1!$D$2:$H$933,5,0)</f>
        <v>0</v>
      </c>
      <c r="BM402" s="6" t="s">
        <v>3828</v>
      </c>
      <c r="BN402" s="6" t="s">
        <v>3829</v>
      </c>
      <c r="BO402" s="6" t="s">
        <v>3820</v>
      </c>
      <c r="BP402" s="6" t="s">
        <v>3821</v>
      </c>
      <c r="BQ402" s="6" t="s">
        <v>3830</v>
      </c>
      <c r="BR402" t="s">
        <v>3823</v>
      </c>
      <c r="BS402" t="s">
        <v>3824</v>
      </c>
      <c r="BT402" t="s">
        <v>3825</v>
      </c>
      <c r="BU402" t="s">
        <v>3826</v>
      </c>
      <c r="BV402" t="s">
        <v>3827</v>
      </c>
      <c r="BW402" t="s">
        <v>3835</v>
      </c>
      <c r="BX402">
        <v>0</v>
      </c>
      <c r="BY402" t="s">
        <v>3867</v>
      </c>
      <c r="BZ402" t="s">
        <v>3871</v>
      </c>
    </row>
    <row r="403" spans="1:78" x14ac:dyDescent="0.25">
      <c r="A403" s="7" t="s">
        <v>1694</v>
      </c>
      <c r="B403" s="7" t="s">
        <v>181</v>
      </c>
      <c r="C403" s="7" t="s">
        <v>1692</v>
      </c>
      <c r="D403" s="8" t="s">
        <v>1693</v>
      </c>
      <c r="E403" s="7" t="s">
        <v>1695</v>
      </c>
      <c r="F403" s="9">
        <v>44944</v>
      </c>
      <c r="G403" s="9" t="s">
        <v>717</v>
      </c>
      <c r="H403" s="9" t="s">
        <v>72</v>
      </c>
      <c r="I403" s="8" t="s">
        <v>78</v>
      </c>
      <c r="J403" s="10">
        <v>406.88</v>
      </c>
      <c r="K403" s="10">
        <v>406.88</v>
      </c>
      <c r="L403" s="10">
        <f t="shared" si="174"/>
        <v>0</v>
      </c>
      <c r="M403" s="10">
        <v>175.45</v>
      </c>
      <c r="N403" s="10">
        <v>175.45</v>
      </c>
      <c r="O403" s="10">
        <f t="shared" si="175"/>
        <v>0</v>
      </c>
      <c r="P403" s="11">
        <v>9048.8596146283926</v>
      </c>
      <c r="Q403" s="11">
        <v>20984.895981761187</v>
      </c>
      <c r="R403" s="11">
        <v>20000</v>
      </c>
      <c r="S403" s="11">
        <v>3681800</v>
      </c>
      <c r="T403" s="11">
        <v>441818</v>
      </c>
      <c r="U403" s="12">
        <f t="shared" si="176"/>
        <v>0.12000054321255907</v>
      </c>
      <c r="V403" s="13">
        <f t="shared" si="200"/>
        <v>0</v>
      </c>
      <c r="W403" s="10">
        <f t="shared" si="178"/>
        <v>0</v>
      </c>
      <c r="X403" s="10"/>
      <c r="Y403" s="10"/>
      <c r="Z403" s="11">
        <f t="shared" si="179"/>
        <v>3681800</v>
      </c>
      <c r="AA403" s="14">
        <v>1276963</v>
      </c>
      <c r="AB403" s="14">
        <v>153236</v>
      </c>
      <c r="AC403" s="11">
        <f t="shared" si="180"/>
        <v>2404837</v>
      </c>
      <c r="AD403" s="10">
        <f t="shared" si="181"/>
        <v>300</v>
      </c>
      <c r="AE403" s="15">
        <v>52635</v>
      </c>
      <c r="AF403" s="16">
        <v>9474</v>
      </c>
      <c r="AG403" s="15">
        <f t="shared" si="182"/>
        <v>0</v>
      </c>
      <c r="AH403" s="15">
        <f t="shared" si="183"/>
        <v>0</v>
      </c>
      <c r="AI403" s="15">
        <f t="shared" si="184"/>
        <v>52635</v>
      </c>
      <c r="AJ403" s="15">
        <f t="shared" si="185"/>
        <v>9475</v>
      </c>
      <c r="AK403" s="10">
        <v>52635</v>
      </c>
      <c r="AL403" s="15">
        <f t="shared" si="186"/>
        <v>52635</v>
      </c>
      <c r="AM403" s="15">
        <f t="shared" si="187"/>
        <v>2457472</v>
      </c>
      <c r="AN403" s="15">
        <f t="shared" si="188"/>
        <v>298057</v>
      </c>
      <c r="AO403" s="15">
        <f t="shared" si="193"/>
        <v>356128</v>
      </c>
      <c r="AP403" s="17">
        <f t="shared" si="189"/>
        <v>2813600</v>
      </c>
      <c r="AQ403" s="15">
        <v>887002.95000000019</v>
      </c>
      <c r="AR403" s="15">
        <v>5436</v>
      </c>
      <c r="AS403" s="18">
        <f t="shared" si="194"/>
        <v>1926597</v>
      </c>
      <c r="AT403" s="19">
        <v>0</v>
      </c>
      <c r="AU403" s="8">
        <v>8800</v>
      </c>
      <c r="AV403" s="13">
        <f t="shared" si="195"/>
        <v>1543960</v>
      </c>
      <c r="AW403" s="18">
        <f t="shared" si="196"/>
        <v>2457472</v>
      </c>
      <c r="AX403" s="15">
        <f t="shared" si="190"/>
        <v>2458000</v>
      </c>
      <c r="AY403" s="20">
        <v>0.05</v>
      </c>
      <c r="AZ403" s="13">
        <f t="shared" si="191"/>
        <v>122900</v>
      </c>
      <c r="BA403" s="15">
        <f t="shared" si="192"/>
        <v>122900</v>
      </c>
      <c r="BB403" s="21">
        <f t="shared" si="197"/>
        <v>2049497</v>
      </c>
      <c r="BC403" s="10">
        <f t="shared" si="198"/>
        <v>0</v>
      </c>
      <c r="BD403" s="10">
        <f t="shared" si="199"/>
        <v>0</v>
      </c>
      <c r="BE403" s="10">
        <v>37.799999999999997</v>
      </c>
      <c r="BF403" s="10">
        <v>16.3</v>
      </c>
      <c r="BG403" s="107">
        <v>46176</v>
      </c>
      <c r="BH403" s="107">
        <f t="shared" si="172"/>
        <v>46206</v>
      </c>
      <c r="BI403" s="23">
        <v>5</v>
      </c>
      <c r="BJ403" s="6"/>
      <c r="BK403" s="6"/>
      <c r="BL403" s="24">
        <f>VLOOKUP(A403,[2]Sheet1!$D$2:$H$933,5,0)</f>
        <v>0</v>
      </c>
      <c r="BM403" s="6" t="s">
        <v>3828</v>
      </c>
      <c r="BN403" s="6" t="s">
        <v>3829</v>
      </c>
      <c r="BO403" s="6" t="s">
        <v>3820</v>
      </c>
      <c r="BP403" s="6" t="s">
        <v>3821</v>
      </c>
      <c r="BQ403" s="6" t="s">
        <v>3830</v>
      </c>
      <c r="BR403" t="s">
        <v>3823</v>
      </c>
      <c r="BS403" t="s">
        <v>3824</v>
      </c>
      <c r="BT403" t="s">
        <v>3825</v>
      </c>
      <c r="BU403" t="s">
        <v>3826</v>
      </c>
      <c r="BV403" t="s">
        <v>3827</v>
      </c>
      <c r="BW403" t="s">
        <v>3835</v>
      </c>
      <c r="BX403">
        <v>0</v>
      </c>
      <c r="BY403" t="s">
        <v>3866</v>
      </c>
      <c r="BZ403" t="s">
        <v>3872</v>
      </c>
    </row>
    <row r="404" spans="1:78" x14ac:dyDescent="0.25">
      <c r="A404" s="7" t="s">
        <v>1698</v>
      </c>
      <c r="B404" s="7" t="s">
        <v>181</v>
      </c>
      <c r="C404" s="7" t="s">
        <v>1696</v>
      </c>
      <c r="D404" s="8" t="s">
        <v>1697</v>
      </c>
      <c r="E404" s="7" t="s">
        <v>1699</v>
      </c>
      <c r="F404" s="9">
        <v>44956</v>
      </c>
      <c r="G404" s="9" t="s">
        <v>404</v>
      </c>
      <c r="H404" s="9" t="s">
        <v>66</v>
      </c>
      <c r="I404" s="8" t="s">
        <v>78</v>
      </c>
      <c r="J404" s="10">
        <v>1412.24</v>
      </c>
      <c r="K404" s="10">
        <v>1452</v>
      </c>
      <c r="L404" s="10">
        <f t="shared" si="174"/>
        <v>39.759999999999991</v>
      </c>
      <c r="M404" s="10">
        <v>656.07</v>
      </c>
      <c r="N404" s="10">
        <v>675</v>
      </c>
      <c r="O404" s="10">
        <f t="shared" si="175"/>
        <v>18.92999999999995</v>
      </c>
      <c r="P404" s="11">
        <v>10934.264006117941</v>
      </c>
      <c r="Q404" s="11">
        <v>23536.825338759583</v>
      </c>
      <c r="R404" s="11">
        <v>22000</v>
      </c>
      <c r="S404" s="11">
        <v>15441805</v>
      </c>
      <c r="T404" s="11">
        <v>1853018</v>
      </c>
      <c r="U404" s="12">
        <f t="shared" si="176"/>
        <v>0.12000009066297625</v>
      </c>
      <c r="V404" s="13">
        <f>L404*R404</f>
        <v>874719.99999999977</v>
      </c>
      <c r="W404" s="10">
        <f t="shared" si="178"/>
        <v>104966.47930471855</v>
      </c>
      <c r="X404" s="15"/>
      <c r="Y404" s="15"/>
      <c r="Z404" s="11">
        <f t="shared" si="179"/>
        <v>16316525</v>
      </c>
      <c r="AA404" s="14"/>
      <c r="AB404" s="14"/>
      <c r="AC404" s="11">
        <f t="shared" si="180"/>
        <v>16316525</v>
      </c>
      <c r="AD404" s="10">
        <f t="shared" si="181"/>
        <v>300</v>
      </c>
      <c r="AE404" s="15">
        <v>196821</v>
      </c>
      <c r="AF404" s="16">
        <v>35428</v>
      </c>
      <c r="AG404" s="15">
        <f t="shared" si="182"/>
        <v>5678.9999999999854</v>
      </c>
      <c r="AH404" s="15">
        <f t="shared" si="183"/>
        <v>1022.2199999999973</v>
      </c>
      <c r="AI404" s="15">
        <f t="shared" si="184"/>
        <v>202500</v>
      </c>
      <c r="AJ404" s="15">
        <f t="shared" si="185"/>
        <v>36450</v>
      </c>
      <c r="AK404" s="10">
        <v>196821</v>
      </c>
      <c r="AL404" s="15">
        <f t="shared" si="186"/>
        <v>202500</v>
      </c>
      <c r="AM404" s="15">
        <f t="shared" si="187"/>
        <v>16519025</v>
      </c>
      <c r="AN404" s="15">
        <f t="shared" si="188"/>
        <v>1994435</v>
      </c>
      <c r="AO404" s="15">
        <f t="shared" si="193"/>
        <v>2200657</v>
      </c>
      <c r="AP404" s="17">
        <f t="shared" si="189"/>
        <v>18719682</v>
      </c>
      <c r="AQ404" s="15">
        <f>15117479+448000</f>
        <v>15565479</v>
      </c>
      <c r="AR404" s="15">
        <v>3722</v>
      </c>
      <c r="AS404" s="18">
        <f t="shared" si="194"/>
        <v>3154203</v>
      </c>
      <c r="AT404" s="19">
        <v>0</v>
      </c>
      <c r="AU404" s="8">
        <v>8800</v>
      </c>
      <c r="AV404" s="13">
        <f t="shared" si="195"/>
        <v>5940000</v>
      </c>
      <c r="AW404" s="18">
        <f t="shared" si="196"/>
        <v>16519025</v>
      </c>
      <c r="AX404" s="15">
        <f t="shared" si="190"/>
        <v>16520000</v>
      </c>
      <c r="AY404" s="20">
        <v>6.3399999999999998E-2</v>
      </c>
      <c r="AZ404" s="13">
        <f t="shared" si="191"/>
        <v>1047368</v>
      </c>
      <c r="BA404" s="15">
        <f t="shared" si="192"/>
        <v>1047400</v>
      </c>
      <c r="BB404" s="21">
        <f t="shared" si="197"/>
        <v>4201603</v>
      </c>
      <c r="BC404" s="10">
        <f t="shared" si="198"/>
        <v>2.8153854868860808</v>
      </c>
      <c r="BD404" s="10">
        <f t="shared" si="199"/>
        <v>2.885362842379616</v>
      </c>
      <c r="BE404" s="10">
        <v>134.88999999999999</v>
      </c>
      <c r="BF404" s="10">
        <v>62.71</v>
      </c>
      <c r="BG404" s="107">
        <v>46176</v>
      </c>
      <c r="BH404" s="107">
        <f t="shared" si="172"/>
        <v>46206</v>
      </c>
      <c r="BI404" s="23">
        <v>6.34</v>
      </c>
      <c r="BJ404" s="6"/>
      <c r="BK404" s="24"/>
      <c r="BL404" s="24">
        <f>VLOOKUP(A404,[2]Sheet1!$D$2:$H$933,5,0)</f>
        <v>0</v>
      </c>
      <c r="BM404" s="6" t="s">
        <v>3828</v>
      </c>
      <c r="BN404" s="6" t="s">
        <v>3829</v>
      </c>
      <c r="BO404" s="6" t="s">
        <v>3820</v>
      </c>
      <c r="BP404" s="6" t="s">
        <v>3821</v>
      </c>
      <c r="BQ404" s="6" t="s">
        <v>3830</v>
      </c>
      <c r="BR404" t="s">
        <v>3823</v>
      </c>
      <c r="BS404" t="s">
        <v>3824</v>
      </c>
      <c r="BT404" t="s">
        <v>3825</v>
      </c>
      <c r="BU404" t="s">
        <v>3826</v>
      </c>
      <c r="BV404" t="s">
        <v>3827</v>
      </c>
      <c r="BW404" t="s">
        <v>3835</v>
      </c>
      <c r="BX404">
        <v>0</v>
      </c>
      <c r="BY404" t="s">
        <v>3865</v>
      </c>
      <c r="BZ404" t="s">
        <v>3863</v>
      </c>
    </row>
    <row r="405" spans="1:78" x14ac:dyDescent="0.25">
      <c r="A405" s="7" t="s">
        <v>1702</v>
      </c>
      <c r="B405" s="7" t="s">
        <v>181</v>
      </c>
      <c r="C405" s="7" t="s">
        <v>1700</v>
      </c>
      <c r="D405" s="8" t="s">
        <v>1701</v>
      </c>
      <c r="E405" s="7" t="s">
        <v>1703</v>
      </c>
      <c r="F405" s="9">
        <v>44896</v>
      </c>
      <c r="G405" s="9" t="s">
        <v>404</v>
      </c>
      <c r="H405" s="9" t="s">
        <v>72</v>
      </c>
      <c r="I405" s="8" t="s">
        <v>78</v>
      </c>
      <c r="J405" s="10">
        <v>432.71</v>
      </c>
      <c r="K405" s="10">
        <v>432.71</v>
      </c>
      <c r="L405" s="10">
        <f t="shared" si="174"/>
        <v>0</v>
      </c>
      <c r="M405" s="10">
        <v>199.67</v>
      </c>
      <c r="N405" s="10">
        <v>199.67</v>
      </c>
      <c r="O405" s="10">
        <f t="shared" si="175"/>
        <v>0</v>
      </c>
      <c r="P405" s="11">
        <v>11145.998474729035</v>
      </c>
      <c r="Q405" s="11">
        <v>24154.780387639606</v>
      </c>
      <c r="R405" s="11">
        <v>20000</v>
      </c>
      <c r="S405" s="11">
        <v>4822985</v>
      </c>
      <c r="T405" s="11">
        <v>578758</v>
      </c>
      <c r="U405" s="12">
        <f t="shared" si="176"/>
        <v>0.11999995853190504</v>
      </c>
      <c r="V405" s="13">
        <f t="shared" ref="V405:V413" si="201">L405*P405</f>
        <v>0</v>
      </c>
      <c r="W405" s="10">
        <f t="shared" si="178"/>
        <v>0</v>
      </c>
      <c r="X405" s="10"/>
      <c r="Y405" s="10"/>
      <c r="Z405" s="11">
        <f t="shared" si="179"/>
        <v>4822985</v>
      </c>
      <c r="AA405" s="14">
        <v>322243</v>
      </c>
      <c r="AB405" s="14">
        <v>38670</v>
      </c>
      <c r="AC405" s="11">
        <f t="shared" si="180"/>
        <v>4500742</v>
      </c>
      <c r="AD405" s="10">
        <f t="shared" si="181"/>
        <v>300</v>
      </c>
      <c r="AE405" s="15">
        <v>59901</v>
      </c>
      <c r="AF405" s="16">
        <v>10782</v>
      </c>
      <c r="AG405" s="15">
        <f t="shared" si="182"/>
        <v>0</v>
      </c>
      <c r="AH405" s="15">
        <f t="shared" si="183"/>
        <v>0</v>
      </c>
      <c r="AI405" s="15">
        <f t="shared" si="184"/>
        <v>59900.999999999993</v>
      </c>
      <c r="AJ405" s="15">
        <f t="shared" si="185"/>
        <v>10783</v>
      </c>
      <c r="AK405" s="10">
        <v>59901</v>
      </c>
      <c r="AL405" s="15">
        <f t="shared" si="186"/>
        <v>59900.999999999993</v>
      </c>
      <c r="AM405" s="15">
        <f t="shared" si="187"/>
        <v>4560643</v>
      </c>
      <c r="AN405" s="15">
        <f t="shared" si="188"/>
        <v>550871</v>
      </c>
      <c r="AO405" s="15">
        <f t="shared" si="193"/>
        <v>614443</v>
      </c>
      <c r="AP405" s="17">
        <f t="shared" si="189"/>
        <v>5175086</v>
      </c>
      <c r="AQ405" s="15">
        <v>4500658</v>
      </c>
      <c r="AR405" s="15">
        <v>3671</v>
      </c>
      <c r="AS405" s="18">
        <f t="shared" si="194"/>
        <v>674428</v>
      </c>
      <c r="AT405" s="19">
        <v>0</v>
      </c>
      <c r="AU405" s="8">
        <v>8800</v>
      </c>
      <c r="AV405" s="13">
        <f t="shared" si="195"/>
        <v>1757096</v>
      </c>
      <c r="AW405" s="18">
        <f t="shared" si="196"/>
        <v>4560643</v>
      </c>
      <c r="AX405" s="15">
        <f t="shared" si="190"/>
        <v>4561000</v>
      </c>
      <c r="AY405" s="20">
        <v>7.0000000000000007E-2</v>
      </c>
      <c r="AZ405" s="13">
        <f t="shared" si="191"/>
        <v>319270.00000000006</v>
      </c>
      <c r="BA405" s="15">
        <f t="shared" si="192"/>
        <v>319300</v>
      </c>
      <c r="BB405" s="21">
        <f t="shared" si="197"/>
        <v>993728</v>
      </c>
      <c r="BC405" s="10">
        <f t="shared" si="198"/>
        <v>0</v>
      </c>
      <c r="BD405" s="10">
        <f t="shared" si="199"/>
        <v>0</v>
      </c>
      <c r="BE405" s="10">
        <v>40.200000000000003</v>
      </c>
      <c r="BF405" s="10">
        <v>18.55</v>
      </c>
      <c r="BG405" s="107">
        <v>46176</v>
      </c>
      <c r="BH405" s="107">
        <f t="shared" si="172"/>
        <v>46206</v>
      </c>
      <c r="BI405" s="23">
        <v>7</v>
      </c>
      <c r="BJ405" s="6"/>
      <c r="BK405" s="6"/>
      <c r="BL405" s="24">
        <f>VLOOKUP(A405,[2]Sheet1!$D$2:$H$933,5,0)</f>
        <v>0</v>
      </c>
      <c r="BM405" s="6" t="s">
        <v>3828</v>
      </c>
      <c r="BN405" s="6" t="s">
        <v>3829</v>
      </c>
      <c r="BO405" s="6" t="s">
        <v>3820</v>
      </c>
      <c r="BP405" s="6" t="s">
        <v>3821</v>
      </c>
      <c r="BQ405" s="6" t="s">
        <v>3830</v>
      </c>
      <c r="BR405" t="s">
        <v>3823</v>
      </c>
      <c r="BS405" t="s">
        <v>3824</v>
      </c>
      <c r="BT405" t="s">
        <v>3825</v>
      </c>
      <c r="BU405" t="s">
        <v>3826</v>
      </c>
      <c r="BV405" t="s">
        <v>3827</v>
      </c>
      <c r="BW405" t="s">
        <v>3835</v>
      </c>
      <c r="BX405">
        <v>0</v>
      </c>
      <c r="BY405" t="s">
        <v>3868</v>
      </c>
      <c r="BZ405" t="s">
        <v>3863</v>
      </c>
    </row>
    <row r="406" spans="1:78" x14ac:dyDescent="0.25">
      <c r="A406" s="7" t="s">
        <v>1706</v>
      </c>
      <c r="B406" s="7" t="s">
        <v>181</v>
      </c>
      <c r="C406" s="7" t="s">
        <v>1704</v>
      </c>
      <c r="D406" s="8" t="s">
        <v>1705</v>
      </c>
      <c r="E406" s="7" t="s">
        <v>1707</v>
      </c>
      <c r="F406" s="9">
        <v>45019</v>
      </c>
      <c r="G406" s="9" t="s">
        <v>717</v>
      </c>
      <c r="H406" s="9" t="s">
        <v>92</v>
      </c>
      <c r="I406" s="8" t="s">
        <v>78</v>
      </c>
      <c r="J406" s="10">
        <v>764.24</v>
      </c>
      <c r="K406" s="10">
        <v>764.24</v>
      </c>
      <c r="L406" s="10">
        <f t="shared" si="174"/>
        <v>0</v>
      </c>
      <c r="M406" s="10">
        <v>333.68</v>
      </c>
      <c r="N406" s="10">
        <v>347</v>
      </c>
      <c r="O406" s="10">
        <f t="shared" si="175"/>
        <v>13.319999999999993</v>
      </c>
      <c r="P406" s="11">
        <v>13941.999895320841</v>
      </c>
      <c r="Q406" s="11">
        <v>31931.892831455287</v>
      </c>
      <c r="R406" s="11">
        <v>28000</v>
      </c>
      <c r="S406" s="11">
        <v>10655034</v>
      </c>
      <c r="T406" s="11">
        <v>1278604</v>
      </c>
      <c r="U406" s="12">
        <f t="shared" si="176"/>
        <v>0.11999999249181185</v>
      </c>
      <c r="V406" s="13">
        <f t="shared" si="201"/>
        <v>0</v>
      </c>
      <c r="W406" s="10">
        <f t="shared" si="178"/>
        <v>0</v>
      </c>
      <c r="X406" s="10"/>
      <c r="Y406" s="10"/>
      <c r="Z406" s="11">
        <f t="shared" si="179"/>
        <v>10655034</v>
      </c>
      <c r="AA406" s="14"/>
      <c r="AB406" s="14"/>
      <c r="AC406" s="11">
        <f t="shared" si="180"/>
        <v>10655034</v>
      </c>
      <c r="AD406" s="10">
        <f t="shared" si="181"/>
        <v>300</v>
      </c>
      <c r="AE406" s="15">
        <v>100104</v>
      </c>
      <c r="AF406" s="16">
        <v>18018</v>
      </c>
      <c r="AG406" s="15">
        <f t="shared" si="182"/>
        <v>3995.9999999999982</v>
      </c>
      <c r="AH406" s="15">
        <f t="shared" si="183"/>
        <v>719.27999999999963</v>
      </c>
      <c r="AI406" s="15">
        <f t="shared" si="184"/>
        <v>104100</v>
      </c>
      <c r="AJ406" s="15">
        <f t="shared" si="185"/>
        <v>18738</v>
      </c>
      <c r="AK406" s="10">
        <v>100104</v>
      </c>
      <c r="AL406" s="15">
        <f t="shared" si="186"/>
        <v>104100</v>
      </c>
      <c r="AM406" s="15">
        <f t="shared" si="187"/>
        <v>10759134</v>
      </c>
      <c r="AN406" s="15">
        <f t="shared" si="188"/>
        <v>1297342</v>
      </c>
      <c r="AO406" s="15">
        <f t="shared" si="193"/>
        <v>1405121</v>
      </c>
      <c r="AP406" s="17">
        <f t="shared" si="189"/>
        <v>12164255</v>
      </c>
      <c r="AQ406" s="15">
        <v>10740274</v>
      </c>
      <c r="AR406" s="15">
        <v>3679</v>
      </c>
      <c r="AS406" s="18">
        <f t="shared" si="194"/>
        <v>1423981</v>
      </c>
      <c r="AT406" s="19">
        <v>0</v>
      </c>
      <c r="AU406" s="8">
        <v>8800</v>
      </c>
      <c r="AV406" s="13">
        <f t="shared" si="195"/>
        <v>3053600</v>
      </c>
      <c r="AW406" s="18">
        <f t="shared" si="196"/>
        <v>10759134</v>
      </c>
      <c r="AX406" s="15">
        <f t="shared" si="190"/>
        <v>10760000</v>
      </c>
      <c r="AY406" s="20">
        <v>7.0000000000000007E-2</v>
      </c>
      <c r="AZ406" s="13">
        <f t="shared" si="191"/>
        <v>753200.00000000012</v>
      </c>
      <c r="BA406" s="15">
        <f t="shared" si="192"/>
        <v>753200</v>
      </c>
      <c r="BB406" s="21">
        <f t="shared" si="197"/>
        <v>2177181</v>
      </c>
      <c r="BC406" s="10">
        <f t="shared" si="198"/>
        <v>0</v>
      </c>
      <c r="BD406" s="10">
        <f t="shared" si="199"/>
        <v>3.9918484775833112</v>
      </c>
      <c r="BE406" s="10">
        <v>71</v>
      </c>
      <c r="BF406" s="10">
        <v>32.24</v>
      </c>
      <c r="BG406" s="107">
        <v>46176</v>
      </c>
      <c r="BH406" s="107">
        <f t="shared" si="172"/>
        <v>46206</v>
      </c>
      <c r="BI406" s="23">
        <v>7</v>
      </c>
      <c r="BJ406" s="6"/>
      <c r="BK406" s="6"/>
      <c r="BL406" s="24">
        <f>VLOOKUP(A406,[2]Sheet1!$D$2:$H$933,5,0)</f>
        <v>0</v>
      </c>
      <c r="BM406" s="6" t="s">
        <v>3828</v>
      </c>
      <c r="BN406" s="6" t="s">
        <v>3829</v>
      </c>
      <c r="BO406" s="6" t="s">
        <v>3820</v>
      </c>
      <c r="BP406" s="6" t="s">
        <v>3821</v>
      </c>
      <c r="BQ406" s="6" t="s">
        <v>3830</v>
      </c>
      <c r="BR406" t="s">
        <v>3823</v>
      </c>
      <c r="BS406" t="s">
        <v>3824</v>
      </c>
      <c r="BT406" t="s">
        <v>3825</v>
      </c>
      <c r="BU406" t="s">
        <v>3826</v>
      </c>
      <c r="BV406" t="s">
        <v>3827</v>
      </c>
      <c r="BW406" t="s">
        <v>3835</v>
      </c>
      <c r="BX406">
        <v>0</v>
      </c>
      <c r="BY406" t="s">
        <v>3861</v>
      </c>
      <c r="BZ406" t="s">
        <v>3872</v>
      </c>
    </row>
    <row r="407" spans="1:78" x14ac:dyDescent="0.25">
      <c r="A407" s="7" t="s">
        <v>1710</v>
      </c>
      <c r="B407" s="7" t="s">
        <v>181</v>
      </c>
      <c r="C407" s="7" t="s">
        <v>1708</v>
      </c>
      <c r="D407" s="8" t="s">
        <v>1709</v>
      </c>
      <c r="E407" s="7" t="s">
        <v>1711</v>
      </c>
      <c r="F407" s="9">
        <v>45051</v>
      </c>
      <c r="G407" s="9" t="s">
        <v>363</v>
      </c>
      <c r="H407" s="9" t="s">
        <v>87</v>
      </c>
      <c r="I407" s="8" t="s">
        <v>67</v>
      </c>
      <c r="J407" s="10">
        <v>516.66999999999996</v>
      </c>
      <c r="K407" s="10">
        <v>516.66999999999996</v>
      </c>
      <c r="L407" s="10">
        <f t="shared" si="174"/>
        <v>0</v>
      </c>
      <c r="M407" s="10">
        <v>208.82</v>
      </c>
      <c r="N407" s="10">
        <v>208.82</v>
      </c>
      <c r="O407" s="10">
        <f t="shared" si="175"/>
        <v>0</v>
      </c>
      <c r="P407" s="11">
        <v>23983.310430255289</v>
      </c>
      <c r="Q407" s="11">
        <v>59340.37448520257</v>
      </c>
      <c r="R407" s="11">
        <v>40000</v>
      </c>
      <c r="S407" s="11">
        <v>12391457</v>
      </c>
      <c r="T407" s="11">
        <v>1486974</v>
      </c>
      <c r="U407" s="12">
        <f t="shared" si="176"/>
        <v>0.11999993221136142</v>
      </c>
      <c r="V407" s="13">
        <f t="shared" si="201"/>
        <v>0</v>
      </c>
      <c r="W407" s="10">
        <f t="shared" si="178"/>
        <v>0</v>
      </c>
      <c r="X407" s="10"/>
      <c r="Y407" s="10"/>
      <c r="Z407" s="11">
        <f t="shared" si="179"/>
        <v>12391457</v>
      </c>
      <c r="AA407" s="14"/>
      <c r="AB407" s="14"/>
      <c r="AC407" s="11">
        <f t="shared" si="180"/>
        <v>12391457</v>
      </c>
      <c r="AD407" s="10">
        <f t="shared" si="181"/>
        <v>300</v>
      </c>
      <c r="AE407" s="15">
        <v>62646</v>
      </c>
      <c r="AF407" s="16">
        <v>11276</v>
      </c>
      <c r="AG407" s="15">
        <f t="shared" si="182"/>
        <v>0</v>
      </c>
      <c r="AH407" s="15">
        <f t="shared" si="183"/>
        <v>0</v>
      </c>
      <c r="AI407" s="15">
        <f t="shared" si="184"/>
        <v>62646</v>
      </c>
      <c r="AJ407" s="15">
        <f t="shared" si="185"/>
        <v>11277</v>
      </c>
      <c r="AK407" s="10">
        <v>62646</v>
      </c>
      <c r="AL407" s="15">
        <f t="shared" si="186"/>
        <v>62646</v>
      </c>
      <c r="AM407" s="15">
        <f t="shared" si="187"/>
        <v>12454103</v>
      </c>
      <c r="AN407" s="15">
        <f t="shared" si="188"/>
        <v>1498251</v>
      </c>
      <c r="AO407" s="15">
        <f t="shared" si="193"/>
        <v>1564699</v>
      </c>
      <c r="AP407" s="17">
        <f t="shared" si="189"/>
        <v>14018802</v>
      </c>
      <c r="AQ407" s="15">
        <v>12514296</v>
      </c>
      <c r="AR407" s="15">
        <v>3802</v>
      </c>
      <c r="AS407" s="18">
        <f t="shared" si="194"/>
        <v>1504506</v>
      </c>
      <c r="AT407" s="19">
        <v>0</v>
      </c>
      <c r="AU407" s="8">
        <v>8800</v>
      </c>
      <c r="AV407" s="13">
        <f t="shared" si="195"/>
        <v>1837616</v>
      </c>
      <c r="AW407" s="18">
        <f t="shared" si="196"/>
        <v>12454103</v>
      </c>
      <c r="AX407" s="15">
        <f t="shared" si="190"/>
        <v>12455000</v>
      </c>
      <c r="AY407" s="20">
        <v>7.0000000000000007E-2</v>
      </c>
      <c r="AZ407" s="13">
        <f t="shared" si="191"/>
        <v>871850.00000000012</v>
      </c>
      <c r="BA407" s="15">
        <f t="shared" si="192"/>
        <v>871900</v>
      </c>
      <c r="BB407" s="21">
        <f t="shared" si="197"/>
        <v>2376406</v>
      </c>
      <c r="BC407" s="10">
        <f t="shared" si="198"/>
        <v>0</v>
      </c>
      <c r="BD407" s="10">
        <f t="shared" si="199"/>
        <v>0</v>
      </c>
      <c r="BE407" s="10">
        <v>48</v>
      </c>
      <c r="BF407" s="10">
        <v>19.399999999999999</v>
      </c>
      <c r="BG407" s="107">
        <v>46176</v>
      </c>
      <c r="BH407" s="107">
        <f t="shared" si="172"/>
        <v>46206</v>
      </c>
      <c r="BI407" s="23">
        <v>7</v>
      </c>
      <c r="BJ407" s="6"/>
      <c r="BK407" s="6"/>
      <c r="BL407" s="24">
        <f>VLOOKUP(A407,[2]Sheet1!$D$2:$H$933,5,0)</f>
        <v>0</v>
      </c>
      <c r="BM407" s="6" t="s">
        <v>3828</v>
      </c>
      <c r="BN407" s="6" t="s">
        <v>3829</v>
      </c>
      <c r="BO407" s="6" t="s">
        <v>3820</v>
      </c>
      <c r="BP407" s="6" t="s">
        <v>3821</v>
      </c>
      <c r="BQ407" s="6" t="s">
        <v>3830</v>
      </c>
      <c r="BR407" t="s">
        <v>3823</v>
      </c>
      <c r="BS407" t="s">
        <v>3824</v>
      </c>
      <c r="BT407" t="s">
        <v>3825</v>
      </c>
      <c r="BU407" t="s">
        <v>3826</v>
      </c>
      <c r="BV407" t="s">
        <v>3827</v>
      </c>
      <c r="BW407" t="s">
        <v>3835</v>
      </c>
      <c r="BX407">
        <v>0</v>
      </c>
      <c r="BY407" t="s">
        <v>3862</v>
      </c>
      <c r="BZ407" t="s">
        <v>3860</v>
      </c>
    </row>
    <row r="408" spans="1:78" x14ac:dyDescent="0.25">
      <c r="A408" s="7" t="s">
        <v>1714</v>
      </c>
      <c r="B408" s="7" t="s">
        <v>181</v>
      </c>
      <c r="C408" s="7" t="s">
        <v>1712</v>
      </c>
      <c r="D408" s="8" t="s">
        <v>1713</v>
      </c>
      <c r="E408" s="7" t="s">
        <v>1715</v>
      </c>
      <c r="F408" s="9">
        <v>45001</v>
      </c>
      <c r="G408" s="9" t="s">
        <v>363</v>
      </c>
      <c r="H408" s="9" t="s">
        <v>92</v>
      </c>
      <c r="I408" s="8" t="s">
        <v>78</v>
      </c>
      <c r="J408" s="10">
        <v>697.51</v>
      </c>
      <c r="K408" s="10">
        <v>697.51</v>
      </c>
      <c r="L408" s="10">
        <f t="shared" si="174"/>
        <v>0</v>
      </c>
      <c r="M408" s="10">
        <v>317.54000000000002</v>
      </c>
      <c r="N408" s="10">
        <v>317.54000000000002</v>
      </c>
      <c r="O408" s="10">
        <f t="shared" si="175"/>
        <v>0</v>
      </c>
      <c r="P408" s="11">
        <v>21602.999240154262</v>
      </c>
      <c r="Q408" s="11">
        <v>47453.259431882594</v>
      </c>
      <c r="R408" s="11">
        <v>28000</v>
      </c>
      <c r="S408" s="11">
        <v>15068308</v>
      </c>
      <c r="T408" s="11">
        <v>1808198</v>
      </c>
      <c r="U408" s="12">
        <f t="shared" si="176"/>
        <v>0.12000006901902988</v>
      </c>
      <c r="V408" s="13">
        <f t="shared" si="201"/>
        <v>0</v>
      </c>
      <c r="W408" s="10">
        <f t="shared" si="178"/>
        <v>0</v>
      </c>
      <c r="X408" s="10"/>
      <c r="Y408" s="10"/>
      <c r="Z408" s="11">
        <f t="shared" si="179"/>
        <v>15068308</v>
      </c>
      <c r="AA408" s="14"/>
      <c r="AB408" s="14"/>
      <c r="AC408" s="11">
        <f t="shared" si="180"/>
        <v>15068308</v>
      </c>
      <c r="AD408" s="10">
        <f t="shared" si="181"/>
        <v>300</v>
      </c>
      <c r="AE408" s="15">
        <v>95262</v>
      </c>
      <c r="AF408" s="16">
        <v>17148</v>
      </c>
      <c r="AG408" s="15">
        <f t="shared" si="182"/>
        <v>0</v>
      </c>
      <c r="AH408" s="15">
        <f t="shared" si="183"/>
        <v>0</v>
      </c>
      <c r="AI408" s="15">
        <f t="shared" si="184"/>
        <v>95262</v>
      </c>
      <c r="AJ408" s="15">
        <f t="shared" si="185"/>
        <v>17148</v>
      </c>
      <c r="AK408" s="10">
        <v>95262</v>
      </c>
      <c r="AL408" s="15">
        <f t="shared" si="186"/>
        <v>95262</v>
      </c>
      <c r="AM408" s="15">
        <f t="shared" si="187"/>
        <v>15163570</v>
      </c>
      <c r="AN408" s="15">
        <f t="shared" si="188"/>
        <v>1825346</v>
      </c>
      <c r="AO408" s="15">
        <f t="shared" si="193"/>
        <v>1924489</v>
      </c>
      <c r="AP408" s="17">
        <f t="shared" si="189"/>
        <v>17088059</v>
      </c>
      <c r="AQ408" s="15">
        <v>15110146.84</v>
      </c>
      <c r="AR408" s="15">
        <v>3881</v>
      </c>
      <c r="AS408" s="18">
        <f t="shared" si="194"/>
        <v>1977912</v>
      </c>
      <c r="AT408" s="19">
        <v>0</v>
      </c>
      <c r="AU408" s="8">
        <v>8800</v>
      </c>
      <c r="AV408" s="13">
        <f t="shared" si="195"/>
        <v>2794352</v>
      </c>
      <c r="AW408" s="18">
        <f t="shared" si="196"/>
        <v>15163570</v>
      </c>
      <c r="AX408" s="15">
        <f t="shared" si="190"/>
        <v>15164000</v>
      </c>
      <c r="AY408" s="20">
        <v>0.06</v>
      </c>
      <c r="AZ408" s="13">
        <f t="shared" si="191"/>
        <v>909840</v>
      </c>
      <c r="BA408" s="15">
        <f t="shared" si="192"/>
        <v>909900</v>
      </c>
      <c r="BB408" s="21">
        <f t="shared" si="197"/>
        <v>2887812</v>
      </c>
      <c r="BC408" s="10">
        <f t="shared" si="198"/>
        <v>0</v>
      </c>
      <c r="BD408" s="10">
        <f t="shared" si="199"/>
        <v>0</v>
      </c>
      <c r="BE408" s="10">
        <v>64.8</v>
      </c>
      <c r="BF408" s="10">
        <v>29.5</v>
      </c>
      <c r="BG408" s="107">
        <v>46176</v>
      </c>
      <c r="BH408" s="107">
        <f t="shared" si="172"/>
        <v>46206</v>
      </c>
      <c r="BI408" s="23">
        <v>6</v>
      </c>
      <c r="BJ408" s="6"/>
      <c r="BK408" s="6"/>
      <c r="BL408" s="24">
        <f>VLOOKUP(A408,[2]Sheet1!$D$2:$H$933,5,0)</f>
        <v>0</v>
      </c>
      <c r="BM408" s="6" t="s">
        <v>3828</v>
      </c>
      <c r="BN408" s="6" t="s">
        <v>3829</v>
      </c>
      <c r="BO408" s="6" t="s">
        <v>3820</v>
      </c>
      <c r="BP408" s="6" t="s">
        <v>3821</v>
      </c>
      <c r="BQ408" s="6" t="s">
        <v>3830</v>
      </c>
      <c r="BR408" t="s">
        <v>3823</v>
      </c>
      <c r="BS408" t="s">
        <v>3824</v>
      </c>
      <c r="BT408" t="s">
        <v>3825</v>
      </c>
      <c r="BU408" t="s">
        <v>3826</v>
      </c>
      <c r="BV408" t="s">
        <v>3827</v>
      </c>
      <c r="BW408" t="s">
        <v>3835</v>
      </c>
      <c r="BX408" s="101">
        <v>883456.12185600004</v>
      </c>
      <c r="BY408" t="s">
        <v>3870</v>
      </c>
      <c r="BZ408" t="s">
        <v>3860</v>
      </c>
    </row>
    <row r="409" spans="1:78" x14ac:dyDescent="0.25">
      <c r="A409" s="7" t="s">
        <v>1718</v>
      </c>
      <c r="B409" s="7" t="s">
        <v>181</v>
      </c>
      <c r="C409" s="7" t="s">
        <v>1716</v>
      </c>
      <c r="D409" s="8" t="s">
        <v>1717</v>
      </c>
      <c r="E409" s="7" t="s">
        <v>1719</v>
      </c>
      <c r="F409" s="9">
        <v>44910</v>
      </c>
      <c r="G409" s="9" t="s">
        <v>527</v>
      </c>
      <c r="H409" s="9" t="s">
        <v>92</v>
      </c>
      <c r="I409" s="8" t="s">
        <v>67</v>
      </c>
      <c r="J409" s="10">
        <v>224.85</v>
      </c>
      <c r="K409" s="10">
        <v>224.85</v>
      </c>
      <c r="L409" s="10">
        <f t="shared" si="174"/>
        <v>0</v>
      </c>
      <c r="M409" s="10">
        <v>89.34</v>
      </c>
      <c r="N409" s="10">
        <v>89.34</v>
      </c>
      <c r="O409" s="10">
        <f t="shared" si="175"/>
        <v>0</v>
      </c>
      <c r="P409" s="11">
        <v>18121.601067378251</v>
      </c>
      <c r="Q409" s="11">
        <v>45608.260577568835</v>
      </c>
      <c r="R409" s="11">
        <v>28000</v>
      </c>
      <c r="S409" s="11">
        <v>4074642</v>
      </c>
      <c r="T409" s="11">
        <v>488956</v>
      </c>
      <c r="U409" s="12">
        <f t="shared" si="176"/>
        <v>0.11999974476285279</v>
      </c>
      <c r="V409" s="13">
        <f t="shared" si="201"/>
        <v>0</v>
      </c>
      <c r="W409" s="10">
        <f t="shared" si="178"/>
        <v>0</v>
      </c>
      <c r="X409" s="10"/>
      <c r="Y409" s="10"/>
      <c r="Z409" s="11">
        <f t="shared" si="179"/>
        <v>4074642</v>
      </c>
      <c r="AA409" s="14"/>
      <c r="AB409" s="14"/>
      <c r="AC409" s="11">
        <f t="shared" si="180"/>
        <v>4074642</v>
      </c>
      <c r="AD409" s="10">
        <f t="shared" si="181"/>
        <v>300</v>
      </c>
      <c r="AE409" s="15">
        <v>26802</v>
      </c>
      <c r="AF409" s="16">
        <v>4824</v>
      </c>
      <c r="AG409" s="15">
        <f t="shared" si="182"/>
        <v>0</v>
      </c>
      <c r="AH409" s="15">
        <f t="shared" si="183"/>
        <v>0</v>
      </c>
      <c r="AI409" s="15">
        <f t="shared" si="184"/>
        <v>26802</v>
      </c>
      <c r="AJ409" s="15">
        <f t="shared" si="185"/>
        <v>4825</v>
      </c>
      <c r="AK409" s="10">
        <v>26802</v>
      </c>
      <c r="AL409" s="15">
        <f t="shared" si="186"/>
        <v>26802</v>
      </c>
      <c r="AM409" s="15">
        <f t="shared" si="187"/>
        <v>4101444</v>
      </c>
      <c r="AN409" s="15">
        <f t="shared" si="188"/>
        <v>493781</v>
      </c>
      <c r="AO409" s="15">
        <f t="shared" si="193"/>
        <v>524343</v>
      </c>
      <c r="AP409" s="17">
        <f t="shared" si="189"/>
        <v>4625787</v>
      </c>
      <c r="AQ409" s="15">
        <v>4093275</v>
      </c>
      <c r="AR409" s="15">
        <v>3760</v>
      </c>
      <c r="AS409" s="18">
        <f t="shared" si="194"/>
        <v>532512</v>
      </c>
      <c r="AT409" s="19">
        <v>0</v>
      </c>
      <c r="AU409" s="8">
        <v>8800</v>
      </c>
      <c r="AV409" s="13">
        <f t="shared" si="195"/>
        <v>786192</v>
      </c>
      <c r="AW409" s="18">
        <f t="shared" si="196"/>
        <v>4101444</v>
      </c>
      <c r="AX409" s="15">
        <f t="shared" si="190"/>
        <v>4102000</v>
      </c>
      <c r="AY409" s="20">
        <v>0.05</v>
      </c>
      <c r="AZ409" s="13">
        <f t="shared" si="191"/>
        <v>205100</v>
      </c>
      <c r="BA409" s="15">
        <f t="shared" si="192"/>
        <v>205100</v>
      </c>
      <c r="BB409" s="21">
        <f t="shared" si="197"/>
        <v>737612</v>
      </c>
      <c r="BC409" s="10">
        <f t="shared" si="198"/>
        <v>0</v>
      </c>
      <c r="BD409" s="10">
        <f t="shared" si="199"/>
        <v>0</v>
      </c>
      <c r="BE409" s="10">
        <v>20.89</v>
      </c>
      <c r="BF409" s="10">
        <v>8.3000000000000007</v>
      </c>
      <c r="BG409" s="107">
        <v>46176</v>
      </c>
      <c r="BH409" s="107">
        <f t="shared" si="172"/>
        <v>46206</v>
      </c>
      <c r="BI409" s="23">
        <v>5</v>
      </c>
      <c r="BJ409" s="6"/>
      <c r="BK409" s="6"/>
      <c r="BL409" s="24">
        <f>VLOOKUP(A409,[2]Sheet1!$D$2:$H$933,5,0)</f>
        <v>0</v>
      </c>
      <c r="BM409" s="6" t="s">
        <v>3828</v>
      </c>
      <c r="BN409" s="6" t="s">
        <v>3829</v>
      </c>
      <c r="BO409" s="6" t="s">
        <v>3820</v>
      </c>
      <c r="BP409" s="6" t="s">
        <v>3821</v>
      </c>
      <c r="BQ409" s="6" t="s">
        <v>3830</v>
      </c>
      <c r="BR409" t="s">
        <v>3823</v>
      </c>
      <c r="BS409" t="s">
        <v>3824</v>
      </c>
      <c r="BT409" t="s">
        <v>3825</v>
      </c>
      <c r="BU409" t="s">
        <v>3826</v>
      </c>
      <c r="BV409" t="s">
        <v>3827</v>
      </c>
      <c r="BW409" t="s">
        <v>3835</v>
      </c>
      <c r="BX409">
        <v>0</v>
      </c>
      <c r="BY409" t="s">
        <v>3866</v>
      </c>
      <c r="BZ409" t="s">
        <v>3871</v>
      </c>
    </row>
    <row r="410" spans="1:78" x14ac:dyDescent="0.25">
      <c r="A410" s="7" t="s">
        <v>1722</v>
      </c>
      <c r="B410" s="7" t="s">
        <v>181</v>
      </c>
      <c r="C410" s="7" t="s">
        <v>1720</v>
      </c>
      <c r="D410" s="8" t="s">
        <v>1721</v>
      </c>
      <c r="E410" s="7" t="s">
        <v>1723</v>
      </c>
      <c r="F410" s="9">
        <v>44936</v>
      </c>
      <c r="G410" s="9" t="s">
        <v>527</v>
      </c>
      <c r="H410" s="9" t="s">
        <v>66</v>
      </c>
      <c r="I410" s="8" t="s">
        <v>67</v>
      </c>
      <c r="J410" s="10">
        <v>281.06</v>
      </c>
      <c r="K410" s="10">
        <v>281.06</v>
      </c>
      <c r="L410" s="10">
        <f t="shared" si="174"/>
        <v>0</v>
      </c>
      <c r="M410" s="10">
        <v>114.1</v>
      </c>
      <c r="N410" s="10">
        <v>114.1</v>
      </c>
      <c r="O410" s="10">
        <f t="shared" si="175"/>
        <v>0</v>
      </c>
      <c r="P410" s="11">
        <v>21548.352664911406</v>
      </c>
      <c r="Q410" s="11">
        <v>53079.579316389136</v>
      </c>
      <c r="R410" s="11">
        <v>22000</v>
      </c>
      <c r="S410" s="11">
        <v>6056380</v>
      </c>
      <c r="T410" s="11">
        <v>726766</v>
      </c>
      <c r="U410" s="12">
        <f t="shared" si="176"/>
        <v>0.12000006604605391</v>
      </c>
      <c r="V410" s="13">
        <f t="shared" si="201"/>
        <v>0</v>
      </c>
      <c r="W410" s="10">
        <f t="shared" si="178"/>
        <v>0</v>
      </c>
      <c r="X410" s="10"/>
      <c r="Y410" s="10"/>
      <c r="Z410" s="11">
        <f t="shared" si="179"/>
        <v>6056380</v>
      </c>
      <c r="AA410" s="14"/>
      <c r="AB410" s="14"/>
      <c r="AC410" s="11">
        <f t="shared" si="180"/>
        <v>6056380</v>
      </c>
      <c r="AD410" s="10">
        <f t="shared" si="181"/>
        <v>300</v>
      </c>
      <c r="AE410" s="15">
        <v>34230</v>
      </c>
      <c r="AF410" s="16">
        <v>6162</v>
      </c>
      <c r="AG410" s="15">
        <f t="shared" si="182"/>
        <v>0</v>
      </c>
      <c r="AH410" s="15">
        <f t="shared" si="183"/>
        <v>0</v>
      </c>
      <c r="AI410" s="15">
        <f t="shared" si="184"/>
        <v>34230</v>
      </c>
      <c r="AJ410" s="15">
        <f t="shared" si="185"/>
        <v>6162</v>
      </c>
      <c r="AK410" s="10">
        <v>34230</v>
      </c>
      <c r="AL410" s="15">
        <f t="shared" si="186"/>
        <v>34230</v>
      </c>
      <c r="AM410" s="15">
        <f t="shared" si="187"/>
        <v>6090610</v>
      </c>
      <c r="AN410" s="15">
        <f t="shared" si="188"/>
        <v>732928</v>
      </c>
      <c r="AO410" s="15">
        <f t="shared" si="193"/>
        <v>772078</v>
      </c>
      <c r="AP410" s="17">
        <f t="shared" si="189"/>
        <v>6862688</v>
      </c>
      <c r="AQ410" s="15">
        <v>4886950</v>
      </c>
      <c r="AR410" s="15">
        <v>4920</v>
      </c>
      <c r="AS410" s="18">
        <f t="shared" si="194"/>
        <v>1975738</v>
      </c>
      <c r="AT410" s="19">
        <v>0</v>
      </c>
      <c r="AU410" s="8">
        <v>8800</v>
      </c>
      <c r="AV410" s="13">
        <f t="shared" si="195"/>
        <v>1004080</v>
      </c>
      <c r="AW410" s="18">
        <f t="shared" si="196"/>
        <v>6090610</v>
      </c>
      <c r="AX410" s="15">
        <f t="shared" si="190"/>
        <v>6091000</v>
      </c>
      <c r="AY410" s="20">
        <v>7.0000000000000007E-2</v>
      </c>
      <c r="AZ410" s="13">
        <f t="shared" si="191"/>
        <v>426370.00000000006</v>
      </c>
      <c r="BA410" s="15">
        <f t="shared" si="192"/>
        <v>426400</v>
      </c>
      <c r="BB410" s="21">
        <f t="shared" si="197"/>
        <v>2402138</v>
      </c>
      <c r="BC410" s="10">
        <f t="shared" si="198"/>
        <v>0</v>
      </c>
      <c r="BD410" s="10">
        <f t="shared" si="199"/>
        <v>0</v>
      </c>
      <c r="BE410" s="10">
        <v>26.11</v>
      </c>
      <c r="BF410" s="10">
        <v>10.6</v>
      </c>
      <c r="BG410" s="107">
        <v>46176</v>
      </c>
      <c r="BH410" s="107">
        <f t="shared" si="172"/>
        <v>46206</v>
      </c>
      <c r="BI410" s="23">
        <v>7</v>
      </c>
      <c r="BJ410" s="6"/>
      <c r="BK410" s="6"/>
      <c r="BL410" s="24">
        <f>VLOOKUP(A410,[2]Sheet1!$D$2:$H$933,5,0)</f>
        <v>0</v>
      </c>
      <c r="BM410" s="6" t="s">
        <v>3828</v>
      </c>
      <c r="BN410" s="6" t="s">
        <v>3829</v>
      </c>
      <c r="BO410" s="6" t="s">
        <v>3820</v>
      </c>
      <c r="BP410" s="6" t="s">
        <v>3821</v>
      </c>
      <c r="BQ410" s="6" t="s">
        <v>3830</v>
      </c>
      <c r="BR410" t="s">
        <v>3823</v>
      </c>
      <c r="BS410" t="s">
        <v>3824</v>
      </c>
      <c r="BT410" t="s">
        <v>3825</v>
      </c>
      <c r="BU410" t="s">
        <v>3826</v>
      </c>
      <c r="BV410" t="s">
        <v>3827</v>
      </c>
      <c r="BW410" t="s">
        <v>3835</v>
      </c>
      <c r="BX410">
        <v>0</v>
      </c>
      <c r="BY410" t="s">
        <v>3867</v>
      </c>
      <c r="BZ410" t="s">
        <v>3871</v>
      </c>
    </row>
    <row r="411" spans="1:78" x14ac:dyDescent="0.25">
      <c r="A411" s="7" t="s">
        <v>1726</v>
      </c>
      <c r="B411" s="7" t="s">
        <v>181</v>
      </c>
      <c r="C411" s="7" t="s">
        <v>1724</v>
      </c>
      <c r="D411" s="8" t="s">
        <v>1725</v>
      </c>
      <c r="E411" s="7" t="s">
        <v>1727</v>
      </c>
      <c r="F411" s="9">
        <v>44879</v>
      </c>
      <c r="G411" s="9" t="s">
        <v>527</v>
      </c>
      <c r="H411" s="9" t="s">
        <v>87</v>
      </c>
      <c r="I411" s="8" t="s">
        <v>78</v>
      </c>
      <c r="J411" s="10">
        <v>1463.9</v>
      </c>
      <c r="K411" s="10">
        <v>1463.9</v>
      </c>
      <c r="L411" s="10">
        <f t="shared" si="174"/>
        <v>0</v>
      </c>
      <c r="M411" s="10">
        <v>678.13</v>
      </c>
      <c r="N411" s="10">
        <v>678.13</v>
      </c>
      <c r="O411" s="10">
        <f t="shared" si="175"/>
        <v>0</v>
      </c>
      <c r="P411" s="11">
        <v>7695.9997267572917</v>
      </c>
      <c r="Q411" s="11">
        <v>16613.59031454146</v>
      </c>
      <c r="R411" s="11">
        <v>40000</v>
      </c>
      <c r="S411" s="11">
        <v>11266174</v>
      </c>
      <c r="T411" s="11">
        <v>1351940</v>
      </c>
      <c r="U411" s="12">
        <f t="shared" si="176"/>
        <v>0.11999992189007555</v>
      </c>
      <c r="V411" s="13">
        <f t="shared" si="201"/>
        <v>0</v>
      </c>
      <c r="W411" s="10">
        <f t="shared" si="178"/>
        <v>0</v>
      </c>
      <c r="X411" s="10"/>
      <c r="Y411" s="10"/>
      <c r="Z411" s="11">
        <f t="shared" si="179"/>
        <v>11266174</v>
      </c>
      <c r="AA411" s="14">
        <v>3943160</v>
      </c>
      <c r="AB411" s="14">
        <v>473180</v>
      </c>
      <c r="AC411" s="11">
        <f t="shared" si="180"/>
        <v>7323014</v>
      </c>
      <c r="AD411" s="10">
        <f t="shared" si="181"/>
        <v>300</v>
      </c>
      <c r="AE411" s="15">
        <v>203439</v>
      </c>
      <c r="AF411" s="16">
        <v>36620</v>
      </c>
      <c r="AG411" s="15">
        <f t="shared" si="182"/>
        <v>0</v>
      </c>
      <c r="AH411" s="15">
        <f t="shared" si="183"/>
        <v>0</v>
      </c>
      <c r="AI411" s="15">
        <f t="shared" si="184"/>
        <v>203439</v>
      </c>
      <c r="AJ411" s="15">
        <f t="shared" si="185"/>
        <v>36620</v>
      </c>
      <c r="AK411" s="10">
        <v>203439</v>
      </c>
      <c r="AL411" s="15">
        <f t="shared" si="186"/>
        <v>203439</v>
      </c>
      <c r="AM411" s="15">
        <f t="shared" si="187"/>
        <v>7526453</v>
      </c>
      <c r="AN411" s="15">
        <f t="shared" si="188"/>
        <v>915380</v>
      </c>
      <c r="AO411" s="15">
        <f t="shared" si="193"/>
        <v>1123543</v>
      </c>
      <c r="AP411" s="17">
        <f t="shared" si="189"/>
        <v>8649996</v>
      </c>
      <c r="AQ411" s="15">
        <v>5989625</v>
      </c>
      <c r="AR411" s="15">
        <v>4724</v>
      </c>
      <c r="AS411" s="18">
        <f t="shared" si="194"/>
        <v>2660371</v>
      </c>
      <c r="AT411" s="19">
        <v>0</v>
      </c>
      <c r="AU411" s="8">
        <v>8800</v>
      </c>
      <c r="AV411" s="13">
        <f t="shared" si="195"/>
        <v>5967544</v>
      </c>
      <c r="AW411" s="18">
        <f t="shared" si="196"/>
        <v>7526453</v>
      </c>
      <c r="AX411" s="15">
        <f t="shared" si="190"/>
        <v>7527000</v>
      </c>
      <c r="AY411" s="20">
        <v>0.06</v>
      </c>
      <c r="AZ411" s="13">
        <f t="shared" si="191"/>
        <v>451620</v>
      </c>
      <c r="BA411" s="15">
        <f t="shared" si="192"/>
        <v>451700</v>
      </c>
      <c r="BB411" s="21">
        <f t="shared" si="197"/>
        <v>3112071</v>
      </c>
      <c r="BC411" s="10">
        <f t="shared" si="198"/>
        <v>0</v>
      </c>
      <c r="BD411" s="10">
        <f t="shared" si="199"/>
        <v>0</v>
      </c>
      <c r="BE411" s="10">
        <v>136</v>
      </c>
      <c r="BF411" s="10">
        <v>63</v>
      </c>
      <c r="BG411" s="107">
        <v>46176</v>
      </c>
      <c r="BH411" s="107">
        <f t="shared" si="172"/>
        <v>46206</v>
      </c>
      <c r="BI411" s="23">
        <v>6</v>
      </c>
      <c r="BJ411" s="6"/>
      <c r="BK411" s="6"/>
      <c r="BL411" s="24">
        <f>VLOOKUP(A411,[2]Sheet1!$D$2:$H$933,5,0)</f>
        <v>0</v>
      </c>
      <c r="BM411" s="6" t="s">
        <v>3828</v>
      </c>
      <c r="BN411" s="6" t="s">
        <v>3829</v>
      </c>
      <c r="BO411" s="6" t="s">
        <v>3820</v>
      </c>
      <c r="BP411" s="6" t="s">
        <v>3821</v>
      </c>
      <c r="BQ411" s="6" t="s">
        <v>3830</v>
      </c>
      <c r="BR411" t="s">
        <v>3823</v>
      </c>
      <c r="BS411" t="s">
        <v>3824</v>
      </c>
      <c r="BT411" t="s">
        <v>3825</v>
      </c>
      <c r="BU411" t="s">
        <v>3826</v>
      </c>
      <c r="BV411" t="s">
        <v>3827</v>
      </c>
      <c r="BW411" t="s">
        <v>3835</v>
      </c>
      <c r="BX411">
        <v>0</v>
      </c>
      <c r="BY411" t="s">
        <v>3868</v>
      </c>
      <c r="BZ411" t="s">
        <v>3871</v>
      </c>
    </row>
    <row r="412" spans="1:78" x14ac:dyDescent="0.25">
      <c r="A412" s="7" t="s">
        <v>1731</v>
      </c>
      <c r="B412" s="7" t="s">
        <v>181</v>
      </c>
      <c r="C412" s="7" t="s">
        <v>1729</v>
      </c>
      <c r="D412" s="8" t="s">
        <v>1730</v>
      </c>
      <c r="E412" s="7" t="s">
        <v>1732</v>
      </c>
      <c r="F412" s="9">
        <v>45041</v>
      </c>
      <c r="G412" s="9" t="s">
        <v>527</v>
      </c>
      <c r="H412" s="9" t="s">
        <v>87</v>
      </c>
      <c r="I412" s="8" t="s">
        <v>67</v>
      </c>
      <c r="J412" s="10">
        <v>224.85</v>
      </c>
      <c r="K412" s="10">
        <v>224.85</v>
      </c>
      <c r="L412" s="10">
        <f t="shared" si="174"/>
        <v>0</v>
      </c>
      <c r="M412" s="10">
        <v>89.34</v>
      </c>
      <c r="N412" s="10">
        <v>89.34</v>
      </c>
      <c r="O412" s="10">
        <f t="shared" si="175"/>
        <v>0</v>
      </c>
      <c r="P412" s="11">
        <v>22170.002223704694</v>
      </c>
      <c r="Q412" s="11">
        <v>55797.235280949179</v>
      </c>
      <c r="R412" s="11">
        <v>40000</v>
      </c>
      <c r="S412" s="11">
        <v>4984925</v>
      </c>
      <c r="T412" s="11">
        <v>598192</v>
      </c>
      <c r="U412" s="12">
        <f t="shared" si="176"/>
        <v>0.12000020060482354</v>
      </c>
      <c r="V412" s="13">
        <f t="shared" si="201"/>
        <v>0</v>
      </c>
      <c r="W412" s="10">
        <f t="shared" si="178"/>
        <v>0</v>
      </c>
      <c r="X412" s="10"/>
      <c r="Y412" s="10"/>
      <c r="Z412" s="11">
        <f t="shared" si="179"/>
        <v>4984925</v>
      </c>
      <c r="AA412" s="14"/>
      <c r="AB412" s="14"/>
      <c r="AC412" s="11">
        <f t="shared" si="180"/>
        <v>4984925</v>
      </c>
      <c r="AD412" s="10">
        <f t="shared" si="181"/>
        <v>300</v>
      </c>
      <c r="AE412" s="15">
        <v>26802</v>
      </c>
      <c r="AF412" s="16">
        <v>4824</v>
      </c>
      <c r="AG412" s="15">
        <f t="shared" si="182"/>
        <v>0</v>
      </c>
      <c r="AH412" s="15">
        <f t="shared" si="183"/>
        <v>0</v>
      </c>
      <c r="AI412" s="15">
        <f t="shared" si="184"/>
        <v>26802</v>
      </c>
      <c r="AJ412" s="15">
        <f t="shared" si="185"/>
        <v>4825</v>
      </c>
      <c r="AK412" s="10">
        <v>26802</v>
      </c>
      <c r="AL412" s="15">
        <f t="shared" si="186"/>
        <v>26802</v>
      </c>
      <c r="AM412" s="15">
        <f t="shared" si="187"/>
        <v>5011727</v>
      </c>
      <c r="AN412" s="15">
        <f t="shared" si="188"/>
        <v>603017</v>
      </c>
      <c r="AO412" s="15">
        <f t="shared" si="193"/>
        <v>635139</v>
      </c>
      <c r="AP412" s="17">
        <f t="shared" si="189"/>
        <v>5646866</v>
      </c>
      <c r="AQ412" s="15">
        <v>4097099</v>
      </c>
      <c r="AR412" s="15">
        <v>5320</v>
      </c>
      <c r="AS412" s="18">
        <f t="shared" si="194"/>
        <v>1549767</v>
      </c>
      <c r="AT412" s="19">
        <v>0</v>
      </c>
      <c r="AU412" s="8">
        <v>8800</v>
      </c>
      <c r="AV412" s="13">
        <f t="shared" si="195"/>
        <v>786192</v>
      </c>
      <c r="AW412" s="18">
        <f t="shared" si="196"/>
        <v>5011727</v>
      </c>
      <c r="AX412" s="15">
        <f t="shared" si="190"/>
        <v>5012000</v>
      </c>
      <c r="AY412" s="20">
        <v>7.0000000000000007E-2</v>
      </c>
      <c r="AZ412" s="13">
        <f t="shared" si="191"/>
        <v>350840.00000000006</v>
      </c>
      <c r="BA412" s="15">
        <f t="shared" si="192"/>
        <v>350900</v>
      </c>
      <c r="BB412" s="21">
        <f t="shared" si="197"/>
        <v>1900667</v>
      </c>
      <c r="BC412" s="10">
        <f t="shared" si="198"/>
        <v>0</v>
      </c>
      <c r="BD412" s="10">
        <f t="shared" si="199"/>
        <v>0</v>
      </c>
      <c r="BE412" s="10">
        <v>20.89</v>
      </c>
      <c r="BF412" s="10">
        <v>8.3000000000000007</v>
      </c>
      <c r="BG412" s="107">
        <v>46176</v>
      </c>
      <c r="BH412" s="107">
        <f t="shared" si="172"/>
        <v>46206</v>
      </c>
      <c r="BI412" s="23">
        <v>7</v>
      </c>
      <c r="BJ412" s="6"/>
      <c r="BK412" s="6"/>
      <c r="BL412" s="24">
        <f>VLOOKUP(A412,[2]Sheet1!$D$2:$H$933,5,0)</f>
        <v>0</v>
      </c>
      <c r="BM412" s="6" t="s">
        <v>3828</v>
      </c>
      <c r="BN412" s="6" t="s">
        <v>3829</v>
      </c>
      <c r="BO412" s="6" t="s">
        <v>3820</v>
      </c>
      <c r="BP412" s="6" t="s">
        <v>3821</v>
      </c>
      <c r="BQ412" s="6" t="s">
        <v>3830</v>
      </c>
      <c r="BR412" t="s">
        <v>3823</v>
      </c>
      <c r="BS412" t="s">
        <v>3824</v>
      </c>
      <c r="BT412" t="s">
        <v>3825</v>
      </c>
      <c r="BU412" t="s">
        <v>3826</v>
      </c>
      <c r="BV412" t="s">
        <v>3827</v>
      </c>
      <c r="BW412" t="s">
        <v>3835</v>
      </c>
      <c r="BX412">
        <v>0</v>
      </c>
      <c r="BY412" t="s">
        <v>3862</v>
      </c>
      <c r="BZ412" t="s">
        <v>3871</v>
      </c>
    </row>
    <row r="413" spans="1:78" x14ac:dyDescent="0.25">
      <c r="A413" s="7" t="s">
        <v>1735</v>
      </c>
      <c r="B413" s="7" t="s">
        <v>181</v>
      </c>
      <c r="C413" s="7" t="s">
        <v>1733</v>
      </c>
      <c r="D413" s="8" t="s">
        <v>1734</v>
      </c>
      <c r="E413" s="7" t="s">
        <v>1736</v>
      </c>
      <c r="F413" s="9">
        <v>45041</v>
      </c>
      <c r="G413" s="9" t="s">
        <v>77</v>
      </c>
      <c r="H413" s="9" t="s">
        <v>72</v>
      </c>
      <c r="I413" s="8" t="s">
        <v>78</v>
      </c>
      <c r="J413" s="10">
        <v>1216.33</v>
      </c>
      <c r="K413" s="10">
        <v>1216.33</v>
      </c>
      <c r="L413" s="10">
        <f t="shared" si="174"/>
        <v>0</v>
      </c>
      <c r="M413" s="10">
        <v>561.34</v>
      </c>
      <c r="N413" s="10">
        <v>561.34</v>
      </c>
      <c r="O413" s="10">
        <f t="shared" si="175"/>
        <v>0</v>
      </c>
      <c r="P413" s="11">
        <v>10200</v>
      </c>
      <c r="Q413" s="11">
        <v>22101.695941853421</v>
      </c>
      <c r="R413" s="11">
        <v>20000</v>
      </c>
      <c r="S413" s="11">
        <v>12406566</v>
      </c>
      <c r="T413" s="11">
        <v>1488788</v>
      </c>
      <c r="U413" s="12">
        <f t="shared" si="176"/>
        <v>0.12000000644819848</v>
      </c>
      <c r="V413" s="13">
        <f t="shared" si="201"/>
        <v>0</v>
      </c>
      <c r="W413" s="10">
        <f t="shared" si="178"/>
        <v>0</v>
      </c>
      <c r="X413" s="10"/>
      <c r="Y413" s="10"/>
      <c r="Z413" s="11">
        <f t="shared" si="179"/>
        <v>12406566</v>
      </c>
      <c r="AA413" s="14"/>
      <c r="AB413" s="14"/>
      <c r="AC413" s="11">
        <f t="shared" si="180"/>
        <v>12406566</v>
      </c>
      <c r="AD413" s="10">
        <f t="shared" si="181"/>
        <v>300</v>
      </c>
      <c r="AE413" s="15">
        <v>168402</v>
      </c>
      <c r="AF413" s="16">
        <v>30312</v>
      </c>
      <c r="AG413" s="15">
        <f t="shared" si="182"/>
        <v>0</v>
      </c>
      <c r="AH413" s="15">
        <f t="shared" si="183"/>
        <v>0</v>
      </c>
      <c r="AI413" s="15">
        <f t="shared" si="184"/>
        <v>168402</v>
      </c>
      <c r="AJ413" s="15">
        <f t="shared" si="185"/>
        <v>30313</v>
      </c>
      <c r="AK413" s="10">
        <v>168402</v>
      </c>
      <c r="AL413" s="15">
        <f t="shared" si="186"/>
        <v>168402</v>
      </c>
      <c r="AM413" s="15">
        <f t="shared" si="187"/>
        <v>12574968</v>
      </c>
      <c r="AN413" s="15">
        <f t="shared" si="188"/>
        <v>1519101</v>
      </c>
      <c r="AO413" s="15">
        <f t="shared" si="193"/>
        <v>1691334</v>
      </c>
      <c r="AP413" s="17">
        <f t="shared" si="189"/>
        <v>14266302</v>
      </c>
      <c r="AQ413" s="15">
        <v>12505819</v>
      </c>
      <c r="AR413" s="15">
        <v>3831</v>
      </c>
      <c r="AS413" s="18">
        <f t="shared" si="194"/>
        <v>1760483</v>
      </c>
      <c r="AT413" s="19">
        <v>0</v>
      </c>
      <c r="AU413" s="8">
        <v>8800</v>
      </c>
      <c r="AV413" s="13">
        <f t="shared" si="195"/>
        <v>4939792</v>
      </c>
      <c r="AW413" s="18">
        <f t="shared" si="196"/>
        <v>12574968</v>
      </c>
      <c r="AX413" s="15">
        <f t="shared" si="190"/>
        <v>12575000</v>
      </c>
      <c r="AY413" s="20">
        <v>0.06</v>
      </c>
      <c r="AZ413" s="13">
        <f t="shared" si="191"/>
        <v>754500</v>
      </c>
      <c r="BA413" s="15">
        <f t="shared" si="192"/>
        <v>754500</v>
      </c>
      <c r="BB413" s="21">
        <f t="shared" si="197"/>
        <v>2514983</v>
      </c>
      <c r="BC413" s="10">
        <f t="shared" si="198"/>
        <v>0</v>
      </c>
      <c r="BD413" s="10">
        <f t="shared" si="199"/>
        <v>0</v>
      </c>
      <c r="BE413" s="10">
        <v>113</v>
      </c>
      <c r="BF413" s="10">
        <v>52.15</v>
      </c>
      <c r="BG413" s="107">
        <v>46176</v>
      </c>
      <c r="BH413" s="107">
        <f t="shared" si="172"/>
        <v>46206</v>
      </c>
      <c r="BI413" s="23">
        <v>6</v>
      </c>
      <c r="BJ413" s="6"/>
      <c r="BK413" s="6"/>
      <c r="BL413" s="24">
        <f>VLOOKUP(A413,[2]Sheet1!$D$2:$H$933,5,0)</f>
        <v>0</v>
      </c>
      <c r="BM413" s="6" t="s">
        <v>3828</v>
      </c>
      <c r="BN413" s="6" t="s">
        <v>3829</v>
      </c>
      <c r="BO413" s="6" t="s">
        <v>3820</v>
      </c>
      <c r="BP413" s="6" t="s">
        <v>3821</v>
      </c>
      <c r="BQ413" s="6" t="s">
        <v>3830</v>
      </c>
      <c r="BR413" t="s">
        <v>3823</v>
      </c>
      <c r="BS413" t="s">
        <v>3824</v>
      </c>
      <c r="BT413" t="s">
        <v>3825</v>
      </c>
      <c r="BU413" t="s">
        <v>3826</v>
      </c>
      <c r="BV413" t="s">
        <v>3827</v>
      </c>
      <c r="BW413" t="s">
        <v>3835</v>
      </c>
      <c r="BX413">
        <v>0</v>
      </c>
      <c r="BY413" t="s">
        <v>3861</v>
      </c>
      <c r="BZ413" t="s">
        <v>3863</v>
      </c>
    </row>
    <row r="414" spans="1:78" x14ac:dyDescent="0.25">
      <c r="A414" s="7" t="s">
        <v>1739</v>
      </c>
      <c r="B414" s="7" t="s">
        <v>181</v>
      </c>
      <c r="C414" s="7" t="s">
        <v>1737</v>
      </c>
      <c r="D414" s="8" t="s">
        <v>1738</v>
      </c>
      <c r="E414" s="7" t="s">
        <v>1740</v>
      </c>
      <c r="F414" s="9">
        <v>44995</v>
      </c>
      <c r="G414" s="9" t="s">
        <v>717</v>
      </c>
      <c r="H414" s="9" t="s">
        <v>66</v>
      </c>
      <c r="I414" s="8" t="s">
        <v>78</v>
      </c>
      <c r="J414" s="10">
        <v>1064.1300000000001</v>
      </c>
      <c r="K414" s="10">
        <v>1194.9100000000001</v>
      </c>
      <c r="L414" s="10">
        <f t="shared" si="174"/>
        <v>130.77999999999997</v>
      </c>
      <c r="M414" s="10">
        <v>482.66</v>
      </c>
      <c r="N414" s="10">
        <v>542</v>
      </c>
      <c r="O414" s="10">
        <f t="shared" si="175"/>
        <v>59.339999999999975</v>
      </c>
      <c r="P414" s="11">
        <v>9306.0584702996803</v>
      </c>
      <c r="Q414" s="11">
        <v>20517.250238262957</v>
      </c>
      <c r="R414" s="11">
        <v>22000</v>
      </c>
      <c r="S414" s="11">
        <v>9902856</v>
      </c>
      <c r="T414" s="11">
        <v>1188342</v>
      </c>
      <c r="U414" s="12">
        <f t="shared" si="176"/>
        <v>0.11999992729370194</v>
      </c>
      <c r="V414" s="13">
        <f>L414*R414</f>
        <v>2877159.9999999995</v>
      </c>
      <c r="W414" s="10">
        <f t="shared" si="178"/>
        <v>345258.99081234745</v>
      </c>
      <c r="X414" s="15"/>
      <c r="Y414" s="15"/>
      <c r="Z414" s="11">
        <f t="shared" si="179"/>
        <v>12780016</v>
      </c>
      <c r="AA414" s="14"/>
      <c r="AB414" s="14"/>
      <c r="AC414" s="11">
        <f t="shared" si="180"/>
        <v>12780016</v>
      </c>
      <c r="AD414" s="10">
        <f t="shared" si="181"/>
        <v>300</v>
      </c>
      <c r="AE414" s="15">
        <v>144798</v>
      </c>
      <c r="AF414" s="16">
        <v>26064</v>
      </c>
      <c r="AG414" s="15">
        <f t="shared" si="182"/>
        <v>17801.999999999993</v>
      </c>
      <c r="AH414" s="15">
        <f t="shared" si="183"/>
        <v>3204.3599999999988</v>
      </c>
      <c r="AI414" s="15">
        <f t="shared" si="184"/>
        <v>162600</v>
      </c>
      <c r="AJ414" s="15">
        <f t="shared" si="185"/>
        <v>29268</v>
      </c>
      <c r="AK414" s="10">
        <v>144798</v>
      </c>
      <c r="AL414" s="15">
        <f t="shared" si="186"/>
        <v>162600</v>
      </c>
      <c r="AM414" s="15">
        <f t="shared" si="187"/>
        <v>12942616</v>
      </c>
      <c r="AN414" s="15">
        <f t="shared" si="188"/>
        <v>1562869</v>
      </c>
      <c r="AO414" s="15">
        <f t="shared" si="193"/>
        <v>1729401.44</v>
      </c>
      <c r="AP414" s="17">
        <f t="shared" si="189"/>
        <v>14672017.439999999</v>
      </c>
      <c r="AQ414" s="15">
        <v>8989343</v>
      </c>
      <c r="AR414" s="15">
        <v>3932.44</v>
      </c>
      <c r="AS414" s="18">
        <f t="shared" si="194"/>
        <v>5682674</v>
      </c>
      <c r="AT414" s="19">
        <v>0</v>
      </c>
      <c r="AU414" s="8">
        <v>8800</v>
      </c>
      <c r="AV414" s="13">
        <f t="shared" si="195"/>
        <v>4769600</v>
      </c>
      <c r="AW414" s="18">
        <f t="shared" si="196"/>
        <v>12942616</v>
      </c>
      <c r="AX414" s="15">
        <f t="shared" si="190"/>
        <v>12943000</v>
      </c>
      <c r="AY414" s="20">
        <v>0.05</v>
      </c>
      <c r="AZ414" s="13">
        <f t="shared" si="191"/>
        <v>647150</v>
      </c>
      <c r="BA414" s="15">
        <f t="shared" si="192"/>
        <v>647200</v>
      </c>
      <c r="BB414" s="21">
        <f t="shared" si="197"/>
        <v>6329874</v>
      </c>
      <c r="BC414" s="10">
        <f t="shared" si="198"/>
        <v>12.289851803820959</v>
      </c>
      <c r="BD414" s="10">
        <f t="shared" si="199"/>
        <v>12.294368706750088</v>
      </c>
      <c r="BE414" s="10">
        <v>111.01</v>
      </c>
      <c r="BF414" s="10">
        <v>50.35</v>
      </c>
      <c r="BG414" s="107">
        <v>46176</v>
      </c>
      <c r="BH414" s="107">
        <f t="shared" si="172"/>
        <v>46206</v>
      </c>
      <c r="BI414" s="23">
        <v>5</v>
      </c>
      <c r="BJ414" s="6"/>
      <c r="BK414" s="6"/>
      <c r="BL414" s="24">
        <f>VLOOKUP(A414,[2]Sheet1!$D$2:$H$933,5,0)</f>
        <v>0</v>
      </c>
      <c r="BM414" s="6" t="s">
        <v>3828</v>
      </c>
      <c r="BN414" s="6" t="s">
        <v>3829</v>
      </c>
      <c r="BO414" s="6" t="s">
        <v>3820</v>
      </c>
      <c r="BP414" s="6" t="s">
        <v>3821</v>
      </c>
      <c r="BQ414" s="6" t="s">
        <v>3830</v>
      </c>
      <c r="BR414" t="s">
        <v>3823</v>
      </c>
      <c r="BS414" t="s">
        <v>3824</v>
      </c>
      <c r="BT414" t="s">
        <v>3825</v>
      </c>
      <c r="BU414" t="s">
        <v>3826</v>
      </c>
      <c r="BV414" t="s">
        <v>3827</v>
      </c>
      <c r="BW414" t="s">
        <v>3835</v>
      </c>
      <c r="BX414">
        <v>0</v>
      </c>
      <c r="BY414" t="s">
        <v>3864</v>
      </c>
      <c r="BZ414" t="s">
        <v>3872</v>
      </c>
    </row>
    <row r="415" spans="1:78" x14ac:dyDescent="0.25">
      <c r="A415" s="7" t="s">
        <v>1743</v>
      </c>
      <c r="B415" s="7" t="s">
        <v>181</v>
      </c>
      <c r="C415" s="7" t="s">
        <v>1741</v>
      </c>
      <c r="D415" s="8" t="s">
        <v>1742</v>
      </c>
      <c r="E415" s="7" t="s">
        <v>1744</v>
      </c>
      <c r="F415" s="9">
        <v>44996</v>
      </c>
      <c r="G415" s="9" t="s">
        <v>363</v>
      </c>
      <c r="H415" s="9" t="s">
        <v>87</v>
      </c>
      <c r="I415" s="8" t="s">
        <v>67</v>
      </c>
      <c r="J415" s="10">
        <v>220.06</v>
      </c>
      <c r="K415" s="10">
        <v>220.06</v>
      </c>
      <c r="L415" s="10">
        <f t="shared" si="174"/>
        <v>0</v>
      </c>
      <c r="M415" s="10">
        <v>88.26</v>
      </c>
      <c r="N415" s="10">
        <v>88.26</v>
      </c>
      <c r="O415" s="10">
        <f t="shared" si="175"/>
        <v>0</v>
      </c>
      <c r="P415" s="11">
        <v>22720.998818504046</v>
      </c>
      <c r="Q415" s="11">
        <v>56650.611828687965</v>
      </c>
      <c r="R415" s="11">
        <v>40000</v>
      </c>
      <c r="S415" s="11">
        <v>4999983</v>
      </c>
      <c r="T415" s="11">
        <v>600000</v>
      </c>
      <c r="U415" s="12">
        <f t="shared" si="176"/>
        <v>0.1200004080013872</v>
      </c>
      <c r="V415" s="13">
        <f>L415*P415</f>
        <v>0</v>
      </c>
      <c r="W415" s="10">
        <f t="shared" si="178"/>
        <v>0</v>
      </c>
      <c r="X415" s="10"/>
      <c r="Y415" s="10"/>
      <c r="Z415" s="11">
        <f t="shared" si="179"/>
        <v>4999983</v>
      </c>
      <c r="AA415" s="14"/>
      <c r="AB415" s="14"/>
      <c r="AC415" s="11">
        <f t="shared" si="180"/>
        <v>4999983</v>
      </c>
      <c r="AD415" s="10">
        <f t="shared" si="181"/>
        <v>300</v>
      </c>
      <c r="AE415" s="15">
        <v>26478</v>
      </c>
      <c r="AF415" s="16">
        <v>4766</v>
      </c>
      <c r="AG415" s="15">
        <f t="shared" si="182"/>
        <v>0</v>
      </c>
      <c r="AH415" s="15">
        <f t="shared" si="183"/>
        <v>0</v>
      </c>
      <c r="AI415" s="15">
        <f t="shared" si="184"/>
        <v>26478</v>
      </c>
      <c r="AJ415" s="15">
        <f t="shared" si="185"/>
        <v>4767</v>
      </c>
      <c r="AK415" s="10">
        <v>26478</v>
      </c>
      <c r="AL415" s="15">
        <f t="shared" si="186"/>
        <v>26478</v>
      </c>
      <c r="AM415" s="15">
        <f t="shared" si="187"/>
        <v>5026461</v>
      </c>
      <c r="AN415" s="15">
        <f t="shared" si="188"/>
        <v>604767</v>
      </c>
      <c r="AO415" s="15">
        <f t="shared" si="193"/>
        <v>635842</v>
      </c>
      <c r="AP415" s="17">
        <f t="shared" si="189"/>
        <v>5662303</v>
      </c>
      <c r="AQ415" s="15">
        <v>4592000</v>
      </c>
      <c r="AR415" s="15">
        <v>4597</v>
      </c>
      <c r="AS415" s="18">
        <f t="shared" si="194"/>
        <v>1070303</v>
      </c>
      <c r="AT415" s="19">
        <v>0</v>
      </c>
      <c r="AU415" s="8">
        <v>8800</v>
      </c>
      <c r="AV415" s="13">
        <f t="shared" si="195"/>
        <v>776688</v>
      </c>
      <c r="AW415" s="18">
        <f t="shared" si="196"/>
        <v>5026461</v>
      </c>
      <c r="AX415" s="15">
        <f t="shared" si="190"/>
        <v>5027000</v>
      </c>
      <c r="AY415" s="20">
        <v>0.06</v>
      </c>
      <c r="AZ415" s="13">
        <f t="shared" si="191"/>
        <v>301620</v>
      </c>
      <c r="BA415" s="15">
        <f t="shared" si="192"/>
        <v>301700</v>
      </c>
      <c r="BB415" s="21">
        <f t="shared" si="197"/>
        <v>1372003</v>
      </c>
      <c r="BC415" s="10">
        <f t="shared" si="198"/>
        <v>0</v>
      </c>
      <c r="BD415" s="10">
        <f t="shared" si="199"/>
        <v>0</v>
      </c>
      <c r="BE415" s="10">
        <v>20.440000000000001</v>
      </c>
      <c r="BF415" s="10">
        <v>8.1999999999999993</v>
      </c>
      <c r="BG415" s="107">
        <v>46176</v>
      </c>
      <c r="BH415" s="107">
        <f t="shared" si="172"/>
        <v>46206</v>
      </c>
      <c r="BI415" s="23">
        <v>6</v>
      </c>
      <c r="BJ415" s="6"/>
      <c r="BK415" s="24"/>
      <c r="BL415" s="24">
        <f>VLOOKUP(A415,[2]Sheet1!$D$2:$H$933,5,0)</f>
        <v>0</v>
      </c>
      <c r="BM415" s="6" t="s">
        <v>3828</v>
      </c>
      <c r="BN415" s="6" t="s">
        <v>3829</v>
      </c>
      <c r="BO415" s="6" t="s">
        <v>3820</v>
      </c>
      <c r="BP415" s="6" t="s">
        <v>3821</v>
      </c>
      <c r="BQ415" s="6" t="s">
        <v>3830</v>
      </c>
      <c r="BR415" t="s">
        <v>3823</v>
      </c>
      <c r="BS415" t="s">
        <v>3824</v>
      </c>
      <c r="BT415" t="s">
        <v>3825</v>
      </c>
      <c r="BU415" t="s">
        <v>3826</v>
      </c>
      <c r="BV415" t="s">
        <v>3827</v>
      </c>
      <c r="BW415" t="s">
        <v>3835</v>
      </c>
      <c r="BX415">
        <v>0</v>
      </c>
      <c r="BY415" t="s">
        <v>3870</v>
      </c>
      <c r="BZ415" t="s">
        <v>3860</v>
      </c>
    </row>
    <row r="416" spans="1:78" x14ac:dyDescent="0.25">
      <c r="A416" s="7" t="s">
        <v>1747</v>
      </c>
      <c r="B416" s="7" t="s">
        <v>181</v>
      </c>
      <c r="C416" s="7" t="s">
        <v>1745</v>
      </c>
      <c r="D416" s="8" t="s">
        <v>1746</v>
      </c>
      <c r="E416" s="7" t="s">
        <v>1748</v>
      </c>
      <c r="F416" s="9">
        <v>45251</v>
      </c>
      <c r="G416" s="9" t="s">
        <v>527</v>
      </c>
      <c r="H416" s="9" t="s">
        <v>72</v>
      </c>
      <c r="I416" s="8" t="s">
        <v>78</v>
      </c>
      <c r="J416" s="10">
        <v>570.49</v>
      </c>
      <c r="K416" s="10">
        <v>570.49</v>
      </c>
      <c r="L416" s="10">
        <f t="shared" si="174"/>
        <v>0</v>
      </c>
      <c r="M416" s="10">
        <v>257.26</v>
      </c>
      <c r="N416" s="10">
        <v>257.26</v>
      </c>
      <c r="O416" s="10">
        <f t="shared" si="175"/>
        <v>0</v>
      </c>
      <c r="P416" s="11">
        <v>9922.0003856334024</v>
      </c>
      <c r="Q416" s="11">
        <v>22002.651014537823</v>
      </c>
      <c r="R416" s="11">
        <v>20000</v>
      </c>
      <c r="S416" s="11">
        <v>5660402</v>
      </c>
      <c r="T416" s="11">
        <v>679248</v>
      </c>
      <c r="U416" s="12">
        <f t="shared" si="176"/>
        <v>0.11999995760018459</v>
      </c>
      <c r="V416" s="13">
        <f>L416*P416</f>
        <v>0</v>
      </c>
      <c r="W416" s="10">
        <f t="shared" si="178"/>
        <v>0</v>
      </c>
      <c r="X416" s="10"/>
      <c r="Y416" s="10"/>
      <c r="Z416" s="11">
        <f t="shared" si="179"/>
        <v>5660402</v>
      </c>
      <c r="AA416" s="14"/>
      <c r="AB416" s="14"/>
      <c r="AC416" s="11">
        <f t="shared" si="180"/>
        <v>5660402</v>
      </c>
      <c r="AD416" s="10">
        <f t="shared" si="181"/>
        <v>300</v>
      </c>
      <c r="AE416" s="15">
        <v>77178</v>
      </c>
      <c r="AF416" s="16">
        <v>13892</v>
      </c>
      <c r="AG416" s="15">
        <f t="shared" si="182"/>
        <v>0</v>
      </c>
      <c r="AH416" s="15">
        <f t="shared" si="183"/>
        <v>0</v>
      </c>
      <c r="AI416" s="15">
        <f t="shared" si="184"/>
        <v>77178</v>
      </c>
      <c r="AJ416" s="15">
        <f t="shared" si="185"/>
        <v>13893</v>
      </c>
      <c r="AK416" s="10">
        <v>77178</v>
      </c>
      <c r="AL416" s="15">
        <f t="shared" si="186"/>
        <v>77178</v>
      </c>
      <c r="AM416" s="15">
        <f t="shared" si="187"/>
        <v>5737580</v>
      </c>
      <c r="AN416" s="15">
        <f t="shared" si="188"/>
        <v>693141</v>
      </c>
      <c r="AO416" s="15">
        <f t="shared" si="193"/>
        <v>774362</v>
      </c>
      <c r="AP416" s="17">
        <f t="shared" si="189"/>
        <v>6511942</v>
      </c>
      <c r="AQ416" s="15">
        <v>5654742</v>
      </c>
      <c r="AR416" s="15">
        <v>4043</v>
      </c>
      <c r="AS416" s="18">
        <f t="shared" si="194"/>
        <v>857200</v>
      </c>
      <c r="AT416" s="19">
        <v>0</v>
      </c>
      <c r="AU416" s="8">
        <v>8800</v>
      </c>
      <c r="AV416" s="13">
        <f t="shared" si="195"/>
        <v>2263888</v>
      </c>
      <c r="AW416" s="18">
        <f t="shared" si="196"/>
        <v>5737580</v>
      </c>
      <c r="AX416" s="15">
        <f t="shared" si="190"/>
        <v>5738000</v>
      </c>
      <c r="AY416" s="20">
        <v>7.0000000000000007E-2</v>
      </c>
      <c r="AZ416" s="13">
        <f t="shared" si="191"/>
        <v>401660.00000000006</v>
      </c>
      <c r="BA416" s="15">
        <f t="shared" si="192"/>
        <v>401700</v>
      </c>
      <c r="BB416" s="21">
        <f t="shared" si="197"/>
        <v>1258900</v>
      </c>
      <c r="BC416" s="10">
        <f t="shared" si="198"/>
        <v>0</v>
      </c>
      <c r="BD416" s="10">
        <f t="shared" si="199"/>
        <v>0</v>
      </c>
      <c r="BE416" s="10">
        <v>53</v>
      </c>
      <c r="BF416" s="10">
        <v>23.9</v>
      </c>
      <c r="BG416" s="107">
        <v>46176</v>
      </c>
      <c r="BH416" s="107">
        <f t="shared" si="172"/>
        <v>46206</v>
      </c>
      <c r="BI416" s="23">
        <v>7</v>
      </c>
      <c r="BJ416" s="6"/>
      <c r="BK416" s="6"/>
      <c r="BL416" s="24">
        <f>VLOOKUP(A416,[2]Sheet1!$D$2:$H$933,5,0)</f>
        <v>0</v>
      </c>
      <c r="BM416" s="6" t="s">
        <v>3828</v>
      </c>
      <c r="BN416" s="6" t="s">
        <v>3829</v>
      </c>
      <c r="BO416" s="6" t="s">
        <v>3820</v>
      </c>
      <c r="BP416" s="6" t="s">
        <v>3821</v>
      </c>
      <c r="BQ416" s="6" t="s">
        <v>3830</v>
      </c>
      <c r="BR416" t="s">
        <v>3823</v>
      </c>
      <c r="BS416" t="s">
        <v>3824</v>
      </c>
      <c r="BT416" t="s">
        <v>3825</v>
      </c>
      <c r="BU416" t="s">
        <v>3826</v>
      </c>
      <c r="BV416" t="s">
        <v>3827</v>
      </c>
      <c r="BW416" t="s">
        <v>3835</v>
      </c>
      <c r="BX416">
        <v>0</v>
      </c>
      <c r="BY416" t="s">
        <v>3867</v>
      </c>
      <c r="BZ416" t="s">
        <v>3871</v>
      </c>
    </row>
    <row r="417" spans="1:78" x14ac:dyDescent="0.25">
      <c r="A417" s="74" t="s">
        <v>1751</v>
      </c>
      <c r="B417" s="74" t="s">
        <v>181</v>
      </c>
      <c r="C417" s="74" t="s">
        <v>1749</v>
      </c>
      <c r="D417" s="75" t="s">
        <v>1750</v>
      </c>
      <c r="E417" s="74" t="s">
        <v>1752</v>
      </c>
      <c r="F417" s="76">
        <v>45026</v>
      </c>
      <c r="G417" s="76" t="s">
        <v>65</v>
      </c>
      <c r="H417" s="76" t="s">
        <v>92</v>
      </c>
      <c r="I417" s="75" t="s">
        <v>78</v>
      </c>
      <c r="J417" s="77">
        <v>643.26</v>
      </c>
      <c r="K417" s="77">
        <v>643.26</v>
      </c>
      <c r="L417" s="77">
        <f t="shared" si="174"/>
        <v>0</v>
      </c>
      <c r="M417" s="77">
        <v>288.48</v>
      </c>
      <c r="N417" s="77">
        <v>288.48</v>
      </c>
      <c r="O417" s="77">
        <f t="shared" si="175"/>
        <v>0</v>
      </c>
      <c r="P417" s="78">
        <v>12212.920125610173</v>
      </c>
      <c r="Q417" s="78">
        <v>27232.678175263449</v>
      </c>
      <c r="R417" s="78">
        <v>28000</v>
      </c>
      <c r="S417" s="78">
        <v>7856083</v>
      </c>
      <c r="T417" s="78">
        <v>942730</v>
      </c>
      <c r="U417" s="79">
        <f t="shared" si="176"/>
        <v>0.1200000050915959</v>
      </c>
      <c r="V417" s="80">
        <f>L417*P417</f>
        <v>0</v>
      </c>
      <c r="W417" s="77">
        <f t="shared" si="178"/>
        <v>0</v>
      </c>
      <c r="X417" s="77"/>
      <c r="Y417" s="77"/>
      <c r="Z417" s="78">
        <f t="shared" si="179"/>
        <v>7856083</v>
      </c>
      <c r="AA417" s="81"/>
      <c r="AB417" s="81"/>
      <c r="AC417" s="78">
        <f t="shared" si="180"/>
        <v>7856083</v>
      </c>
      <c r="AD417" s="77">
        <f t="shared" si="181"/>
        <v>300</v>
      </c>
      <c r="AE417" s="82">
        <v>86544</v>
      </c>
      <c r="AF417" s="83">
        <v>15578</v>
      </c>
      <c r="AG417" s="82">
        <f t="shared" si="182"/>
        <v>0</v>
      </c>
      <c r="AH417" s="82">
        <f t="shared" si="183"/>
        <v>0</v>
      </c>
      <c r="AI417" s="82">
        <f t="shared" si="184"/>
        <v>86544</v>
      </c>
      <c r="AJ417" s="82">
        <f t="shared" si="185"/>
        <v>15578</v>
      </c>
      <c r="AK417" s="77">
        <v>86544</v>
      </c>
      <c r="AL417" s="82">
        <f t="shared" si="186"/>
        <v>86544</v>
      </c>
      <c r="AM417" s="82">
        <f t="shared" si="187"/>
        <v>7942627</v>
      </c>
      <c r="AN417" s="82">
        <f t="shared" si="188"/>
        <v>958308</v>
      </c>
      <c r="AO417" s="82">
        <f t="shared" si="193"/>
        <v>1048927</v>
      </c>
      <c r="AP417" s="84">
        <f t="shared" si="189"/>
        <v>8991554</v>
      </c>
      <c r="AQ417" s="82">
        <v>7198399</v>
      </c>
      <c r="AR417" s="15">
        <v>4075</v>
      </c>
      <c r="AS417" s="85">
        <f t="shared" si="194"/>
        <v>1793155</v>
      </c>
      <c r="AT417" s="86">
        <v>0</v>
      </c>
      <c r="AU417" s="75">
        <v>8800</v>
      </c>
      <c r="AV417" s="80">
        <f t="shared" si="195"/>
        <v>2538624</v>
      </c>
      <c r="AW417" s="85">
        <f t="shared" si="196"/>
        <v>7942627</v>
      </c>
      <c r="AX417" s="82">
        <f t="shared" si="190"/>
        <v>7943000</v>
      </c>
      <c r="AY417" s="87">
        <v>7.0000000000000007E-2</v>
      </c>
      <c r="AZ417" s="80">
        <f t="shared" si="191"/>
        <v>556010</v>
      </c>
      <c r="BA417" s="82">
        <f t="shared" si="192"/>
        <v>556100</v>
      </c>
      <c r="BB417" s="88">
        <f t="shared" si="197"/>
        <v>2349255</v>
      </c>
      <c r="BC417" s="77">
        <f t="shared" si="198"/>
        <v>0</v>
      </c>
      <c r="BD417" s="77">
        <f t="shared" si="199"/>
        <v>0</v>
      </c>
      <c r="BE417" s="77">
        <v>59.76</v>
      </c>
      <c r="BF417" s="77">
        <v>26.8</v>
      </c>
      <c r="BG417" s="107">
        <v>46176</v>
      </c>
      <c r="BH417" s="110">
        <f t="shared" si="172"/>
        <v>46206</v>
      </c>
      <c r="BI417" s="89">
        <v>7</v>
      </c>
      <c r="BJ417" s="90"/>
      <c r="BK417" s="90"/>
      <c r="BL417" s="6">
        <f>VLOOKUP(A417,[2]Sheet1!$D$2:$H$933,5,0)</f>
        <v>0</v>
      </c>
      <c r="BM417" s="6" t="s">
        <v>3828</v>
      </c>
      <c r="BN417" s="6" t="s">
        <v>3829</v>
      </c>
      <c r="BO417" s="6" t="s">
        <v>3820</v>
      </c>
      <c r="BP417" s="6" t="s">
        <v>3821</v>
      </c>
      <c r="BQ417" s="6" t="s">
        <v>3830</v>
      </c>
      <c r="BR417" t="s">
        <v>3823</v>
      </c>
      <c r="BS417" t="s">
        <v>3824</v>
      </c>
      <c r="BT417" t="s">
        <v>3825</v>
      </c>
      <c r="BU417" t="s">
        <v>3826</v>
      </c>
      <c r="BV417" t="s">
        <v>3827</v>
      </c>
      <c r="BW417" t="s">
        <v>3835</v>
      </c>
      <c r="BX417">
        <v>0</v>
      </c>
      <c r="BY417" t="s">
        <v>3867</v>
      </c>
      <c r="BZ417" t="s">
        <v>3860</v>
      </c>
    </row>
    <row r="418" spans="1:78" x14ac:dyDescent="0.25">
      <c r="A418" s="7" t="s">
        <v>1755</v>
      </c>
      <c r="B418" s="7" t="s">
        <v>181</v>
      </c>
      <c r="C418" s="7" t="s">
        <v>1753</v>
      </c>
      <c r="D418" s="8" t="s">
        <v>1754</v>
      </c>
      <c r="E418" s="7" t="s">
        <v>1756</v>
      </c>
      <c r="F418" s="9">
        <v>45019</v>
      </c>
      <c r="G418" s="9" t="s">
        <v>717</v>
      </c>
      <c r="H418" s="9" t="s">
        <v>72</v>
      </c>
      <c r="I418" s="8" t="s">
        <v>78</v>
      </c>
      <c r="J418" s="10">
        <v>753.48</v>
      </c>
      <c r="K418" s="10">
        <v>775</v>
      </c>
      <c r="L418" s="10">
        <f t="shared" si="174"/>
        <v>21.519999999999982</v>
      </c>
      <c r="M418" s="10">
        <v>335.3</v>
      </c>
      <c r="N418" s="10">
        <v>350</v>
      </c>
      <c r="O418" s="10">
        <f t="shared" si="175"/>
        <v>14.699999999999989</v>
      </c>
      <c r="P418" s="11">
        <v>8229.0001061740186</v>
      </c>
      <c r="Q418" s="11">
        <v>18492.05785863406</v>
      </c>
      <c r="R418" s="11">
        <v>20000</v>
      </c>
      <c r="S418" s="11">
        <v>6200387</v>
      </c>
      <c r="T418" s="11">
        <v>744046</v>
      </c>
      <c r="U418" s="12">
        <f t="shared" si="176"/>
        <v>0.11999992903668755</v>
      </c>
      <c r="V418" s="13">
        <f>L418*R418</f>
        <v>430399.99999999965</v>
      </c>
      <c r="W418" s="10">
        <f t="shared" si="178"/>
        <v>51647.969457390282</v>
      </c>
      <c r="X418" s="15"/>
      <c r="Y418" s="15"/>
      <c r="Z418" s="11">
        <f t="shared" si="179"/>
        <v>6630787</v>
      </c>
      <c r="AA418" s="14"/>
      <c r="AB418" s="14"/>
      <c r="AC418" s="11">
        <f t="shared" si="180"/>
        <v>6630787</v>
      </c>
      <c r="AD418" s="10">
        <f t="shared" si="181"/>
        <v>300</v>
      </c>
      <c r="AE418" s="15">
        <v>100590</v>
      </c>
      <c r="AF418" s="16">
        <v>18106</v>
      </c>
      <c r="AG418" s="15">
        <f t="shared" si="182"/>
        <v>4409.9999999999964</v>
      </c>
      <c r="AH418" s="15">
        <f t="shared" si="183"/>
        <v>793.79999999999927</v>
      </c>
      <c r="AI418" s="15">
        <f t="shared" si="184"/>
        <v>105000</v>
      </c>
      <c r="AJ418" s="15">
        <f t="shared" si="185"/>
        <v>18900</v>
      </c>
      <c r="AK418" s="10">
        <v>100590</v>
      </c>
      <c r="AL418" s="15">
        <f t="shared" si="186"/>
        <v>105000</v>
      </c>
      <c r="AM418" s="15">
        <f t="shared" si="187"/>
        <v>6735787</v>
      </c>
      <c r="AN418" s="15">
        <f t="shared" si="188"/>
        <v>814594</v>
      </c>
      <c r="AO418" s="15">
        <f t="shared" si="193"/>
        <v>923694</v>
      </c>
      <c r="AP418" s="17">
        <f t="shared" si="189"/>
        <v>7659481</v>
      </c>
      <c r="AQ418" s="15">
        <v>5851469</v>
      </c>
      <c r="AR418" s="15">
        <v>4100</v>
      </c>
      <c r="AS418" s="18">
        <f t="shared" si="194"/>
        <v>1808012</v>
      </c>
      <c r="AT418" s="19">
        <v>0</v>
      </c>
      <c r="AU418" s="8">
        <v>8800</v>
      </c>
      <c r="AV418" s="13">
        <f t="shared" si="195"/>
        <v>3080000</v>
      </c>
      <c r="AW418" s="18">
        <f t="shared" si="196"/>
        <v>6735787</v>
      </c>
      <c r="AX418" s="15">
        <f t="shared" si="190"/>
        <v>6736000</v>
      </c>
      <c r="AY418" s="20">
        <v>0.06</v>
      </c>
      <c r="AZ418" s="13">
        <f t="shared" si="191"/>
        <v>404160</v>
      </c>
      <c r="BA418" s="15">
        <f t="shared" si="192"/>
        <v>404200</v>
      </c>
      <c r="BB418" s="21">
        <f t="shared" si="197"/>
        <v>2212212</v>
      </c>
      <c r="BC418" s="10">
        <f t="shared" si="198"/>
        <v>2.8560811169506795</v>
      </c>
      <c r="BD418" s="10">
        <f t="shared" si="199"/>
        <v>4.384133611691019</v>
      </c>
      <c r="BE418" s="10">
        <v>72</v>
      </c>
      <c r="BF418" s="10">
        <v>32.520000000000003</v>
      </c>
      <c r="BG418" s="107">
        <v>46176</v>
      </c>
      <c r="BH418" s="107">
        <f t="shared" si="172"/>
        <v>46206</v>
      </c>
      <c r="BI418" s="23">
        <v>6</v>
      </c>
      <c r="BJ418" s="6"/>
      <c r="BK418" s="6"/>
      <c r="BL418" s="6">
        <f>VLOOKUP(A418,[2]Sheet1!$D$2:$H$933,5,0)</f>
        <v>0</v>
      </c>
      <c r="BM418" s="6" t="s">
        <v>3828</v>
      </c>
      <c r="BN418" s="6" t="s">
        <v>3829</v>
      </c>
      <c r="BO418" s="6" t="s">
        <v>3820</v>
      </c>
      <c r="BP418" s="6" t="s">
        <v>3821</v>
      </c>
      <c r="BQ418" s="6" t="s">
        <v>3830</v>
      </c>
      <c r="BR418" t="s">
        <v>3823</v>
      </c>
      <c r="BS418" t="s">
        <v>3824</v>
      </c>
      <c r="BT418" t="s">
        <v>3825</v>
      </c>
      <c r="BU418" t="s">
        <v>3826</v>
      </c>
      <c r="BV418" t="s">
        <v>3827</v>
      </c>
      <c r="BW418" t="s">
        <v>3835</v>
      </c>
      <c r="BX418">
        <v>0</v>
      </c>
      <c r="BY418" t="s">
        <v>3864</v>
      </c>
      <c r="BZ418" t="s">
        <v>3872</v>
      </c>
    </row>
    <row r="419" spans="1:78" x14ac:dyDescent="0.25">
      <c r="A419" s="7" t="s">
        <v>1759</v>
      </c>
      <c r="B419" s="7" t="s">
        <v>181</v>
      </c>
      <c r="C419" s="7" t="s">
        <v>1757</v>
      </c>
      <c r="D419" s="8" t="s">
        <v>1758</v>
      </c>
      <c r="E419" s="7" t="s">
        <v>1760</v>
      </c>
      <c r="F419" s="9">
        <v>44970</v>
      </c>
      <c r="G419" s="9" t="s">
        <v>527</v>
      </c>
      <c r="H419" s="9" t="s">
        <v>87</v>
      </c>
      <c r="I419" s="8" t="s">
        <v>78</v>
      </c>
      <c r="J419" s="10">
        <v>875.54</v>
      </c>
      <c r="K419" s="10">
        <v>875.54</v>
      </c>
      <c r="L419" s="10">
        <f t="shared" si="174"/>
        <v>0</v>
      </c>
      <c r="M419" s="10">
        <v>404.73</v>
      </c>
      <c r="N419" s="10">
        <v>404.73</v>
      </c>
      <c r="O419" s="10">
        <f t="shared" si="175"/>
        <v>0</v>
      </c>
      <c r="P419" s="11">
        <v>17175.000571076136</v>
      </c>
      <c r="Q419" s="11">
        <v>37154.15215081659</v>
      </c>
      <c r="R419" s="11">
        <v>40000</v>
      </c>
      <c r="S419" s="11">
        <v>15037400</v>
      </c>
      <c r="T419" s="11">
        <v>1804488</v>
      </c>
      <c r="U419" s="12">
        <f t="shared" si="176"/>
        <v>0.12</v>
      </c>
      <c r="V419" s="13">
        <f>L419*P419</f>
        <v>0</v>
      </c>
      <c r="W419" s="10">
        <f t="shared" si="178"/>
        <v>0</v>
      </c>
      <c r="X419" s="10"/>
      <c r="Y419" s="10"/>
      <c r="Z419" s="11">
        <f t="shared" si="179"/>
        <v>15037400</v>
      </c>
      <c r="AA419" s="14">
        <v>5263090</v>
      </c>
      <c r="AB419" s="14">
        <v>631570</v>
      </c>
      <c r="AC419" s="11">
        <f t="shared" si="180"/>
        <v>9774310</v>
      </c>
      <c r="AD419" s="10">
        <f t="shared" si="181"/>
        <v>300</v>
      </c>
      <c r="AE419" s="15">
        <v>121419</v>
      </c>
      <c r="AF419" s="16">
        <v>21856</v>
      </c>
      <c r="AG419" s="15">
        <f t="shared" si="182"/>
        <v>0</v>
      </c>
      <c r="AH419" s="15">
        <f t="shared" si="183"/>
        <v>0</v>
      </c>
      <c r="AI419" s="15">
        <f t="shared" si="184"/>
        <v>121419</v>
      </c>
      <c r="AJ419" s="15">
        <f t="shared" si="185"/>
        <v>21856</v>
      </c>
      <c r="AK419" s="10">
        <v>121419</v>
      </c>
      <c r="AL419" s="15">
        <f t="shared" si="186"/>
        <v>121419</v>
      </c>
      <c r="AM419" s="15">
        <f t="shared" si="187"/>
        <v>9895729</v>
      </c>
      <c r="AN419" s="15">
        <f t="shared" si="188"/>
        <v>1194774</v>
      </c>
      <c r="AO419" s="15">
        <f t="shared" si="193"/>
        <v>1322314</v>
      </c>
      <c r="AP419" s="17">
        <f t="shared" si="189"/>
        <v>11218043</v>
      </c>
      <c r="AQ419" s="15">
        <v>8031779</v>
      </c>
      <c r="AR419" s="15">
        <v>6121</v>
      </c>
      <c r="AS419" s="18">
        <f t="shared" si="194"/>
        <v>3186264</v>
      </c>
      <c r="AT419" s="19">
        <v>0</v>
      </c>
      <c r="AU419" s="8">
        <v>8800</v>
      </c>
      <c r="AV419" s="13">
        <f t="shared" si="195"/>
        <v>3561624</v>
      </c>
      <c r="AW419" s="18">
        <f t="shared" si="196"/>
        <v>9895729</v>
      </c>
      <c r="AX419" s="15">
        <f t="shared" si="190"/>
        <v>9896000</v>
      </c>
      <c r="AY419" s="20">
        <v>0.06</v>
      </c>
      <c r="AZ419" s="13">
        <f t="shared" si="191"/>
        <v>593760</v>
      </c>
      <c r="BA419" s="15">
        <f t="shared" si="192"/>
        <v>593800</v>
      </c>
      <c r="BB419" s="21">
        <f t="shared" si="197"/>
        <v>3780064</v>
      </c>
      <c r="BC419" s="10">
        <f t="shared" si="198"/>
        <v>0</v>
      </c>
      <c r="BD419" s="10">
        <f t="shared" si="199"/>
        <v>0</v>
      </c>
      <c r="BE419" s="10">
        <v>81.34</v>
      </c>
      <c r="BF419" s="10">
        <v>37.6</v>
      </c>
      <c r="BG419" s="107">
        <v>46176</v>
      </c>
      <c r="BH419" s="107">
        <f t="shared" si="172"/>
        <v>46206</v>
      </c>
      <c r="BI419" s="23">
        <v>6</v>
      </c>
      <c r="BJ419" s="6"/>
      <c r="BK419" s="6"/>
      <c r="BL419" s="6">
        <f>VLOOKUP(A419,[2]Sheet1!$D$2:$H$933,5,0)</f>
        <v>0</v>
      </c>
      <c r="BM419" s="6" t="s">
        <v>3828</v>
      </c>
      <c r="BN419" s="6" t="s">
        <v>3829</v>
      </c>
      <c r="BO419" s="6" t="s">
        <v>3820</v>
      </c>
      <c r="BP419" s="6" t="s">
        <v>3821</v>
      </c>
      <c r="BQ419" s="6" t="s">
        <v>3830</v>
      </c>
      <c r="BR419" t="s">
        <v>3823</v>
      </c>
      <c r="BS419" t="s">
        <v>3824</v>
      </c>
      <c r="BT419" t="s">
        <v>3825</v>
      </c>
      <c r="BU419" t="s">
        <v>3826</v>
      </c>
      <c r="BV419" t="s">
        <v>3827</v>
      </c>
      <c r="BW419" t="s">
        <v>3835</v>
      </c>
      <c r="BX419">
        <v>0</v>
      </c>
      <c r="BY419" t="s">
        <v>3867</v>
      </c>
      <c r="BZ419" t="s">
        <v>3871</v>
      </c>
    </row>
    <row r="420" spans="1:78" x14ac:dyDescent="0.25">
      <c r="A420" s="7" t="s">
        <v>1763</v>
      </c>
      <c r="B420" s="7" t="s">
        <v>181</v>
      </c>
      <c r="C420" s="7" t="s">
        <v>1761</v>
      </c>
      <c r="D420" s="8" t="s">
        <v>1762</v>
      </c>
      <c r="E420" s="7" t="s">
        <v>1764</v>
      </c>
      <c r="F420" s="9">
        <v>45008</v>
      </c>
      <c r="G420" s="9" t="s">
        <v>717</v>
      </c>
      <c r="H420" s="9" t="s">
        <v>92</v>
      </c>
      <c r="I420" s="8" t="s">
        <v>78</v>
      </c>
      <c r="J420" s="10">
        <v>1064.3399999999999</v>
      </c>
      <c r="K420" s="10">
        <v>1096</v>
      </c>
      <c r="L420" s="10">
        <f t="shared" si="174"/>
        <v>31.660000000000082</v>
      </c>
      <c r="M420" s="10">
        <v>482.23</v>
      </c>
      <c r="N420" s="10">
        <v>503</v>
      </c>
      <c r="O420" s="10">
        <f t="shared" si="175"/>
        <v>20.769999999999982</v>
      </c>
      <c r="P420" s="11">
        <v>9700</v>
      </c>
      <c r="Q420" s="11">
        <v>21409.074508014848</v>
      </c>
      <c r="R420" s="11">
        <v>28000</v>
      </c>
      <c r="S420" s="11">
        <v>10324098</v>
      </c>
      <c r="T420" s="11">
        <v>1238892</v>
      </c>
      <c r="U420" s="12">
        <f t="shared" si="176"/>
        <v>0.1200000232465829</v>
      </c>
      <c r="V420" s="13">
        <f>L420*R420</f>
        <v>886480.00000000233</v>
      </c>
      <c r="W420" s="10">
        <f t="shared" si="178"/>
        <v>106377.62060763109</v>
      </c>
      <c r="X420" s="15"/>
      <c r="Y420" s="15"/>
      <c r="Z420" s="11">
        <f t="shared" si="179"/>
        <v>11210578.000000002</v>
      </c>
      <c r="AA420" s="14"/>
      <c r="AB420" s="14"/>
      <c r="AC420" s="11">
        <f t="shared" si="180"/>
        <v>11210578.000000002</v>
      </c>
      <c r="AD420" s="10">
        <f t="shared" si="181"/>
        <v>300</v>
      </c>
      <c r="AE420" s="15">
        <v>144669</v>
      </c>
      <c r="AF420" s="16">
        <v>26040</v>
      </c>
      <c r="AG420" s="15">
        <f t="shared" si="182"/>
        <v>6230.9999999999945</v>
      </c>
      <c r="AH420" s="15">
        <f t="shared" si="183"/>
        <v>1121.579999999999</v>
      </c>
      <c r="AI420" s="15">
        <f t="shared" si="184"/>
        <v>150900</v>
      </c>
      <c r="AJ420" s="15">
        <f t="shared" si="185"/>
        <v>27162</v>
      </c>
      <c r="AK420" s="10">
        <v>144669</v>
      </c>
      <c r="AL420" s="15">
        <f t="shared" si="186"/>
        <v>150900</v>
      </c>
      <c r="AM420" s="15">
        <f t="shared" si="187"/>
        <v>11361478</v>
      </c>
      <c r="AN420" s="15">
        <f t="shared" si="188"/>
        <v>1372432</v>
      </c>
      <c r="AO420" s="15">
        <f t="shared" si="193"/>
        <v>1527630</v>
      </c>
      <c r="AP420" s="17">
        <f t="shared" si="189"/>
        <v>12889108</v>
      </c>
      <c r="AQ420" s="15">
        <v>10314090</v>
      </c>
      <c r="AR420" s="15">
        <v>4298</v>
      </c>
      <c r="AS420" s="18">
        <f t="shared" si="194"/>
        <v>2575018</v>
      </c>
      <c r="AT420" s="19">
        <v>0</v>
      </c>
      <c r="AU420" s="8">
        <v>8800</v>
      </c>
      <c r="AV420" s="13">
        <f t="shared" si="195"/>
        <v>4426400</v>
      </c>
      <c r="AW420" s="18">
        <f t="shared" si="196"/>
        <v>11361478</v>
      </c>
      <c r="AX420" s="15">
        <f t="shared" si="190"/>
        <v>11362000</v>
      </c>
      <c r="AY420" s="20">
        <v>0.06</v>
      </c>
      <c r="AZ420" s="13">
        <f t="shared" si="191"/>
        <v>681720</v>
      </c>
      <c r="BA420" s="15">
        <f t="shared" si="192"/>
        <v>681800</v>
      </c>
      <c r="BB420" s="21">
        <f t="shared" si="197"/>
        <v>3256818</v>
      </c>
      <c r="BC420" s="10">
        <f t="shared" si="198"/>
        <v>2.9746133754251538</v>
      </c>
      <c r="BD420" s="10">
        <f t="shared" si="199"/>
        <v>4.307073388217237</v>
      </c>
      <c r="BE420" s="10">
        <v>101.82</v>
      </c>
      <c r="BF420" s="10">
        <v>46.73</v>
      </c>
      <c r="BG420" s="107">
        <v>46176</v>
      </c>
      <c r="BH420" s="107">
        <f t="shared" si="172"/>
        <v>46206</v>
      </c>
      <c r="BI420" s="23">
        <v>6</v>
      </c>
      <c r="BJ420" s="6"/>
      <c r="BK420" s="6"/>
      <c r="BL420" s="6">
        <f>VLOOKUP(A420,[2]Sheet1!$D$2:$H$933,5,0)</f>
        <v>0</v>
      </c>
      <c r="BM420" s="6" t="s">
        <v>3828</v>
      </c>
      <c r="BN420" s="6" t="s">
        <v>3829</v>
      </c>
      <c r="BO420" s="6" t="s">
        <v>3820</v>
      </c>
      <c r="BP420" s="6" t="s">
        <v>3821</v>
      </c>
      <c r="BQ420" s="6" t="s">
        <v>3830</v>
      </c>
      <c r="BR420" t="s">
        <v>3823</v>
      </c>
      <c r="BS420" t="s">
        <v>3824</v>
      </c>
      <c r="BT420" t="s">
        <v>3825</v>
      </c>
      <c r="BU420" t="s">
        <v>3826</v>
      </c>
      <c r="BV420" t="s">
        <v>3827</v>
      </c>
      <c r="BW420" t="s">
        <v>3835</v>
      </c>
      <c r="BX420">
        <v>0</v>
      </c>
      <c r="BY420" t="s">
        <v>3866</v>
      </c>
      <c r="BZ420" t="s">
        <v>3872</v>
      </c>
    </row>
    <row r="421" spans="1:78" x14ac:dyDescent="0.25">
      <c r="A421" s="7" t="s">
        <v>1767</v>
      </c>
      <c r="B421" s="7" t="s">
        <v>181</v>
      </c>
      <c r="C421" s="7" t="s">
        <v>1765</v>
      </c>
      <c r="D421" s="8" t="s">
        <v>1766</v>
      </c>
      <c r="E421" s="7" t="s">
        <v>1768</v>
      </c>
      <c r="F421" s="9">
        <v>44937</v>
      </c>
      <c r="G421" s="9" t="s">
        <v>527</v>
      </c>
      <c r="H421" s="9" t="s">
        <v>66</v>
      </c>
      <c r="I421" s="8" t="s">
        <v>67</v>
      </c>
      <c r="J421" s="10">
        <v>240.4</v>
      </c>
      <c r="K421" s="10">
        <v>240.4</v>
      </c>
      <c r="L421" s="10">
        <f t="shared" si="174"/>
        <v>0</v>
      </c>
      <c r="M421" s="10">
        <v>85.57</v>
      </c>
      <c r="N421" s="10">
        <v>85.57</v>
      </c>
      <c r="O421" s="10">
        <f t="shared" si="175"/>
        <v>0</v>
      </c>
      <c r="P421" s="11">
        <v>18047.000831946756</v>
      </c>
      <c r="Q421" s="11">
        <v>50701.168633867012</v>
      </c>
      <c r="R421" s="11">
        <v>22000</v>
      </c>
      <c r="S421" s="11">
        <v>4338499</v>
      </c>
      <c r="T421" s="11">
        <v>520620</v>
      </c>
      <c r="U421" s="12">
        <f t="shared" si="176"/>
        <v>0.12000002765933564</v>
      </c>
      <c r="V421" s="13">
        <f t="shared" ref="V421:V430" si="202">L421*P421</f>
        <v>0</v>
      </c>
      <c r="W421" s="10">
        <f t="shared" si="178"/>
        <v>0</v>
      </c>
      <c r="X421" s="10"/>
      <c r="Y421" s="10"/>
      <c r="Z421" s="11">
        <f t="shared" si="179"/>
        <v>4338499</v>
      </c>
      <c r="AA421" s="14">
        <v>449320</v>
      </c>
      <c r="AB421" s="14">
        <v>53918</v>
      </c>
      <c r="AC421" s="11">
        <f t="shared" si="180"/>
        <v>3889179</v>
      </c>
      <c r="AD421" s="10">
        <f t="shared" si="181"/>
        <v>300</v>
      </c>
      <c r="AE421" s="15">
        <v>25671</v>
      </c>
      <c r="AF421" s="16">
        <v>4620</v>
      </c>
      <c r="AG421" s="15">
        <f t="shared" si="182"/>
        <v>0</v>
      </c>
      <c r="AH421" s="15">
        <f t="shared" si="183"/>
        <v>0</v>
      </c>
      <c r="AI421" s="15">
        <f t="shared" si="184"/>
        <v>25670.999999999996</v>
      </c>
      <c r="AJ421" s="15">
        <f t="shared" si="185"/>
        <v>4621</v>
      </c>
      <c r="AK421" s="10">
        <v>25671</v>
      </c>
      <c r="AL421" s="15">
        <f t="shared" si="186"/>
        <v>25670.999999999996</v>
      </c>
      <c r="AM421" s="15">
        <f t="shared" si="187"/>
        <v>3914850</v>
      </c>
      <c r="AN421" s="15">
        <f t="shared" si="188"/>
        <v>471323</v>
      </c>
      <c r="AO421" s="15">
        <f t="shared" si="193"/>
        <v>501141</v>
      </c>
      <c r="AP421" s="17">
        <f t="shared" si="189"/>
        <v>4415991</v>
      </c>
      <c r="AQ421" s="15">
        <v>3869969</v>
      </c>
      <c r="AR421" s="15">
        <v>4147</v>
      </c>
      <c r="AS421" s="18">
        <f t="shared" si="194"/>
        <v>546022</v>
      </c>
      <c r="AT421" s="19">
        <v>0</v>
      </c>
      <c r="AU421" s="8">
        <v>8800</v>
      </c>
      <c r="AV421" s="13">
        <f t="shared" si="195"/>
        <v>753015.99999999988</v>
      </c>
      <c r="AW421" s="18">
        <f t="shared" si="196"/>
        <v>3914850</v>
      </c>
      <c r="AX421" s="15">
        <f t="shared" si="190"/>
        <v>3915000</v>
      </c>
      <c r="AY421" s="20">
        <v>0.06</v>
      </c>
      <c r="AZ421" s="13">
        <f t="shared" si="191"/>
        <v>234900</v>
      </c>
      <c r="BA421" s="15">
        <f t="shared" si="192"/>
        <v>234900</v>
      </c>
      <c r="BB421" s="21">
        <f t="shared" si="197"/>
        <v>780922</v>
      </c>
      <c r="BC421" s="10">
        <f t="shared" si="198"/>
        <v>0</v>
      </c>
      <c r="BD421" s="10">
        <f t="shared" si="199"/>
        <v>0</v>
      </c>
      <c r="BE421" s="10">
        <v>22.33</v>
      </c>
      <c r="BF421" s="10">
        <v>7.95</v>
      </c>
      <c r="BG421" s="107">
        <v>46176</v>
      </c>
      <c r="BH421" s="107">
        <f t="shared" si="172"/>
        <v>46206</v>
      </c>
      <c r="BI421" s="23">
        <v>6</v>
      </c>
      <c r="BJ421" s="6"/>
      <c r="BK421" s="6"/>
      <c r="BL421" s="6">
        <f>VLOOKUP(A421,[2]Sheet1!$D$2:$H$933,5,0)</f>
        <v>0</v>
      </c>
      <c r="BM421" s="6" t="s">
        <v>3828</v>
      </c>
      <c r="BN421" s="6" t="s">
        <v>3829</v>
      </c>
      <c r="BO421" s="6" t="s">
        <v>3820</v>
      </c>
      <c r="BP421" s="6" t="s">
        <v>3821</v>
      </c>
      <c r="BQ421" s="6" t="s">
        <v>3830</v>
      </c>
      <c r="BR421" t="s">
        <v>3823</v>
      </c>
      <c r="BS421" t="s">
        <v>3824</v>
      </c>
      <c r="BT421" t="s">
        <v>3825</v>
      </c>
      <c r="BU421" t="s">
        <v>3826</v>
      </c>
      <c r="BV421" t="s">
        <v>3827</v>
      </c>
      <c r="BW421" t="s">
        <v>3835</v>
      </c>
      <c r="BX421">
        <v>0</v>
      </c>
      <c r="BY421" t="s">
        <v>3867</v>
      </c>
      <c r="BZ421" t="s">
        <v>3871</v>
      </c>
    </row>
    <row r="422" spans="1:78" x14ac:dyDescent="0.25">
      <c r="A422" s="7" t="s">
        <v>1771</v>
      </c>
      <c r="B422" s="7" t="s">
        <v>181</v>
      </c>
      <c r="C422" s="7" t="s">
        <v>1769</v>
      </c>
      <c r="D422" s="8" t="s">
        <v>1770</v>
      </c>
      <c r="E422" s="7" t="s">
        <v>664</v>
      </c>
      <c r="F422" s="9">
        <v>44963</v>
      </c>
      <c r="G422" s="9" t="s">
        <v>65</v>
      </c>
      <c r="H422" s="9" t="s">
        <v>66</v>
      </c>
      <c r="I422" s="8" t="s">
        <v>78</v>
      </c>
      <c r="J422" s="10">
        <v>489.76</v>
      </c>
      <c r="K422" s="10">
        <v>301.11</v>
      </c>
      <c r="L422" s="10">
        <f t="shared" si="174"/>
        <v>-188.64999999999998</v>
      </c>
      <c r="M422" s="10">
        <v>219.59</v>
      </c>
      <c r="N422" s="10">
        <v>135</v>
      </c>
      <c r="O422" s="10">
        <f t="shared" si="175"/>
        <v>-84.59</v>
      </c>
      <c r="P422" s="11">
        <v>7230.9825220516177</v>
      </c>
      <c r="Q422" s="11">
        <v>16127.537683865385</v>
      </c>
      <c r="R422" s="11">
        <v>22000</v>
      </c>
      <c r="S422" s="11">
        <v>3541446</v>
      </c>
      <c r="T422" s="11">
        <v>424974</v>
      </c>
      <c r="U422" s="12">
        <f t="shared" si="176"/>
        <v>0.12000013553785657</v>
      </c>
      <c r="V422" s="13">
        <f t="shared" si="202"/>
        <v>-1364124.8527850376</v>
      </c>
      <c r="W422" s="10">
        <f t="shared" si="178"/>
        <v>-163695.16722476316</v>
      </c>
      <c r="X422" s="15"/>
      <c r="Y422" s="15"/>
      <c r="Z422" s="11">
        <f t="shared" si="179"/>
        <v>2177321.1472149622</v>
      </c>
      <c r="AA422" s="14"/>
      <c r="AB422" s="14"/>
      <c r="AC422" s="11">
        <f t="shared" si="180"/>
        <v>2177321.1472149622</v>
      </c>
      <c r="AD422" s="10">
        <f t="shared" si="181"/>
        <v>300</v>
      </c>
      <c r="AE422" s="15">
        <v>65877</v>
      </c>
      <c r="AF422" s="16">
        <v>11858</v>
      </c>
      <c r="AG422" s="15">
        <f t="shared" si="182"/>
        <v>-25377</v>
      </c>
      <c r="AH422" s="15">
        <f t="shared" si="183"/>
        <v>-4567.8599999999997</v>
      </c>
      <c r="AI422" s="15">
        <f t="shared" si="184"/>
        <v>40500</v>
      </c>
      <c r="AJ422" s="15">
        <f t="shared" si="185"/>
        <v>7290</v>
      </c>
      <c r="AK422" s="10">
        <v>65877</v>
      </c>
      <c r="AL422" s="15">
        <f t="shared" si="186"/>
        <v>40500</v>
      </c>
      <c r="AM422" s="15">
        <f t="shared" si="187"/>
        <v>2217821</v>
      </c>
      <c r="AN422" s="15">
        <f t="shared" si="188"/>
        <v>268569</v>
      </c>
      <c r="AO422" s="15">
        <f t="shared" si="193"/>
        <v>316683</v>
      </c>
      <c r="AP422" s="17">
        <f t="shared" si="189"/>
        <v>2534504</v>
      </c>
      <c r="AQ422" s="15">
        <v>1613720</v>
      </c>
      <c r="AR422" s="15">
        <v>7614</v>
      </c>
      <c r="AS422" s="18">
        <f t="shared" si="194"/>
        <v>920784</v>
      </c>
      <c r="AT422" s="19">
        <v>0</v>
      </c>
      <c r="AU422" s="8">
        <v>8800</v>
      </c>
      <c r="AV422" s="13">
        <f t="shared" si="195"/>
        <v>1188000</v>
      </c>
      <c r="AW422" s="18">
        <f t="shared" si="196"/>
        <v>2217821</v>
      </c>
      <c r="AX422" s="15">
        <f t="shared" si="190"/>
        <v>2218000</v>
      </c>
      <c r="AY422" s="20">
        <v>0.06</v>
      </c>
      <c r="AZ422" s="13">
        <f t="shared" si="191"/>
        <v>133080</v>
      </c>
      <c r="BA422" s="15">
        <f t="shared" si="192"/>
        <v>133100</v>
      </c>
      <c r="BB422" s="21">
        <f t="shared" si="197"/>
        <v>1053884</v>
      </c>
      <c r="BC422" s="10">
        <f t="shared" si="198"/>
        <v>-38.518866383534792</v>
      </c>
      <c r="BD422" s="10">
        <f t="shared" si="199"/>
        <v>-38.521790609772758</v>
      </c>
      <c r="BE422" s="10">
        <v>27.97</v>
      </c>
      <c r="BF422" s="10">
        <v>12.54</v>
      </c>
      <c r="BG422" s="107">
        <v>46176</v>
      </c>
      <c r="BH422" s="107">
        <f t="shared" si="172"/>
        <v>46206</v>
      </c>
      <c r="BI422" s="23">
        <v>6</v>
      </c>
      <c r="BJ422" s="6"/>
      <c r="BK422" s="6"/>
      <c r="BL422" s="6">
        <f>VLOOKUP(A422,[2]Sheet1!$D$2:$H$933,5,0)</f>
        <v>0</v>
      </c>
      <c r="BM422" s="6" t="s">
        <v>3828</v>
      </c>
      <c r="BN422" s="6" t="s">
        <v>3829</v>
      </c>
      <c r="BO422" s="6" t="s">
        <v>3820</v>
      </c>
      <c r="BP422" s="6" t="s">
        <v>3821</v>
      </c>
      <c r="BQ422" s="6" t="s">
        <v>3830</v>
      </c>
      <c r="BR422" t="s">
        <v>3823</v>
      </c>
      <c r="BS422" t="s">
        <v>3824</v>
      </c>
      <c r="BT422" t="s">
        <v>3825</v>
      </c>
      <c r="BU422" t="s">
        <v>3826</v>
      </c>
      <c r="BV422" t="s">
        <v>3827</v>
      </c>
      <c r="BW422" t="s">
        <v>3835</v>
      </c>
      <c r="BX422" s="101">
        <v>167658.56127999999</v>
      </c>
      <c r="BY422" t="s">
        <v>3864</v>
      </c>
      <c r="BZ422" t="s">
        <v>3860</v>
      </c>
    </row>
    <row r="423" spans="1:78" x14ac:dyDescent="0.25">
      <c r="A423" s="7" t="s">
        <v>1774</v>
      </c>
      <c r="B423" s="7" t="s">
        <v>181</v>
      </c>
      <c r="C423" s="7" t="s">
        <v>1772</v>
      </c>
      <c r="D423" s="8" t="s">
        <v>1773</v>
      </c>
      <c r="E423" s="7" t="s">
        <v>1775</v>
      </c>
      <c r="F423" s="9">
        <v>45019</v>
      </c>
      <c r="G423" s="9" t="s">
        <v>363</v>
      </c>
      <c r="H423" s="9" t="s">
        <v>87</v>
      </c>
      <c r="I423" s="8" t="s">
        <v>67</v>
      </c>
      <c r="J423" s="10">
        <v>220.06</v>
      </c>
      <c r="K423" s="10">
        <v>220.06</v>
      </c>
      <c r="L423" s="10">
        <f t="shared" si="174"/>
        <v>0</v>
      </c>
      <c r="M423" s="10">
        <v>88.26</v>
      </c>
      <c r="N423" s="10">
        <v>88.26</v>
      </c>
      <c r="O423" s="10">
        <f t="shared" si="175"/>
        <v>0</v>
      </c>
      <c r="P423" s="11">
        <v>17000</v>
      </c>
      <c r="Q423" s="11">
        <v>42386.358486290505</v>
      </c>
      <c r="R423" s="11">
        <v>40000</v>
      </c>
      <c r="S423" s="11">
        <v>3741020</v>
      </c>
      <c r="T423" s="11">
        <v>448922</v>
      </c>
      <c r="U423" s="12">
        <f t="shared" si="176"/>
        <v>0.11999989307728909</v>
      </c>
      <c r="V423" s="13">
        <f t="shared" si="202"/>
        <v>0</v>
      </c>
      <c r="W423" s="10">
        <f t="shared" si="178"/>
        <v>0</v>
      </c>
      <c r="X423" s="10"/>
      <c r="Y423" s="10"/>
      <c r="Z423" s="11">
        <f t="shared" si="179"/>
        <v>3741020</v>
      </c>
      <c r="AA423" s="14"/>
      <c r="AB423" s="14"/>
      <c r="AC423" s="11">
        <f t="shared" si="180"/>
        <v>3741020</v>
      </c>
      <c r="AD423" s="10">
        <f t="shared" si="181"/>
        <v>300</v>
      </c>
      <c r="AE423" s="15">
        <v>26478</v>
      </c>
      <c r="AF423" s="16">
        <v>4766</v>
      </c>
      <c r="AG423" s="15">
        <f t="shared" si="182"/>
        <v>0</v>
      </c>
      <c r="AH423" s="15">
        <f t="shared" si="183"/>
        <v>0</v>
      </c>
      <c r="AI423" s="15">
        <f t="shared" si="184"/>
        <v>26478</v>
      </c>
      <c r="AJ423" s="15">
        <f t="shared" si="185"/>
        <v>4767</v>
      </c>
      <c r="AK423" s="10">
        <v>26478</v>
      </c>
      <c r="AL423" s="15">
        <f t="shared" si="186"/>
        <v>26478</v>
      </c>
      <c r="AM423" s="15">
        <f t="shared" si="187"/>
        <v>3767498</v>
      </c>
      <c r="AN423" s="15">
        <f t="shared" si="188"/>
        <v>453689</v>
      </c>
      <c r="AO423" s="15">
        <f t="shared" si="193"/>
        <v>484332</v>
      </c>
      <c r="AP423" s="17">
        <f t="shared" si="189"/>
        <v>4251830</v>
      </c>
      <c r="AQ423" s="15">
        <v>3770948</v>
      </c>
      <c r="AR423" s="15">
        <v>4165</v>
      </c>
      <c r="AS423" s="18">
        <f t="shared" si="194"/>
        <v>480882</v>
      </c>
      <c r="AT423" s="19">
        <v>0</v>
      </c>
      <c r="AU423" s="8">
        <v>8800</v>
      </c>
      <c r="AV423" s="13">
        <f t="shared" si="195"/>
        <v>776688</v>
      </c>
      <c r="AW423" s="18">
        <f t="shared" si="196"/>
        <v>3767498</v>
      </c>
      <c r="AX423" s="15">
        <f t="shared" si="190"/>
        <v>3768000</v>
      </c>
      <c r="AY423" s="20">
        <v>0.05</v>
      </c>
      <c r="AZ423" s="13">
        <f t="shared" si="191"/>
        <v>188400</v>
      </c>
      <c r="BA423" s="15">
        <f t="shared" si="192"/>
        <v>188400</v>
      </c>
      <c r="BB423" s="21">
        <f t="shared" si="197"/>
        <v>669282</v>
      </c>
      <c r="BC423" s="10">
        <f t="shared" si="198"/>
        <v>0</v>
      </c>
      <c r="BD423" s="10">
        <f t="shared" si="199"/>
        <v>0</v>
      </c>
      <c r="BE423" s="10">
        <v>20.440000000000001</v>
      </c>
      <c r="BF423" s="10">
        <v>8.1999999999999993</v>
      </c>
      <c r="BG423" s="107">
        <v>46176</v>
      </c>
      <c r="BH423" s="107">
        <f t="shared" si="172"/>
        <v>46206</v>
      </c>
      <c r="BI423" s="23">
        <v>5</v>
      </c>
      <c r="BJ423" s="6"/>
      <c r="BK423" s="6"/>
      <c r="BL423" s="6">
        <f>VLOOKUP(A423,[2]Sheet1!$D$2:$H$933,5,0)</f>
        <v>0</v>
      </c>
      <c r="BM423" s="6" t="s">
        <v>3828</v>
      </c>
      <c r="BN423" s="6" t="s">
        <v>3829</v>
      </c>
      <c r="BO423" s="6" t="s">
        <v>3820</v>
      </c>
      <c r="BP423" s="6" t="s">
        <v>3821</v>
      </c>
      <c r="BQ423" s="6" t="s">
        <v>3830</v>
      </c>
      <c r="BR423" t="s">
        <v>3823</v>
      </c>
      <c r="BS423" t="s">
        <v>3824</v>
      </c>
      <c r="BT423" t="s">
        <v>3825</v>
      </c>
      <c r="BU423" t="s">
        <v>3826</v>
      </c>
      <c r="BV423" t="s">
        <v>3827</v>
      </c>
      <c r="BW423" t="s">
        <v>3835</v>
      </c>
      <c r="BX423">
        <v>0</v>
      </c>
      <c r="BY423" t="s">
        <v>3866</v>
      </c>
      <c r="BZ423" t="s">
        <v>3860</v>
      </c>
    </row>
    <row r="424" spans="1:78" x14ac:dyDescent="0.25">
      <c r="A424" s="7" t="s">
        <v>1778</v>
      </c>
      <c r="B424" s="7" t="s">
        <v>181</v>
      </c>
      <c r="C424" s="7" t="s">
        <v>1776</v>
      </c>
      <c r="D424" s="8" t="s">
        <v>1777</v>
      </c>
      <c r="E424" s="7" t="s">
        <v>1779</v>
      </c>
      <c r="F424" s="9">
        <v>44894</v>
      </c>
      <c r="G424" s="9" t="s">
        <v>404</v>
      </c>
      <c r="H424" s="9" t="s">
        <v>66</v>
      </c>
      <c r="I424" s="8" t="s">
        <v>78</v>
      </c>
      <c r="J424" s="10">
        <v>653.59</v>
      </c>
      <c r="K424" s="10">
        <v>653.59</v>
      </c>
      <c r="L424" s="10">
        <f t="shared" si="174"/>
        <v>0</v>
      </c>
      <c r="M424" s="10">
        <v>295.47000000000003</v>
      </c>
      <c r="N424" s="10">
        <v>295.47000000000003</v>
      </c>
      <c r="O424" s="10">
        <f t="shared" si="175"/>
        <v>0</v>
      </c>
      <c r="P424" s="11">
        <v>12030.00045900335</v>
      </c>
      <c r="Q424" s="11">
        <v>26610.782820590921</v>
      </c>
      <c r="R424" s="11">
        <v>22000</v>
      </c>
      <c r="S424" s="11">
        <v>7862688</v>
      </c>
      <c r="T424" s="11">
        <v>943524</v>
      </c>
      <c r="U424" s="12">
        <f t="shared" si="176"/>
        <v>0.1200001831434746</v>
      </c>
      <c r="V424" s="13">
        <f t="shared" si="202"/>
        <v>0</v>
      </c>
      <c r="W424" s="10">
        <f t="shared" si="178"/>
        <v>0</v>
      </c>
      <c r="X424" s="10"/>
      <c r="Y424" s="10"/>
      <c r="Z424" s="11">
        <f t="shared" si="179"/>
        <v>7862688</v>
      </c>
      <c r="AA424" s="14">
        <v>1505767</v>
      </c>
      <c r="AB424" s="14">
        <v>180692</v>
      </c>
      <c r="AC424" s="11">
        <f t="shared" si="180"/>
        <v>6356921</v>
      </c>
      <c r="AD424" s="10">
        <f t="shared" si="181"/>
        <v>300</v>
      </c>
      <c r="AE424" s="15">
        <v>88641</v>
      </c>
      <c r="AF424" s="16">
        <v>15956</v>
      </c>
      <c r="AG424" s="15">
        <f t="shared" si="182"/>
        <v>0</v>
      </c>
      <c r="AH424" s="15">
        <f t="shared" si="183"/>
        <v>0</v>
      </c>
      <c r="AI424" s="15">
        <f t="shared" si="184"/>
        <v>88641.000000000015</v>
      </c>
      <c r="AJ424" s="15">
        <f t="shared" si="185"/>
        <v>15956</v>
      </c>
      <c r="AK424" s="10">
        <v>88641</v>
      </c>
      <c r="AL424" s="15">
        <f t="shared" si="186"/>
        <v>88641.000000000015</v>
      </c>
      <c r="AM424" s="15">
        <f t="shared" si="187"/>
        <v>6445562</v>
      </c>
      <c r="AN424" s="15">
        <f t="shared" si="188"/>
        <v>778788</v>
      </c>
      <c r="AO424" s="15">
        <f t="shared" si="193"/>
        <v>872213</v>
      </c>
      <c r="AP424" s="17">
        <f t="shared" si="189"/>
        <v>7317775</v>
      </c>
      <c r="AQ424" s="15">
        <v>5623105</v>
      </c>
      <c r="AR424" s="15">
        <v>4784</v>
      </c>
      <c r="AS424" s="18">
        <f t="shared" si="194"/>
        <v>1694670</v>
      </c>
      <c r="AT424" s="19">
        <v>0</v>
      </c>
      <c r="AU424" s="8">
        <v>8800</v>
      </c>
      <c r="AV424" s="13">
        <f t="shared" si="195"/>
        <v>2600136.0000000005</v>
      </c>
      <c r="AW424" s="18">
        <f t="shared" si="196"/>
        <v>6445562</v>
      </c>
      <c r="AX424" s="15">
        <f t="shared" si="190"/>
        <v>6446000</v>
      </c>
      <c r="AY424" s="20">
        <v>0.05</v>
      </c>
      <c r="AZ424" s="13">
        <f t="shared" si="191"/>
        <v>322300</v>
      </c>
      <c r="BA424" s="15">
        <f t="shared" si="192"/>
        <v>322300</v>
      </c>
      <c r="BB424" s="21">
        <f t="shared" si="197"/>
        <v>2016970</v>
      </c>
      <c r="BC424" s="10">
        <f t="shared" si="198"/>
        <v>0</v>
      </c>
      <c r="BD424" s="10">
        <f t="shared" si="199"/>
        <v>0</v>
      </c>
      <c r="BE424" s="10">
        <v>60.72</v>
      </c>
      <c r="BF424" s="10">
        <v>27.45</v>
      </c>
      <c r="BG424" s="107">
        <v>46176</v>
      </c>
      <c r="BH424" s="107">
        <f t="shared" si="172"/>
        <v>46206</v>
      </c>
      <c r="BI424" s="23">
        <v>5</v>
      </c>
      <c r="BJ424" s="6"/>
      <c r="BK424" s="6"/>
      <c r="BL424" s="6">
        <f>VLOOKUP(A424,[2]Sheet1!$D$2:$H$933,5,0)</f>
        <v>0</v>
      </c>
      <c r="BM424" s="6" t="s">
        <v>3828</v>
      </c>
      <c r="BN424" s="6" t="s">
        <v>3829</v>
      </c>
      <c r="BO424" s="6" t="s">
        <v>3820</v>
      </c>
      <c r="BP424" s="6" t="s">
        <v>3821</v>
      </c>
      <c r="BQ424" s="6" t="s">
        <v>3830</v>
      </c>
      <c r="BR424" t="s">
        <v>3823</v>
      </c>
      <c r="BS424" t="s">
        <v>3824</v>
      </c>
      <c r="BT424" t="s">
        <v>3825</v>
      </c>
      <c r="BU424" t="s">
        <v>3826</v>
      </c>
      <c r="BV424" t="s">
        <v>3827</v>
      </c>
      <c r="BW424" t="s">
        <v>3835</v>
      </c>
      <c r="BX424">
        <v>0</v>
      </c>
      <c r="BY424" t="s">
        <v>3861</v>
      </c>
      <c r="BZ424" t="s">
        <v>3863</v>
      </c>
    </row>
    <row r="425" spans="1:78" x14ac:dyDescent="0.25">
      <c r="A425" s="7" t="s">
        <v>1782</v>
      </c>
      <c r="B425" s="7" t="s">
        <v>181</v>
      </c>
      <c r="C425" s="7" t="s">
        <v>1780</v>
      </c>
      <c r="D425" s="8" t="s">
        <v>1781</v>
      </c>
      <c r="E425" s="7" t="s">
        <v>1783</v>
      </c>
      <c r="F425" s="9">
        <v>44925</v>
      </c>
      <c r="G425" s="9" t="s">
        <v>527</v>
      </c>
      <c r="H425" s="9" t="s">
        <v>72</v>
      </c>
      <c r="I425" s="8" t="s">
        <v>78</v>
      </c>
      <c r="J425" s="10">
        <v>556.5</v>
      </c>
      <c r="K425" s="10">
        <v>556.5</v>
      </c>
      <c r="L425" s="10">
        <f t="shared" si="174"/>
        <v>0</v>
      </c>
      <c r="M425" s="10">
        <v>257.26</v>
      </c>
      <c r="N425" s="10">
        <v>257.26</v>
      </c>
      <c r="O425" s="10">
        <f t="shared" si="175"/>
        <v>0</v>
      </c>
      <c r="P425" s="11">
        <v>9585.0008984725973</v>
      </c>
      <c r="Q425" s="11">
        <v>20734.093912773071</v>
      </c>
      <c r="R425" s="11">
        <v>20000</v>
      </c>
      <c r="S425" s="11">
        <v>5334053</v>
      </c>
      <c r="T425" s="11">
        <v>640088</v>
      </c>
      <c r="U425" s="12">
        <f t="shared" si="176"/>
        <v>0.12000030745851231</v>
      </c>
      <c r="V425" s="13">
        <f t="shared" si="202"/>
        <v>0</v>
      </c>
      <c r="W425" s="10">
        <f t="shared" si="178"/>
        <v>0</v>
      </c>
      <c r="X425" s="10"/>
      <c r="Y425" s="10"/>
      <c r="Z425" s="11">
        <f t="shared" si="179"/>
        <v>5334053</v>
      </c>
      <c r="AA425" s="14"/>
      <c r="AB425" s="14"/>
      <c r="AC425" s="11">
        <f t="shared" si="180"/>
        <v>5334053</v>
      </c>
      <c r="AD425" s="10">
        <f t="shared" si="181"/>
        <v>300</v>
      </c>
      <c r="AE425" s="15">
        <v>77178</v>
      </c>
      <c r="AF425" s="16">
        <v>13892</v>
      </c>
      <c r="AG425" s="15">
        <f t="shared" si="182"/>
        <v>0</v>
      </c>
      <c r="AH425" s="15">
        <f t="shared" si="183"/>
        <v>0</v>
      </c>
      <c r="AI425" s="15">
        <f t="shared" si="184"/>
        <v>77178</v>
      </c>
      <c r="AJ425" s="15">
        <f t="shared" si="185"/>
        <v>13893</v>
      </c>
      <c r="AK425" s="10">
        <v>77178</v>
      </c>
      <c r="AL425" s="15">
        <f t="shared" si="186"/>
        <v>77178</v>
      </c>
      <c r="AM425" s="15">
        <f t="shared" si="187"/>
        <v>5411231</v>
      </c>
      <c r="AN425" s="15">
        <f t="shared" si="188"/>
        <v>653981</v>
      </c>
      <c r="AO425" s="15">
        <f t="shared" si="193"/>
        <v>737438</v>
      </c>
      <c r="AP425" s="17">
        <f t="shared" si="189"/>
        <v>6148669</v>
      </c>
      <c r="AQ425" s="15">
        <v>4113503</v>
      </c>
      <c r="AR425" s="15">
        <v>6279</v>
      </c>
      <c r="AS425" s="18">
        <f t="shared" si="194"/>
        <v>2035166</v>
      </c>
      <c r="AT425" s="19">
        <v>0</v>
      </c>
      <c r="AU425" s="8">
        <v>8800</v>
      </c>
      <c r="AV425" s="13">
        <f t="shared" si="195"/>
        <v>2263888</v>
      </c>
      <c r="AW425" s="18">
        <f t="shared" si="196"/>
        <v>5411231</v>
      </c>
      <c r="AX425" s="15">
        <f t="shared" si="190"/>
        <v>5412000</v>
      </c>
      <c r="AY425" s="20">
        <v>0.05</v>
      </c>
      <c r="AZ425" s="13">
        <f t="shared" si="191"/>
        <v>270600</v>
      </c>
      <c r="BA425" s="15">
        <f t="shared" si="192"/>
        <v>270600</v>
      </c>
      <c r="BB425" s="21">
        <f t="shared" si="197"/>
        <v>2305766</v>
      </c>
      <c r="BC425" s="10">
        <f t="shared" si="198"/>
        <v>0</v>
      </c>
      <c r="BD425" s="10">
        <f t="shared" si="199"/>
        <v>0</v>
      </c>
      <c r="BE425" s="10">
        <v>51.7</v>
      </c>
      <c r="BF425" s="10">
        <v>23.9</v>
      </c>
      <c r="BG425" s="107">
        <v>46176</v>
      </c>
      <c r="BH425" s="107">
        <f t="shared" si="172"/>
        <v>46206</v>
      </c>
      <c r="BI425" s="23">
        <v>5</v>
      </c>
      <c r="BJ425" s="6"/>
      <c r="BK425" s="6"/>
      <c r="BL425" s="6">
        <f>VLOOKUP(A425,[2]Sheet1!$D$2:$H$933,5,0)</f>
        <v>0</v>
      </c>
      <c r="BM425" s="6" t="s">
        <v>3828</v>
      </c>
      <c r="BN425" s="6" t="s">
        <v>3829</v>
      </c>
      <c r="BO425" s="6" t="s">
        <v>3820</v>
      </c>
      <c r="BP425" s="6" t="s">
        <v>3821</v>
      </c>
      <c r="BQ425" s="6" t="s">
        <v>3830</v>
      </c>
      <c r="BR425" t="s">
        <v>3823</v>
      </c>
      <c r="BS425" t="s">
        <v>3824</v>
      </c>
      <c r="BT425" t="s">
        <v>3825</v>
      </c>
      <c r="BU425" t="s">
        <v>3826</v>
      </c>
      <c r="BV425" t="s">
        <v>3827</v>
      </c>
      <c r="BW425" t="s">
        <v>3835</v>
      </c>
      <c r="BX425">
        <v>0</v>
      </c>
      <c r="BY425" t="s">
        <v>3869</v>
      </c>
      <c r="BZ425" t="s">
        <v>3871</v>
      </c>
    </row>
    <row r="426" spans="1:78" x14ac:dyDescent="0.25">
      <c r="A426" s="7" t="s">
        <v>1786</v>
      </c>
      <c r="B426" s="7" t="s">
        <v>181</v>
      </c>
      <c r="C426" s="7" t="s">
        <v>1784</v>
      </c>
      <c r="D426" s="8" t="s">
        <v>1785</v>
      </c>
      <c r="E426" s="7" t="s">
        <v>1787</v>
      </c>
      <c r="F426" s="9">
        <v>45016</v>
      </c>
      <c r="G426" s="9" t="s">
        <v>404</v>
      </c>
      <c r="H426" s="9" t="s">
        <v>72</v>
      </c>
      <c r="I426" s="8" t="s">
        <v>78</v>
      </c>
      <c r="J426" s="10">
        <v>1000.19</v>
      </c>
      <c r="K426" s="10">
        <v>1000.19</v>
      </c>
      <c r="L426" s="10">
        <f t="shared" si="174"/>
        <v>0</v>
      </c>
      <c r="M426" s="10">
        <v>457.47</v>
      </c>
      <c r="N426" s="10">
        <v>457.47</v>
      </c>
      <c r="O426" s="10">
        <f t="shared" si="175"/>
        <v>0</v>
      </c>
      <c r="P426" s="11">
        <v>9500</v>
      </c>
      <c r="Q426" s="11">
        <v>20770.334666754105</v>
      </c>
      <c r="R426" s="11">
        <v>20000</v>
      </c>
      <c r="S426" s="11">
        <v>9501805</v>
      </c>
      <c r="T426" s="11">
        <v>1140218</v>
      </c>
      <c r="U426" s="12">
        <f t="shared" si="176"/>
        <v>0.12000014734042637</v>
      </c>
      <c r="V426" s="13">
        <f t="shared" si="202"/>
        <v>0</v>
      </c>
      <c r="W426" s="10">
        <f t="shared" si="178"/>
        <v>0</v>
      </c>
      <c r="X426" s="10"/>
      <c r="Y426" s="10"/>
      <c r="Z426" s="11">
        <f t="shared" si="179"/>
        <v>9501805</v>
      </c>
      <c r="AA426" s="14"/>
      <c r="AB426" s="14"/>
      <c r="AC426" s="11">
        <f t="shared" si="180"/>
        <v>9501805</v>
      </c>
      <c r="AD426" s="10">
        <f t="shared" si="181"/>
        <v>300</v>
      </c>
      <c r="AE426" s="15">
        <v>137241</v>
      </c>
      <c r="AF426" s="16">
        <v>24704</v>
      </c>
      <c r="AG426" s="15">
        <f t="shared" si="182"/>
        <v>0</v>
      </c>
      <c r="AH426" s="15">
        <f t="shared" si="183"/>
        <v>0</v>
      </c>
      <c r="AI426" s="15">
        <f t="shared" si="184"/>
        <v>137241</v>
      </c>
      <c r="AJ426" s="15">
        <f t="shared" si="185"/>
        <v>24704</v>
      </c>
      <c r="AK426" s="10">
        <v>137241</v>
      </c>
      <c r="AL426" s="15">
        <f t="shared" si="186"/>
        <v>137241</v>
      </c>
      <c r="AM426" s="15">
        <f t="shared" si="187"/>
        <v>9639046</v>
      </c>
      <c r="AN426" s="15">
        <f t="shared" si="188"/>
        <v>1164922</v>
      </c>
      <c r="AO426" s="15">
        <f t="shared" si="193"/>
        <v>1306492.72</v>
      </c>
      <c r="AP426" s="17">
        <f t="shared" si="189"/>
        <v>10945538.720000001</v>
      </c>
      <c r="AQ426" s="15">
        <v>9492214</v>
      </c>
      <c r="AR426" s="15">
        <v>4329.72</v>
      </c>
      <c r="AS426" s="18">
        <f t="shared" si="194"/>
        <v>1453325</v>
      </c>
      <c r="AT426" s="19">
        <v>0</v>
      </c>
      <c r="AU426" s="8">
        <v>8800</v>
      </c>
      <c r="AV426" s="13">
        <f t="shared" si="195"/>
        <v>4025736.0000000005</v>
      </c>
      <c r="AW426" s="18">
        <f t="shared" si="196"/>
        <v>9639046</v>
      </c>
      <c r="AX426" s="15">
        <f t="shared" si="190"/>
        <v>9640000</v>
      </c>
      <c r="AY426" s="20">
        <v>7.0000000000000007E-2</v>
      </c>
      <c r="AZ426" s="13">
        <f t="shared" si="191"/>
        <v>674800.00000000012</v>
      </c>
      <c r="BA426" s="15">
        <f t="shared" si="192"/>
        <v>674800</v>
      </c>
      <c r="BB426" s="21">
        <f t="shared" si="197"/>
        <v>2128125</v>
      </c>
      <c r="BC426" s="10">
        <f t="shared" si="198"/>
        <v>0</v>
      </c>
      <c r="BD426" s="10">
        <f t="shared" si="199"/>
        <v>0</v>
      </c>
      <c r="BE426" s="10">
        <v>92.92</v>
      </c>
      <c r="BF426" s="10">
        <v>42.5</v>
      </c>
      <c r="BG426" s="107">
        <v>46176</v>
      </c>
      <c r="BH426" s="107">
        <f t="shared" si="172"/>
        <v>46206</v>
      </c>
      <c r="BI426" s="23">
        <v>7</v>
      </c>
      <c r="BJ426" s="6"/>
      <c r="BK426" s="6"/>
      <c r="BL426" s="6">
        <f>VLOOKUP(A426,[2]Sheet1!$D$2:$H$933,5,0)</f>
        <v>0</v>
      </c>
      <c r="BM426" s="6" t="s">
        <v>3828</v>
      </c>
      <c r="BN426" s="6" t="s">
        <v>3829</v>
      </c>
      <c r="BO426" s="6" t="s">
        <v>3820</v>
      </c>
      <c r="BP426" s="6" t="s">
        <v>3821</v>
      </c>
      <c r="BQ426" s="6" t="s">
        <v>3830</v>
      </c>
      <c r="BR426" t="s">
        <v>3823</v>
      </c>
      <c r="BS426" t="s">
        <v>3824</v>
      </c>
      <c r="BT426" t="s">
        <v>3825</v>
      </c>
      <c r="BU426" t="s">
        <v>3826</v>
      </c>
      <c r="BV426" t="s">
        <v>3827</v>
      </c>
      <c r="BW426" t="s">
        <v>3835</v>
      </c>
      <c r="BX426">
        <v>0</v>
      </c>
      <c r="BY426" t="s">
        <v>3861</v>
      </c>
      <c r="BZ426" t="s">
        <v>3863</v>
      </c>
    </row>
    <row r="427" spans="1:78" x14ac:dyDescent="0.25">
      <c r="A427" s="7" t="s">
        <v>1790</v>
      </c>
      <c r="B427" s="7" t="s">
        <v>181</v>
      </c>
      <c r="C427" s="7" t="s">
        <v>1788</v>
      </c>
      <c r="D427" s="8" t="s">
        <v>1789</v>
      </c>
      <c r="E427" s="7" t="s">
        <v>1791</v>
      </c>
      <c r="F427" s="9">
        <v>44930</v>
      </c>
      <c r="G427" s="9" t="s">
        <v>404</v>
      </c>
      <c r="H427" s="9" t="s">
        <v>66</v>
      </c>
      <c r="I427" s="8" t="s">
        <v>78</v>
      </c>
      <c r="J427" s="10">
        <v>677.06</v>
      </c>
      <c r="K427" s="10">
        <v>677.06</v>
      </c>
      <c r="L427" s="10">
        <f t="shared" si="174"/>
        <v>0</v>
      </c>
      <c r="M427" s="10">
        <v>315.39</v>
      </c>
      <c r="N427" s="10">
        <v>315.39</v>
      </c>
      <c r="O427" s="10">
        <f t="shared" si="175"/>
        <v>0</v>
      </c>
      <c r="P427" s="11">
        <v>15878.000472631673</v>
      </c>
      <c r="Q427" s="11">
        <v>34085.922191572339</v>
      </c>
      <c r="R427" s="11">
        <v>22000</v>
      </c>
      <c r="S427" s="11">
        <v>10750359</v>
      </c>
      <c r="T427" s="11">
        <v>1290044</v>
      </c>
      <c r="U427" s="12">
        <f t="shared" si="176"/>
        <v>0.12000008557853742</v>
      </c>
      <c r="V427" s="13">
        <f t="shared" si="202"/>
        <v>0</v>
      </c>
      <c r="W427" s="10">
        <f t="shared" si="178"/>
        <v>0</v>
      </c>
      <c r="X427" s="10"/>
      <c r="Y427" s="10"/>
      <c r="Z427" s="11">
        <f t="shared" si="179"/>
        <v>10750359</v>
      </c>
      <c r="AA427" s="14"/>
      <c r="AB427" s="14"/>
      <c r="AC427" s="11">
        <f t="shared" si="180"/>
        <v>10750359</v>
      </c>
      <c r="AD427" s="10">
        <f t="shared" si="181"/>
        <v>300</v>
      </c>
      <c r="AE427" s="15">
        <v>94617</v>
      </c>
      <c r="AF427" s="16">
        <v>17032</v>
      </c>
      <c r="AG427" s="15">
        <f t="shared" si="182"/>
        <v>0</v>
      </c>
      <c r="AH427" s="15">
        <f t="shared" si="183"/>
        <v>0</v>
      </c>
      <c r="AI427" s="15">
        <f t="shared" si="184"/>
        <v>94617</v>
      </c>
      <c r="AJ427" s="15">
        <f t="shared" si="185"/>
        <v>17032</v>
      </c>
      <c r="AK427" s="10">
        <v>94617</v>
      </c>
      <c r="AL427" s="15">
        <f t="shared" si="186"/>
        <v>94617</v>
      </c>
      <c r="AM427" s="15">
        <f t="shared" si="187"/>
        <v>10844976</v>
      </c>
      <c r="AN427" s="15">
        <f t="shared" si="188"/>
        <v>1307076</v>
      </c>
      <c r="AO427" s="15">
        <f t="shared" si="193"/>
        <v>1405921</v>
      </c>
      <c r="AP427" s="17">
        <f t="shared" si="189"/>
        <v>12250897</v>
      </c>
      <c r="AQ427" s="15">
        <v>10836363</v>
      </c>
      <c r="AR427" s="15">
        <v>4228</v>
      </c>
      <c r="AS427" s="18">
        <f t="shared" si="194"/>
        <v>1414534</v>
      </c>
      <c r="AT427" s="19">
        <v>0</v>
      </c>
      <c r="AU427" s="8">
        <v>8800</v>
      </c>
      <c r="AV427" s="13">
        <f t="shared" si="195"/>
        <v>2775432</v>
      </c>
      <c r="AW427" s="18">
        <f t="shared" si="196"/>
        <v>10844976</v>
      </c>
      <c r="AX427" s="15">
        <f t="shared" si="190"/>
        <v>10845000</v>
      </c>
      <c r="AY427" s="20">
        <v>0.05</v>
      </c>
      <c r="AZ427" s="13">
        <f t="shared" si="191"/>
        <v>542250</v>
      </c>
      <c r="BA427" s="15">
        <f t="shared" si="192"/>
        <v>542300</v>
      </c>
      <c r="BB427" s="21">
        <f t="shared" si="197"/>
        <v>1956834</v>
      </c>
      <c r="BC427" s="10">
        <f t="shared" si="198"/>
        <v>0</v>
      </c>
      <c r="BD427" s="10">
        <f t="shared" si="199"/>
        <v>0</v>
      </c>
      <c r="BE427" s="10">
        <v>62.9</v>
      </c>
      <c r="BF427" s="10">
        <v>29.3</v>
      </c>
      <c r="BG427" s="107">
        <v>46176</v>
      </c>
      <c r="BH427" s="107">
        <f t="shared" ref="BH427:BH488" si="203">BG427+30</f>
        <v>46206</v>
      </c>
      <c r="BI427" s="23">
        <v>5</v>
      </c>
      <c r="BJ427" s="6"/>
      <c r="BK427" s="6"/>
      <c r="BL427" s="6">
        <f>VLOOKUP(A427,[2]Sheet1!$D$2:$H$933,5,0)</f>
        <v>0</v>
      </c>
      <c r="BM427" s="6" t="s">
        <v>3828</v>
      </c>
      <c r="BN427" s="6" t="s">
        <v>3829</v>
      </c>
      <c r="BO427" s="6" t="s">
        <v>3820</v>
      </c>
      <c r="BP427" s="6" t="s">
        <v>3821</v>
      </c>
      <c r="BQ427" s="6" t="s">
        <v>3830</v>
      </c>
      <c r="BR427" t="s">
        <v>3823</v>
      </c>
      <c r="BS427" t="s">
        <v>3824</v>
      </c>
      <c r="BT427" t="s">
        <v>3825</v>
      </c>
      <c r="BU427" t="s">
        <v>3826</v>
      </c>
      <c r="BV427" t="s">
        <v>3827</v>
      </c>
      <c r="BW427" t="s">
        <v>3835</v>
      </c>
      <c r="BX427">
        <v>0</v>
      </c>
      <c r="BY427" t="s">
        <v>3869</v>
      </c>
      <c r="BZ427" t="s">
        <v>3863</v>
      </c>
    </row>
    <row r="428" spans="1:78" x14ac:dyDescent="0.25">
      <c r="A428" s="7" t="s">
        <v>1794</v>
      </c>
      <c r="B428" s="7" t="s">
        <v>181</v>
      </c>
      <c r="C428" s="7" t="s">
        <v>1792</v>
      </c>
      <c r="D428" s="8" t="s">
        <v>1793</v>
      </c>
      <c r="E428" s="7" t="s">
        <v>1795</v>
      </c>
      <c r="F428" s="9">
        <v>44896</v>
      </c>
      <c r="G428" s="9" t="s">
        <v>527</v>
      </c>
      <c r="H428" s="9" t="s">
        <v>72</v>
      </c>
      <c r="I428" s="8" t="s">
        <v>78</v>
      </c>
      <c r="J428" s="10">
        <v>665.22</v>
      </c>
      <c r="K428" s="10">
        <v>665.22</v>
      </c>
      <c r="L428" s="10">
        <f t="shared" si="174"/>
        <v>0</v>
      </c>
      <c r="M428" s="10">
        <v>293.86</v>
      </c>
      <c r="N428" s="10">
        <v>293.86</v>
      </c>
      <c r="O428" s="10">
        <f t="shared" si="175"/>
        <v>0</v>
      </c>
      <c r="P428" s="11">
        <v>7603.5792670094097</v>
      </c>
      <c r="Q428" s="11">
        <v>17212.45831348261</v>
      </c>
      <c r="R428" s="11">
        <v>20000</v>
      </c>
      <c r="S428" s="11">
        <v>5058053</v>
      </c>
      <c r="T428" s="11">
        <v>606966</v>
      </c>
      <c r="U428" s="12">
        <f t="shared" si="176"/>
        <v>0.11999992882636856</v>
      </c>
      <c r="V428" s="13">
        <f t="shared" si="202"/>
        <v>0</v>
      </c>
      <c r="W428" s="10">
        <f t="shared" si="178"/>
        <v>0</v>
      </c>
      <c r="X428" s="10"/>
      <c r="Y428" s="10"/>
      <c r="Z428" s="11">
        <f t="shared" si="179"/>
        <v>5058053</v>
      </c>
      <c r="AA428" s="14"/>
      <c r="AB428" s="14"/>
      <c r="AC428" s="11">
        <f t="shared" si="180"/>
        <v>5058053</v>
      </c>
      <c r="AD428" s="10">
        <f t="shared" si="181"/>
        <v>300</v>
      </c>
      <c r="AE428" s="15">
        <v>88158</v>
      </c>
      <c r="AF428" s="16">
        <v>15868</v>
      </c>
      <c r="AG428" s="15">
        <f t="shared" si="182"/>
        <v>0</v>
      </c>
      <c r="AH428" s="15">
        <f t="shared" si="183"/>
        <v>0</v>
      </c>
      <c r="AI428" s="15">
        <f t="shared" si="184"/>
        <v>88158</v>
      </c>
      <c r="AJ428" s="15">
        <f t="shared" si="185"/>
        <v>15869</v>
      </c>
      <c r="AK428" s="10">
        <v>88158</v>
      </c>
      <c r="AL428" s="15">
        <f t="shared" si="186"/>
        <v>88158</v>
      </c>
      <c r="AM428" s="15">
        <f t="shared" si="187"/>
        <v>5146211</v>
      </c>
      <c r="AN428" s="15">
        <f t="shared" si="188"/>
        <v>622835</v>
      </c>
      <c r="AO428" s="15">
        <f t="shared" si="193"/>
        <v>715344</v>
      </c>
      <c r="AP428" s="17">
        <f t="shared" si="189"/>
        <v>5861555</v>
      </c>
      <c r="AQ428" s="15">
        <v>5060785</v>
      </c>
      <c r="AR428" s="15">
        <v>4351</v>
      </c>
      <c r="AS428" s="18">
        <f t="shared" si="194"/>
        <v>800770</v>
      </c>
      <c r="AT428" s="19">
        <v>0</v>
      </c>
      <c r="AU428" s="8">
        <v>8800</v>
      </c>
      <c r="AV428" s="13">
        <f t="shared" si="195"/>
        <v>2585968</v>
      </c>
      <c r="AW428" s="18">
        <f t="shared" si="196"/>
        <v>5146211</v>
      </c>
      <c r="AX428" s="15">
        <f t="shared" si="190"/>
        <v>5147000</v>
      </c>
      <c r="AY428" s="20">
        <v>7.0000000000000007E-2</v>
      </c>
      <c r="AZ428" s="13">
        <f t="shared" si="191"/>
        <v>360290.00000000006</v>
      </c>
      <c r="BA428" s="15">
        <f t="shared" si="192"/>
        <v>360300</v>
      </c>
      <c r="BB428" s="21">
        <f t="shared" si="197"/>
        <v>1161070</v>
      </c>
      <c r="BC428" s="10">
        <f t="shared" si="198"/>
        <v>0</v>
      </c>
      <c r="BD428" s="10">
        <f t="shared" si="199"/>
        <v>0</v>
      </c>
      <c r="BE428" s="10">
        <v>61.8</v>
      </c>
      <c r="BF428" s="10">
        <v>27.3</v>
      </c>
      <c r="BG428" s="107">
        <v>46176</v>
      </c>
      <c r="BH428" s="107">
        <f t="shared" si="203"/>
        <v>46206</v>
      </c>
      <c r="BI428" s="23">
        <v>7</v>
      </c>
      <c r="BJ428" s="6"/>
      <c r="BK428" s="6"/>
      <c r="BL428" s="6">
        <f>VLOOKUP(A428,[2]Sheet1!$D$2:$H$933,5,0)</f>
        <v>0</v>
      </c>
      <c r="BM428" s="6" t="s">
        <v>3828</v>
      </c>
      <c r="BN428" s="6" t="s">
        <v>3829</v>
      </c>
      <c r="BO428" s="6" t="s">
        <v>3820</v>
      </c>
      <c r="BP428" s="6" t="s">
        <v>3821</v>
      </c>
      <c r="BQ428" s="6" t="s">
        <v>3830</v>
      </c>
      <c r="BR428" t="s">
        <v>3823</v>
      </c>
      <c r="BS428" t="s">
        <v>3824</v>
      </c>
      <c r="BT428" t="s">
        <v>3825</v>
      </c>
      <c r="BU428" t="s">
        <v>3826</v>
      </c>
      <c r="BV428" t="s">
        <v>3827</v>
      </c>
      <c r="BW428" t="s">
        <v>3835</v>
      </c>
      <c r="BX428">
        <v>0</v>
      </c>
      <c r="BY428" t="s">
        <v>3867</v>
      </c>
      <c r="BZ428" t="s">
        <v>3871</v>
      </c>
    </row>
    <row r="429" spans="1:78" x14ac:dyDescent="0.25">
      <c r="A429" s="7" t="s">
        <v>1798</v>
      </c>
      <c r="B429" s="7" t="s">
        <v>181</v>
      </c>
      <c r="C429" s="7" t="s">
        <v>1796</v>
      </c>
      <c r="D429" s="8" t="s">
        <v>1797</v>
      </c>
      <c r="E429" s="7" t="s">
        <v>1728</v>
      </c>
      <c r="F429" s="9">
        <v>44879</v>
      </c>
      <c r="G429" s="9" t="s">
        <v>527</v>
      </c>
      <c r="H429" s="9" t="s">
        <v>87</v>
      </c>
      <c r="I429" s="8" t="s">
        <v>78</v>
      </c>
      <c r="J429" s="10">
        <v>875.11</v>
      </c>
      <c r="K429" s="10">
        <v>875.11</v>
      </c>
      <c r="L429" s="10">
        <f t="shared" si="174"/>
        <v>0</v>
      </c>
      <c r="M429" s="10">
        <v>406.88</v>
      </c>
      <c r="N429" s="10">
        <v>406.88</v>
      </c>
      <c r="O429" s="10">
        <f t="shared" si="175"/>
        <v>0</v>
      </c>
      <c r="P429" s="11">
        <v>10000</v>
      </c>
      <c r="Q429" s="11">
        <v>21507.815572158866</v>
      </c>
      <c r="R429" s="11">
        <v>40000</v>
      </c>
      <c r="S429" s="11">
        <v>8751100</v>
      </c>
      <c r="T429" s="11">
        <v>1050134</v>
      </c>
      <c r="U429" s="12">
        <f t="shared" si="176"/>
        <v>0.12000022854269748</v>
      </c>
      <c r="V429" s="13">
        <f t="shared" si="202"/>
        <v>0</v>
      </c>
      <c r="W429" s="10">
        <f t="shared" si="178"/>
        <v>0</v>
      </c>
      <c r="X429" s="10"/>
      <c r="Y429" s="10"/>
      <c r="Z429" s="11">
        <f t="shared" si="179"/>
        <v>8751100</v>
      </c>
      <c r="AA429" s="14">
        <v>3062885</v>
      </c>
      <c r="AB429" s="14">
        <v>367546</v>
      </c>
      <c r="AC429" s="11">
        <f t="shared" si="180"/>
        <v>5688215</v>
      </c>
      <c r="AD429" s="10">
        <f t="shared" si="181"/>
        <v>300</v>
      </c>
      <c r="AE429" s="15">
        <v>122064</v>
      </c>
      <c r="AF429" s="16">
        <v>21972</v>
      </c>
      <c r="AG429" s="15">
        <f t="shared" si="182"/>
        <v>0</v>
      </c>
      <c r="AH429" s="15">
        <f t="shared" si="183"/>
        <v>0</v>
      </c>
      <c r="AI429" s="15">
        <f t="shared" si="184"/>
        <v>122064</v>
      </c>
      <c r="AJ429" s="15">
        <f t="shared" si="185"/>
        <v>21972</v>
      </c>
      <c r="AK429" s="10">
        <v>122064</v>
      </c>
      <c r="AL429" s="15">
        <f t="shared" si="186"/>
        <v>122064</v>
      </c>
      <c r="AM429" s="15">
        <f t="shared" si="187"/>
        <v>5810279</v>
      </c>
      <c r="AN429" s="15">
        <f t="shared" si="188"/>
        <v>704560</v>
      </c>
      <c r="AO429" s="15">
        <f t="shared" si="193"/>
        <v>831906</v>
      </c>
      <c r="AP429" s="17">
        <f t="shared" si="189"/>
        <v>6642185</v>
      </c>
      <c r="AQ429" s="15">
        <v>4435542</v>
      </c>
      <c r="AR429" s="15">
        <v>5282</v>
      </c>
      <c r="AS429" s="18">
        <f t="shared" si="194"/>
        <v>2206643</v>
      </c>
      <c r="AT429" s="19">
        <v>0</v>
      </c>
      <c r="AU429" s="8">
        <v>8800</v>
      </c>
      <c r="AV429" s="13">
        <f t="shared" si="195"/>
        <v>3580544</v>
      </c>
      <c r="AW429" s="18">
        <f t="shared" si="196"/>
        <v>5810279</v>
      </c>
      <c r="AX429" s="15">
        <f t="shared" si="190"/>
        <v>5811000</v>
      </c>
      <c r="AY429" s="20">
        <v>0.05</v>
      </c>
      <c r="AZ429" s="13">
        <f t="shared" si="191"/>
        <v>290550</v>
      </c>
      <c r="BA429" s="15">
        <f t="shared" si="192"/>
        <v>290600</v>
      </c>
      <c r="BB429" s="21">
        <f t="shared" si="197"/>
        <v>2497243</v>
      </c>
      <c r="BC429" s="10">
        <f t="shared" si="198"/>
        <v>0</v>
      </c>
      <c r="BD429" s="10">
        <f t="shared" si="199"/>
        <v>0</v>
      </c>
      <c r="BE429" s="10">
        <v>81.3</v>
      </c>
      <c r="BF429" s="10">
        <v>37.799999999999997</v>
      </c>
      <c r="BG429" s="107">
        <v>46176</v>
      </c>
      <c r="BH429" s="107">
        <f t="shared" si="203"/>
        <v>46206</v>
      </c>
      <c r="BI429" s="23">
        <v>5</v>
      </c>
      <c r="BJ429" s="6"/>
      <c r="BK429" s="6"/>
      <c r="BL429" s="6">
        <f>VLOOKUP(A429,[2]Sheet1!$D$2:$H$933,5,0)</f>
        <v>0</v>
      </c>
      <c r="BM429" s="6" t="s">
        <v>3828</v>
      </c>
      <c r="BN429" s="6" t="s">
        <v>3829</v>
      </c>
      <c r="BO429" s="6" t="s">
        <v>3820</v>
      </c>
      <c r="BP429" s="6" t="s">
        <v>3821</v>
      </c>
      <c r="BQ429" s="6" t="s">
        <v>3830</v>
      </c>
      <c r="BR429" t="s">
        <v>3823</v>
      </c>
      <c r="BS429" t="s">
        <v>3824</v>
      </c>
      <c r="BT429" t="s">
        <v>3825</v>
      </c>
      <c r="BU429" t="s">
        <v>3826</v>
      </c>
      <c r="BV429" t="s">
        <v>3827</v>
      </c>
      <c r="BW429" t="s">
        <v>3835</v>
      </c>
      <c r="BX429">
        <v>0</v>
      </c>
      <c r="BY429" t="s">
        <v>3862</v>
      </c>
      <c r="BZ429" t="s">
        <v>3871</v>
      </c>
    </row>
    <row r="430" spans="1:78" x14ac:dyDescent="0.25">
      <c r="A430" s="7" t="s">
        <v>1801</v>
      </c>
      <c r="B430" s="7" t="s">
        <v>181</v>
      </c>
      <c r="C430" s="7" t="s">
        <v>1799</v>
      </c>
      <c r="D430" s="8" t="s">
        <v>1800</v>
      </c>
      <c r="E430" s="7" t="s">
        <v>1802</v>
      </c>
      <c r="F430" s="9">
        <v>45068</v>
      </c>
      <c r="G430" s="9" t="s">
        <v>363</v>
      </c>
      <c r="H430" s="9" t="s">
        <v>87</v>
      </c>
      <c r="I430" s="8" t="s">
        <v>67</v>
      </c>
      <c r="J430" s="10">
        <v>220.06</v>
      </c>
      <c r="K430" s="10">
        <v>220.06</v>
      </c>
      <c r="L430" s="10">
        <f t="shared" si="174"/>
        <v>0</v>
      </c>
      <c r="M430" s="10">
        <v>88.26</v>
      </c>
      <c r="N430" s="10">
        <v>88.26</v>
      </c>
      <c r="O430" s="10">
        <f t="shared" si="175"/>
        <v>0</v>
      </c>
      <c r="P430" s="11">
        <v>18370.358084158866</v>
      </c>
      <c r="Q430" s="11">
        <v>45803.093133922499</v>
      </c>
      <c r="R430" s="11">
        <v>40000</v>
      </c>
      <c r="S430" s="11">
        <v>4042581</v>
      </c>
      <c r="T430" s="11">
        <v>485110</v>
      </c>
      <c r="U430" s="12">
        <f t="shared" si="176"/>
        <v>0.12000006926268145</v>
      </c>
      <c r="V430" s="13">
        <f t="shared" si="202"/>
        <v>0</v>
      </c>
      <c r="W430" s="10">
        <f t="shared" si="178"/>
        <v>0</v>
      </c>
      <c r="X430" s="10"/>
      <c r="Y430" s="10"/>
      <c r="Z430" s="11">
        <f t="shared" si="179"/>
        <v>4042581</v>
      </c>
      <c r="AA430" s="14"/>
      <c r="AB430" s="14"/>
      <c r="AC430" s="11">
        <f t="shared" si="180"/>
        <v>4042581</v>
      </c>
      <c r="AD430" s="10">
        <f t="shared" si="181"/>
        <v>300</v>
      </c>
      <c r="AE430" s="15">
        <v>26478</v>
      </c>
      <c r="AF430" s="16">
        <v>4766</v>
      </c>
      <c r="AG430" s="15">
        <f t="shared" si="182"/>
        <v>0</v>
      </c>
      <c r="AH430" s="15">
        <f t="shared" si="183"/>
        <v>0</v>
      </c>
      <c r="AI430" s="15">
        <f t="shared" si="184"/>
        <v>26478</v>
      </c>
      <c r="AJ430" s="15">
        <f t="shared" si="185"/>
        <v>4767</v>
      </c>
      <c r="AK430" s="10">
        <v>26478</v>
      </c>
      <c r="AL430" s="15">
        <f t="shared" si="186"/>
        <v>26478</v>
      </c>
      <c r="AM430" s="15">
        <f t="shared" si="187"/>
        <v>4069059</v>
      </c>
      <c r="AN430" s="15">
        <f t="shared" si="188"/>
        <v>489877</v>
      </c>
      <c r="AO430" s="15">
        <f t="shared" si="193"/>
        <v>520742</v>
      </c>
      <c r="AP430" s="17">
        <f t="shared" si="189"/>
        <v>4589801</v>
      </c>
      <c r="AQ430" s="15">
        <v>3665801</v>
      </c>
      <c r="AR430" s="15">
        <v>4387</v>
      </c>
      <c r="AS430" s="18">
        <f t="shared" si="194"/>
        <v>924000</v>
      </c>
      <c r="AT430" s="19">
        <v>0</v>
      </c>
      <c r="AU430" s="8">
        <v>8800</v>
      </c>
      <c r="AV430" s="13">
        <f t="shared" si="195"/>
        <v>776688</v>
      </c>
      <c r="AW430" s="18">
        <f t="shared" si="196"/>
        <v>4069059</v>
      </c>
      <c r="AX430" s="15">
        <f t="shared" si="190"/>
        <v>4070000</v>
      </c>
      <c r="AY430" s="20">
        <v>0.05</v>
      </c>
      <c r="AZ430" s="13">
        <f t="shared" si="191"/>
        <v>203500</v>
      </c>
      <c r="BA430" s="15">
        <f t="shared" si="192"/>
        <v>203500</v>
      </c>
      <c r="BB430" s="21">
        <f t="shared" si="197"/>
        <v>1127500</v>
      </c>
      <c r="BC430" s="10">
        <f t="shared" si="198"/>
        <v>0</v>
      </c>
      <c r="BD430" s="10">
        <f t="shared" si="199"/>
        <v>0</v>
      </c>
      <c r="BE430" s="10">
        <v>20.440000000000001</v>
      </c>
      <c r="BF430" s="10">
        <v>8.1999999999999993</v>
      </c>
      <c r="BG430" s="107">
        <v>46176</v>
      </c>
      <c r="BH430" s="107">
        <f t="shared" si="203"/>
        <v>46206</v>
      </c>
      <c r="BI430" s="23">
        <v>5</v>
      </c>
      <c r="BJ430" s="6"/>
      <c r="BK430" s="6"/>
      <c r="BL430" s="6">
        <f>VLOOKUP(A430,[2]Sheet1!$D$2:$H$933,5,0)</f>
        <v>0</v>
      </c>
      <c r="BM430" s="6" t="s">
        <v>3828</v>
      </c>
      <c r="BN430" s="6" t="s">
        <v>3829</v>
      </c>
      <c r="BO430" s="6" t="s">
        <v>3820</v>
      </c>
      <c r="BP430" s="6" t="s">
        <v>3821</v>
      </c>
      <c r="BQ430" s="6" t="s">
        <v>3830</v>
      </c>
      <c r="BR430" t="s">
        <v>3823</v>
      </c>
      <c r="BS430" t="s">
        <v>3824</v>
      </c>
      <c r="BT430" t="s">
        <v>3825</v>
      </c>
      <c r="BU430" t="s">
        <v>3826</v>
      </c>
      <c r="BV430" t="s">
        <v>3827</v>
      </c>
      <c r="BW430" t="s">
        <v>3835</v>
      </c>
      <c r="BX430">
        <v>0</v>
      </c>
      <c r="BY430" t="s">
        <v>3859</v>
      </c>
      <c r="BZ430" t="s">
        <v>3860</v>
      </c>
    </row>
    <row r="431" spans="1:78" x14ac:dyDescent="0.25">
      <c r="A431" s="7" t="s">
        <v>1805</v>
      </c>
      <c r="B431" s="7" t="s">
        <v>181</v>
      </c>
      <c r="C431" s="7" t="s">
        <v>1803</v>
      </c>
      <c r="D431" s="8" t="s">
        <v>1804</v>
      </c>
      <c r="E431" s="7" t="s">
        <v>1806</v>
      </c>
      <c r="F431" s="9">
        <v>44978</v>
      </c>
      <c r="G431" s="9" t="s">
        <v>717</v>
      </c>
      <c r="H431" s="9" t="s">
        <v>72</v>
      </c>
      <c r="I431" s="8" t="s">
        <v>78</v>
      </c>
      <c r="J431" s="10">
        <v>1064.1300000000001</v>
      </c>
      <c r="K431" s="10">
        <v>1194.9100000000001</v>
      </c>
      <c r="L431" s="10">
        <f t="shared" si="174"/>
        <v>130.77999999999997</v>
      </c>
      <c r="M431" s="10">
        <v>482.66</v>
      </c>
      <c r="N431" s="10">
        <v>542</v>
      </c>
      <c r="O431" s="10">
        <f t="shared" si="175"/>
        <v>59.339999999999975</v>
      </c>
      <c r="P431" s="11">
        <v>7499.9999999999991</v>
      </c>
      <c r="Q431" s="11">
        <v>16535.397588364478</v>
      </c>
      <c r="R431" s="11">
        <v>20000</v>
      </c>
      <c r="S431" s="11">
        <v>7980975</v>
      </c>
      <c r="T431" s="11">
        <v>957718</v>
      </c>
      <c r="U431" s="12">
        <f t="shared" si="176"/>
        <v>0.12000012529797424</v>
      </c>
      <c r="V431" s="13">
        <f>L431*R431</f>
        <v>2615599.9999999995</v>
      </c>
      <c r="W431" s="10">
        <f t="shared" si="178"/>
        <v>313872.32772938139</v>
      </c>
      <c r="X431" s="15"/>
      <c r="Y431" s="15"/>
      <c r="Z431" s="11">
        <f t="shared" si="179"/>
        <v>10596575</v>
      </c>
      <c r="AA431" s="14"/>
      <c r="AB431" s="14"/>
      <c r="AC431" s="11">
        <f t="shared" si="180"/>
        <v>10596575</v>
      </c>
      <c r="AD431" s="10">
        <f t="shared" si="181"/>
        <v>300</v>
      </c>
      <c r="AE431" s="15">
        <v>144798</v>
      </c>
      <c r="AF431" s="16">
        <v>26064</v>
      </c>
      <c r="AG431" s="15">
        <f t="shared" si="182"/>
        <v>17801.999999999993</v>
      </c>
      <c r="AH431" s="15">
        <f t="shared" si="183"/>
        <v>3204.3599999999988</v>
      </c>
      <c r="AI431" s="15">
        <f t="shared" si="184"/>
        <v>162600</v>
      </c>
      <c r="AJ431" s="15">
        <f t="shared" si="185"/>
        <v>29268</v>
      </c>
      <c r="AK431" s="10">
        <v>144798</v>
      </c>
      <c r="AL431" s="15">
        <f t="shared" si="186"/>
        <v>162600</v>
      </c>
      <c r="AM431" s="15">
        <f t="shared" si="187"/>
        <v>10759175</v>
      </c>
      <c r="AN431" s="15">
        <f t="shared" si="188"/>
        <v>1300859</v>
      </c>
      <c r="AO431" s="15">
        <f t="shared" si="193"/>
        <v>1467950</v>
      </c>
      <c r="AP431" s="17">
        <f t="shared" si="189"/>
        <v>12227125</v>
      </c>
      <c r="AQ431" s="15">
        <v>7988956.1699999999</v>
      </c>
      <c r="AR431" s="15">
        <v>4491</v>
      </c>
      <c r="AS431" s="18">
        <f t="shared" si="194"/>
        <v>4238169</v>
      </c>
      <c r="AT431" s="19">
        <v>0</v>
      </c>
      <c r="AU431" s="8">
        <v>8800</v>
      </c>
      <c r="AV431" s="13">
        <f t="shared" si="195"/>
        <v>4769600</v>
      </c>
      <c r="AW431" s="18">
        <f t="shared" si="196"/>
        <v>10759175</v>
      </c>
      <c r="AX431" s="15">
        <f t="shared" si="190"/>
        <v>10760000</v>
      </c>
      <c r="AY431" s="20">
        <v>7.0000000000000007E-2</v>
      </c>
      <c r="AZ431" s="13">
        <f t="shared" si="191"/>
        <v>753200.00000000012</v>
      </c>
      <c r="BA431" s="15">
        <f t="shared" si="192"/>
        <v>753200</v>
      </c>
      <c r="BB431" s="21">
        <f t="shared" si="197"/>
        <v>4991369</v>
      </c>
      <c r="BC431" s="10">
        <f t="shared" si="198"/>
        <v>12.289851803820959</v>
      </c>
      <c r="BD431" s="10">
        <f t="shared" si="199"/>
        <v>12.294368706750088</v>
      </c>
      <c r="BE431" s="10">
        <v>111.01</v>
      </c>
      <c r="BF431" s="10">
        <v>50.35</v>
      </c>
      <c r="BG431" s="107">
        <v>46176</v>
      </c>
      <c r="BH431" s="107">
        <f t="shared" si="203"/>
        <v>46206</v>
      </c>
      <c r="BI431" s="23">
        <v>7</v>
      </c>
      <c r="BJ431" s="6"/>
      <c r="BK431" s="6"/>
      <c r="BL431" s="6">
        <f>VLOOKUP(A431,[2]Sheet1!$D$2:$H$933,5,0)</f>
        <v>0</v>
      </c>
      <c r="BM431" s="6" t="s">
        <v>3828</v>
      </c>
      <c r="BN431" s="6" t="s">
        <v>3829</v>
      </c>
      <c r="BO431" s="6" t="s">
        <v>3820</v>
      </c>
      <c r="BP431" s="6" t="s">
        <v>3821</v>
      </c>
      <c r="BQ431" s="6" t="s">
        <v>3830</v>
      </c>
      <c r="BR431" t="s">
        <v>3823</v>
      </c>
      <c r="BS431" t="s">
        <v>3824</v>
      </c>
      <c r="BT431" t="s">
        <v>3825</v>
      </c>
      <c r="BU431" t="s">
        <v>3826</v>
      </c>
      <c r="BV431" t="s">
        <v>3827</v>
      </c>
      <c r="BW431" t="s">
        <v>3835</v>
      </c>
      <c r="BX431">
        <v>0</v>
      </c>
      <c r="BY431" t="s">
        <v>3864</v>
      </c>
      <c r="BZ431" t="s">
        <v>3872</v>
      </c>
    </row>
    <row r="432" spans="1:78" x14ac:dyDescent="0.25">
      <c r="A432" s="7" t="s">
        <v>1809</v>
      </c>
      <c r="B432" s="7" t="s">
        <v>181</v>
      </c>
      <c r="C432" s="7" t="s">
        <v>1807</v>
      </c>
      <c r="D432" s="8" t="s">
        <v>1808</v>
      </c>
      <c r="E432" s="7" t="s">
        <v>1810</v>
      </c>
      <c r="F432" s="9">
        <v>45413</v>
      </c>
      <c r="G432" s="9" t="s">
        <v>77</v>
      </c>
      <c r="H432" s="9" t="s">
        <v>66</v>
      </c>
      <c r="I432" s="8" t="s">
        <v>78</v>
      </c>
      <c r="J432" s="10">
        <v>920.54</v>
      </c>
      <c r="K432" s="10">
        <v>920.54</v>
      </c>
      <c r="L432" s="10">
        <f t="shared" si="174"/>
        <v>0</v>
      </c>
      <c r="M432" s="10">
        <v>418</v>
      </c>
      <c r="N432" s="10">
        <v>418</v>
      </c>
      <c r="O432" s="10">
        <f t="shared" si="175"/>
        <v>0</v>
      </c>
      <c r="P432" s="11">
        <v>14999.9989136811</v>
      </c>
      <c r="Q432" s="11">
        <v>33033.729665071769</v>
      </c>
      <c r="R432" s="11">
        <v>22000</v>
      </c>
      <c r="S432" s="11">
        <v>13808099</v>
      </c>
      <c r="T432" s="11">
        <v>1656972</v>
      </c>
      <c r="U432" s="12">
        <f t="shared" si="176"/>
        <v>0.12000000869055183</v>
      </c>
      <c r="V432" s="13">
        <f>L432*P432</f>
        <v>0</v>
      </c>
      <c r="W432" s="10">
        <f t="shared" si="178"/>
        <v>0</v>
      </c>
      <c r="X432" s="10"/>
      <c r="Y432" s="10"/>
      <c r="Z432" s="11">
        <f t="shared" si="179"/>
        <v>13808099</v>
      </c>
      <c r="AA432" s="14"/>
      <c r="AB432" s="14"/>
      <c r="AC432" s="11">
        <f t="shared" si="180"/>
        <v>13808099</v>
      </c>
      <c r="AD432" s="10">
        <f t="shared" si="181"/>
        <v>300</v>
      </c>
      <c r="AE432" s="15">
        <v>125400</v>
      </c>
      <c r="AF432" s="16">
        <v>22572</v>
      </c>
      <c r="AG432" s="15">
        <f t="shared" si="182"/>
        <v>0</v>
      </c>
      <c r="AH432" s="15">
        <f t="shared" si="183"/>
        <v>0</v>
      </c>
      <c r="AI432" s="15">
        <f t="shared" si="184"/>
        <v>125400</v>
      </c>
      <c r="AJ432" s="15">
        <f t="shared" si="185"/>
        <v>22572</v>
      </c>
      <c r="AK432" s="10">
        <v>125400</v>
      </c>
      <c r="AL432" s="15">
        <f t="shared" si="186"/>
        <v>125400</v>
      </c>
      <c r="AM432" s="15">
        <f t="shared" si="187"/>
        <v>13933499</v>
      </c>
      <c r="AN432" s="15">
        <f t="shared" si="188"/>
        <v>1679544</v>
      </c>
      <c r="AO432" s="15">
        <f t="shared" si="193"/>
        <v>1809370</v>
      </c>
      <c r="AP432" s="17">
        <f t="shared" si="189"/>
        <v>15742869</v>
      </c>
      <c r="AQ432" s="15">
        <v>13918564</v>
      </c>
      <c r="AR432" s="15">
        <v>4426</v>
      </c>
      <c r="AS432" s="18">
        <f t="shared" si="194"/>
        <v>1824305</v>
      </c>
      <c r="AT432" s="19">
        <v>0</v>
      </c>
      <c r="AU432" s="8">
        <v>8800</v>
      </c>
      <c r="AV432" s="13">
        <f t="shared" si="195"/>
        <v>3678400</v>
      </c>
      <c r="AW432" s="18">
        <f t="shared" si="196"/>
        <v>13933499</v>
      </c>
      <c r="AX432" s="15">
        <f t="shared" si="190"/>
        <v>13934000</v>
      </c>
      <c r="AY432" s="20">
        <v>7.0000000000000007E-2</v>
      </c>
      <c r="AZ432" s="13">
        <f t="shared" si="191"/>
        <v>975380.00000000012</v>
      </c>
      <c r="BA432" s="15">
        <f t="shared" si="192"/>
        <v>975400</v>
      </c>
      <c r="BB432" s="21">
        <f t="shared" si="197"/>
        <v>2799705</v>
      </c>
      <c r="BC432" s="10">
        <f t="shared" si="198"/>
        <v>0</v>
      </c>
      <c r="BD432" s="10">
        <f t="shared" si="199"/>
        <v>0</v>
      </c>
      <c r="BE432" s="10">
        <v>85.52</v>
      </c>
      <c r="BF432" s="10">
        <v>38.83</v>
      </c>
      <c r="BG432" s="107">
        <v>46176</v>
      </c>
      <c r="BH432" s="107">
        <f t="shared" si="203"/>
        <v>46206</v>
      </c>
      <c r="BI432" s="23">
        <v>7</v>
      </c>
      <c r="BJ432" s="6"/>
      <c r="BK432" s="6"/>
      <c r="BL432" s="6">
        <f>VLOOKUP(A432,[2]Sheet1!$D$2:$H$933,5,0)</f>
        <v>0</v>
      </c>
      <c r="BM432" s="6" t="s">
        <v>3828</v>
      </c>
      <c r="BN432" s="6" t="s">
        <v>3829</v>
      </c>
      <c r="BO432" s="6" t="s">
        <v>3820</v>
      </c>
      <c r="BP432" s="6" t="s">
        <v>3821</v>
      </c>
      <c r="BQ432" s="6" t="s">
        <v>3830</v>
      </c>
      <c r="BR432" t="s">
        <v>3823</v>
      </c>
      <c r="BS432" t="s">
        <v>3824</v>
      </c>
      <c r="BT432" t="s">
        <v>3825</v>
      </c>
      <c r="BU432" t="s">
        <v>3826</v>
      </c>
      <c r="BV432" t="s">
        <v>3827</v>
      </c>
      <c r="BW432" t="s">
        <v>3835</v>
      </c>
      <c r="BX432">
        <v>0</v>
      </c>
      <c r="BY432" t="s">
        <v>3862</v>
      </c>
      <c r="BZ432" t="s">
        <v>3863</v>
      </c>
    </row>
    <row r="433" spans="1:78" x14ac:dyDescent="0.25">
      <c r="A433" s="7" t="s">
        <v>1813</v>
      </c>
      <c r="B433" s="7" t="s">
        <v>181</v>
      </c>
      <c r="C433" s="7" t="s">
        <v>1811</v>
      </c>
      <c r="D433" s="8" t="s">
        <v>1812</v>
      </c>
      <c r="E433" s="7" t="s">
        <v>1814</v>
      </c>
      <c r="F433" s="9">
        <v>44864</v>
      </c>
      <c r="G433" s="9" t="s">
        <v>717</v>
      </c>
      <c r="H433" s="9" t="s">
        <v>72</v>
      </c>
      <c r="I433" s="8" t="s">
        <v>78</v>
      </c>
      <c r="J433" s="10">
        <v>406.88</v>
      </c>
      <c r="K433" s="10">
        <v>412</v>
      </c>
      <c r="L433" s="10">
        <f t="shared" si="174"/>
        <v>5.1200000000000045</v>
      </c>
      <c r="M433" s="10">
        <v>175.45</v>
      </c>
      <c r="N433" s="10">
        <v>182</v>
      </c>
      <c r="O433" s="10">
        <f t="shared" si="175"/>
        <v>6.5500000000000114</v>
      </c>
      <c r="P433" s="11">
        <v>12337.5</v>
      </c>
      <c r="Q433" s="11">
        <v>28611.467654602453</v>
      </c>
      <c r="R433" s="11">
        <v>20000</v>
      </c>
      <c r="S433" s="11">
        <v>5019882</v>
      </c>
      <c r="T433" s="11">
        <v>602388</v>
      </c>
      <c r="U433" s="12">
        <f t="shared" si="176"/>
        <v>0.12000043028899883</v>
      </c>
      <c r="V433" s="13">
        <f>L433*R433</f>
        <v>102400.00000000009</v>
      </c>
      <c r="W433" s="10">
        <f t="shared" si="178"/>
        <v>12288.044061593491</v>
      </c>
      <c r="X433" s="15"/>
      <c r="Y433" s="15"/>
      <c r="Z433" s="11">
        <f t="shared" si="179"/>
        <v>5122282</v>
      </c>
      <c r="AA433" s="14"/>
      <c r="AB433" s="14"/>
      <c r="AC433" s="11">
        <f t="shared" si="180"/>
        <v>5122282</v>
      </c>
      <c r="AD433" s="10">
        <f t="shared" si="181"/>
        <v>300</v>
      </c>
      <c r="AE433" s="15">
        <v>52635</v>
      </c>
      <c r="AF433" s="16">
        <v>9474</v>
      </c>
      <c r="AG433" s="15">
        <f t="shared" si="182"/>
        <v>1965.0000000000034</v>
      </c>
      <c r="AH433" s="15">
        <f t="shared" si="183"/>
        <v>353.70000000000061</v>
      </c>
      <c r="AI433" s="15">
        <f t="shared" si="184"/>
        <v>54600</v>
      </c>
      <c r="AJ433" s="15">
        <f t="shared" si="185"/>
        <v>9828</v>
      </c>
      <c r="AK433" s="10">
        <v>52635</v>
      </c>
      <c r="AL433" s="15">
        <f t="shared" si="186"/>
        <v>54600</v>
      </c>
      <c r="AM433" s="15">
        <f t="shared" si="187"/>
        <v>5176882</v>
      </c>
      <c r="AN433" s="15">
        <f t="shared" si="188"/>
        <v>624505</v>
      </c>
      <c r="AO433" s="15">
        <f t="shared" si="193"/>
        <v>684244</v>
      </c>
      <c r="AP433" s="17">
        <f t="shared" si="189"/>
        <v>5861126</v>
      </c>
      <c r="AQ433" s="15">
        <v>4350127</v>
      </c>
      <c r="AR433" s="15">
        <v>5139</v>
      </c>
      <c r="AS433" s="18">
        <f t="shared" si="194"/>
        <v>1510999</v>
      </c>
      <c r="AT433" s="19">
        <v>0</v>
      </c>
      <c r="AU433" s="8">
        <v>8800</v>
      </c>
      <c r="AV433" s="13">
        <f t="shared" si="195"/>
        <v>1601600</v>
      </c>
      <c r="AW433" s="18">
        <f t="shared" si="196"/>
        <v>5176882</v>
      </c>
      <c r="AX433" s="15">
        <f t="shared" si="190"/>
        <v>5177000</v>
      </c>
      <c r="AY433" s="20">
        <v>0.06</v>
      </c>
      <c r="AZ433" s="13">
        <f t="shared" si="191"/>
        <v>310620</v>
      </c>
      <c r="BA433" s="15">
        <f t="shared" si="192"/>
        <v>310700</v>
      </c>
      <c r="BB433" s="21">
        <f t="shared" si="197"/>
        <v>1821699</v>
      </c>
      <c r="BC433" s="10">
        <f t="shared" si="198"/>
        <v>1.2583562721195451</v>
      </c>
      <c r="BD433" s="10">
        <f t="shared" si="199"/>
        <v>3.733257338273019</v>
      </c>
      <c r="BE433" s="10">
        <v>38.28</v>
      </c>
      <c r="BF433" s="10">
        <v>16.91</v>
      </c>
      <c r="BG433" s="107">
        <v>46176</v>
      </c>
      <c r="BH433" s="107">
        <f t="shared" si="203"/>
        <v>46206</v>
      </c>
      <c r="BI433" s="23">
        <v>6</v>
      </c>
      <c r="BJ433" s="6"/>
      <c r="BK433" s="6"/>
      <c r="BL433" s="6">
        <f>VLOOKUP(A433,[2]Sheet1!$D$2:$H$933,5,0)</f>
        <v>0</v>
      </c>
      <c r="BM433" s="6" t="s">
        <v>3828</v>
      </c>
      <c r="BN433" s="6" t="s">
        <v>3829</v>
      </c>
      <c r="BO433" s="6" t="s">
        <v>3820</v>
      </c>
      <c r="BP433" s="6" t="s">
        <v>3821</v>
      </c>
      <c r="BQ433" s="6" t="s">
        <v>3830</v>
      </c>
      <c r="BR433" t="s">
        <v>3823</v>
      </c>
      <c r="BS433" t="s">
        <v>3824</v>
      </c>
      <c r="BT433" t="s">
        <v>3825</v>
      </c>
      <c r="BU433" t="s">
        <v>3826</v>
      </c>
      <c r="BV433" t="s">
        <v>3827</v>
      </c>
      <c r="BW433" t="s">
        <v>3835</v>
      </c>
      <c r="BX433">
        <v>0</v>
      </c>
      <c r="BY433" t="s">
        <v>3866</v>
      </c>
      <c r="BZ433" t="s">
        <v>3872</v>
      </c>
    </row>
    <row r="434" spans="1:78" x14ac:dyDescent="0.25">
      <c r="A434" s="48" t="s">
        <v>1817</v>
      </c>
      <c r="B434" s="48" t="s">
        <v>181</v>
      </c>
      <c r="C434" s="48" t="s">
        <v>1815</v>
      </c>
      <c r="D434" s="49" t="s">
        <v>1816</v>
      </c>
      <c r="E434" s="48" t="s">
        <v>1818</v>
      </c>
      <c r="F434" s="50">
        <v>45008</v>
      </c>
      <c r="G434" s="50" t="s">
        <v>527</v>
      </c>
      <c r="H434" s="50" t="s">
        <v>66</v>
      </c>
      <c r="I434" s="49" t="s">
        <v>67</v>
      </c>
      <c r="J434" s="51">
        <v>371.24</v>
      </c>
      <c r="K434" s="51">
        <v>371.24</v>
      </c>
      <c r="L434" s="51">
        <f t="shared" si="174"/>
        <v>0</v>
      </c>
      <c r="M434" s="51">
        <v>148.54</v>
      </c>
      <c r="N434" s="51">
        <v>148.54</v>
      </c>
      <c r="O434" s="51">
        <f t="shared" si="175"/>
        <v>0</v>
      </c>
      <c r="P434" s="52">
        <v>19970.74938045469</v>
      </c>
      <c r="Q434" s="52">
        <v>49912.08428706073</v>
      </c>
      <c r="R434" s="52">
        <v>22000</v>
      </c>
      <c r="S434" s="52">
        <v>7413941</v>
      </c>
      <c r="T434" s="52">
        <v>889674</v>
      </c>
      <c r="U434" s="53">
        <f t="shared" si="176"/>
        <v>0.12000014567151263</v>
      </c>
      <c r="V434" s="54">
        <f t="shared" ref="V434:V448" si="204">L434*P434</f>
        <v>0</v>
      </c>
      <c r="W434" s="51">
        <f t="shared" si="178"/>
        <v>0</v>
      </c>
      <c r="X434" s="51"/>
      <c r="Y434" s="51"/>
      <c r="Z434" s="52">
        <f t="shared" si="179"/>
        <v>7413941</v>
      </c>
      <c r="AA434" s="56">
        <v>1067140</v>
      </c>
      <c r="AB434" s="56">
        <v>128057</v>
      </c>
      <c r="AC434" s="52">
        <f t="shared" si="180"/>
        <v>6346801</v>
      </c>
      <c r="AD434" s="51">
        <f t="shared" si="181"/>
        <v>300</v>
      </c>
      <c r="AE434" s="55">
        <v>44562</v>
      </c>
      <c r="AF434" s="57">
        <v>8022</v>
      </c>
      <c r="AG434" s="55">
        <f t="shared" si="182"/>
        <v>0</v>
      </c>
      <c r="AH434" s="55">
        <f t="shared" si="183"/>
        <v>0</v>
      </c>
      <c r="AI434" s="55">
        <f t="shared" si="184"/>
        <v>44562</v>
      </c>
      <c r="AJ434" s="55">
        <f t="shared" si="185"/>
        <v>8022</v>
      </c>
      <c r="AK434" s="51">
        <v>44562</v>
      </c>
      <c r="AL434" s="55">
        <f t="shared" si="186"/>
        <v>44562</v>
      </c>
      <c r="AM434" s="15">
        <f t="shared" si="187"/>
        <v>6391363</v>
      </c>
      <c r="AN434" s="15">
        <f t="shared" si="188"/>
        <v>769639</v>
      </c>
      <c r="AO434" s="55">
        <f t="shared" si="193"/>
        <v>814933</v>
      </c>
      <c r="AP434" s="58">
        <f t="shared" si="189"/>
        <v>7206296</v>
      </c>
      <c r="AQ434" s="55">
        <v>6076029</v>
      </c>
      <c r="AR434" s="15">
        <v>732</v>
      </c>
      <c r="AS434" s="18">
        <f t="shared" si="194"/>
        <v>1130267</v>
      </c>
      <c r="AT434" s="60">
        <v>0</v>
      </c>
      <c r="AU434" s="49">
        <v>8800</v>
      </c>
      <c r="AV434" s="54">
        <f t="shared" si="195"/>
        <v>1307152</v>
      </c>
      <c r="AW434" s="59">
        <f t="shared" si="196"/>
        <v>6391363</v>
      </c>
      <c r="AX434" s="55">
        <f t="shared" si="190"/>
        <v>6392000</v>
      </c>
      <c r="AY434" s="61">
        <v>7.0000000000000007E-2</v>
      </c>
      <c r="AZ434" s="54">
        <f t="shared" si="191"/>
        <v>447440.00000000006</v>
      </c>
      <c r="BA434" s="55">
        <f t="shared" si="192"/>
        <v>447500</v>
      </c>
      <c r="BB434" s="62">
        <f t="shared" si="197"/>
        <v>1577767</v>
      </c>
      <c r="BC434" s="51">
        <f t="shared" si="198"/>
        <v>0</v>
      </c>
      <c r="BD434" s="51">
        <f t="shared" si="199"/>
        <v>0</v>
      </c>
      <c r="BE434" s="51">
        <v>34.49</v>
      </c>
      <c r="BF434" s="51">
        <v>13.8</v>
      </c>
      <c r="BG434" s="107">
        <v>46176</v>
      </c>
      <c r="BH434" s="109">
        <f t="shared" si="203"/>
        <v>46206</v>
      </c>
      <c r="BI434" s="63">
        <v>7</v>
      </c>
      <c r="BJ434" s="24" t="s">
        <v>350</v>
      </c>
      <c r="BK434" s="6"/>
      <c r="BL434" s="6">
        <f>VLOOKUP(A434,[2]Sheet1!$D$2:$H$933,5,0)</f>
        <v>0</v>
      </c>
      <c r="BM434" s="6" t="s">
        <v>3828</v>
      </c>
      <c r="BN434" s="6" t="s">
        <v>3829</v>
      </c>
      <c r="BO434" s="6" t="s">
        <v>3820</v>
      </c>
      <c r="BP434" s="6" t="s">
        <v>3821</v>
      </c>
      <c r="BQ434" s="6" t="s">
        <v>3830</v>
      </c>
      <c r="BR434" t="s">
        <v>3823</v>
      </c>
      <c r="BS434" t="s">
        <v>3824</v>
      </c>
      <c r="BT434" t="s">
        <v>3825</v>
      </c>
      <c r="BU434" t="s">
        <v>3826</v>
      </c>
      <c r="BV434" t="s">
        <v>3827</v>
      </c>
      <c r="BW434" t="s">
        <v>3835</v>
      </c>
      <c r="BX434">
        <v>0</v>
      </c>
      <c r="BY434" t="s">
        <v>3866</v>
      </c>
      <c r="BZ434" t="s">
        <v>3871</v>
      </c>
    </row>
    <row r="435" spans="1:78" x14ac:dyDescent="0.25">
      <c r="A435" s="7" t="s">
        <v>1821</v>
      </c>
      <c r="B435" s="7" t="s">
        <v>181</v>
      </c>
      <c r="C435" s="7" t="s">
        <v>1819</v>
      </c>
      <c r="D435" s="8" t="s">
        <v>1820</v>
      </c>
      <c r="E435" s="7" t="s">
        <v>1822</v>
      </c>
      <c r="F435" s="9">
        <v>45056</v>
      </c>
      <c r="G435" s="9" t="s">
        <v>363</v>
      </c>
      <c r="H435" s="9" t="s">
        <v>92</v>
      </c>
      <c r="I435" s="8" t="s">
        <v>78</v>
      </c>
      <c r="J435" s="10">
        <v>697.51</v>
      </c>
      <c r="K435" s="10">
        <v>697.51</v>
      </c>
      <c r="L435" s="10">
        <f t="shared" si="174"/>
        <v>0</v>
      </c>
      <c r="M435" s="10">
        <v>317.54000000000002</v>
      </c>
      <c r="N435" s="10">
        <v>317.54000000000002</v>
      </c>
      <c r="O435" s="10">
        <f t="shared" si="175"/>
        <v>0</v>
      </c>
      <c r="P435" s="11">
        <v>9726.8512279393854</v>
      </c>
      <c r="Q435" s="11">
        <v>21366.05152106821</v>
      </c>
      <c r="R435" s="11">
        <v>28000</v>
      </c>
      <c r="S435" s="11">
        <v>6784576</v>
      </c>
      <c r="T435" s="11">
        <v>814150</v>
      </c>
      <c r="U435" s="12">
        <f t="shared" si="176"/>
        <v>0.12000012970596836</v>
      </c>
      <c r="V435" s="13">
        <f t="shared" si="204"/>
        <v>0</v>
      </c>
      <c r="W435" s="10">
        <f t="shared" si="178"/>
        <v>0</v>
      </c>
      <c r="X435" s="10"/>
      <c r="Y435" s="10"/>
      <c r="Z435" s="11">
        <f t="shared" si="179"/>
        <v>6784576</v>
      </c>
      <c r="AA435" s="14"/>
      <c r="AB435" s="14"/>
      <c r="AC435" s="11">
        <f t="shared" si="180"/>
        <v>6784576</v>
      </c>
      <c r="AD435" s="10">
        <f t="shared" si="181"/>
        <v>300</v>
      </c>
      <c r="AE435" s="15">
        <v>95262</v>
      </c>
      <c r="AF435" s="16">
        <v>17148</v>
      </c>
      <c r="AG435" s="15">
        <f t="shared" si="182"/>
        <v>0</v>
      </c>
      <c r="AH435" s="15">
        <f t="shared" si="183"/>
        <v>0</v>
      </c>
      <c r="AI435" s="15">
        <f t="shared" si="184"/>
        <v>95262</v>
      </c>
      <c r="AJ435" s="15">
        <f t="shared" si="185"/>
        <v>17148</v>
      </c>
      <c r="AK435" s="10">
        <v>95262</v>
      </c>
      <c r="AL435" s="15">
        <f t="shared" si="186"/>
        <v>95262</v>
      </c>
      <c r="AM435" s="15">
        <f t="shared" si="187"/>
        <v>6879838</v>
      </c>
      <c r="AN435" s="15">
        <f t="shared" si="188"/>
        <v>831298</v>
      </c>
      <c r="AO435" s="15">
        <f t="shared" si="193"/>
        <v>931315.88</v>
      </c>
      <c r="AP435" s="17">
        <f t="shared" si="189"/>
        <v>7811153.8799999999</v>
      </c>
      <c r="AQ435" s="15">
        <v>6498802</v>
      </c>
      <c r="AR435" s="15">
        <v>4755.88</v>
      </c>
      <c r="AS435" s="18">
        <f t="shared" si="194"/>
        <v>1312352</v>
      </c>
      <c r="AT435" s="19">
        <v>0</v>
      </c>
      <c r="AU435" s="8">
        <v>8800</v>
      </c>
      <c r="AV435" s="13">
        <f t="shared" si="195"/>
        <v>2794352</v>
      </c>
      <c r="AW435" s="18">
        <f t="shared" si="196"/>
        <v>6879838</v>
      </c>
      <c r="AX435" s="15">
        <f t="shared" si="190"/>
        <v>6880000</v>
      </c>
      <c r="AY435" s="20">
        <v>0.05</v>
      </c>
      <c r="AZ435" s="13">
        <f t="shared" si="191"/>
        <v>344000</v>
      </c>
      <c r="BA435" s="15">
        <f t="shared" si="192"/>
        <v>344000</v>
      </c>
      <c r="BB435" s="21">
        <f t="shared" si="197"/>
        <v>1656352</v>
      </c>
      <c r="BC435" s="10">
        <f t="shared" si="198"/>
        <v>0</v>
      </c>
      <c r="BD435" s="10">
        <f t="shared" si="199"/>
        <v>0</v>
      </c>
      <c r="BE435" s="10">
        <v>64.8</v>
      </c>
      <c r="BF435" s="10">
        <v>29.5</v>
      </c>
      <c r="BG435" s="107">
        <v>46176</v>
      </c>
      <c r="BH435" s="107">
        <f t="shared" si="203"/>
        <v>46206</v>
      </c>
      <c r="BI435" s="23">
        <v>5</v>
      </c>
      <c r="BJ435" s="6"/>
      <c r="BK435" s="6"/>
      <c r="BL435" s="6">
        <f>VLOOKUP(A435,[2]Sheet1!$D$2:$H$933,5,0)</f>
        <v>0</v>
      </c>
      <c r="BM435" s="6" t="s">
        <v>3828</v>
      </c>
      <c r="BN435" s="6" t="s">
        <v>3829</v>
      </c>
      <c r="BO435" s="6" t="s">
        <v>3820</v>
      </c>
      <c r="BP435" s="6" t="s">
        <v>3821</v>
      </c>
      <c r="BQ435" s="6" t="s">
        <v>3830</v>
      </c>
      <c r="BR435" t="s">
        <v>3823</v>
      </c>
      <c r="BS435" t="s">
        <v>3824</v>
      </c>
      <c r="BT435" t="s">
        <v>3825</v>
      </c>
      <c r="BU435" t="s">
        <v>3826</v>
      </c>
      <c r="BV435" t="s">
        <v>3827</v>
      </c>
      <c r="BW435" t="s">
        <v>3835</v>
      </c>
      <c r="BX435">
        <v>0</v>
      </c>
      <c r="BY435" t="s">
        <v>3861</v>
      </c>
      <c r="BZ435" t="s">
        <v>3860</v>
      </c>
    </row>
    <row r="436" spans="1:78" x14ac:dyDescent="0.25">
      <c r="A436" s="7" t="s">
        <v>1825</v>
      </c>
      <c r="B436" s="7" t="s">
        <v>181</v>
      </c>
      <c r="C436" s="7" t="s">
        <v>1823</v>
      </c>
      <c r="D436" s="8" t="s">
        <v>1824</v>
      </c>
      <c r="E436" s="7" t="s">
        <v>1826</v>
      </c>
      <c r="F436" s="9">
        <v>44929</v>
      </c>
      <c r="G436" s="9" t="s">
        <v>527</v>
      </c>
      <c r="H436" s="9" t="s">
        <v>72</v>
      </c>
      <c r="I436" s="8" t="s">
        <v>78</v>
      </c>
      <c r="J436" s="10">
        <v>938.62</v>
      </c>
      <c r="K436" s="10">
        <v>938.62</v>
      </c>
      <c r="L436" s="10">
        <f t="shared" si="174"/>
        <v>0</v>
      </c>
      <c r="M436" s="10">
        <v>421.95</v>
      </c>
      <c r="N436" s="10">
        <v>421.95</v>
      </c>
      <c r="O436" s="10">
        <f t="shared" si="175"/>
        <v>0</v>
      </c>
      <c r="P436" s="11">
        <v>10654.000554004815</v>
      </c>
      <c r="Q436" s="11">
        <v>23699.627917999762</v>
      </c>
      <c r="R436" s="11">
        <v>20000</v>
      </c>
      <c r="S436" s="11">
        <v>10000058</v>
      </c>
      <c r="T436" s="11">
        <v>1200008</v>
      </c>
      <c r="U436" s="12">
        <f t="shared" si="176"/>
        <v>0.1200001039993968</v>
      </c>
      <c r="V436" s="13">
        <f t="shared" si="204"/>
        <v>0</v>
      </c>
      <c r="W436" s="10">
        <f t="shared" si="178"/>
        <v>0</v>
      </c>
      <c r="X436" s="10"/>
      <c r="Y436" s="10"/>
      <c r="Z436" s="11">
        <f t="shared" si="179"/>
        <v>10000058</v>
      </c>
      <c r="AA436" s="14"/>
      <c r="AB436" s="14"/>
      <c r="AC436" s="11">
        <f t="shared" si="180"/>
        <v>10000058</v>
      </c>
      <c r="AD436" s="10">
        <f t="shared" si="181"/>
        <v>300</v>
      </c>
      <c r="AE436" s="15">
        <v>126585</v>
      </c>
      <c r="AF436" s="16">
        <v>22786</v>
      </c>
      <c r="AG436" s="15">
        <f t="shared" si="182"/>
        <v>0</v>
      </c>
      <c r="AH436" s="15">
        <f t="shared" si="183"/>
        <v>0</v>
      </c>
      <c r="AI436" s="15">
        <f t="shared" si="184"/>
        <v>126585</v>
      </c>
      <c r="AJ436" s="15">
        <f t="shared" si="185"/>
        <v>22786</v>
      </c>
      <c r="AK436" s="10">
        <v>126585</v>
      </c>
      <c r="AL436" s="15">
        <f t="shared" si="186"/>
        <v>126585</v>
      </c>
      <c r="AM436" s="15">
        <f t="shared" si="187"/>
        <v>10126643</v>
      </c>
      <c r="AN436" s="15">
        <f t="shared" si="188"/>
        <v>1222794</v>
      </c>
      <c r="AO436" s="15">
        <f t="shared" si="193"/>
        <v>1354193</v>
      </c>
      <c r="AP436" s="17">
        <f t="shared" si="189"/>
        <v>11480836</v>
      </c>
      <c r="AQ436" s="15">
        <v>9994449</v>
      </c>
      <c r="AR436" s="15">
        <v>4814</v>
      </c>
      <c r="AS436" s="18">
        <f t="shared" si="194"/>
        <v>1486387</v>
      </c>
      <c r="AT436" s="19">
        <v>0</v>
      </c>
      <c r="AU436" s="8">
        <v>8800</v>
      </c>
      <c r="AV436" s="13">
        <f t="shared" si="195"/>
        <v>3713160</v>
      </c>
      <c r="AW436" s="18">
        <f t="shared" si="196"/>
        <v>10126643</v>
      </c>
      <c r="AX436" s="15">
        <f t="shared" si="190"/>
        <v>10127000</v>
      </c>
      <c r="AY436" s="20">
        <v>0.05</v>
      </c>
      <c r="AZ436" s="13">
        <f t="shared" si="191"/>
        <v>506350</v>
      </c>
      <c r="BA436" s="15">
        <f t="shared" si="192"/>
        <v>506400</v>
      </c>
      <c r="BB436" s="21">
        <f t="shared" si="197"/>
        <v>1992787</v>
      </c>
      <c r="BC436" s="10">
        <f t="shared" si="198"/>
        <v>0</v>
      </c>
      <c r="BD436" s="10">
        <f t="shared" si="199"/>
        <v>0</v>
      </c>
      <c r="BE436" s="10">
        <v>87.2</v>
      </c>
      <c r="BF436" s="10">
        <v>39.200000000000003</v>
      </c>
      <c r="BG436" s="107">
        <v>46176</v>
      </c>
      <c r="BH436" s="107">
        <f t="shared" si="203"/>
        <v>46206</v>
      </c>
      <c r="BI436" s="23">
        <v>5</v>
      </c>
      <c r="BJ436" s="6"/>
      <c r="BK436" s="6"/>
      <c r="BL436" s="6">
        <f>VLOOKUP(A436,[2]Sheet1!$D$2:$H$933,5,0)</f>
        <v>0</v>
      </c>
      <c r="BM436" s="6" t="s">
        <v>3828</v>
      </c>
      <c r="BN436" s="6" t="s">
        <v>3829</v>
      </c>
      <c r="BO436" s="6" t="s">
        <v>3820</v>
      </c>
      <c r="BP436" s="6" t="s">
        <v>3821</v>
      </c>
      <c r="BQ436" s="6" t="s">
        <v>3830</v>
      </c>
      <c r="BR436" t="s">
        <v>3823</v>
      </c>
      <c r="BS436" t="s">
        <v>3824</v>
      </c>
      <c r="BT436" t="s">
        <v>3825</v>
      </c>
      <c r="BU436" t="s">
        <v>3826</v>
      </c>
      <c r="BV436" t="s">
        <v>3827</v>
      </c>
      <c r="BW436" t="s">
        <v>3835</v>
      </c>
      <c r="BX436">
        <v>0</v>
      </c>
      <c r="BY436" t="s">
        <v>3867</v>
      </c>
      <c r="BZ436" t="s">
        <v>3871</v>
      </c>
    </row>
    <row r="437" spans="1:78" x14ac:dyDescent="0.25">
      <c r="A437" s="7" t="s">
        <v>1829</v>
      </c>
      <c r="B437" s="7" t="s">
        <v>181</v>
      </c>
      <c r="C437" s="7" t="s">
        <v>1827</v>
      </c>
      <c r="D437" s="8" t="s">
        <v>1828</v>
      </c>
      <c r="E437" s="7" t="s">
        <v>1830</v>
      </c>
      <c r="F437" s="9">
        <v>44938</v>
      </c>
      <c r="G437" s="9" t="s">
        <v>65</v>
      </c>
      <c r="H437" s="9" t="s">
        <v>72</v>
      </c>
      <c r="I437" s="8" t="s">
        <v>78</v>
      </c>
      <c r="J437" s="10">
        <v>677.27</v>
      </c>
      <c r="K437" s="10">
        <v>677.27</v>
      </c>
      <c r="L437" s="10">
        <f t="shared" si="174"/>
        <v>0</v>
      </c>
      <c r="M437" s="10">
        <v>315.39</v>
      </c>
      <c r="N437" s="10">
        <v>315.39</v>
      </c>
      <c r="O437" s="10">
        <f t="shared" si="175"/>
        <v>0</v>
      </c>
      <c r="P437" s="11">
        <v>7104.9994832193961</v>
      </c>
      <c r="Q437" s="11">
        <v>15257.309997146391</v>
      </c>
      <c r="R437" s="11">
        <v>20000</v>
      </c>
      <c r="S437" s="11">
        <v>4812003</v>
      </c>
      <c r="T437" s="11">
        <v>577440</v>
      </c>
      <c r="U437" s="12">
        <f t="shared" si="176"/>
        <v>0.11999992518707905</v>
      </c>
      <c r="V437" s="13">
        <f t="shared" si="204"/>
        <v>0</v>
      </c>
      <c r="W437" s="10">
        <f t="shared" si="178"/>
        <v>0</v>
      </c>
      <c r="X437" s="10"/>
      <c r="Y437" s="10"/>
      <c r="Z437" s="11">
        <f t="shared" si="179"/>
        <v>4812003</v>
      </c>
      <c r="AA437" s="14"/>
      <c r="AB437" s="14"/>
      <c r="AC437" s="11">
        <f t="shared" si="180"/>
        <v>4812003</v>
      </c>
      <c r="AD437" s="10">
        <f t="shared" si="181"/>
        <v>300</v>
      </c>
      <c r="AE437" s="15">
        <v>94617</v>
      </c>
      <c r="AF437" s="16">
        <v>17032</v>
      </c>
      <c r="AG437" s="15">
        <f t="shared" si="182"/>
        <v>0</v>
      </c>
      <c r="AH437" s="15">
        <f t="shared" si="183"/>
        <v>0</v>
      </c>
      <c r="AI437" s="15">
        <f t="shared" si="184"/>
        <v>94617</v>
      </c>
      <c r="AJ437" s="15">
        <f t="shared" si="185"/>
        <v>17032</v>
      </c>
      <c r="AK437" s="10">
        <v>94617</v>
      </c>
      <c r="AL437" s="15">
        <f t="shared" si="186"/>
        <v>94617</v>
      </c>
      <c r="AM437" s="15">
        <f t="shared" si="187"/>
        <v>4906620</v>
      </c>
      <c r="AN437" s="15">
        <f t="shared" si="188"/>
        <v>594472</v>
      </c>
      <c r="AO437" s="15">
        <f t="shared" si="193"/>
        <v>693774</v>
      </c>
      <c r="AP437" s="17">
        <f t="shared" si="189"/>
        <v>5600394</v>
      </c>
      <c r="AQ437" s="15">
        <v>4850499</v>
      </c>
      <c r="AR437" s="15">
        <v>4685</v>
      </c>
      <c r="AS437" s="18">
        <f t="shared" si="194"/>
        <v>749895</v>
      </c>
      <c r="AT437" s="19">
        <v>0</v>
      </c>
      <c r="AU437" s="8">
        <v>8800</v>
      </c>
      <c r="AV437" s="13">
        <f t="shared" si="195"/>
        <v>2775432</v>
      </c>
      <c r="AW437" s="18">
        <f t="shared" si="196"/>
        <v>4906620</v>
      </c>
      <c r="AX437" s="15">
        <f t="shared" si="190"/>
        <v>4907000</v>
      </c>
      <c r="AY437" s="20">
        <v>7.0000000000000007E-2</v>
      </c>
      <c r="AZ437" s="13">
        <f t="shared" si="191"/>
        <v>343490.00000000006</v>
      </c>
      <c r="BA437" s="15">
        <f t="shared" si="192"/>
        <v>343500</v>
      </c>
      <c r="BB437" s="21">
        <f t="shared" si="197"/>
        <v>1093395</v>
      </c>
      <c r="BC437" s="10">
        <f t="shared" si="198"/>
        <v>0</v>
      </c>
      <c r="BD437" s="10">
        <f t="shared" si="199"/>
        <v>0</v>
      </c>
      <c r="BE437" s="10">
        <v>62.92</v>
      </c>
      <c r="BF437" s="10">
        <v>29.3</v>
      </c>
      <c r="BG437" s="107">
        <v>46176</v>
      </c>
      <c r="BH437" s="107">
        <f t="shared" si="203"/>
        <v>46206</v>
      </c>
      <c r="BI437" s="23">
        <v>7</v>
      </c>
      <c r="BJ437" s="6"/>
      <c r="BK437" s="6"/>
      <c r="BL437" s="6">
        <f>VLOOKUP(A437,[2]Sheet1!$D$2:$H$933,5,0)</f>
        <v>0</v>
      </c>
      <c r="BM437" s="6" t="s">
        <v>3828</v>
      </c>
      <c r="BN437" s="6" t="s">
        <v>3829</v>
      </c>
      <c r="BO437" s="6" t="s">
        <v>3820</v>
      </c>
      <c r="BP437" s="6" t="s">
        <v>3821</v>
      </c>
      <c r="BQ437" s="6" t="s">
        <v>3830</v>
      </c>
      <c r="BR437" t="s">
        <v>3823</v>
      </c>
      <c r="BS437" t="s">
        <v>3824</v>
      </c>
      <c r="BT437" t="s">
        <v>3825</v>
      </c>
      <c r="BU437" t="s">
        <v>3826</v>
      </c>
      <c r="BV437" t="s">
        <v>3827</v>
      </c>
      <c r="BW437" t="s">
        <v>3835</v>
      </c>
      <c r="BX437">
        <v>0</v>
      </c>
      <c r="BY437" t="s">
        <v>3870</v>
      </c>
      <c r="BZ437" t="s">
        <v>3860</v>
      </c>
    </row>
    <row r="438" spans="1:78" x14ac:dyDescent="0.25">
      <c r="A438" s="7" t="s">
        <v>1833</v>
      </c>
      <c r="B438" s="7" t="s">
        <v>181</v>
      </c>
      <c r="C438" s="7" t="s">
        <v>1831</v>
      </c>
      <c r="D438" s="8" t="s">
        <v>1832</v>
      </c>
      <c r="E438" s="7" t="s">
        <v>1834</v>
      </c>
      <c r="F438" s="9">
        <v>44902</v>
      </c>
      <c r="G438" s="9" t="s">
        <v>404</v>
      </c>
      <c r="H438" s="9" t="s">
        <v>190</v>
      </c>
      <c r="I438" s="8" t="s">
        <v>78</v>
      </c>
      <c r="J438" s="10">
        <v>1334.74</v>
      </c>
      <c r="K438" s="10">
        <v>1334.74</v>
      </c>
      <c r="L438" s="10">
        <f t="shared" ref="L438:L499" si="205">K438-J438</f>
        <v>0</v>
      </c>
      <c r="M438" s="10">
        <v>624.30999999999995</v>
      </c>
      <c r="N438" s="10">
        <v>624.30999999999995</v>
      </c>
      <c r="O438" s="10">
        <f t="shared" ref="O438:O499" si="206">N438-M438</f>
        <v>0</v>
      </c>
      <c r="P438" s="11">
        <v>11700</v>
      </c>
      <c r="Q438" s="11">
        <v>25013.948198811489</v>
      </c>
      <c r="R438" s="11">
        <v>60000</v>
      </c>
      <c r="S438" s="11">
        <v>15616458</v>
      </c>
      <c r="T438" s="11">
        <v>1873976</v>
      </c>
      <c r="U438" s="12">
        <f t="shared" ref="U438:U499" si="207">T438/S438</f>
        <v>0.12000006659640745</v>
      </c>
      <c r="V438" s="13">
        <f t="shared" si="204"/>
        <v>0</v>
      </c>
      <c r="W438" s="10">
        <f t="shared" ref="W438:W499" si="208">V438*U438</f>
        <v>0</v>
      </c>
      <c r="X438" s="10"/>
      <c r="Y438" s="10"/>
      <c r="Z438" s="11">
        <f t="shared" ref="Z438:Z499" si="209">S438+V438+X438</f>
        <v>15616458</v>
      </c>
      <c r="AA438" s="14"/>
      <c r="AB438" s="14"/>
      <c r="AC438" s="11">
        <f t="shared" ref="AC438:AC499" si="210">Z438-AA438</f>
        <v>15616458</v>
      </c>
      <c r="AD438" s="10">
        <f t="shared" ref="AD438:AD499" si="211">AE438/M438</f>
        <v>300</v>
      </c>
      <c r="AE438" s="15">
        <v>187293</v>
      </c>
      <c r="AF438" s="16">
        <v>33712</v>
      </c>
      <c r="AG438" s="15">
        <f t="shared" ref="AG438:AG499" si="212">(AD438*O438)</f>
        <v>0</v>
      </c>
      <c r="AH438" s="15">
        <f t="shared" ref="AH438:AH499" si="213">AG438*18%</f>
        <v>0</v>
      </c>
      <c r="AI438" s="15">
        <f t="shared" ref="AI438:AI499" si="214">AD438*N438</f>
        <v>187292.99999999997</v>
      </c>
      <c r="AJ438" s="15">
        <f t="shared" ref="AJ438:AJ499" si="215">ROUNDUP(AI438*18%,0)</f>
        <v>33713</v>
      </c>
      <c r="AK438" s="10">
        <v>187293</v>
      </c>
      <c r="AL438" s="15">
        <f t="shared" ref="AL438:AL499" si="216">N438*300</f>
        <v>187292.99999999997</v>
      </c>
      <c r="AM438" s="15">
        <f t="shared" ref="AM438:AM499" si="217">ROUND(AI438+AC438,0)</f>
        <v>15803751</v>
      </c>
      <c r="AN438" s="15">
        <f t="shared" ref="AN438:AN499" si="218">ROUNDUP(AJ438+W438+T438+Y438-AB438,0)</f>
        <v>1907689</v>
      </c>
      <c r="AO438" s="15">
        <f t="shared" si="193"/>
        <v>2099730.84</v>
      </c>
      <c r="AP438" s="17">
        <f t="shared" ref="AP438:AP499" si="219">AM438+AO438</f>
        <v>17903481.84</v>
      </c>
      <c r="AQ438" s="15">
        <v>5179848</v>
      </c>
      <c r="AR438" s="15">
        <v>4748.84</v>
      </c>
      <c r="AS438" s="18">
        <f t="shared" si="194"/>
        <v>12723634</v>
      </c>
      <c r="AT438" s="19">
        <v>0</v>
      </c>
      <c r="AU438" s="8">
        <v>8800</v>
      </c>
      <c r="AV438" s="13">
        <f t="shared" si="195"/>
        <v>5493927.9999999991</v>
      </c>
      <c r="AW438" s="18">
        <f t="shared" si="196"/>
        <v>15803751</v>
      </c>
      <c r="AX438" s="15">
        <f t="shared" ref="AX438:AX499" si="220">CEILING((AW438),1000)</f>
        <v>15804000</v>
      </c>
      <c r="AY438" s="20">
        <v>0.06</v>
      </c>
      <c r="AZ438" s="13">
        <f t="shared" ref="AZ438:AZ499" si="221">AY438*AX438</f>
        <v>948240</v>
      </c>
      <c r="BA438" s="15">
        <f t="shared" ref="BA438:BA499" si="222">CEILING(AZ438,100)</f>
        <v>948300</v>
      </c>
      <c r="BB438" s="21">
        <f t="shared" si="197"/>
        <v>13671934</v>
      </c>
      <c r="BC438" s="10">
        <f t="shared" si="198"/>
        <v>0</v>
      </c>
      <c r="BD438" s="10">
        <f t="shared" si="199"/>
        <v>0</v>
      </c>
      <c r="BE438" s="10">
        <v>124</v>
      </c>
      <c r="BF438" s="10">
        <v>58</v>
      </c>
      <c r="BG438" s="107">
        <v>46176</v>
      </c>
      <c r="BH438" s="107">
        <f t="shared" si="203"/>
        <v>46206</v>
      </c>
      <c r="BI438" s="23">
        <v>6</v>
      </c>
      <c r="BJ438" s="6"/>
      <c r="BK438" s="6"/>
      <c r="BL438" s="6">
        <f>VLOOKUP(A438,[2]Sheet1!$D$2:$H$933,5,0)</f>
        <v>0</v>
      </c>
      <c r="BM438" s="6" t="s">
        <v>3828</v>
      </c>
      <c r="BN438" s="6" t="s">
        <v>3829</v>
      </c>
      <c r="BO438" s="6" t="s">
        <v>3820</v>
      </c>
      <c r="BP438" s="6" t="s">
        <v>3821</v>
      </c>
      <c r="BQ438" s="6" t="s">
        <v>3830</v>
      </c>
      <c r="BR438" t="s">
        <v>3823</v>
      </c>
      <c r="BS438" t="s">
        <v>3824</v>
      </c>
      <c r="BT438" t="s">
        <v>3825</v>
      </c>
      <c r="BU438" t="s">
        <v>3826</v>
      </c>
      <c r="BV438" t="s">
        <v>3827</v>
      </c>
      <c r="BW438" t="s">
        <v>3835</v>
      </c>
      <c r="BX438" s="101">
        <v>2298721.2617600001</v>
      </c>
      <c r="BY438" t="s">
        <v>3864</v>
      </c>
      <c r="BZ438" t="s">
        <v>3863</v>
      </c>
    </row>
    <row r="439" spans="1:78" x14ac:dyDescent="0.25">
      <c r="A439" s="7" t="s">
        <v>1837</v>
      </c>
      <c r="B439" s="7" t="s">
        <v>181</v>
      </c>
      <c r="C439" s="7" t="s">
        <v>1835</v>
      </c>
      <c r="D439" s="8" t="s">
        <v>1836</v>
      </c>
      <c r="E439" s="7" t="s">
        <v>1838</v>
      </c>
      <c r="F439" s="9">
        <v>44995</v>
      </c>
      <c r="G439" s="9" t="s">
        <v>404</v>
      </c>
      <c r="H439" s="9" t="s">
        <v>66</v>
      </c>
      <c r="I439" s="8" t="s">
        <v>78</v>
      </c>
      <c r="J439" s="10">
        <v>815.91</v>
      </c>
      <c r="K439" s="10">
        <v>815.91</v>
      </c>
      <c r="L439" s="10">
        <f t="shared" si="205"/>
        <v>0</v>
      </c>
      <c r="M439" s="10">
        <v>375.66</v>
      </c>
      <c r="N439" s="10">
        <v>375.66</v>
      </c>
      <c r="O439" s="10">
        <f t="shared" si="206"/>
        <v>0</v>
      </c>
      <c r="P439" s="11">
        <v>15709.999877437464</v>
      </c>
      <c r="Q439" s="11">
        <v>34121.136133737949</v>
      </c>
      <c r="R439" s="11">
        <v>22000</v>
      </c>
      <c r="S439" s="11">
        <v>12817946</v>
      </c>
      <c r="T439" s="11">
        <v>1538154</v>
      </c>
      <c r="U439" s="12">
        <f t="shared" si="207"/>
        <v>0.12000003744749743</v>
      </c>
      <c r="V439" s="13">
        <f t="shared" si="204"/>
        <v>0</v>
      </c>
      <c r="W439" s="10">
        <f t="shared" si="208"/>
        <v>0</v>
      </c>
      <c r="X439" s="10"/>
      <c r="Y439" s="10"/>
      <c r="Z439" s="11">
        <f t="shared" si="209"/>
        <v>12817946</v>
      </c>
      <c r="AA439" s="14"/>
      <c r="AB439" s="14"/>
      <c r="AC439" s="11">
        <f t="shared" si="210"/>
        <v>12817946</v>
      </c>
      <c r="AD439" s="10">
        <f t="shared" si="211"/>
        <v>300</v>
      </c>
      <c r="AE439" s="15">
        <v>112698</v>
      </c>
      <c r="AF439" s="16">
        <v>20286</v>
      </c>
      <c r="AG439" s="15">
        <f t="shared" si="212"/>
        <v>0</v>
      </c>
      <c r="AH439" s="15">
        <f t="shared" si="213"/>
        <v>0</v>
      </c>
      <c r="AI439" s="15">
        <f t="shared" si="214"/>
        <v>112698.00000000001</v>
      </c>
      <c r="AJ439" s="15">
        <f t="shared" si="215"/>
        <v>20286</v>
      </c>
      <c r="AK439" s="10">
        <v>112698</v>
      </c>
      <c r="AL439" s="15">
        <f t="shared" si="216"/>
        <v>112698.00000000001</v>
      </c>
      <c r="AM439" s="15">
        <f t="shared" si="217"/>
        <v>12930644</v>
      </c>
      <c r="AN439" s="15">
        <f t="shared" si="218"/>
        <v>1558440</v>
      </c>
      <c r="AO439" s="15">
        <f t="shared" si="193"/>
        <v>1678274</v>
      </c>
      <c r="AP439" s="17">
        <f t="shared" si="219"/>
        <v>14608918</v>
      </c>
      <c r="AQ439" s="15">
        <v>11484877.870000001</v>
      </c>
      <c r="AR439" s="15">
        <v>7136</v>
      </c>
      <c r="AS439" s="18">
        <f t="shared" si="194"/>
        <v>3124040</v>
      </c>
      <c r="AT439" s="19">
        <v>12817946</v>
      </c>
      <c r="AU439" s="8">
        <v>8800</v>
      </c>
      <c r="AV439" s="13">
        <f t="shared" si="195"/>
        <v>3305808</v>
      </c>
      <c r="AW439" s="18">
        <f t="shared" si="196"/>
        <v>12930644</v>
      </c>
      <c r="AX439" s="15">
        <f t="shared" si="220"/>
        <v>12931000</v>
      </c>
      <c r="AY439" s="20">
        <v>0.06</v>
      </c>
      <c r="AZ439" s="13">
        <f t="shared" si="221"/>
        <v>775860</v>
      </c>
      <c r="BA439" s="15">
        <f t="shared" si="222"/>
        <v>775900</v>
      </c>
      <c r="BB439" s="21">
        <f t="shared" si="197"/>
        <v>3899940</v>
      </c>
      <c r="BC439" s="10">
        <f t="shared" si="198"/>
        <v>0</v>
      </c>
      <c r="BD439" s="10">
        <f t="shared" si="199"/>
        <v>0</v>
      </c>
      <c r="BE439" s="10">
        <v>75.8</v>
      </c>
      <c r="BF439" s="10">
        <v>34.9</v>
      </c>
      <c r="BG439" s="107">
        <v>46176</v>
      </c>
      <c r="BH439" s="107">
        <f t="shared" si="203"/>
        <v>46206</v>
      </c>
      <c r="BI439" s="23">
        <v>6</v>
      </c>
      <c r="BJ439" s="6"/>
      <c r="BK439" s="6"/>
      <c r="BL439" s="6">
        <f>VLOOKUP(A439,[2]Sheet1!$D$2:$H$933,5,0)</f>
        <v>0</v>
      </c>
      <c r="BM439" s="6" t="s">
        <v>3828</v>
      </c>
      <c r="BN439" s="6" t="s">
        <v>3829</v>
      </c>
      <c r="BO439" s="6" t="s">
        <v>3820</v>
      </c>
      <c r="BP439" s="6" t="s">
        <v>3821</v>
      </c>
      <c r="BQ439" s="6" t="s">
        <v>3830</v>
      </c>
      <c r="BR439" t="s">
        <v>3823</v>
      </c>
      <c r="BS439" t="s">
        <v>3824</v>
      </c>
      <c r="BT439" t="s">
        <v>3825</v>
      </c>
      <c r="BU439" t="s">
        <v>3826</v>
      </c>
      <c r="BV439" t="s">
        <v>3827</v>
      </c>
      <c r="BW439" t="s">
        <v>3835</v>
      </c>
      <c r="BX439">
        <v>0</v>
      </c>
      <c r="BY439" t="s">
        <v>3861</v>
      </c>
      <c r="BZ439" t="s">
        <v>3863</v>
      </c>
    </row>
    <row r="440" spans="1:78" x14ac:dyDescent="0.25">
      <c r="A440" s="7" t="s">
        <v>1841</v>
      </c>
      <c r="B440" s="7" t="s">
        <v>181</v>
      </c>
      <c r="C440" s="7" t="s">
        <v>1839</v>
      </c>
      <c r="D440" s="8" t="s">
        <v>1840</v>
      </c>
      <c r="E440" s="7" t="s">
        <v>1842</v>
      </c>
      <c r="F440" s="9">
        <v>45002</v>
      </c>
      <c r="G440" s="9" t="s">
        <v>527</v>
      </c>
      <c r="H440" s="9" t="s">
        <v>87</v>
      </c>
      <c r="I440" s="8" t="s">
        <v>67</v>
      </c>
      <c r="J440" s="10">
        <v>310.95999999999998</v>
      </c>
      <c r="K440" s="10">
        <v>310.95999999999998</v>
      </c>
      <c r="L440" s="10">
        <f t="shared" si="205"/>
        <v>0</v>
      </c>
      <c r="M440" s="10">
        <v>122.71</v>
      </c>
      <c r="N440" s="10">
        <v>122.71</v>
      </c>
      <c r="O440" s="10">
        <f t="shared" si="206"/>
        <v>0</v>
      </c>
      <c r="P440" s="11">
        <v>27833.997941857477</v>
      </c>
      <c r="Q440" s="11">
        <v>70534.267785836535</v>
      </c>
      <c r="R440" s="11">
        <v>40000</v>
      </c>
      <c r="S440" s="11">
        <v>8655260</v>
      </c>
      <c r="T440" s="11">
        <v>1038634</v>
      </c>
      <c r="U440" s="12">
        <f t="shared" si="207"/>
        <v>0.1200003235027024</v>
      </c>
      <c r="V440" s="13">
        <f t="shared" si="204"/>
        <v>0</v>
      </c>
      <c r="W440" s="10">
        <f t="shared" si="208"/>
        <v>0</v>
      </c>
      <c r="X440" s="10"/>
      <c r="Y440" s="10"/>
      <c r="Z440" s="11">
        <f t="shared" si="209"/>
        <v>8655260</v>
      </c>
      <c r="AA440" s="14"/>
      <c r="AB440" s="14"/>
      <c r="AC440" s="11">
        <f t="shared" si="210"/>
        <v>8655260</v>
      </c>
      <c r="AD440" s="10">
        <f t="shared" si="211"/>
        <v>300</v>
      </c>
      <c r="AE440" s="15">
        <v>36813</v>
      </c>
      <c r="AF440" s="16">
        <v>6626</v>
      </c>
      <c r="AG440" s="15">
        <f t="shared" si="212"/>
        <v>0</v>
      </c>
      <c r="AH440" s="15">
        <f t="shared" si="213"/>
        <v>0</v>
      </c>
      <c r="AI440" s="15">
        <f t="shared" si="214"/>
        <v>36813</v>
      </c>
      <c r="AJ440" s="15">
        <f t="shared" si="215"/>
        <v>6627</v>
      </c>
      <c r="AK440" s="10">
        <v>36813</v>
      </c>
      <c r="AL440" s="15">
        <f t="shared" si="216"/>
        <v>36813</v>
      </c>
      <c r="AM440" s="15">
        <f t="shared" si="217"/>
        <v>8692073</v>
      </c>
      <c r="AN440" s="15">
        <f t="shared" si="218"/>
        <v>1045261</v>
      </c>
      <c r="AO440" s="15">
        <f t="shared" si="193"/>
        <v>1089258</v>
      </c>
      <c r="AP440" s="17">
        <f t="shared" si="219"/>
        <v>9781331</v>
      </c>
      <c r="AQ440" s="15">
        <v>7279394</v>
      </c>
      <c r="AR440" s="15">
        <v>7184</v>
      </c>
      <c r="AS440" s="18">
        <f t="shared" si="194"/>
        <v>2501937</v>
      </c>
      <c r="AT440" s="19">
        <v>0</v>
      </c>
      <c r="AU440" s="8">
        <v>8800</v>
      </c>
      <c r="AV440" s="13">
        <f t="shared" si="195"/>
        <v>1079848</v>
      </c>
      <c r="AW440" s="18">
        <f t="shared" si="196"/>
        <v>8692073</v>
      </c>
      <c r="AX440" s="15">
        <f t="shared" si="220"/>
        <v>8693000</v>
      </c>
      <c r="AY440" s="20">
        <v>0.05</v>
      </c>
      <c r="AZ440" s="13">
        <f t="shared" si="221"/>
        <v>434650</v>
      </c>
      <c r="BA440" s="15">
        <f t="shared" si="222"/>
        <v>434700</v>
      </c>
      <c r="BB440" s="21">
        <f t="shared" si="197"/>
        <v>2936637</v>
      </c>
      <c r="BC440" s="10">
        <f t="shared" si="198"/>
        <v>0</v>
      </c>
      <c r="BD440" s="10">
        <f t="shared" si="199"/>
        <v>0</v>
      </c>
      <c r="BE440" s="10">
        <v>28.89</v>
      </c>
      <c r="BF440" s="10">
        <v>11.4</v>
      </c>
      <c r="BG440" s="107">
        <v>46176</v>
      </c>
      <c r="BH440" s="107">
        <f t="shared" si="203"/>
        <v>46206</v>
      </c>
      <c r="BI440" s="23">
        <v>5</v>
      </c>
      <c r="BJ440" s="6"/>
      <c r="BK440" s="6"/>
      <c r="BL440" s="6">
        <f>VLOOKUP(A440,[2]Sheet1!$D$2:$H$933,5,0)</f>
        <v>0</v>
      </c>
      <c r="BM440" s="6" t="s">
        <v>3828</v>
      </c>
      <c r="BN440" s="6" t="s">
        <v>3829</v>
      </c>
      <c r="BO440" s="6" t="s">
        <v>3820</v>
      </c>
      <c r="BP440" s="6" t="s">
        <v>3821</v>
      </c>
      <c r="BQ440" s="6" t="s">
        <v>3830</v>
      </c>
      <c r="BR440" t="s">
        <v>3823</v>
      </c>
      <c r="BS440" t="s">
        <v>3824</v>
      </c>
      <c r="BT440" t="s">
        <v>3825</v>
      </c>
      <c r="BU440" t="s">
        <v>3826</v>
      </c>
      <c r="BV440" t="s">
        <v>3827</v>
      </c>
      <c r="BW440" t="s">
        <v>3835</v>
      </c>
      <c r="BX440">
        <v>0</v>
      </c>
      <c r="BY440" t="s">
        <v>3867</v>
      </c>
      <c r="BZ440" t="s">
        <v>3871</v>
      </c>
    </row>
    <row r="441" spans="1:78" x14ac:dyDescent="0.25">
      <c r="A441" s="7" t="s">
        <v>1845</v>
      </c>
      <c r="B441" s="7" t="s">
        <v>181</v>
      </c>
      <c r="C441" s="7" t="s">
        <v>1843</v>
      </c>
      <c r="D441" s="8" t="s">
        <v>1844</v>
      </c>
      <c r="E441" s="7" t="s">
        <v>1846</v>
      </c>
      <c r="F441" s="9">
        <v>44865</v>
      </c>
      <c r="G441" s="9" t="s">
        <v>527</v>
      </c>
      <c r="H441" s="9" t="s">
        <v>72</v>
      </c>
      <c r="I441" s="8" t="s">
        <v>78</v>
      </c>
      <c r="J441" s="10">
        <v>1192.6500000000001</v>
      </c>
      <c r="K441" s="10">
        <v>1192.6500000000001</v>
      </c>
      <c r="L441" s="10">
        <f t="shared" si="205"/>
        <v>0</v>
      </c>
      <c r="M441" s="10">
        <v>547.89</v>
      </c>
      <c r="N441" s="10">
        <v>547.89</v>
      </c>
      <c r="O441" s="10">
        <f t="shared" si="206"/>
        <v>0</v>
      </c>
      <c r="P441" s="11">
        <v>8530.9998742296557</v>
      </c>
      <c r="Q441" s="11">
        <v>18570.327985544543</v>
      </c>
      <c r="R441" s="11">
        <v>20000</v>
      </c>
      <c r="S441" s="11">
        <v>10174497</v>
      </c>
      <c r="T441" s="11">
        <v>1220940</v>
      </c>
      <c r="U441" s="12">
        <f t="shared" si="207"/>
        <v>0.12000003538258451</v>
      </c>
      <c r="V441" s="13">
        <f t="shared" si="204"/>
        <v>0</v>
      </c>
      <c r="W441" s="10">
        <f t="shared" si="208"/>
        <v>0</v>
      </c>
      <c r="X441" s="10"/>
      <c r="Y441" s="10"/>
      <c r="Z441" s="11">
        <f t="shared" si="209"/>
        <v>10174497</v>
      </c>
      <c r="AA441" s="14"/>
      <c r="AB441" s="14"/>
      <c r="AC441" s="11">
        <f t="shared" si="210"/>
        <v>10174497</v>
      </c>
      <c r="AD441" s="10">
        <f t="shared" si="211"/>
        <v>300</v>
      </c>
      <c r="AE441" s="15">
        <v>164367</v>
      </c>
      <c r="AF441" s="16">
        <v>29586</v>
      </c>
      <c r="AG441" s="15">
        <f t="shared" si="212"/>
        <v>0</v>
      </c>
      <c r="AH441" s="15">
        <f t="shared" si="213"/>
        <v>0</v>
      </c>
      <c r="AI441" s="15">
        <f t="shared" si="214"/>
        <v>164367</v>
      </c>
      <c r="AJ441" s="15">
        <f t="shared" si="215"/>
        <v>29587</v>
      </c>
      <c r="AK441" s="10">
        <v>164367</v>
      </c>
      <c r="AL441" s="15">
        <f t="shared" si="216"/>
        <v>164367</v>
      </c>
      <c r="AM441" s="15">
        <f t="shared" si="217"/>
        <v>10338864</v>
      </c>
      <c r="AN441" s="15">
        <f t="shared" si="218"/>
        <v>1250527</v>
      </c>
      <c r="AO441" s="15">
        <f t="shared" si="193"/>
        <v>1420881</v>
      </c>
      <c r="AP441" s="17">
        <f t="shared" si="219"/>
        <v>11759745</v>
      </c>
      <c r="AQ441" s="15">
        <v>9051199</v>
      </c>
      <c r="AR441" s="15">
        <v>5987</v>
      </c>
      <c r="AS441" s="18">
        <f t="shared" si="194"/>
        <v>2708546</v>
      </c>
      <c r="AT441" s="19">
        <v>10338864</v>
      </c>
      <c r="AU441" s="8">
        <v>8800</v>
      </c>
      <c r="AV441" s="13">
        <f t="shared" si="195"/>
        <v>4821432</v>
      </c>
      <c r="AW441" s="18">
        <f t="shared" si="196"/>
        <v>10338864</v>
      </c>
      <c r="AX441" s="15">
        <f t="shared" si="220"/>
        <v>10339000</v>
      </c>
      <c r="AY441" s="20">
        <v>7.0000000000000007E-2</v>
      </c>
      <c r="AZ441" s="13">
        <f t="shared" si="221"/>
        <v>723730.00000000012</v>
      </c>
      <c r="BA441" s="15">
        <f t="shared" si="222"/>
        <v>723800</v>
      </c>
      <c r="BB441" s="21">
        <f t="shared" si="197"/>
        <v>3432346</v>
      </c>
      <c r="BC441" s="10">
        <f t="shared" si="198"/>
        <v>0</v>
      </c>
      <c r="BD441" s="10">
        <f t="shared" si="199"/>
        <v>0</v>
      </c>
      <c r="BE441" s="10">
        <v>110.8</v>
      </c>
      <c r="BF441" s="10">
        <v>50.9</v>
      </c>
      <c r="BG441" s="107">
        <v>46176</v>
      </c>
      <c r="BH441" s="107">
        <f t="shared" si="203"/>
        <v>46206</v>
      </c>
      <c r="BI441" s="23">
        <v>7</v>
      </c>
      <c r="BJ441" s="6"/>
      <c r="BK441" s="64"/>
      <c r="BL441" s="6">
        <f>VLOOKUP(A441,[2]Sheet1!$D$2:$H$933,5,0)</f>
        <v>0</v>
      </c>
      <c r="BM441" s="6" t="s">
        <v>3828</v>
      </c>
      <c r="BN441" s="6" t="s">
        <v>3829</v>
      </c>
      <c r="BO441" s="6" t="s">
        <v>3820</v>
      </c>
      <c r="BP441" s="6" t="s">
        <v>3821</v>
      </c>
      <c r="BQ441" s="6" t="s">
        <v>3830</v>
      </c>
      <c r="BR441" t="s">
        <v>3823</v>
      </c>
      <c r="BS441" t="s">
        <v>3824</v>
      </c>
      <c r="BT441" t="s">
        <v>3825</v>
      </c>
      <c r="BU441" t="s">
        <v>3826</v>
      </c>
      <c r="BV441" t="s">
        <v>3827</v>
      </c>
      <c r="BW441" t="s">
        <v>3835</v>
      </c>
      <c r="BX441">
        <v>0</v>
      </c>
      <c r="BY441" t="s">
        <v>3862</v>
      </c>
      <c r="BZ441" t="s">
        <v>3871</v>
      </c>
    </row>
    <row r="442" spans="1:78" x14ac:dyDescent="0.25">
      <c r="A442" s="7" t="s">
        <v>1849</v>
      </c>
      <c r="B442" s="7" t="s">
        <v>181</v>
      </c>
      <c r="C442" s="7" t="s">
        <v>1847</v>
      </c>
      <c r="D442" s="8" t="s">
        <v>1848</v>
      </c>
      <c r="E442" s="7" t="s">
        <v>1850</v>
      </c>
      <c r="F442" s="9">
        <v>45044</v>
      </c>
      <c r="G442" s="9" t="s">
        <v>363</v>
      </c>
      <c r="H442" s="9" t="s">
        <v>87</v>
      </c>
      <c r="I442" s="8" t="s">
        <v>67</v>
      </c>
      <c r="J442" s="10">
        <v>344.45</v>
      </c>
      <c r="K442" s="10">
        <v>344.45</v>
      </c>
      <c r="L442" s="10">
        <f t="shared" si="205"/>
        <v>0</v>
      </c>
      <c r="M442" s="10">
        <v>137.24</v>
      </c>
      <c r="N442" s="10">
        <v>137.24</v>
      </c>
      <c r="O442" s="10">
        <f t="shared" si="206"/>
        <v>0</v>
      </c>
      <c r="P442" s="11">
        <v>21548.41050950791</v>
      </c>
      <c r="Q442" s="11">
        <v>54082.993296415036</v>
      </c>
      <c r="R442" s="11">
        <v>40000</v>
      </c>
      <c r="S442" s="11">
        <v>7422350</v>
      </c>
      <c r="T442" s="11">
        <v>890682</v>
      </c>
      <c r="U442" s="12">
        <f t="shared" si="207"/>
        <v>0.12</v>
      </c>
      <c r="V442" s="13">
        <f t="shared" si="204"/>
        <v>0</v>
      </c>
      <c r="W442" s="10">
        <f t="shared" si="208"/>
        <v>0</v>
      </c>
      <c r="X442" s="10"/>
      <c r="Y442" s="10"/>
      <c r="Z442" s="11">
        <f t="shared" si="209"/>
        <v>7422350</v>
      </c>
      <c r="AA442" s="14"/>
      <c r="AB442" s="14"/>
      <c r="AC442" s="11">
        <f t="shared" si="210"/>
        <v>7422350</v>
      </c>
      <c r="AD442" s="10">
        <f t="shared" si="211"/>
        <v>300</v>
      </c>
      <c r="AE442" s="15">
        <v>41172</v>
      </c>
      <c r="AF442" s="16">
        <v>7410</v>
      </c>
      <c r="AG442" s="15">
        <f t="shared" si="212"/>
        <v>0</v>
      </c>
      <c r="AH442" s="15">
        <f t="shared" si="213"/>
        <v>0</v>
      </c>
      <c r="AI442" s="15">
        <f t="shared" si="214"/>
        <v>41172</v>
      </c>
      <c r="AJ442" s="15">
        <f t="shared" si="215"/>
        <v>7411</v>
      </c>
      <c r="AK442" s="10">
        <v>41172</v>
      </c>
      <c r="AL442" s="15">
        <f t="shared" si="216"/>
        <v>41172</v>
      </c>
      <c r="AM442" s="15">
        <f t="shared" si="217"/>
        <v>7463522</v>
      </c>
      <c r="AN442" s="15">
        <f t="shared" si="218"/>
        <v>898093</v>
      </c>
      <c r="AO442" s="15">
        <f t="shared" si="193"/>
        <v>944176</v>
      </c>
      <c r="AP442" s="17">
        <f t="shared" si="219"/>
        <v>8407698</v>
      </c>
      <c r="AQ442" s="15">
        <v>7445677</v>
      </c>
      <c r="AR442" s="15">
        <v>4911</v>
      </c>
      <c r="AS442" s="18">
        <f t="shared" si="194"/>
        <v>962021</v>
      </c>
      <c r="AT442" s="19">
        <v>0</v>
      </c>
      <c r="AU442" s="8">
        <v>8800</v>
      </c>
      <c r="AV442" s="13">
        <f t="shared" si="195"/>
        <v>1207712</v>
      </c>
      <c r="AW442" s="18">
        <f t="shared" si="196"/>
        <v>7463522</v>
      </c>
      <c r="AX442" s="15">
        <f t="shared" si="220"/>
        <v>7464000</v>
      </c>
      <c r="AY442" s="20">
        <v>0.06</v>
      </c>
      <c r="AZ442" s="13">
        <f t="shared" si="221"/>
        <v>447840</v>
      </c>
      <c r="BA442" s="15">
        <f t="shared" si="222"/>
        <v>447900</v>
      </c>
      <c r="BB442" s="21">
        <f t="shared" si="197"/>
        <v>1409921</v>
      </c>
      <c r="BC442" s="10">
        <f t="shared" si="198"/>
        <v>0</v>
      </c>
      <c r="BD442" s="10">
        <f t="shared" si="199"/>
        <v>0</v>
      </c>
      <c r="BE442" s="10">
        <v>32</v>
      </c>
      <c r="BF442" s="10">
        <v>12.75</v>
      </c>
      <c r="BG442" s="107">
        <v>46176</v>
      </c>
      <c r="BH442" s="107">
        <f t="shared" si="203"/>
        <v>46206</v>
      </c>
      <c r="BI442" s="23">
        <v>6</v>
      </c>
      <c r="BJ442" s="6"/>
      <c r="BK442" s="6"/>
      <c r="BL442" s="6">
        <f>VLOOKUP(A442,[2]Sheet1!$D$2:$H$933,5,0)</f>
        <v>0</v>
      </c>
      <c r="BM442" s="6" t="s">
        <v>3828</v>
      </c>
      <c r="BN442" s="6" t="s">
        <v>3829</v>
      </c>
      <c r="BO442" s="6" t="s">
        <v>3820</v>
      </c>
      <c r="BP442" s="6" t="s">
        <v>3821</v>
      </c>
      <c r="BQ442" s="6" t="s">
        <v>3830</v>
      </c>
      <c r="BR442" t="s">
        <v>3823</v>
      </c>
      <c r="BS442" t="s">
        <v>3824</v>
      </c>
      <c r="BT442" t="s">
        <v>3825</v>
      </c>
      <c r="BU442" t="s">
        <v>3826</v>
      </c>
      <c r="BV442" t="s">
        <v>3827</v>
      </c>
      <c r="BW442" t="s">
        <v>3835</v>
      </c>
      <c r="BX442">
        <v>0</v>
      </c>
      <c r="BY442" t="s">
        <v>3862</v>
      </c>
      <c r="BZ442" t="s">
        <v>3860</v>
      </c>
    </row>
    <row r="443" spans="1:78" x14ac:dyDescent="0.25">
      <c r="A443" s="7" t="s">
        <v>1861</v>
      </c>
      <c r="B443" s="7" t="s">
        <v>181</v>
      </c>
      <c r="C443" s="7" t="s">
        <v>1859</v>
      </c>
      <c r="D443" s="8" t="s">
        <v>1860</v>
      </c>
      <c r="E443" s="7" t="s">
        <v>1862</v>
      </c>
      <c r="F443" s="9">
        <v>44886</v>
      </c>
      <c r="G443" s="9" t="s">
        <v>404</v>
      </c>
      <c r="H443" s="9" t="s">
        <v>72</v>
      </c>
      <c r="I443" s="8" t="s">
        <v>78</v>
      </c>
      <c r="J443" s="10">
        <v>365.98</v>
      </c>
      <c r="K443" s="10">
        <v>365.98</v>
      </c>
      <c r="L443" s="10">
        <f t="shared" si="205"/>
        <v>0</v>
      </c>
      <c r="M443" s="10">
        <v>158.77000000000001</v>
      </c>
      <c r="N443" s="10">
        <v>158.77000000000001</v>
      </c>
      <c r="O443" s="10">
        <f t="shared" si="206"/>
        <v>0</v>
      </c>
      <c r="P443" s="11">
        <v>11461.448713044429</v>
      </c>
      <c r="Q443" s="11">
        <v>26419.732947030294</v>
      </c>
      <c r="R443" s="11">
        <v>20000</v>
      </c>
      <c r="S443" s="11">
        <v>4194661</v>
      </c>
      <c r="T443" s="11">
        <v>503360</v>
      </c>
      <c r="U443" s="12">
        <f t="shared" si="207"/>
        <v>0.12000016211083565</v>
      </c>
      <c r="V443" s="13">
        <f t="shared" si="204"/>
        <v>0</v>
      </c>
      <c r="W443" s="10">
        <f t="shared" si="208"/>
        <v>0</v>
      </c>
      <c r="X443" s="10"/>
      <c r="Y443" s="10"/>
      <c r="Z443" s="11">
        <f t="shared" si="209"/>
        <v>4194661</v>
      </c>
      <c r="AA443" s="14">
        <v>302805</v>
      </c>
      <c r="AB443" s="14">
        <v>36336</v>
      </c>
      <c r="AC443" s="11">
        <f t="shared" si="210"/>
        <v>3891856</v>
      </c>
      <c r="AD443" s="10">
        <f t="shared" si="211"/>
        <v>300</v>
      </c>
      <c r="AE443" s="15">
        <v>47631</v>
      </c>
      <c r="AF443" s="16">
        <v>8574</v>
      </c>
      <c r="AG443" s="15">
        <f t="shared" si="212"/>
        <v>0</v>
      </c>
      <c r="AH443" s="15">
        <f t="shared" si="213"/>
        <v>0</v>
      </c>
      <c r="AI443" s="15">
        <f t="shared" si="214"/>
        <v>47631</v>
      </c>
      <c r="AJ443" s="15">
        <f t="shared" si="215"/>
        <v>8574</v>
      </c>
      <c r="AK443" s="10">
        <v>47631</v>
      </c>
      <c r="AL443" s="15">
        <f t="shared" si="216"/>
        <v>47631</v>
      </c>
      <c r="AM443" s="15">
        <f t="shared" si="217"/>
        <v>3939487</v>
      </c>
      <c r="AN443" s="15">
        <f t="shared" si="218"/>
        <v>475598</v>
      </c>
      <c r="AO443" s="15">
        <f t="shared" ref="AO443:AO506" si="223">AN443+AL443+AR443</f>
        <v>528222</v>
      </c>
      <c r="AP443" s="17">
        <f t="shared" si="219"/>
        <v>4467709</v>
      </c>
      <c r="AQ443" s="15">
        <v>3842614.1</v>
      </c>
      <c r="AR443" s="15">
        <v>4993</v>
      </c>
      <c r="AS443" s="18">
        <f t="shared" ref="AS443:AS506" si="224">ROUND(AP443-AQ443,0)</f>
        <v>625095</v>
      </c>
      <c r="AT443" s="19">
        <v>0</v>
      </c>
      <c r="AU443" s="8">
        <v>8800</v>
      </c>
      <c r="AV443" s="13">
        <f t="shared" ref="AV443:AV506" si="225">AU443*N443</f>
        <v>1397176</v>
      </c>
      <c r="AW443" s="18">
        <f t="shared" ref="AW443:AW506" si="226">MAX(AM443,AT443,AV443)</f>
        <v>3939487</v>
      </c>
      <c r="AX443" s="15">
        <f t="shared" si="220"/>
        <v>3940000</v>
      </c>
      <c r="AY443" s="20">
        <v>0.05</v>
      </c>
      <c r="AZ443" s="13">
        <f t="shared" si="221"/>
        <v>197000</v>
      </c>
      <c r="BA443" s="15">
        <f t="shared" si="222"/>
        <v>197000</v>
      </c>
      <c r="BB443" s="21">
        <f t="shared" ref="BB443:BB506" si="227">BA443+AS443</f>
        <v>822095</v>
      </c>
      <c r="BC443" s="10">
        <f t="shared" ref="BC443:BC506" si="228">L443/J443%</f>
        <v>0</v>
      </c>
      <c r="BD443" s="10">
        <f t="shared" ref="BD443:BD506" si="229">O443/M443%</f>
        <v>0</v>
      </c>
      <c r="BE443" s="10">
        <v>34</v>
      </c>
      <c r="BF443" s="10">
        <v>14.75</v>
      </c>
      <c r="BG443" s="107">
        <v>46176</v>
      </c>
      <c r="BH443" s="107">
        <f t="shared" si="203"/>
        <v>46206</v>
      </c>
      <c r="BI443" s="23">
        <v>5</v>
      </c>
      <c r="BJ443" s="6"/>
      <c r="BK443" s="6"/>
      <c r="BL443" s="6">
        <f>VLOOKUP(A443,[2]Sheet1!$D$2:$H$933,5,0)</f>
        <v>0</v>
      </c>
      <c r="BM443" s="6" t="s">
        <v>3828</v>
      </c>
      <c r="BN443" s="6" t="s">
        <v>3829</v>
      </c>
      <c r="BO443" s="6" t="s">
        <v>3820</v>
      </c>
      <c r="BP443" s="6" t="s">
        <v>3821</v>
      </c>
      <c r="BQ443" s="6" t="s">
        <v>3830</v>
      </c>
      <c r="BR443" t="s">
        <v>3823</v>
      </c>
      <c r="BS443" t="s">
        <v>3824</v>
      </c>
      <c r="BT443" t="s">
        <v>3825</v>
      </c>
      <c r="BU443" t="s">
        <v>3826</v>
      </c>
      <c r="BV443" t="s">
        <v>3827</v>
      </c>
      <c r="BW443" t="s">
        <v>3835</v>
      </c>
      <c r="BX443">
        <v>0</v>
      </c>
      <c r="BY443" t="s">
        <v>3862</v>
      </c>
      <c r="BZ443" t="s">
        <v>3863</v>
      </c>
    </row>
    <row r="444" spans="1:78" x14ac:dyDescent="0.25">
      <c r="A444" s="7" t="s">
        <v>1865</v>
      </c>
      <c r="B444" s="7" t="s">
        <v>181</v>
      </c>
      <c r="C444" s="7" t="s">
        <v>1863</v>
      </c>
      <c r="D444" s="8" t="s">
        <v>1864</v>
      </c>
      <c r="E444" s="7" t="s">
        <v>1866</v>
      </c>
      <c r="F444" s="9">
        <v>44942</v>
      </c>
      <c r="G444" s="9" t="s">
        <v>404</v>
      </c>
      <c r="H444" s="9" t="s">
        <v>72</v>
      </c>
      <c r="I444" s="8" t="s">
        <v>78</v>
      </c>
      <c r="J444" s="10">
        <v>945.08</v>
      </c>
      <c r="K444" s="10">
        <v>945.08</v>
      </c>
      <c r="L444" s="10">
        <f t="shared" si="205"/>
        <v>0</v>
      </c>
      <c r="M444" s="10">
        <v>425.18</v>
      </c>
      <c r="N444" s="10">
        <v>425.18</v>
      </c>
      <c r="O444" s="10">
        <f t="shared" si="206"/>
        <v>0</v>
      </c>
      <c r="P444" s="11">
        <v>9030.0672958902942</v>
      </c>
      <c r="Q444" s="11">
        <v>20071.818994308294</v>
      </c>
      <c r="R444" s="11">
        <v>20000</v>
      </c>
      <c r="S444" s="11">
        <v>8534136</v>
      </c>
      <c r="T444" s="11">
        <v>1024096</v>
      </c>
      <c r="U444" s="12">
        <f t="shared" si="207"/>
        <v>0.11999996250352701</v>
      </c>
      <c r="V444" s="13">
        <f t="shared" si="204"/>
        <v>0</v>
      </c>
      <c r="W444" s="10">
        <f t="shared" si="208"/>
        <v>0</v>
      </c>
      <c r="X444" s="10"/>
      <c r="Y444" s="10"/>
      <c r="Z444" s="11">
        <f t="shared" si="209"/>
        <v>8534136</v>
      </c>
      <c r="AA444" s="14"/>
      <c r="AB444" s="14"/>
      <c r="AC444" s="11">
        <f t="shared" si="210"/>
        <v>8534136</v>
      </c>
      <c r="AD444" s="10">
        <f t="shared" si="211"/>
        <v>300</v>
      </c>
      <c r="AE444" s="15">
        <v>127554</v>
      </c>
      <c r="AF444" s="16">
        <v>22960</v>
      </c>
      <c r="AG444" s="15">
        <f t="shared" si="212"/>
        <v>0</v>
      </c>
      <c r="AH444" s="15">
        <f t="shared" si="213"/>
        <v>0</v>
      </c>
      <c r="AI444" s="15">
        <f t="shared" si="214"/>
        <v>127554</v>
      </c>
      <c r="AJ444" s="15">
        <f t="shared" si="215"/>
        <v>22960</v>
      </c>
      <c r="AK444" s="10">
        <v>127554</v>
      </c>
      <c r="AL444" s="15">
        <f t="shared" si="216"/>
        <v>127554</v>
      </c>
      <c r="AM444" s="15">
        <f t="shared" si="217"/>
        <v>8661690</v>
      </c>
      <c r="AN444" s="15">
        <f t="shared" si="218"/>
        <v>1047056</v>
      </c>
      <c r="AO444" s="15">
        <f t="shared" si="223"/>
        <v>1179618</v>
      </c>
      <c r="AP444" s="17">
        <f t="shared" si="219"/>
        <v>9841308</v>
      </c>
      <c r="AQ444" s="15">
        <v>8573766</v>
      </c>
      <c r="AR444" s="15">
        <v>5008</v>
      </c>
      <c r="AS444" s="18">
        <f t="shared" si="224"/>
        <v>1267542</v>
      </c>
      <c r="AT444" s="19">
        <v>0</v>
      </c>
      <c r="AU444" s="8">
        <v>8800</v>
      </c>
      <c r="AV444" s="13">
        <f t="shared" si="225"/>
        <v>3741584</v>
      </c>
      <c r="AW444" s="18">
        <f t="shared" si="226"/>
        <v>8661690</v>
      </c>
      <c r="AX444" s="15">
        <f t="shared" si="220"/>
        <v>8662000</v>
      </c>
      <c r="AY444" s="20">
        <v>0.05</v>
      </c>
      <c r="AZ444" s="13">
        <f t="shared" si="221"/>
        <v>433100</v>
      </c>
      <c r="BA444" s="15">
        <f t="shared" si="222"/>
        <v>433100</v>
      </c>
      <c r="BB444" s="21">
        <f t="shared" si="227"/>
        <v>1700642</v>
      </c>
      <c r="BC444" s="10">
        <f t="shared" si="228"/>
        <v>0</v>
      </c>
      <c r="BD444" s="10">
        <f t="shared" si="229"/>
        <v>0</v>
      </c>
      <c r="BE444" s="10">
        <v>87.8</v>
      </c>
      <c r="BF444" s="10">
        <v>39.5</v>
      </c>
      <c r="BG444" s="107">
        <v>46176</v>
      </c>
      <c r="BH444" s="107">
        <f t="shared" si="203"/>
        <v>46206</v>
      </c>
      <c r="BI444" s="23">
        <v>5</v>
      </c>
      <c r="BJ444" s="6"/>
      <c r="BK444" s="6"/>
      <c r="BL444" s="6">
        <f>VLOOKUP(A444,[2]Sheet1!$D$2:$H$933,5,0)</f>
        <v>0</v>
      </c>
      <c r="BM444" s="6" t="s">
        <v>3828</v>
      </c>
      <c r="BN444" s="6" t="s">
        <v>3829</v>
      </c>
      <c r="BO444" s="6" t="s">
        <v>3820</v>
      </c>
      <c r="BP444" s="6" t="s">
        <v>3821</v>
      </c>
      <c r="BQ444" s="6" t="s">
        <v>3830</v>
      </c>
      <c r="BR444" t="s">
        <v>3823</v>
      </c>
      <c r="BS444" t="s">
        <v>3824</v>
      </c>
      <c r="BT444" t="s">
        <v>3825</v>
      </c>
      <c r="BU444" t="s">
        <v>3826</v>
      </c>
      <c r="BV444" t="s">
        <v>3827</v>
      </c>
      <c r="BW444" t="s">
        <v>3835</v>
      </c>
      <c r="BX444">
        <v>0</v>
      </c>
      <c r="BY444" t="s">
        <v>3869</v>
      </c>
      <c r="BZ444" t="s">
        <v>3863</v>
      </c>
    </row>
    <row r="445" spans="1:78" x14ac:dyDescent="0.25">
      <c r="A445" s="7" t="s">
        <v>1869</v>
      </c>
      <c r="B445" s="7" t="s">
        <v>181</v>
      </c>
      <c r="C445" s="7" t="s">
        <v>1867</v>
      </c>
      <c r="D445" s="8" t="s">
        <v>1868</v>
      </c>
      <c r="E445" s="7" t="s">
        <v>1870</v>
      </c>
      <c r="F445" s="9">
        <v>44861</v>
      </c>
      <c r="G445" s="9" t="s">
        <v>404</v>
      </c>
      <c r="H445" s="9" t="s">
        <v>72</v>
      </c>
      <c r="I445" s="8" t="s">
        <v>78</v>
      </c>
      <c r="J445" s="10">
        <v>652.29999999999995</v>
      </c>
      <c r="K445" s="10">
        <v>652.29999999999995</v>
      </c>
      <c r="L445" s="10">
        <f t="shared" si="205"/>
        <v>0</v>
      </c>
      <c r="M445" s="10">
        <v>293.86</v>
      </c>
      <c r="N445" s="10">
        <v>293.86</v>
      </c>
      <c r="O445" s="10">
        <f t="shared" si="206"/>
        <v>0</v>
      </c>
      <c r="P445" s="11">
        <v>13905.000766518475</v>
      </c>
      <c r="Q445" s="11">
        <v>30865.827264683863</v>
      </c>
      <c r="R445" s="11">
        <v>20000</v>
      </c>
      <c r="S445" s="11">
        <v>9070232</v>
      </c>
      <c r="T445" s="11">
        <v>1088428</v>
      </c>
      <c r="U445" s="12">
        <f t="shared" si="207"/>
        <v>0.12000001764012211</v>
      </c>
      <c r="V445" s="13">
        <f t="shared" si="204"/>
        <v>0</v>
      </c>
      <c r="W445" s="10">
        <f t="shared" si="208"/>
        <v>0</v>
      </c>
      <c r="X445" s="10"/>
      <c r="Y445" s="10"/>
      <c r="Z445" s="11">
        <f t="shared" si="209"/>
        <v>9070232</v>
      </c>
      <c r="AA445" s="14">
        <v>812961</v>
      </c>
      <c r="AB445" s="14">
        <v>97556</v>
      </c>
      <c r="AC445" s="11">
        <f t="shared" si="210"/>
        <v>8257271</v>
      </c>
      <c r="AD445" s="10">
        <f t="shared" si="211"/>
        <v>300</v>
      </c>
      <c r="AE445" s="15">
        <v>88158</v>
      </c>
      <c r="AF445" s="16">
        <v>15868</v>
      </c>
      <c r="AG445" s="15">
        <f t="shared" si="212"/>
        <v>0</v>
      </c>
      <c r="AH445" s="15">
        <f t="shared" si="213"/>
        <v>0</v>
      </c>
      <c r="AI445" s="15">
        <f t="shared" si="214"/>
        <v>88158</v>
      </c>
      <c r="AJ445" s="15">
        <f t="shared" si="215"/>
        <v>15869</v>
      </c>
      <c r="AK445" s="10">
        <v>88158</v>
      </c>
      <c r="AL445" s="15">
        <f t="shared" si="216"/>
        <v>88158</v>
      </c>
      <c r="AM445" s="15">
        <f t="shared" si="217"/>
        <v>8345429</v>
      </c>
      <c r="AN445" s="15">
        <f t="shared" si="218"/>
        <v>1006741</v>
      </c>
      <c r="AO445" s="15">
        <f t="shared" si="223"/>
        <v>1100018</v>
      </c>
      <c r="AP445" s="17">
        <f t="shared" si="219"/>
        <v>9445447</v>
      </c>
      <c r="AQ445" s="15">
        <v>8051692</v>
      </c>
      <c r="AR445" s="15">
        <v>5119</v>
      </c>
      <c r="AS445" s="18">
        <f t="shared" si="224"/>
        <v>1393755</v>
      </c>
      <c r="AT445" s="19">
        <v>0</v>
      </c>
      <c r="AU445" s="8">
        <v>8800</v>
      </c>
      <c r="AV445" s="13">
        <f t="shared" si="225"/>
        <v>2585968</v>
      </c>
      <c r="AW445" s="18">
        <f t="shared" si="226"/>
        <v>8345429</v>
      </c>
      <c r="AX445" s="15">
        <f t="shared" si="220"/>
        <v>8346000</v>
      </c>
      <c r="AY445" s="20">
        <v>7.0000000000000007E-2</v>
      </c>
      <c r="AZ445" s="13">
        <f t="shared" si="221"/>
        <v>584220</v>
      </c>
      <c r="BA445" s="15">
        <f t="shared" si="222"/>
        <v>584300</v>
      </c>
      <c r="BB445" s="21">
        <f t="shared" si="227"/>
        <v>1978055</v>
      </c>
      <c r="BC445" s="10">
        <f t="shared" si="228"/>
        <v>0</v>
      </c>
      <c r="BD445" s="10">
        <f t="shared" si="229"/>
        <v>0</v>
      </c>
      <c r="BE445" s="10">
        <v>60.6</v>
      </c>
      <c r="BF445" s="10">
        <v>27.3</v>
      </c>
      <c r="BG445" s="107">
        <v>46176</v>
      </c>
      <c r="BH445" s="107">
        <f t="shared" si="203"/>
        <v>46206</v>
      </c>
      <c r="BI445" s="23">
        <v>7</v>
      </c>
      <c r="BJ445" s="6"/>
      <c r="BK445" s="6"/>
      <c r="BL445" s="6">
        <f>VLOOKUP(A445,[2]Sheet1!$D$2:$H$933,5,0)</f>
        <v>0</v>
      </c>
      <c r="BM445" s="6" t="s">
        <v>3828</v>
      </c>
      <c r="BN445" s="6" t="s">
        <v>3829</v>
      </c>
      <c r="BO445" s="6" t="s">
        <v>3820</v>
      </c>
      <c r="BP445" s="6" t="s">
        <v>3821</v>
      </c>
      <c r="BQ445" s="6" t="s">
        <v>3830</v>
      </c>
      <c r="BR445" t="s">
        <v>3823</v>
      </c>
      <c r="BS445" t="s">
        <v>3824</v>
      </c>
      <c r="BT445" t="s">
        <v>3825</v>
      </c>
      <c r="BU445" t="s">
        <v>3826</v>
      </c>
      <c r="BV445" t="s">
        <v>3827</v>
      </c>
      <c r="BW445" t="s">
        <v>3835</v>
      </c>
      <c r="BX445">
        <v>0</v>
      </c>
      <c r="BY445" t="s">
        <v>3864</v>
      </c>
      <c r="BZ445" t="s">
        <v>3863</v>
      </c>
    </row>
    <row r="446" spans="1:78" x14ac:dyDescent="0.25">
      <c r="A446" s="7" t="s">
        <v>1873</v>
      </c>
      <c r="B446" s="7" t="s">
        <v>181</v>
      </c>
      <c r="C446" s="7" t="s">
        <v>1871</v>
      </c>
      <c r="D446" s="8" t="s">
        <v>1872</v>
      </c>
      <c r="E446" s="7" t="s">
        <v>1874</v>
      </c>
      <c r="F446" s="9">
        <v>44907</v>
      </c>
      <c r="G446" s="9" t="s">
        <v>404</v>
      </c>
      <c r="H446" s="9" t="s">
        <v>92</v>
      </c>
      <c r="I446" s="8" t="s">
        <v>78</v>
      </c>
      <c r="J446" s="10">
        <v>585.13</v>
      </c>
      <c r="K446" s="10">
        <v>585.13</v>
      </c>
      <c r="L446" s="10">
        <f t="shared" si="205"/>
        <v>0</v>
      </c>
      <c r="M446" s="10">
        <v>266.95</v>
      </c>
      <c r="N446" s="10">
        <v>266.95</v>
      </c>
      <c r="O446" s="10">
        <f t="shared" si="206"/>
        <v>0</v>
      </c>
      <c r="P446" s="11">
        <v>12409.999487293422</v>
      </c>
      <c r="Q446" s="11">
        <v>27201.584566398204</v>
      </c>
      <c r="R446" s="11">
        <v>28000</v>
      </c>
      <c r="S446" s="11">
        <v>7261463</v>
      </c>
      <c r="T446" s="11">
        <v>871376</v>
      </c>
      <c r="U446" s="12">
        <f t="shared" si="207"/>
        <v>0.12000006059385003</v>
      </c>
      <c r="V446" s="13">
        <f t="shared" si="204"/>
        <v>0</v>
      </c>
      <c r="W446" s="10">
        <f t="shared" si="208"/>
        <v>0</v>
      </c>
      <c r="X446" s="10"/>
      <c r="Y446" s="10"/>
      <c r="Z446" s="11">
        <f t="shared" si="209"/>
        <v>7261463</v>
      </c>
      <c r="AA446" s="14"/>
      <c r="AB446" s="14"/>
      <c r="AC446" s="11">
        <f t="shared" si="210"/>
        <v>7261463</v>
      </c>
      <c r="AD446" s="10">
        <f t="shared" si="211"/>
        <v>300</v>
      </c>
      <c r="AE446" s="15">
        <v>80085</v>
      </c>
      <c r="AF446" s="16">
        <v>14416</v>
      </c>
      <c r="AG446" s="15">
        <f t="shared" si="212"/>
        <v>0</v>
      </c>
      <c r="AH446" s="15">
        <f t="shared" si="213"/>
        <v>0</v>
      </c>
      <c r="AI446" s="15">
        <f t="shared" si="214"/>
        <v>80085</v>
      </c>
      <c r="AJ446" s="15">
        <f t="shared" si="215"/>
        <v>14416</v>
      </c>
      <c r="AK446" s="10">
        <v>80085</v>
      </c>
      <c r="AL446" s="15">
        <f t="shared" si="216"/>
        <v>80085</v>
      </c>
      <c r="AM446" s="15">
        <f t="shared" si="217"/>
        <v>7341548</v>
      </c>
      <c r="AN446" s="15">
        <f t="shared" si="218"/>
        <v>885792</v>
      </c>
      <c r="AO446" s="15">
        <f t="shared" si="223"/>
        <v>971017</v>
      </c>
      <c r="AP446" s="17">
        <f t="shared" si="219"/>
        <v>8312565</v>
      </c>
      <c r="AQ446" s="15">
        <v>6826514</v>
      </c>
      <c r="AR446" s="15">
        <v>5140</v>
      </c>
      <c r="AS446" s="18">
        <f t="shared" si="224"/>
        <v>1486051</v>
      </c>
      <c r="AT446" s="19">
        <v>0</v>
      </c>
      <c r="AU446" s="8">
        <v>8800</v>
      </c>
      <c r="AV446" s="13">
        <f t="shared" si="225"/>
        <v>2349160</v>
      </c>
      <c r="AW446" s="18">
        <f t="shared" si="226"/>
        <v>7341548</v>
      </c>
      <c r="AX446" s="15">
        <f t="shared" si="220"/>
        <v>7342000</v>
      </c>
      <c r="AY446" s="20">
        <v>6.3399999999999998E-2</v>
      </c>
      <c r="AZ446" s="13">
        <f t="shared" si="221"/>
        <v>465482.8</v>
      </c>
      <c r="BA446" s="15">
        <f t="shared" si="222"/>
        <v>465500</v>
      </c>
      <c r="BB446" s="21">
        <f t="shared" si="227"/>
        <v>1951551</v>
      </c>
      <c r="BC446" s="10">
        <f t="shared" si="228"/>
        <v>0</v>
      </c>
      <c r="BD446" s="10">
        <f t="shared" si="229"/>
        <v>0</v>
      </c>
      <c r="BE446" s="10">
        <v>54.36</v>
      </c>
      <c r="BF446" s="10">
        <v>24.8</v>
      </c>
      <c r="BG446" s="107">
        <v>46176</v>
      </c>
      <c r="BH446" s="107">
        <f t="shared" si="203"/>
        <v>46206</v>
      </c>
      <c r="BI446" s="23">
        <v>6.34</v>
      </c>
      <c r="BJ446" s="6"/>
      <c r="BK446" s="6"/>
      <c r="BL446" s="6">
        <f>VLOOKUP(A446,[2]Sheet1!$D$2:$H$933,5,0)</f>
        <v>0</v>
      </c>
      <c r="BM446" s="6" t="s">
        <v>3828</v>
      </c>
      <c r="BN446" s="6" t="s">
        <v>3829</v>
      </c>
      <c r="BO446" s="6" t="s">
        <v>3820</v>
      </c>
      <c r="BP446" s="6" t="s">
        <v>3821</v>
      </c>
      <c r="BQ446" s="6" t="s">
        <v>3830</v>
      </c>
      <c r="BR446" t="s">
        <v>3823</v>
      </c>
      <c r="BS446" t="s">
        <v>3824</v>
      </c>
      <c r="BT446" t="s">
        <v>3825</v>
      </c>
      <c r="BU446" t="s">
        <v>3826</v>
      </c>
      <c r="BV446" t="s">
        <v>3827</v>
      </c>
      <c r="BW446" t="s">
        <v>3835</v>
      </c>
      <c r="BX446">
        <v>0</v>
      </c>
      <c r="BY446" t="s">
        <v>3869</v>
      </c>
      <c r="BZ446" t="s">
        <v>3863</v>
      </c>
    </row>
    <row r="447" spans="1:78" x14ac:dyDescent="0.25">
      <c r="A447" s="7" t="s">
        <v>1877</v>
      </c>
      <c r="B447" s="7" t="s">
        <v>181</v>
      </c>
      <c r="C447" s="7" t="s">
        <v>1875</v>
      </c>
      <c r="D447" s="8" t="s">
        <v>1876</v>
      </c>
      <c r="E447" s="7" t="s">
        <v>1146</v>
      </c>
      <c r="F447" s="9">
        <v>44997</v>
      </c>
      <c r="G447" s="9" t="s">
        <v>65</v>
      </c>
      <c r="H447" s="9" t="s">
        <v>87</v>
      </c>
      <c r="I447" s="8" t="s">
        <v>78</v>
      </c>
      <c r="J447" s="10">
        <v>838.3</v>
      </c>
      <c r="K447" s="10">
        <v>838.3</v>
      </c>
      <c r="L447" s="10">
        <f t="shared" si="205"/>
        <v>0</v>
      </c>
      <c r="M447" s="10">
        <v>387.5</v>
      </c>
      <c r="N447" s="10">
        <v>387.5</v>
      </c>
      <c r="O447" s="10">
        <f t="shared" si="206"/>
        <v>0</v>
      </c>
      <c r="P447" s="11">
        <v>17000</v>
      </c>
      <c r="Q447" s="11">
        <v>36777.032258064515</v>
      </c>
      <c r="R447" s="11">
        <v>40000</v>
      </c>
      <c r="S447" s="11">
        <v>14251100</v>
      </c>
      <c r="T447" s="11">
        <v>1710130</v>
      </c>
      <c r="U447" s="12">
        <f t="shared" si="207"/>
        <v>0.11999985965995608</v>
      </c>
      <c r="V447" s="13">
        <f t="shared" si="204"/>
        <v>0</v>
      </c>
      <c r="W447" s="10">
        <f t="shared" si="208"/>
        <v>0</v>
      </c>
      <c r="X447" s="10"/>
      <c r="Y447" s="10"/>
      <c r="Z447" s="11">
        <f t="shared" si="209"/>
        <v>14251100</v>
      </c>
      <c r="AA447" s="14"/>
      <c r="AB447" s="14"/>
      <c r="AC447" s="11">
        <f t="shared" si="210"/>
        <v>14251100</v>
      </c>
      <c r="AD447" s="10">
        <f t="shared" si="211"/>
        <v>300</v>
      </c>
      <c r="AE447" s="15">
        <v>116250</v>
      </c>
      <c r="AF447" s="16">
        <v>20926</v>
      </c>
      <c r="AG447" s="15">
        <f t="shared" si="212"/>
        <v>0</v>
      </c>
      <c r="AH447" s="15">
        <f t="shared" si="213"/>
        <v>0</v>
      </c>
      <c r="AI447" s="15">
        <f t="shared" si="214"/>
        <v>116250</v>
      </c>
      <c r="AJ447" s="15">
        <f t="shared" si="215"/>
        <v>20925</v>
      </c>
      <c r="AK447" s="10">
        <v>116250</v>
      </c>
      <c r="AL447" s="15">
        <f t="shared" si="216"/>
        <v>116250</v>
      </c>
      <c r="AM447" s="15">
        <f t="shared" si="217"/>
        <v>14367350</v>
      </c>
      <c r="AN447" s="15">
        <f t="shared" si="218"/>
        <v>1731055</v>
      </c>
      <c r="AO447" s="15">
        <f t="shared" si="223"/>
        <v>1852450.16</v>
      </c>
      <c r="AP447" s="17">
        <f t="shared" si="219"/>
        <v>16219800.16</v>
      </c>
      <c r="AQ447" s="15">
        <v>14370243.16</v>
      </c>
      <c r="AR447" s="15">
        <v>5145.16</v>
      </c>
      <c r="AS447" s="18">
        <f t="shared" si="224"/>
        <v>1849557</v>
      </c>
      <c r="AT447" s="19">
        <v>0</v>
      </c>
      <c r="AU447" s="8">
        <v>8800</v>
      </c>
      <c r="AV447" s="13">
        <f t="shared" si="225"/>
        <v>3410000</v>
      </c>
      <c r="AW447" s="18">
        <f t="shared" si="226"/>
        <v>14367350</v>
      </c>
      <c r="AX447" s="15">
        <f t="shared" si="220"/>
        <v>14368000</v>
      </c>
      <c r="AY447" s="20">
        <v>0.05</v>
      </c>
      <c r="AZ447" s="13">
        <f t="shared" si="221"/>
        <v>718400</v>
      </c>
      <c r="BA447" s="15">
        <f t="shared" si="222"/>
        <v>718400</v>
      </c>
      <c r="BB447" s="21">
        <f t="shared" si="227"/>
        <v>2567957</v>
      </c>
      <c r="BC447" s="10">
        <f t="shared" si="228"/>
        <v>0</v>
      </c>
      <c r="BD447" s="10">
        <f t="shared" si="229"/>
        <v>0</v>
      </c>
      <c r="BE447" s="10">
        <v>77.88</v>
      </c>
      <c r="BF447" s="10">
        <v>36</v>
      </c>
      <c r="BG447" s="107">
        <v>46176</v>
      </c>
      <c r="BH447" s="107">
        <f t="shared" si="203"/>
        <v>46206</v>
      </c>
      <c r="BI447" s="23">
        <v>5</v>
      </c>
      <c r="BJ447" s="6"/>
      <c r="BK447" s="6"/>
      <c r="BL447" s="6">
        <f>VLOOKUP(A447,[2]Sheet1!$D$2:$H$933,5,0)</f>
        <v>0</v>
      </c>
      <c r="BM447" s="6" t="s">
        <v>3828</v>
      </c>
      <c r="BN447" s="6" t="s">
        <v>3829</v>
      </c>
      <c r="BO447" s="6" t="s">
        <v>3820</v>
      </c>
      <c r="BP447" s="6" t="s">
        <v>3821</v>
      </c>
      <c r="BQ447" s="6" t="s">
        <v>3830</v>
      </c>
      <c r="BR447" t="s">
        <v>3823</v>
      </c>
      <c r="BS447" t="s">
        <v>3824</v>
      </c>
      <c r="BT447" t="s">
        <v>3825</v>
      </c>
      <c r="BU447" t="s">
        <v>3826</v>
      </c>
      <c r="BV447" t="s">
        <v>3827</v>
      </c>
      <c r="BW447" t="s">
        <v>3835</v>
      </c>
      <c r="BX447">
        <v>0</v>
      </c>
      <c r="BY447" t="s">
        <v>3868</v>
      </c>
      <c r="BZ447" t="s">
        <v>3860</v>
      </c>
    </row>
    <row r="448" spans="1:78" x14ac:dyDescent="0.25">
      <c r="A448" s="7" t="s">
        <v>1880</v>
      </c>
      <c r="B448" s="7" t="s">
        <v>181</v>
      </c>
      <c r="C448" s="7" t="s">
        <v>1878</v>
      </c>
      <c r="D448" s="8" t="s">
        <v>1879</v>
      </c>
      <c r="E448" s="7" t="s">
        <v>1881</v>
      </c>
      <c r="F448" s="9">
        <v>44995</v>
      </c>
      <c r="G448" s="9" t="s">
        <v>65</v>
      </c>
      <c r="H448" s="9" t="s">
        <v>66</v>
      </c>
      <c r="I448" s="8" t="s">
        <v>78</v>
      </c>
      <c r="J448" s="10">
        <v>520.54999999999995</v>
      </c>
      <c r="K448" s="10">
        <v>520.54999999999995</v>
      </c>
      <c r="L448" s="10">
        <f t="shared" si="205"/>
        <v>0</v>
      </c>
      <c r="M448" s="10">
        <v>224.97</v>
      </c>
      <c r="N448" s="10">
        <v>224.97</v>
      </c>
      <c r="O448" s="10">
        <f t="shared" si="206"/>
        <v>0</v>
      </c>
      <c r="P448" s="11">
        <v>8495.9984631639618</v>
      </c>
      <c r="Q448" s="11">
        <v>19658.585589189668</v>
      </c>
      <c r="R448" s="11">
        <v>22000</v>
      </c>
      <c r="S448" s="11">
        <v>4422592</v>
      </c>
      <c r="T448" s="11">
        <v>530710</v>
      </c>
      <c r="U448" s="12">
        <f t="shared" si="207"/>
        <v>0.11999976484378391</v>
      </c>
      <c r="V448" s="13">
        <f t="shared" si="204"/>
        <v>0</v>
      </c>
      <c r="W448" s="10">
        <f t="shared" si="208"/>
        <v>0</v>
      </c>
      <c r="X448" s="10"/>
      <c r="Y448" s="10"/>
      <c r="Z448" s="11">
        <f t="shared" si="209"/>
        <v>4422592</v>
      </c>
      <c r="AA448" s="14"/>
      <c r="AB448" s="14"/>
      <c r="AC448" s="11">
        <f t="shared" si="210"/>
        <v>4422592</v>
      </c>
      <c r="AD448" s="10">
        <f t="shared" si="211"/>
        <v>300</v>
      </c>
      <c r="AE448" s="15">
        <v>67491</v>
      </c>
      <c r="AF448" s="16">
        <v>12148</v>
      </c>
      <c r="AG448" s="15">
        <f t="shared" si="212"/>
        <v>0</v>
      </c>
      <c r="AH448" s="15">
        <f t="shared" si="213"/>
        <v>0</v>
      </c>
      <c r="AI448" s="15">
        <f t="shared" si="214"/>
        <v>67491</v>
      </c>
      <c r="AJ448" s="15">
        <f t="shared" si="215"/>
        <v>12149</v>
      </c>
      <c r="AK448" s="10">
        <v>67491</v>
      </c>
      <c r="AL448" s="15">
        <f t="shared" si="216"/>
        <v>67491</v>
      </c>
      <c r="AM448" s="15">
        <f t="shared" si="217"/>
        <v>4490083</v>
      </c>
      <c r="AN448" s="15">
        <f t="shared" si="218"/>
        <v>542859</v>
      </c>
      <c r="AO448" s="15">
        <f t="shared" si="223"/>
        <v>615517</v>
      </c>
      <c r="AP448" s="17">
        <f t="shared" si="219"/>
        <v>5105600</v>
      </c>
      <c r="AQ448" s="15">
        <v>4457974</v>
      </c>
      <c r="AR448" s="15">
        <v>5167</v>
      </c>
      <c r="AS448" s="18">
        <f t="shared" si="224"/>
        <v>647626</v>
      </c>
      <c r="AT448" s="19">
        <v>0</v>
      </c>
      <c r="AU448" s="8">
        <v>8800</v>
      </c>
      <c r="AV448" s="13">
        <f t="shared" si="225"/>
        <v>1979736</v>
      </c>
      <c r="AW448" s="18">
        <f t="shared" si="226"/>
        <v>4490083</v>
      </c>
      <c r="AX448" s="15">
        <f t="shared" si="220"/>
        <v>4491000</v>
      </c>
      <c r="AY448" s="20">
        <v>7.0000000000000007E-2</v>
      </c>
      <c r="AZ448" s="13">
        <f t="shared" si="221"/>
        <v>314370.00000000006</v>
      </c>
      <c r="BA448" s="15">
        <f t="shared" si="222"/>
        <v>314400</v>
      </c>
      <c r="BB448" s="21">
        <f t="shared" si="227"/>
        <v>962026</v>
      </c>
      <c r="BC448" s="10">
        <f t="shared" si="228"/>
        <v>0</v>
      </c>
      <c r="BD448" s="10">
        <f t="shared" si="229"/>
        <v>0</v>
      </c>
      <c r="BE448" s="10">
        <v>48.36</v>
      </c>
      <c r="BF448" s="10">
        <v>20.9</v>
      </c>
      <c r="BG448" s="107">
        <v>46176</v>
      </c>
      <c r="BH448" s="107">
        <f t="shared" si="203"/>
        <v>46206</v>
      </c>
      <c r="BI448" s="23">
        <v>7</v>
      </c>
      <c r="BJ448" s="6"/>
      <c r="BK448" s="6"/>
      <c r="BL448" s="6">
        <f>VLOOKUP(A448,[2]Sheet1!$D$2:$H$933,5,0)</f>
        <v>0</v>
      </c>
      <c r="BM448" s="6" t="s">
        <v>3828</v>
      </c>
      <c r="BN448" s="6" t="s">
        <v>3829</v>
      </c>
      <c r="BO448" s="6" t="s">
        <v>3820</v>
      </c>
      <c r="BP448" s="6" t="s">
        <v>3821</v>
      </c>
      <c r="BQ448" s="6" t="s">
        <v>3830</v>
      </c>
      <c r="BR448" t="s">
        <v>3823</v>
      </c>
      <c r="BS448" t="s">
        <v>3824</v>
      </c>
      <c r="BT448" t="s">
        <v>3825</v>
      </c>
      <c r="BU448" t="s">
        <v>3826</v>
      </c>
      <c r="BV448" t="s">
        <v>3827</v>
      </c>
      <c r="BW448" t="s">
        <v>3835</v>
      </c>
      <c r="BX448">
        <v>0</v>
      </c>
      <c r="BY448" t="s">
        <v>3870</v>
      </c>
      <c r="BZ448" t="s">
        <v>3860</v>
      </c>
    </row>
    <row r="449" spans="1:78" x14ac:dyDescent="0.25">
      <c r="A449" s="7" t="s">
        <v>1884</v>
      </c>
      <c r="B449" s="7" t="s">
        <v>181</v>
      </c>
      <c r="C449" s="7" t="s">
        <v>1882</v>
      </c>
      <c r="D449" s="8" t="s">
        <v>1883</v>
      </c>
      <c r="E449" s="7" t="s">
        <v>1885</v>
      </c>
      <c r="F449" s="9">
        <v>45708</v>
      </c>
      <c r="G449" s="9" t="s">
        <v>527</v>
      </c>
      <c r="H449" s="9" t="s">
        <v>87</v>
      </c>
      <c r="I449" s="8" t="s">
        <v>67</v>
      </c>
      <c r="J449" s="73">
        <v>416.21</v>
      </c>
      <c r="K449" s="10">
        <v>436.9</v>
      </c>
      <c r="L449" s="10">
        <f t="shared" si="205"/>
        <v>20.689999999999998</v>
      </c>
      <c r="M449" s="73">
        <v>166.84</v>
      </c>
      <c r="N449" s="10">
        <v>175.13</v>
      </c>
      <c r="O449" s="10">
        <f t="shared" si="206"/>
        <v>8.289999999999992</v>
      </c>
      <c r="P449" s="11">
        <v>26149.998798683358</v>
      </c>
      <c r="Q449" s="11">
        <v>65235.501078877969</v>
      </c>
      <c r="R449" s="11">
        <v>40000</v>
      </c>
      <c r="S449" s="14">
        <v>10883891</v>
      </c>
      <c r="T449" s="14">
        <f>1315076-9010</f>
        <v>1306066</v>
      </c>
      <c r="U449" s="12">
        <f t="shared" si="207"/>
        <v>0.11999991547140632</v>
      </c>
      <c r="V449" s="13">
        <f>L449*R449</f>
        <v>827599.99999999988</v>
      </c>
      <c r="W449" s="10">
        <f t="shared" si="208"/>
        <v>99311.93004413585</v>
      </c>
      <c r="X449" s="15"/>
      <c r="Y449" s="15"/>
      <c r="Z449" s="11">
        <f t="shared" si="209"/>
        <v>11711491</v>
      </c>
      <c r="AA449" s="14"/>
      <c r="AB449" s="14"/>
      <c r="AC449" s="11">
        <f t="shared" si="210"/>
        <v>11711491</v>
      </c>
      <c r="AD449" s="10">
        <f t="shared" si="211"/>
        <v>300</v>
      </c>
      <c r="AE449" s="73">
        <v>50052</v>
      </c>
      <c r="AF449" s="16">
        <v>9010</v>
      </c>
      <c r="AG449" s="15">
        <f t="shared" si="212"/>
        <v>2486.9999999999977</v>
      </c>
      <c r="AH449" s="15">
        <f t="shared" si="213"/>
        <v>447.65999999999957</v>
      </c>
      <c r="AI449" s="15">
        <f t="shared" si="214"/>
        <v>52539</v>
      </c>
      <c r="AJ449" s="15">
        <f t="shared" si="215"/>
        <v>9458</v>
      </c>
      <c r="AK449" s="73">
        <v>50052</v>
      </c>
      <c r="AL449" s="15">
        <f t="shared" si="216"/>
        <v>52539</v>
      </c>
      <c r="AM449" s="15">
        <f t="shared" si="217"/>
        <v>11764030</v>
      </c>
      <c r="AN449" s="15">
        <f t="shared" si="218"/>
        <v>1414836</v>
      </c>
      <c r="AO449" s="15">
        <f t="shared" si="223"/>
        <v>1472583.2</v>
      </c>
      <c r="AP449" s="17">
        <f t="shared" si="219"/>
        <v>13236613.199999999</v>
      </c>
      <c r="AQ449" s="15">
        <v>4815532.92</v>
      </c>
      <c r="AR449" s="15">
        <v>5208.2</v>
      </c>
      <c r="AS449" s="18">
        <f t="shared" si="224"/>
        <v>8421080</v>
      </c>
      <c r="AT449" s="19">
        <v>0</v>
      </c>
      <c r="AU449" s="8">
        <v>8800</v>
      </c>
      <c r="AV449" s="13">
        <f t="shared" si="225"/>
        <v>1541144</v>
      </c>
      <c r="AW449" s="18">
        <f t="shared" si="226"/>
        <v>11764030</v>
      </c>
      <c r="AX449" s="15">
        <f t="shared" si="220"/>
        <v>11765000</v>
      </c>
      <c r="AY449" s="20">
        <v>0.06</v>
      </c>
      <c r="AZ449" s="13">
        <f t="shared" si="221"/>
        <v>705900</v>
      </c>
      <c r="BA449" s="15">
        <f t="shared" si="222"/>
        <v>705900</v>
      </c>
      <c r="BB449" s="21">
        <f t="shared" si="227"/>
        <v>9126980</v>
      </c>
      <c r="BC449" s="10">
        <f t="shared" si="228"/>
        <v>4.9710482689027176</v>
      </c>
      <c r="BD449" s="10">
        <f t="shared" si="229"/>
        <v>4.9688324142891345</v>
      </c>
      <c r="BE449" s="10">
        <v>40.590000000000003</v>
      </c>
      <c r="BF449" s="10">
        <v>16.27</v>
      </c>
      <c r="BG449" s="107">
        <v>46176</v>
      </c>
      <c r="BH449" s="107">
        <f t="shared" si="203"/>
        <v>46206</v>
      </c>
      <c r="BI449" s="23">
        <v>6</v>
      </c>
      <c r="BJ449" s="6"/>
      <c r="BK449" s="6"/>
      <c r="BL449" s="6">
        <f>VLOOKUP(A449,[2]Sheet1!$D$2:$H$933,5,0)</f>
        <v>0</v>
      </c>
      <c r="BM449" s="6" t="s">
        <v>3828</v>
      </c>
      <c r="BN449" s="6" t="s">
        <v>3829</v>
      </c>
      <c r="BO449" s="6" t="s">
        <v>3820</v>
      </c>
      <c r="BP449" s="6" t="s">
        <v>3821</v>
      </c>
      <c r="BQ449" s="6" t="s">
        <v>3830</v>
      </c>
      <c r="BR449" t="s">
        <v>3823</v>
      </c>
      <c r="BS449" t="s">
        <v>3824</v>
      </c>
      <c r="BT449" t="s">
        <v>3825</v>
      </c>
      <c r="BU449" t="s">
        <v>3826</v>
      </c>
      <c r="BV449" t="s">
        <v>3827</v>
      </c>
      <c r="BW449" t="s">
        <v>3835</v>
      </c>
      <c r="BX449">
        <v>0</v>
      </c>
      <c r="BY449" t="s">
        <v>3864</v>
      </c>
      <c r="BZ449" t="s">
        <v>3871</v>
      </c>
    </row>
    <row r="450" spans="1:78" x14ac:dyDescent="0.25">
      <c r="A450" s="7" t="s">
        <v>1888</v>
      </c>
      <c r="B450" s="7" t="s">
        <v>181</v>
      </c>
      <c r="C450" s="7" t="s">
        <v>1886</v>
      </c>
      <c r="D450" s="8" t="s">
        <v>1887</v>
      </c>
      <c r="E450" s="7" t="s">
        <v>1641</v>
      </c>
      <c r="F450" s="9">
        <v>44984</v>
      </c>
      <c r="G450" s="9" t="s">
        <v>65</v>
      </c>
      <c r="H450" s="9" t="s">
        <v>66</v>
      </c>
      <c r="I450" s="8" t="s">
        <v>67</v>
      </c>
      <c r="J450" s="10">
        <v>403.05</v>
      </c>
      <c r="K450" s="10">
        <v>403.05</v>
      </c>
      <c r="L450" s="10">
        <f t="shared" si="205"/>
        <v>0</v>
      </c>
      <c r="M450" s="10">
        <v>153.38999999999999</v>
      </c>
      <c r="N450" s="10">
        <v>153.38999999999999</v>
      </c>
      <c r="O450" s="10">
        <f t="shared" si="206"/>
        <v>0</v>
      </c>
      <c r="P450" s="11">
        <v>13421.999751891824</v>
      </c>
      <c r="Q450" s="11">
        <v>35267.859704022427</v>
      </c>
      <c r="R450" s="11">
        <v>22000</v>
      </c>
      <c r="S450" s="11">
        <v>5409737</v>
      </c>
      <c r="T450" s="11">
        <v>649168</v>
      </c>
      <c r="U450" s="12">
        <f t="shared" si="207"/>
        <v>0.11999991866517726</v>
      </c>
      <c r="V450" s="13">
        <f>L450*P450</f>
        <v>0</v>
      </c>
      <c r="W450" s="10">
        <f t="shared" si="208"/>
        <v>0</v>
      </c>
      <c r="X450" s="10"/>
      <c r="Y450" s="10"/>
      <c r="Z450" s="11">
        <f t="shared" si="209"/>
        <v>5409737</v>
      </c>
      <c r="AA450" s="14"/>
      <c r="AB450" s="14"/>
      <c r="AC450" s="11">
        <f t="shared" si="210"/>
        <v>5409737</v>
      </c>
      <c r="AD450" s="10">
        <f t="shared" si="211"/>
        <v>300</v>
      </c>
      <c r="AE450" s="15">
        <v>46017</v>
      </c>
      <c r="AF450" s="16">
        <v>8284</v>
      </c>
      <c r="AG450" s="15">
        <f t="shared" si="212"/>
        <v>0</v>
      </c>
      <c r="AH450" s="15">
        <f t="shared" si="213"/>
        <v>0</v>
      </c>
      <c r="AI450" s="15">
        <f t="shared" si="214"/>
        <v>46016.999999999993</v>
      </c>
      <c r="AJ450" s="15">
        <f t="shared" si="215"/>
        <v>8284</v>
      </c>
      <c r="AK450" s="10">
        <v>46017</v>
      </c>
      <c r="AL450" s="15">
        <f t="shared" si="216"/>
        <v>46016.999999999993</v>
      </c>
      <c r="AM450" s="15">
        <f t="shared" si="217"/>
        <v>5455754</v>
      </c>
      <c r="AN450" s="15">
        <f t="shared" si="218"/>
        <v>657452</v>
      </c>
      <c r="AO450" s="15">
        <f t="shared" si="223"/>
        <v>708833</v>
      </c>
      <c r="AP450" s="17">
        <f t="shared" si="219"/>
        <v>6164587</v>
      </c>
      <c r="AQ450" s="15">
        <v>5453015</v>
      </c>
      <c r="AR450" s="15">
        <v>5364</v>
      </c>
      <c r="AS450" s="18">
        <f t="shared" si="224"/>
        <v>711572</v>
      </c>
      <c r="AT450" s="19">
        <v>0</v>
      </c>
      <c r="AU450" s="8">
        <v>8800</v>
      </c>
      <c r="AV450" s="13">
        <f t="shared" si="225"/>
        <v>1349831.9999999998</v>
      </c>
      <c r="AW450" s="18">
        <f t="shared" si="226"/>
        <v>5455754</v>
      </c>
      <c r="AX450" s="15">
        <f t="shared" si="220"/>
        <v>5456000</v>
      </c>
      <c r="AY450" s="20">
        <v>0.05</v>
      </c>
      <c r="AZ450" s="13">
        <f t="shared" si="221"/>
        <v>272800</v>
      </c>
      <c r="BA450" s="15">
        <f t="shared" si="222"/>
        <v>272800</v>
      </c>
      <c r="BB450" s="21">
        <f t="shared" si="227"/>
        <v>984372</v>
      </c>
      <c r="BC450" s="10">
        <f t="shared" si="228"/>
        <v>0</v>
      </c>
      <c r="BD450" s="10">
        <f t="shared" si="229"/>
        <v>0</v>
      </c>
      <c r="BE450" s="10">
        <v>37.44</v>
      </c>
      <c r="BF450" s="10">
        <v>14.25</v>
      </c>
      <c r="BG450" s="107">
        <v>46176</v>
      </c>
      <c r="BH450" s="107">
        <f t="shared" si="203"/>
        <v>46206</v>
      </c>
      <c r="BI450" s="23">
        <v>5</v>
      </c>
      <c r="BJ450" s="6"/>
      <c r="BK450" s="6"/>
      <c r="BL450" s="6">
        <f>VLOOKUP(A450,[2]Sheet1!$D$2:$H$933,5,0)</f>
        <v>0</v>
      </c>
      <c r="BM450" s="6" t="s">
        <v>3828</v>
      </c>
      <c r="BN450" s="6" t="s">
        <v>3829</v>
      </c>
      <c r="BO450" s="6" t="s">
        <v>3820</v>
      </c>
      <c r="BP450" s="6" t="s">
        <v>3821</v>
      </c>
      <c r="BQ450" s="6" t="s">
        <v>3830</v>
      </c>
      <c r="BR450" t="s">
        <v>3823</v>
      </c>
      <c r="BS450" t="s">
        <v>3824</v>
      </c>
      <c r="BT450" t="s">
        <v>3825</v>
      </c>
      <c r="BU450" t="s">
        <v>3826</v>
      </c>
      <c r="BV450" t="s">
        <v>3827</v>
      </c>
      <c r="BW450" t="s">
        <v>3835</v>
      </c>
      <c r="BX450">
        <v>0</v>
      </c>
      <c r="BY450" t="s">
        <v>3870</v>
      </c>
      <c r="BZ450" t="s">
        <v>3860</v>
      </c>
    </row>
    <row r="451" spans="1:78" x14ac:dyDescent="0.25">
      <c r="A451" s="7" t="s">
        <v>1891</v>
      </c>
      <c r="B451" s="7" t="s">
        <v>181</v>
      </c>
      <c r="C451" s="7" t="s">
        <v>1889</v>
      </c>
      <c r="D451" s="8" t="s">
        <v>1890</v>
      </c>
      <c r="E451" s="7" t="s">
        <v>1892</v>
      </c>
      <c r="F451" s="9">
        <v>44903</v>
      </c>
      <c r="G451" s="9" t="s">
        <v>527</v>
      </c>
      <c r="H451" s="9" t="s">
        <v>72</v>
      </c>
      <c r="I451" s="8" t="s">
        <v>635</v>
      </c>
      <c r="J451" s="10">
        <v>796.25</v>
      </c>
      <c r="K451" s="10">
        <v>796.25</v>
      </c>
      <c r="L451" s="10">
        <f t="shared" si="205"/>
        <v>0</v>
      </c>
      <c r="M451" s="10">
        <v>120.56</v>
      </c>
      <c r="N451" s="10">
        <v>120.56</v>
      </c>
      <c r="O451" s="10">
        <f t="shared" si="206"/>
        <v>0</v>
      </c>
      <c r="P451" s="11">
        <v>11261.249607535321</v>
      </c>
      <c r="Q451" s="11">
        <v>74375.995355009945</v>
      </c>
      <c r="R451" s="11">
        <v>20000</v>
      </c>
      <c r="S451" s="11">
        <v>8966770</v>
      </c>
      <c r="T451" s="11">
        <v>1076014</v>
      </c>
      <c r="U451" s="12">
        <f t="shared" si="207"/>
        <v>0.12000017843660538</v>
      </c>
      <c r="V451" s="13">
        <f>L451*P451</f>
        <v>0</v>
      </c>
      <c r="W451" s="10">
        <f t="shared" si="208"/>
        <v>0</v>
      </c>
      <c r="X451" s="10"/>
      <c r="Y451" s="10"/>
      <c r="Z451" s="11">
        <f t="shared" si="209"/>
        <v>8966770</v>
      </c>
      <c r="AA451" s="14">
        <v>1180581</v>
      </c>
      <c r="AB451" s="14">
        <v>141670</v>
      </c>
      <c r="AC451" s="11">
        <f t="shared" si="210"/>
        <v>7786189</v>
      </c>
      <c r="AD451" s="10">
        <f t="shared" si="211"/>
        <v>300</v>
      </c>
      <c r="AE451" s="15">
        <v>36168</v>
      </c>
      <c r="AF451" s="16">
        <v>6510</v>
      </c>
      <c r="AG451" s="15">
        <f t="shared" si="212"/>
        <v>0</v>
      </c>
      <c r="AH451" s="15">
        <f t="shared" si="213"/>
        <v>0</v>
      </c>
      <c r="AI451" s="15">
        <f t="shared" si="214"/>
        <v>36168</v>
      </c>
      <c r="AJ451" s="15">
        <f t="shared" si="215"/>
        <v>6511</v>
      </c>
      <c r="AK451" s="10">
        <v>36168</v>
      </c>
      <c r="AL451" s="15">
        <f t="shared" si="216"/>
        <v>36168</v>
      </c>
      <c r="AM451" s="15">
        <f t="shared" si="217"/>
        <v>7822357</v>
      </c>
      <c r="AN451" s="15">
        <f t="shared" si="218"/>
        <v>940855</v>
      </c>
      <c r="AO451" s="15">
        <f t="shared" si="223"/>
        <v>977952.72</v>
      </c>
      <c r="AP451" s="17">
        <f t="shared" si="219"/>
        <v>8800309.7200000007</v>
      </c>
      <c r="AQ451" s="15">
        <v>6354457.7000000002</v>
      </c>
      <c r="AR451" s="15">
        <v>929.72</v>
      </c>
      <c r="AS451" s="18">
        <f t="shared" si="224"/>
        <v>2445852</v>
      </c>
      <c r="AT451" s="19">
        <v>0</v>
      </c>
      <c r="AU451" s="8">
        <v>8800</v>
      </c>
      <c r="AV451" s="13">
        <f t="shared" si="225"/>
        <v>1060928</v>
      </c>
      <c r="AW451" s="18">
        <f t="shared" si="226"/>
        <v>7822357</v>
      </c>
      <c r="AX451" s="15">
        <f t="shared" si="220"/>
        <v>7823000</v>
      </c>
      <c r="AY451" s="20">
        <v>0.06</v>
      </c>
      <c r="AZ451" s="13">
        <f t="shared" si="221"/>
        <v>469380</v>
      </c>
      <c r="BA451" s="15">
        <f t="shared" si="222"/>
        <v>469400</v>
      </c>
      <c r="BB451" s="21">
        <f t="shared" si="227"/>
        <v>2915252</v>
      </c>
      <c r="BC451" s="10">
        <f t="shared" si="228"/>
        <v>0</v>
      </c>
      <c r="BD451" s="10">
        <f t="shared" si="229"/>
        <v>0</v>
      </c>
      <c r="BE451" s="10">
        <v>73.97</v>
      </c>
      <c r="BF451" s="10">
        <v>11.2</v>
      </c>
      <c r="BG451" s="107">
        <v>46176</v>
      </c>
      <c r="BH451" s="107">
        <f t="shared" si="203"/>
        <v>46206</v>
      </c>
      <c r="BI451" s="23">
        <v>6</v>
      </c>
      <c r="BJ451" s="6"/>
      <c r="BK451" s="6"/>
      <c r="BL451" s="6">
        <f>VLOOKUP(A451,[2]Sheet1!$D$2:$H$933,5,0)</f>
        <v>0</v>
      </c>
      <c r="BM451" s="6" t="s">
        <v>3828</v>
      </c>
      <c r="BN451" s="6" t="s">
        <v>3829</v>
      </c>
      <c r="BO451" s="6" t="s">
        <v>3820</v>
      </c>
      <c r="BP451" s="6" t="s">
        <v>3821</v>
      </c>
      <c r="BQ451" s="6" t="s">
        <v>3830</v>
      </c>
      <c r="BR451" t="s">
        <v>3823</v>
      </c>
      <c r="BS451" t="s">
        <v>3824</v>
      </c>
      <c r="BT451" t="s">
        <v>3825</v>
      </c>
      <c r="BU451" t="s">
        <v>3826</v>
      </c>
      <c r="BV451" t="s">
        <v>3827</v>
      </c>
      <c r="BW451" t="s">
        <v>3835</v>
      </c>
      <c r="BX451">
        <v>0</v>
      </c>
      <c r="BY451" t="s">
        <v>3868</v>
      </c>
      <c r="BZ451" t="s">
        <v>3871</v>
      </c>
    </row>
    <row r="452" spans="1:78" x14ac:dyDescent="0.25">
      <c r="A452" s="7" t="s">
        <v>1895</v>
      </c>
      <c r="B452" s="7" t="s">
        <v>181</v>
      </c>
      <c r="C452" s="7" t="s">
        <v>1893</v>
      </c>
      <c r="D452" s="8" t="s">
        <v>1894</v>
      </c>
      <c r="E452" s="7" t="s">
        <v>1896</v>
      </c>
      <c r="F452" s="9">
        <v>44909</v>
      </c>
      <c r="G452" s="9" t="s">
        <v>717</v>
      </c>
      <c r="H452" s="9" t="s">
        <v>72</v>
      </c>
      <c r="I452" s="8" t="s">
        <v>78</v>
      </c>
      <c r="J452" s="10">
        <v>596.33000000000004</v>
      </c>
      <c r="K452" s="10">
        <v>674</v>
      </c>
      <c r="L452" s="10">
        <f t="shared" si="205"/>
        <v>77.669999999999959</v>
      </c>
      <c r="M452" s="10">
        <v>266.95</v>
      </c>
      <c r="N452" s="10">
        <v>302</v>
      </c>
      <c r="O452" s="10">
        <f t="shared" si="206"/>
        <v>35.050000000000011</v>
      </c>
      <c r="P452" s="11">
        <v>11175.000419230963</v>
      </c>
      <c r="Q452" s="11">
        <v>24963.431354186177</v>
      </c>
      <c r="R452" s="11">
        <v>20000</v>
      </c>
      <c r="S452" s="11">
        <v>6663988</v>
      </c>
      <c r="T452" s="11">
        <v>799680</v>
      </c>
      <c r="U452" s="12">
        <f t="shared" si="207"/>
        <v>0.12000021608682368</v>
      </c>
      <c r="V452" s="13">
        <f>L452*R452</f>
        <v>1553399.9999999991</v>
      </c>
      <c r="W452" s="10">
        <f t="shared" si="208"/>
        <v>186408.33566927179</v>
      </c>
      <c r="X452" s="15"/>
      <c r="Y452" s="15"/>
      <c r="Z452" s="11">
        <f t="shared" si="209"/>
        <v>8217387.9999999991</v>
      </c>
      <c r="AA452" s="14"/>
      <c r="AB452" s="14"/>
      <c r="AC452" s="11">
        <f t="shared" si="210"/>
        <v>8217387.9999999991</v>
      </c>
      <c r="AD452" s="10">
        <f t="shared" si="211"/>
        <v>300</v>
      </c>
      <c r="AE452" s="15">
        <v>80085</v>
      </c>
      <c r="AF452" s="16">
        <v>14416</v>
      </c>
      <c r="AG452" s="15">
        <f t="shared" si="212"/>
        <v>10515.000000000004</v>
      </c>
      <c r="AH452" s="15">
        <f t="shared" si="213"/>
        <v>1892.7000000000005</v>
      </c>
      <c r="AI452" s="15">
        <f t="shared" si="214"/>
        <v>90600</v>
      </c>
      <c r="AJ452" s="15">
        <f t="shared" si="215"/>
        <v>16308</v>
      </c>
      <c r="AK452" s="10">
        <v>80085</v>
      </c>
      <c r="AL452" s="15">
        <f t="shared" si="216"/>
        <v>90600</v>
      </c>
      <c r="AM452" s="15">
        <f t="shared" si="217"/>
        <v>8307988</v>
      </c>
      <c r="AN452" s="15">
        <f t="shared" si="218"/>
        <v>1002397</v>
      </c>
      <c r="AO452" s="15">
        <f t="shared" si="223"/>
        <v>1098467</v>
      </c>
      <c r="AP452" s="17">
        <f t="shared" si="219"/>
        <v>9406455</v>
      </c>
      <c r="AQ452" s="15">
        <v>6657325</v>
      </c>
      <c r="AR452" s="15">
        <v>5470</v>
      </c>
      <c r="AS452" s="18">
        <f t="shared" si="224"/>
        <v>2749130</v>
      </c>
      <c r="AT452" s="19">
        <v>0</v>
      </c>
      <c r="AU452" s="8">
        <v>8800</v>
      </c>
      <c r="AV452" s="13">
        <f t="shared" si="225"/>
        <v>2657600</v>
      </c>
      <c r="AW452" s="18">
        <f t="shared" si="226"/>
        <v>8307988</v>
      </c>
      <c r="AX452" s="15">
        <f t="shared" si="220"/>
        <v>8308000</v>
      </c>
      <c r="AY452" s="20">
        <v>0.05</v>
      </c>
      <c r="AZ452" s="13">
        <f t="shared" si="221"/>
        <v>415400</v>
      </c>
      <c r="BA452" s="15">
        <f t="shared" si="222"/>
        <v>415400</v>
      </c>
      <c r="BB452" s="21">
        <f t="shared" si="227"/>
        <v>3164530</v>
      </c>
      <c r="BC452" s="10">
        <f t="shared" si="228"/>
        <v>13.024667549846553</v>
      </c>
      <c r="BD452" s="10">
        <f t="shared" si="229"/>
        <v>13.129799587937821</v>
      </c>
      <c r="BE452" s="10">
        <v>62.62</v>
      </c>
      <c r="BF452" s="10">
        <v>28.06</v>
      </c>
      <c r="BG452" s="107">
        <v>46176</v>
      </c>
      <c r="BH452" s="107">
        <f t="shared" si="203"/>
        <v>46206</v>
      </c>
      <c r="BI452" s="23">
        <v>5</v>
      </c>
      <c r="BJ452" s="6"/>
      <c r="BK452" s="6"/>
      <c r="BL452" s="6">
        <f>VLOOKUP(A452,[2]Sheet1!$D$2:$H$933,5,0)</f>
        <v>0</v>
      </c>
      <c r="BM452" s="6" t="s">
        <v>3828</v>
      </c>
      <c r="BN452" s="6" t="s">
        <v>3829</v>
      </c>
      <c r="BO452" s="6" t="s">
        <v>3820</v>
      </c>
      <c r="BP452" s="6" t="s">
        <v>3821</v>
      </c>
      <c r="BQ452" s="6" t="s">
        <v>3830</v>
      </c>
      <c r="BR452" t="s">
        <v>3823</v>
      </c>
      <c r="BS452" t="s">
        <v>3824</v>
      </c>
      <c r="BT452" t="s">
        <v>3825</v>
      </c>
      <c r="BU452" t="s">
        <v>3826</v>
      </c>
      <c r="BV452" t="s">
        <v>3827</v>
      </c>
      <c r="BW452" t="s">
        <v>3835</v>
      </c>
      <c r="BX452">
        <v>0</v>
      </c>
      <c r="BY452" t="s">
        <v>3864</v>
      </c>
      <c r="BZ452" t="s">
        <v>3872</v>
      </c>
    </row>
    <row r="453" spans="1:78" x14ac:dyDescent="0.25">
      <c r="A453" s="7" t="s">
        <v>1899</v>
      </c>
      <c r="B453" s="7" t="s">
        <v>181</v>
      </c>
      <c r="C453" s="7" t="s">
        <v>1897</v>
      </c>
      <c r="D453" s="8" t="s">
        <v>1898</v>
      </c>
      <c r="E453" s="7" t="s">
        <v>1900</v>
      </c>
      <c r="F453" s="9">
        <v>44872</v>
      </c>
      <c r="G453" s="9" t="s">
        <v>65</v>
      </c>
      <c r="H453" s="9" t="s">
        <v>72</v>
      </c>
      <c r="I453" s="8" t="s">
        <v>78</v>
      </c>
      <c r="J453" s="10">
        <v>369.21</v>
      </c>
      <c r="K453" s="10">
        <v>369.21</v>
      </c>
      <c r="L453" s="10">
        <f t="shared" si="205"/>
        <v>0</v>
      </c>
      <c r="M453" s="10">
        <v>160.38</v>
      </c>
      <c r="N453" s="10">
        <v>160.38</v>
      </c>
      <c r="O453" s="10">
        <f t="shared" si="206"/>
        <v>0</v>
      </c>
      <c r="P453" s="11">
        <v>12253.999079114868</v>
      </c>
      <c r="Q453" s="11">
        <v>28209.870308018457</v>
      </c>
      <c r="R453" s="11">
        <v>20000</v>
      </c>
      <c r="S453" s="11">
        <v>4524299</v>
      </c>
      <c r="T453" s="11">
        <v>542918</v>
      </c>
      <c r="U453" s="12">
        <f t="shared" si="207"/>
        <v>0.1200004685808785</v>
      </c>
      <c r="V453" s="13">
        <f t="shared" ref="V453:V476" si="230">L453*P453</f>
        <v>0</v>
      </c>
      <c r="W453" s="10">
        <f t="shared" si="208"/>
        <v>0</v>
      </c>
      <c r="X453" s="10"/>
      <c r="Y453" s="10"/>
      <c r="Z453" s="11">
        <f t="shared" si="209"/>
        <v>4524299</v>
      </c>
      <c r="AA453" s="14">
        <v>1285292</v>
      </c>
      <c r="AB453" s="14">
        <v>154236</v>
      </c>
      <c r="AC453" s="11">
        <f t="shared" si="210"/>
        <v>3239007</v>
      </c>
      <c r="AD453" s="10">
        <f t="shared" si="211"/>
        <v>300</v>
      </c>
      <c r="AE453" s="15">
        <v>48114</v>
      </c>
      <c r="AF453" s="16">
        <v>8660</v>
      </c>
      <c r="AG453" s="15">
        <f t="shared" si="212"/>
        <v>0</v>
      </c>
      <c r="AH453" s="15">
        <f t="shared" si="213"/>
        <v>0</v>
      </c>
      <c r="AI453" s="15">
        <f t="shared" si="214"/>
        <v>48114</v>
      </c>
      <c r="AJ453" s="15">
        <f t="shared" si="215"/>
        <v>8661</v>
      </c>
      <c r="AK453" s="10">
        <v>48114</v>
      </c>
      <c r="AL453" s="15">
        <f t="shared" si="216"/>
        <v>48114</v>
      </c>
      <c r="AM453" s="15">
        <f t="shared" si="217"/>
        <v>3287121</v>
      </c>
      <c r="AN453" s="15">
        <f t="shared" si="218"/>
        <v>397343</v>
      </c>
      <c r="AO453" s="15">
        <f t="shared" si="223"/>
        <v>450852</v>
      </c>
      <c r="AP453" s="17">
        <f t="shared" si="219"/>
        <v>3737973</v>
      </c>
      <c r="AQ453" s="15">
        <v>3126364</v>
      </c>
      <c r="AR453" s="15">
        <v>5395</v>
      </c>
      <c r="AS453" s="18">
        <f t="shared" si="224"/>
        <v>611609</v>
      </c>
      <c r="AT453" s="19">
        <v>0</v>
      </c>
      <c r="AU453" s="8">
        <v>8800</v>
      </c>
      <c r="AV453" s="13">
        <f t="shared" si="225"/>
        <v>1411344</v>
      </c>
      <c r="AW453" s="18">
        <f t="shared" si="226"/>
        <v>3287121</v>
      </c>
      <c r="AX453" s="15">
        <f t="shared" si="220"/>
        <v>3288000</v>
      </c>
      <c r="AY453" s="20">
        <v>0.05</v>
      </c>
      <c r="AZ453" s="13">
        <f t="shared" si="221"/>
        <v>164400</v>
      </c>
      <c r="BA453" s="15">
        <f t="shared" si="222"/>
        <v>164400</v>
      </c>
      <c r="BB453" s="21">
        <f t="shared" si="227"/>
        <v>776009</v>
      </c>
      <c r="BC453" s="10">
        <f t="shared" si="228"/>
        <v>0</v>
      </c>
      <c r="BD453" s="10">
        <f t="shared" si="229"/>
        <v>0</v>
      </c>
      <c r="BE453" s="10">
        <v>34.299999999999997</v>
      </c>
      <c r="BF453" s="10">
        <v>14.9</v>
      </c>
      <c r="BG453" s="107">
        <v>46176</v>
      </c>
      <c r="BH453" s="107">
        <f t="shared" si="203"/>
        <v>46206</v>
      </c>
      <c r="BI453" s="23">
        <v>5</v>
      </c>
      <c r="BJ453" s="6"/>
      <c r="BK453" s="6"/>
      <c r="BL453" s="6">
        <f>VLOOKUP(A453,[2]Sheet1!$D$2:$H$933,5,0)</f>
        <v>0</v>
      </c>
      <c r="BM453" s="6" t="s">
        <v>3828</v>
      </c>
      <c r="BN453" s="6" t="s">
        <v>3829</v>
      </c>
      <c r="BO453" s="6" t="s">
        <v>3820</v>
      </c>
      <c r="BP453" s="6" t="s">
        <v>3821</v>
      </c>
      <c r="BQ453" s="6" t="s">
        <v>3830</v>
      </c>
      <c r="BR453" t="s">
        <v>3823</v>
      </c>
      <c r="BS453" t="s">
        <v>3824</v>
      </c>
      <c r="BT453" t="s">
        <v>3825</v>
      </c>
      <c r="BU453" t="s">
        <v>3826</v>
      </c>
      <c r="BV453" t="s">
        <v>3827</v>
      </c>
      <c r="BW453" t="s">
        <v>3835</v>
      </c>
      <c r="BX453">
        <v>0</v>
      </c>
      <c r="BY453" t="s">
        <v>3862</v>
      </c>
      <c r="BZ453" t="s">
        <v>3860</v>
      </c>
    </row>
    <row r="454" spans="1:78" x14ac:dyDescent="0.25">
      <c r="A454" s="7" t="s">
        <v>1903</v>
      </c>
      <c r="B454" s="7" t="s">
        <v>181</v>
      </c>
      <c r="C454" s="7" t="s">
        <v>1901</v>
      </c>
      <c r="D454" s="8" t="s">
        <v>1902</v>
      </c>
      <c r="E454" s="7" t="s">
        <v>1904</v>
      </c>
      <c r="F454" s="9">
        <v>44996</v>
      </c>
      <c r="G454" s="9" t="s">
        <v>65</v>
      </c>
      <c r="H454" s="9" t="s">
        <v>72</v>
      </c>
      <c r="I454" s="8" t="s">
        <v>78</v>
      </c>
      <c r="J454" s="10">
        <v>676.41</v>
      </c>
      <c r="K454" s="10">
        <v>676.41</v>
      </c>
      <c r="L454" s="10">
        <f t="shared" si="205"/>
        <v>0</v>
      </c>
      <c r="M454" s="10">
        <v>315.39</v>
      </c>
      <c r="N454" s="10">
        <v>315.39</v>
      </c>
      <c r="O454" s="10">
        <f t="shared" si="206"/>
        <v>0</v>
      </c>
      <c r="P454" s="11">
        <v>11287.999881728538</v>
      </c>
      <c r="Q454" s="11">
        <v>24209.125210057391</v>
      </c>
      <c r="R454" s="11">
        <v>20000</v>
      </c>
      <c r="S454" s="11">
        <v>7635316</v>
      </c>
      <c r="T454" s="11">
        <v>916240</v>
      </c>
      <c r="U454" s="12">
        <f t="shared" si="207"/>
        <v>0.12000027241832559</v>
      </c>
      <c r="V454" s="13">
        <f t="shared" si="230"/>
        <v>0</v>
      </c>
      <c r="W454" s="10">
        <f t="shared" si="208"/>
        <v>0</v>
      </c>
      <c r="X454" s="10"/>
      <c r="Y454" s="10"/>
      <c r="Z454" s="11">
        <f t="shared" si="209"/>
        <v>7635316</v>
      </c>
      <c r="AA454" s="14"/>
      <c r="AB454" s="14"/>
      <c r="AC454" s="11">
        <f t="shared" si="210"/>
        <v>7635316</v>
      </c>
      <c r="AD454" s="10">
        <f t="shared" si="211"/>
        <v>300</v>
      </c>
      <c r="AE454" s="15">
        <v>94617</v>
      </c>
      <c r="AF454" s="16">
        <v>17032</v>
      </c>
      <c r="AG454" s="15">
        <f t="shared" si="212"/>
        <v>0</v>
      </c>
      <c r="AH454" s="15">
        <f t="shared" si="213"/>
        <v>0</v>
      </c>
      <c r="AI454" s="15">
        <f t="shared" si="214"/>
        <v>94617</v>
      </c>
      <c r="AJ454" s="15">
        <f t="shared" si="215"/>
        <v>17032</v>
      </c>
      <c r="AK454" s="10">
        <v>94617</v>
      </c>
      <c r="AL454" s="15">
        <f t="shared" si="216"/>
        <v>94617</v>
      </c>
      <c r="AM454" s="15">
        <f t="shared" si="217"/>
        <v>7729933</v>
      </c>
      <c r="AN454" s="15">
        <f t="shared" si="218"/>
        <v>933272</v>
      </c>
      <c r="AO454" s="15">
        <f t="shared" si="223"/>
        <v>1033418</v>
      </c>
      <c r="AP454" s="17">
        <f t="shared" si="219"/>
        <v>8763351</v>
      </c>
      <c r="AQ454" s="15">
        <v>7655805</v>
      </c>
      <c r="AR454" s="15">
        <v>5529</v>
      </c>
      <c r="AS454" s="18">
        <f t="shared" si="224"/>
        <v>1107546</v>
      </c>
      <c r="AT454" s="19">
        <v>0</v>
      </c>
      <c r="AU454" s="8">
        <v>8800</v>
      </c>
      <c r="AV454" s="13">
        <f t="shared" si="225"/>
        <v>2775432</v>
      </c>
      <c r="AW454" s="18">
        <f t="shared" si="226"/>
        <v>7729933</v>
      </c>
      <c r="AX454" s="15">
        <f t="shared" si="220"/>
        <v>7730000</v>
      </c>
      <c r="AY454" s="20">
        <v>0.06</v>
      </c>
      <c r="AZ454" s="13">
        <f t="shared" si="221"/>
        <v>463800</v>
      </c>
      <c r="BA454" s="15">
        <f t="shared" si="222"/>
        <v>463800</v>
      </c>
      <c r="BB454" s="21">
        <f t="shared" si="227"/>
        <v>1571346</v>
      </c>
      <c r="BC454" s="10">
        <f t="shared" si="228"/>
        <v>0</v>
      </c>
      <c r="BD454" s="10">
        <f t="shared" si="229"/>
        <v>0</v>
      </c>
      <c r="BE454" s="10">
        <v>62.84</v>
      </c>
      <c r="BF454" s="10">
        <v>29.3</v>
      </c>
      <c r="BG454" s="107">
        <v>46176</v>
      </c>
      <c r="BH454" s="107">
        <f t="shared" si="203"/>
        <v>46206</v>
      </c>
      <c r="BI454" s="23">
        <v>6</v>
      </c>
      <c r="BJ454" s="6"/>
      <c r="BK454" s="6"/>
      <c r="BL454" s="6">
        <f>VLOOKUP(A454,[2]Sheet1!$D$2:$H$933,5,0)</f>
        <v>0</v>
      </c>
      <c r="BM454" s="6" t="s">
        <v>3828</v>
      </c>
      <c r="BN454" s="6" t="s">
        <v>3829</v>
      </c>
      <c r="BO454" s="6" t="s">
        <v>3820</v>
      </c>
      <c r="BP454" s="6" t="s">
        <v>3821</v>
      </c>
      <c r="BQ454" s="6" t="s">
        <v>3830</v>
      </c>
      <c r="BR454" t="s">
        <v>3823</v>
      </c>
      <c r="BS454" t="s">
        <v>3824</v>
      </c>
      <c r="BT454" t="s">
        <v>3825</v>
      </c>
      <c r="BU454" t="s">
        <v>3826</v>
      </c>
      <c r="BV454" t="s">
        <v>3827</v>
      </c>
      <c r="BW454" t="s">
        <v>3835</v>
      </c>
      <c r="BX454">
        <v>0</v>
      </c>
      <c r="BY454" t="s">
        <v>3870</v>
      </c>
      <c r="BZ454" t="s">
        <v>3860</v>
      </c>
    </row>
    <row r="455" spans="1:78" x14ac:dyDescent="0.25">
      <c r="A455" s="7" t="s">
        <v>1907</v>
      </c>
      <c r="B455" s="7" t="s">
        <v>181</v>
      </c>
      <c r="C455" s="7" t="s">
        <v>1905</v>
      </c>
      <c r="D455" s="8" t="s">
        <v>1906</v>
      </c>
      <c r="E455" s="7" t="s">
        <v>1908</v>
      </c>
      <c r="F455" s="9">
        <v>44908</v>
      </c>
      <c r="G455" s="9" t="s">
        <v>527</v>
      </c>
      <c r="H455" s="9" t="s">
        <v>66</v>
      </c>
      <c r="I455" s="8" t="s">
        <v>67</v>
      </c>
      <c r="J455" s="10">
        <v>310.95999999999998</v>
      </c>
      <c r="K455" s="10">
        <v>310.95999999999998</v>
      </c>
      <c r="L455" s="10">
        <f t="shared" si="205"/>
        <v>0</v>
      </c>
      <c r="M455" s="10">
        <v>122.71</v>
      </c>
      <c r="N455" s="10">
        <v>122.71</v>
      </c>
      <c r="O455" s="10">
        <f t="shared" si="206"/>
        <v>0</v>
      </c>
      <c r="P455" s="11">
        <v>17631.00077180345</v>
      </c>
      <c r="Q455" s="11">
        <v>44678.803683481383</v>
      </c>
      <c r="R455" s="11">
        <v>22000</v>
      </c>
      <c r="S455" s="11">
        <v>5482536</v>
      </c>
      <c r="T455" s="11">
        <v>657904</v>
      </c>
      <c r="U455" s="12">
        <f t="shared" si="207"/>
        <v>0.1199999416328502</v>
      </c>
      <c r="V455" s="13">
        <f t="shared" si="230"/>
        <v>0</v>
      </c>
      <c r="W455" s="10">
        <f t="shared" si="208"/>
        <v>0</v>
      </c>
      <c r="X455" s="10"/>
      <c r="Y455" s="10"/>
      <c r="Z455" s="11">
        <f t="shared" si="209"/>
        <v>5482536</v>
      </c>
      <c r="AA455" s="14">
        <v>595267</v>
      </c>
      <c r="AB455" s="14">
        <v>71432</v>
      </c>
      <c r="AC455" s="11">
        <f t="shared" si="210"/>
        <v>4887269</v>
      </c>
      <c r="AD455" s="10">
        <f t="shared" si="211"/>
        <v>300</v>
      </c>
      <c r="AE455" s="15">
        <v>36813</v>
      </c>
      <c r="AF455" s="16">
        <v>6626</v>
      </c>
      <c r="AG455" s="15">
        <f t="shared" si="212"/>
        <v>0</v>
      </c>
      <c r="AH455" s="15">
        <f t="shared" si="213"/>
        <v>0</v>
      </c>
      <c r="AI455" s="15">
        <f t="shared" si="214"/>
        <v>36813</v>
      </c>
      <c r="AJ455" s="15">
        <f t="shared" si="215"/>
        <v>6627</v>
      </c>
      <c r="AK455" s="10">
        <v>36813</v>
      </c>
      <c r="AL455" s="15">
        <f t="shared" si="216"/>
        <v>36813</v>
      </c>
      <c r="AM455" s="15">
        <f t="shared" si="217"/>
        <v>4924082</v>
      </c>
      <c r="AN455" s="15">
        <f t="shared" si="218"/>
        <v>593099</v>
      </c>
      <c r="AO455" s="15">
        <f t="shared" si="223"/>
        <v>632819.84</v>
      </c>
      <c r="AP455" s="17">
        <f t="shared" si="219"/>
        <v>5556901.8399999999</v>
      </c>
      <c r="AQ455" s="15">
        <v>4085851.92</v>
      </c>
      <c r="AR455" s="15">
        <v>2907.84</v>
      </c>
      <c r="AS455" s="18">
        <f t="shared" si="224"/>
        <v>1471050</v>
      </c>
      <c r="AT455" s="19">
        <v>0</v>
      </c>
      <c r="AU455" s="8">
        <v>8800</v>
      </c>
      <c r="AV455" s="13">
        <f t="shared" si="225"/>
        <v>1079848</v>
      </c>
      <c r="AW455" s="18">
        <f t="shared" si="226"/>
        <v>4924082</v>
      </c>
      <c r="AX455" s="15">
        <f t="shared" si="220"/>
        <v>4925000</v>
      </c>
      <c r="AY455" s="20">
        <v>0.06</v>
      </c>
      <c r="AZ455" s="13">
        <f t="shared" si="221"/>
        <v>295500</v>
      </c>
      <c r="BA455" s="15">
        <f t="shared" si="222"/>
        <v>295500</v>
      </c>
      <c r="BB455" s="21">
        <f t="shared" si="227"/>
        <v>1766550</v>
      </c>
      <c r="BC455" s="10">
        <f t="shared" si="228"/>
        <v>0</v>
      </c>
      <c r="BD455" s="10">
        <f t="shared" si="229"/>
        <v>0</v>
      </c>
      <c r="BE455" s="10">
        <v>28.89</v>
      </c>
      <c r="BF455" s="10">
        <v>11.4</v>
      </c>
      <c r="BG455" s="107">
        <v>46176</v>
      </c>
      <c r="BH455" s="107">
        <f t="shared" si="203"/>
        <v>46206</v>
      </c>
      <c r="BI455" s="23">
        <v>6</v>
      </c>
      <c r="BJ455" s="6"/>
      <c r="BK455" s="6"/>
      <c r="BL455" s="6">
        <f>VLOOKUP(A455,[2]Sheet1!$D$2:$H$933,5,0)</f>
        <v>0</v>
      </c>
      <c r="BM455" s="6" t="s">
        <v>3828</v>
      </c>
      <c r="BN455" s="6" t="s">
        <v>3829</v>
      </c>
      <c r="BO455" s="6" t="s">
        <v>3820</v>
      </c>
      <c r="BP455" s="6" t="s">
        <v>3821</v>
      </c>
      <c r="BQ455" s="6" t="s">
        <v>3830</v>
      </c>
      <c r="BR455" t="s">
        <v>3823</v>
      </c>
      <c r="BS455" t="s">
        <v>3824</v>
      </c>
      <c r="BT455" t="s">
        <v>3825</v>
      </c>
      <c r="BU455" t="s">
        <v>3826</v>
      </c>
      <c r="BV455" t="s">
        <v>3827</v>
      </c>
      <c r="BW455" t="s">
        <v>3835</v>
      </c>
      <c r="BX455">
        <v>0</v>
      </c>
      <c r="BY455" t="s">
        <v>3867</v>
      </c>
      <c r="BZ455" t="s">
        <v>3871</v>
      </c>
    </row>
    <row r="456" spans="1:78" x14ac:dyDescent="0.25">
      <c r="A456" s="7" t="s">
        <v>1911</v>
      </c>
      <c r="B456" s="7" t="s">
        <v>181</v>
      </c>
      <c r="C456" s="7" t="s">
        <v>1909</v>
      </c>
      <c r="D456" s="8" t="s">
        <v>1910</v>
      </c>
      <c r="E456" s="7" t="s">
        <v>1912</v>
      </c>
      <c r="F456" s="9">
        <v>45398</v>
      </c>
      <c r="G456" s="9" t="s">
        <v>65</v>
      </c>
      <c r="H456" s="9" t="s">
        <v>87</v>
      </c>
      <c r="I456" s="8" t="s">
        <v>78</v>
      </c>
      <c r="J456" s="10">
        <v>699.66</v>
      </c>
      <c r="K456" s="10">
        <v>699.66</v>
      </c>
      <c r="L456" s="10">
        <f t="shared" si="205"/>
        <v>0</v>
      </c>
      <c r="M456" s="10">
        <v>314.31</v>
      </c>
      <c r="N456" s="10">
        <v>314.31</v>
      </c>
      <c r="O456" s="10">
        <f t="shared" si="206"/>
        <v>0</v>
      </c>
      <c r="P456" s="11">
        <v>23499.998570734359</v>
      </c>
      <c r="Q456" s="11">
        <v>52311.44093410964</v>
      </c>
      <c r="R456" s="11">
        <v>40000</v>
      </c>
      <c r="S456" s="11">
        <v>16442009</v>
      </c>
      <c r="T456" s="11">
        <v>1973042</v>
      </c>
      <c r="U456" s="12">
        <f t="shared" si="207"/>
        <v>0.12000005595423284</v>
      </c>
      <c r="V456" s="13">
        <f t="shared" si="230"/>
        <v>0</v>
      </c>
      <c r="W456" s="10">
        <f t="shared" si="208"/>
        <v>0</v>
      </c>
      <c r="X456" s="10"/>
      <c r="Y456" s="10"/>
      <c r="Z456" s="11">
        <f t="shared" si="209"/>
        <v>16442009</v>
      </c>
      <c r="AA456" s="14"/>
      <c r="AB456" s="14"/>
      <c r="AC456" s="11">
        <f t="shared" si="210"/>
        <v>16442009</v>
      </c>
      <c r="AD456" s="10">
        <f t="shared" si="211"/>
        <v>300</v>
      </c>
      <c r="AE456" s="15">
        <v>94293</v>
      </c>
      <c r="AF456" s="16">
        <v>16972</v>
      </c>
      <c r="AG456" s="15">
        <f t="shared" si="212"/>
        <v>0</v>
      </c>
      <c r="AH456" s="15">
        <f t="shared" si="213"/>
        <v>0</v>
      </c>
      <c r="AI456" s="15">
        <f t="shared" si="214"/>
        <v>94293</v>
      </c>
      <c r="AJ456" s="15">
        <f t="shared" si="215"/>
        <v>16973</v>
      </c>
      <c r="AK456" s="10">
        <v>94293</v>
      </c>
      <c r="AL456" s="15">
        <f t="shared" si="216"/>
        <v>94293</v>
      </c>
      <c r="AM456" s="15">
        <f t="shared" si="217"/>
        <v>16536302</v>
      </c>
      <c r="AN456" s="15">
        <f t="shared" si="218"/>
        <v>1990015</v>
      </c>
      <c r="AO456" s="15">
        <f t="shared" si="223"/>
        <v>2089875.24</v>
      </c>
      <c r="AP456" s="17">
        <f t="shared" si="219"/>
        <v>18626177.239999998</v>
      </c>
      <c r="AQ456" s="15">
        <v>16569664</v>
      </c>
      <c r="AR456" s="15">
        <v>5567.24</v>
      </c>
      <c r="AS456" s="18">
        <f t="shared" si="224"/>
        <v>2056513</v>
      </c>
      <c r="AT456" s="19">
        <v>0</v>
      </c>
      <c r="AU456" s="8">
        <v>8800</v>
      </c>
      <c r="AV456" s="13">
        <f t="shared" si="225"/>
        <v>2765928</v>
      </c>
      <c r="AW456" s="18">
        <f t="shared" si="226"/>
        <v>16536302</v>
      </c>
      <c r="AX456" s="15">
        <f t="shared" si="220"/>
        <v>16537000</v>
      </c>
      <c r="AY456" s="20">
        <v>0.06</v>
      </c>
      <c r="AZ456" s="13">
        <f t="shared" si="221"/>
        <v>992220</v>
      </c>
      <c r="BA456" s="15">
        <f t="shared" si="222"/>
        <v>992300</v>
      </c>
      <c r="BB456" s="21">
        <f t="shared" si="227"/>
        <v>3048813</v>
      </c>
      <c r="BC456" s="10">
        <f t="shared" si="228"/>
        <v>0</v>
      </c>
      <c r="BD456" s="10">
        <f t="shared" si="229"/>
        <v>0</v>
      </c>
      <c r="BE456" s="10">
        <v>65</v>
      </c>
      <c r="BF456" s="10">
        <v>29.2</v>
      </c>
      <c r="BG456" s="107">
        <v>46176</v>
      </c>
      <c r="BH456" s="107">
        <f t="shared" si="203"/>
        <v>46206</v>
      </c>
      <c r="BI456" s="23">
        <v>6</v>
      </c>
      <c r="BJ456" s="24"/>
      <c r="BK456" s="6"/>
      <c r="BL456" s="6">
        <f>VLOOKUP(A456,[2]Sheet1!$D$2:$H$933,5,0)</f>
        <v>0</v>
      </c>
      <c r="BM456" s="6" t="s">
        <v>3828</v>
      </c>
      <c r="BN456" s="6" t="s">
        <v>3829</v>
      </c>
      <c r="BO456" s="6" t="s">
        <v>3820</v>
      </c>
      <c r="BP456" s="6" t="s">
        <v>3821</v>
      </c>
      <c r="BQ456" s="6" t="s">
        <v>3830</v>
      </c>
      <c r="BR456" t="s">
        <v>3823</v>
      </c>
      <c r="BS456" t="s">
        <v>3824</v>
      </c>
      <c r="BT456" t="s">
        <v>3825</v>
      </c>
      <c r="BU456" t="s">
        <v>3826</v>
      </c>
      <c r="BV456" t="s">
        <v>3827</v>
      </c>
      <c r="BW456" t="s">
        <v>3835</v>
      </c>
      <c r="BX456">
        <v>0</v>
      </c>
      <c r="BY456" t="s">
        <v>3865</v>
      </c>
      <c r="BZ456" t="s">
        <v>3860</v>
      </c>
    </row>
    <row r="457" spans="1:78" x14ac:dyDescent="0.25">
      <c r="A457" s="7" t="s">
        <v>1915</v>
      </c>
      <c r="B457" s="7" t="s">
        <v>181</v>
      </c>
      <c r="C457" s="7" t="s">
        <v>1913</v>
      </c>
      <c r="D457" s="8" t="s">
        <v>1914</v>
      </c>
      <c r="E457" s="7" t="s">
        <v>1916</v>
      </c>
      <c r="F457" s="9">
        <v>44866</v>
      </c>
      <c r="G457" s="9" t="s">
        <v>404</v>
      </c>
      <c r="H457" s="9" t="s">
        <v>92</v>
      </c>
      <c r="I457" s="8" t="s">
        <v>78</v>
      </c>
      <c r="J457" s="10">
        <v>187.72</v>
      </c>
      <c r="K457" s="10">
        <v>187.72</v>
      </c>
      <c r="L457" s="10">
        <f t="shared" si="205"/>
        <v>0</v>
      </c>
      <c r="M457" s="10">
        <v>77.180000000000007</v>
      </c>
      <c r="N457" s="10">
        <v>77.180000000000007</v>
      </c>
      <c r="O457" s="10">
        <f t="shared" si="206"/>
        <v>0</v>
      </c>
      <c r="P457" s="11">
        <v>20577.999147666738</v>
      </c>
      <c r="Q457" s="11">
        <v>50050.557139155215</v>
      </c>
      <c r="R457" s="11">
        <v>28000</v>
      </c>
      <c r="S457" s="11">
        <v>3862902</v>
      </c>
      <c r="T457" s="11">
        <v>463550</v>
      </c>
      <c r="U457" s="12">
        <f t="shared" si="207"/>
        <v>0.12000045561601097</v>
      </c>
      <c r="V457" s="13">
        <f t="shared" si="230"/>
        <v>0</v>
      </c>
      <c r="W457" s="10">
        <f t="shared" si="208"/>
        <v>0</v>
      </c>
      <c r="X457" s="10"/>
      <c r="Y457" s="10"/>
      <c r="Z457" s="11">
        <f t="shared" si="209"/>
        <v>3862902</v>
      </c>
      <c r="AA457" s="14">
        <v>530126</v>
      </c>
      <c r="AB457" s="14">
        <v>63616</v>
      </c>
      <c r="AC457" s="11">
        <f t="shared" si="210"/>
        <v>3332776</v>
      </c>
      <c r="AD457" s="10">
        <f t="shared" si="211"/>
        <v>300</v>
      </c>
      <c r="AE457" s="15">
        <v>23154</v>
      </c>
      <c r="AF457" s="16">
        <v>4168</v>
      </c>
      <c r="AG457" s="15">
        <f t="shared" si="212"/>
        <v>0</v>
      </c>
      <c r="AH457" s="15">
        <f t="shared" si="213"/>
        <v>0</v>
      </c>
      <c r="AI457" s="15">
        <f t="shared" si="214"/>
        <v>23154.000000000004</v>
      </c>
      <c r="AJ457" s="15">
        <f t="shared" si="215"/>
        <v>4168</v>
      </c>
      <c r="AK457" s="10">
        <v>23154</v>
      </c>
      <c r="AL457" s="15">
        <f t="shared" si="216"/>
        <v>23154.000000000004</v>
      </c>
      <c r="AM457" s="15">
        <f t="shared" si="217"/>
        <v>3355930</v>
      </c>
      <c r="AN457" s="15">
        <f t="shared" si="218"/>
        <v>404102</v>
      </c>
      <c r="AO457" s="15">
        <f t="shared" si="223"/>
        <v>432962</v>
      </c>
      <c r="AP457" s="17">
        <f t="shared" si="219"/>
        <v>3788892</v>
      </c>
      <c r="AQ457" s="15">
        <v>3179485</v>
      </c>
      <c r="AR457" s="15">
        <v>5706</v>
      </c>
      <c r="AS457" s="18">
        <f t="shared" si="224"/>
        <v>609407</v>
      </c>
      <c r="AT457" s="19">
        <v>0</v>
      </c>
      <c r="AU457" s="8">
        <v>8800</v>
      </c>
      <c r="AV457" s="13">
        <f t="shared" si="225"/>
        <v>679184.00000000012</v>
      </c>
      <c r="AW457" s="18">
        <f t="shared" si="226"/>
        <v>3355930</v>
      </c>
      <c r="AX457" s="15">
        <f t="shared" si="220"/>
        <v>3356000</v>
      </c>
      <c r="AY457" s="20">
        <v>0.06</v>
      </c>
      <c r="AZ457" s="13">
        <f t="shared" si="221"/>
        <v>201360</v>
      </c>
      <c r="BA457" s="15">
        <f t="shared" si="222"/>
        <v>201400</v>
      </c>
      <c r="BB457" s="21">
        <f t="shared" si="227"/>
        <v>810807</v>
      </c>
      <c r="BC457" s="10">
        <f t="shared" si="228"/>
        <v>0</v>
      </c>
      <c r="BD457" s="10">
        <f t="shared" si="229"/>
        <v>0</v>
      </c>
      <c r="BE457" s="10">
        <v>17.440000000000001</v>
      </c>
      <c r="BF457" s="10">
        <v>7.17</v>
      </c>
      <c r="BG457" s="107">
        <v>46176</v>
      </c>
      <c r="BH457" s="107">
        <f t="shared" si="203"/>
        <v>46206</v>
      </c>
      <c r="BI457" s="23">
        <v>6</v>
      </c>
      <c r="BJ457" s="6"/>
      <c r="BK457" s="6"/>
      <c r="BL457" s="6">
        <f>VLOOKUP(A457,[2]Sheet1!$D$2:$H$933,5,0)</f>
        <v>0</v>
      </c>
      <c r="BM457" s="6" t="s">
        <v>3828</v>
      </c>
      <c r="BN457" s="6" t="s">
        <v>3829</v>
      </c>
      <c r="BO457" s="6" t="s">
        <v>3820</v>
      </c>
      <c r="BP457" s="6" t="s">
        <v>3821</v>
      </c>
      <c r="BQ457" s="6" t="s">
        <v>3830</v>
      </c>
      <c r="BR457" t="s">
        <v>3823</v>
      </c>
      <c r="BS457" t="s">
        <v>3824</v>
      </c>
      <c r="BT457" t="s">
        <v>3825</v>
      </c>
      <c r="BU457" t="s">
        <v>3826</v>
      </c>
      <c r="BV457" t="s">
        <v>3827</v>
      </c>
      <c r="BW457" t="s">
        <v>3835</v>
      </c>
      <c r="BX457">
        <v>0</v>
      </c>
      <c r="BY457" t="s">
        <v>3865</v>
      </c>
      <c r="BZ457" t="s">
        <v>3863</v>
      </c>
    </row>
    <row r="458" spans="1:78" x14ac:dyDescent="0.25">
      <c r="A458" s="7" t="s">
        <v>1919</v>
      </c>
      <c r="B458" s="7" t="s">
        <v>181</v>
      </c>
      <c r="C458" s="7" t="s">
        <v>1917</v>
      </c>
      <c r="D458" s="8" t="s">
        <v>1918</v>
      </c>
      <c r="E458" s="7" t="s">
        <v>1920</v>
      </c>
      <c r="F458" s="9">
        <v>44896</v>
      </c>
      <c r="G458" s="9" t="s">
        <v>527</v>
      </c>
      <c r="H458" s="9" t="s">
        <v>72</v>
      </c>
      <c r="I458" s="8" t="s">
        <v>635</v>
      </c>
      <c r="J458" s="10">
        <v>796.25</v>
      </c>
      <c r="K458" s="10">
        <v>796.25</v>
      </c>
      <c r="L458" s="10">
        <f t="shared" si="205"/>
        <v>0</v>
      </c>
      <c r="M458" s="10">
        <v>120.56</v>
      </c>
      <c r="N458" s="10">
        <v>120.56</v>
      </c>
      <c r="O458" s="10">
        <f t="shared" si="206"/>
        <v>0</v>
      </c>
      <c r="P458" s="11">
        <v>11032</v>
      </c>
      <c r="Q458" s="11">
        <v>72861.894492368941</v>
      </c>
      <c r="R458" s="11">
        <v>20000</v>
      </c>
      <c r="S458" s="11">
        <v>8784230</v>
      </c>
      <c r="T458" s="11">
        <v>1054106</v>
      </c>
      <c r="U458" s="12">
        <f t="shared" si="207"/>
        <v>0.1199998178554068</v>
      </c>
      <c r="V458" s="13">
        <f t="shared" si="230"/>
        <v>0</v>
      </c>
      <c r="W458" s="10">
        <f t="shared" si="208"/>
        <v>0</v>
      </c>
      <c r="X458" s="10"/>
      <c r="Y458" s="10"/>
      <c r="Z458" s="11">
        <f t="shared" si="209"/>
        <v>8784230</v>
      </c>
      <c r="AA458" s="14">
        <v>1537312</v>
      </c>
      <c r="AB458" s="14">
        <v>184478</v>
      </c>
      <c r="AC458" s="11">
        <f t="shared" si="210"/>
        <v>7246918</v>
      </c>
      <c r="AD458" s="10">
        <f t="shared" si="211"/>
        <v>300</v>
      </c>
      <c r="AE458" s="15">
        <v>36168</v>
      </c>
      <c r="AF458" s="16">
        <v>6510</v>
      </c>
      <c r="AG458" s="15">
        <f t="shared" si="212"/>
        <v>0</v>
      </c>
      <c r="AH458" s="15">
        <f t="shared" si="213"/>
        <v>0</v>
      </c>
      <c r="AI458" s="15">
        <f t="shared" si="214"/>
        <v>36168</v>
      </c>
      <c r="AJ458" s="15">
        <f t="shared" si="215"/>
        <v>6511</v>
      </c>
      <c r="AK458" s="10">
        <v>36168</v>
      </c>
      <c r="AL458" s="15">
        <f t="shared" si="216"/>
        <v>36168</v>
      </c>
      <c r="AM458" s="15">
        <f t="shared" si="217"/>
        <v>7283086</v>
      </c>
      <c r="AN458" s="15">
        <f t="shared" si="218"/>
        <v>876139</v>
      </c>
      <c r="AO458" s="15">
        <f t="shared" si="223"/>
        <v>912307</v>
      </c>
      <c r="AP458" s="17">
        <f t="shared" si="219"/>
        <v>8195393</v>
      </c>
      <c r="AQ458" s="15">
        <v>5410924</v>
      </c>
      <c r="AR458" s="15">
        <v>0</v>
      </c>
      <c r="AS458" s="18">
        <f t="shared" si="224"/>
        <v>2784469</v>
      </c>
      <c r="AT458" s="19">
        <v>0</v>
      </c>
      <c r="AU458" s="8">
        <v>8800</v>
      </c>
      <c r="AV458" s="13">
        <f t="shared" si="225"/>
        <v>1060928</v>
      </c>
      <c r="AW458" s="18">
        <f t="shared" si="226"/>
        <v>7283086</v>
      </c>
      <c r="AX458" s="15">
        <f t="shared" si="220"/>
        <v>7284000</v>
      </c>
      <c r="AY458" s="20">
        <v>0.05</v>
      </c>
      <c r="AZ458" s="13">
        <f t="shared" si="221"/>
        <v>364200</v>
      </c>
      <c r="BA458" s="15">
        <f t="shared" si="222"/>
        <v>364200</v>
      </c>
      <c r="BB458" s="21">
        <f t="shared" si="227"/>
        <v>3148669</v>
      </c>
      <c r="BC458" s="10">
        <f t="shared" si="228"/>
        <v>0</v>
      </c>
      <c r="BD458" s="10">
        <f t="shared" si="229"/>
        <v>0</v>
      </c>
      <c r="BE458" s="10">
        <v>73.97</v>
      </c>
      <c r="BF458" s="10">
        <v>11.2</v>
      </c>
      <c r="BG458" s="107">
        <v>46176</v>
      </c>
      <c r="BH458" s="107">
        <f t="shared" si="203"/>
        <v>46206</v>
      </c>
      <c r="BI458" s="23">
        <v>5</v>
      </c>
      <c r="BJ458" s="6"/>
      <c r="BK458" s="6"/>
      <c r="BL458" s="6">
        <f>VLOOKUP(A458,[2]Sheet1!$D$2:$H$933,5,0)</f>
        <v>0</v>
      </c>
      <c r="BM458" s="6" t="s">
        <v>3828</v>
      </c>
      <c r="BN458" s="6" t="s">
        <v>3829</v>
      </c>
      <c r="BO458" s="6" t="s">
        <v>3820</v>
      </c>
      <c r="BP458" s="6" t="s">
        <v>3821</v>
      </c>
      <c r="BQ458" s="6" t="s">
        <v>3830</v>
      </c>
      <c r="BR458" t="s">
        <v>3823</v>
      </c>
      <c r="BS458" t="s">
        <v>3824</v>
      </c>
      <c r="BT458" t="s">
        <v>3825</v>
      </c>
      <c r="BU458" t="s">
        <v>3826</v>
      </c>
      <c r="BV458" t="s">
        <v>3827</v>
      </c>
      <c r="BW458" t="s">
        <v>3835</v>
      </c>
      <c r="BX458">
        <v>0</v>
      </c>
      <c r="BY458" t="s">
        <v>3869</v>
      </c>
      <c r="BZ458" t="s">
        <v>3871</v>
      </c>
    </row>
    <row r="459" spans="1:78" x14ac:dyDescent="0.25">
      <c r="A459" s="7" t="s">
        <v>1923</v>
      </c>
      <c r="B459" s="7" t="s">
        <v>181</v>
      </c>
      <c r="C459" s="7" t="s">
        <v>1921</v>
      </c>
      <c r="D459" s="8" t="s">
        <v>1922</v>
      </c>
      <c r="E459" s="7" t="s">
        <v>1924</v>
      </c>
      <c r="F459" s="9">
        <v>45008</v>
      </c>
      <c r="G459" s="9" t="s">
        <v>527</v>
      </c>
      <c r="H459" s="9" t="s">
        <v>87</v>
      </c>
      <c r="I459" s="8" t="s">
        <v>67</v>
      </c>
      <c r="J459" s="10">
        <v>281.06</v>
      </c>
      <c r="K459" s="10">
        <v>281.06</v>
      </c>
      <c r="L459" s="10">
        <f t="shared" si="205"/>
        <v>0</v>
      </c>
      <c r="M459" s="10">
        <v>114.1</v>
      </c>
      <c r="N459" s="10">
        <v>114.1</v>
      </c>
      <c r="O459" s="10">
        <f t="shared" si="206"/>
        <v>0</v>
      </c>
      <c r="P459" s="11">
        <v>26368.942574539244</v>
      </c>
      <c r="Q459" s="11">
        <v>64954.031551270818</v>
      </c>
      <c r="R459" s="11">
        <v>40000</v>
      </c>
      <c r="S459" s="11">
        <v>7411255</v>
      </c>
      <c r="T459" s="11">
        <v>889352</v>
      </c>
      <c r="U459" s="12">
        <f t="shared" si="207"/>
        <v>0.12000018890187965</v>
      </c>
      <c r="V459" s="13">
        <f t="shared" si="230"/>
        <v>0</v>
      </c>
      <c r="W459" s="10">
        <f t="shared" si="208"/>
        <v>0</v>
      </c>
      <c r="X459" s="10"/>
      <c r="Y459" s="10"/>
      <c r="Z459" s="11">
        <f t="shared" si="209"/>
        <v>7411255</v>
      </c>
      <c r="AA459" s="14">
        <v>1490070</v>
      </c>
      <c r="AB459" s="14">
        <v>178808</v>
      </c>
      <c r="AC459" s="11">
        <f t="shared" si="210"/>
        <v>5921185</v>
      </c>
      <c r="AD459" s="10">
        <f t="shared" si="211"/>
        <v>300</v>
      </c>
      <c r="AE459" s="15">
        <v>34230</v>
      </c>
      <c r="AF459" s="16">
        <v>6162</v>
      </c>
      <c r="AG459" s="15">
        <f t="shared" si="212"/>
        <v>0</v>
      </c>
      <c r="AH459" s="15">
        <f t="shared" si="213"/>
        <v>0</v>
      </c>
      <c r="AI459" s="15">
        <f t="shared" si="214"/>
        <v>34230</v>
      </c>
      <c r="AJ459" s="15">
        <f t="shared" si="215"/>
        <v>6162</v>
      </c>
      <c r="AK459" s="10">
        <v>34230</v>
      </c>
      <c r="AL459" s="15">
        <f t="shared" si="216"/>
        <v>34230</v>
      </c>
      <c r="AM459" s="15">
        <f t="shared" si="217"/>
        <v>5955415</v>
      </c>
      <c r="AN459" s="15">
        <f t="shared" si="218"/>
        <v>716706</v>
      </c>
      <c r="AO459" s="15">
        <f t="shared" si="223"/>
        <v>756668</v>
      </c>
      <c r="AP459" s="17">
        <f t="shared" si="219"/>
        <v>6712083</v>
      </c>
      <c r="AQ459" s="15">
        <v>5807371</v>
      </c>
      <c r="AR459" s="15">
        <v>5732</v>
      </c>
      <c r="AS459" s="18">
        <f t="shared" si="224"/>
        <v>904712</v>
      </c>
      <c r="AT459" s="19">
        <v>0</v>
      </c>
      <c r="AU459" s="8">
        <v>8800</v>
      </c>
      <c r="AV459" s="13">
        <f t="shared" si="225"/>
        <v>1004080</v>
      </c>
      <c r="AW459" s="18">
        <f t="shared" si="226"/>
        <v>5955415</v>
      </c>
      <c r="AX459" s="15">
        <f t="shared" si="220"/>
        <v>5956000</v>
      </c>
      <c r="AY459" s="20">
        <v>7.0000000000000007E-2</v>
      </c>
      <c r="AZ459" s="13">
        <f t="shared" si="221"/>
        <v>416920.00000000006</v>
      </c>
      <c r="BA459" s="15">
        <f t="shared" si="222"/>
        <v>417000</v>
      </c>
      <c r="BB459" s="21">
        <f t="shared" si="227"/>
        <v>1321712</v>
      </c>
      <c r="BC459" s="10">
        <f t="shared" si="228"/>
        <v>0</v>
      </c>
      <c r="BD459" s="10">
        <f t="shared" si="229"/>
        <v>0</v>
      </c>
      <c r="BE459" s="10">
        <v>26.11</v>
      </c>
      <c r="BF459" s="10">
        <v>10.6</v>
      </c>
      <c r="BG459" s="107">
        <v>46176</v>
      </c>
      <c r="BH459" s="107">
        <f t="shared" si="203"/>
        <v>46206</v>
      </c>
      <c r="BI459" s="23">
        <v>7</v>
      </c>
      <c r="BJ459" s="6"/>
      <c r="BK459" s="6"/>
      <c r="BL459" s="6">
        <f>VLOOKUP(A459,[2]Sheet1!$D$2:$H$933,5,0)</f>
        <v>0</v>
      </c>
      <c r="BM459" s="6" t="s">
        <v>3828</v>
      </c>
      <c r="BN459" s="6" t="s">
        <v>3829</v>
      </c>
      <c r="BO459" s="6" t="s">
        <v>3820</v>
      </c>
      <c r="BP459" s="6" t="s">
        <v>3821</v>
      </c>
      <c r="BQ459" s="6" t="s">
        <v>3830</v>
      </c>
      <c r="BR459" t="s">
        <v>3823</v>
      </c>
      <c r="BS459" t="s">
        <v>3824</v>
      </c>
      <c r="BT459" t="s">
        <v>3825</v>
      </c>
      <c r="BU459" t="s">
        <v>3826</v>
      </c>
      <c r="BV459" t="s">
        <v>3827</v>
      </c>
      <c r="BW459" t="s">
        <v>3835</v>
      </c>
      <c r="BX459">
        <v>0</v>
      </c>
      <c r="BY459" t="s">
        <v>3866</v>
      </c>
      <c r="BZ459" t="s">
        <v>3871</v>
      </c>
    </row>
    <row r="460" spans="1:78" x14ac:dyDescent="0.25">
      <c r="A460" s="48" t="s">
        <v>1927</v>
      </c>
      <c r="B460" s="48" t="s">
        <v>181</v>
      </c>
      <c r="C460" s="48" t="s">
        <v>1925</v>
      </c>
      <c r="D460" s="49" t="s">
        <v>1926</v>
      </c>
      <c r="E460" s="48" t="s">
        <v>1928</v>
      </c>
      <c r="F460" s="50">
        <v>44910</v>
      </c>
      <c r="G460" s="50" t="s">
        <v>65</v>
      </c>
      <c r="H460" s="50" t="s">
        <v>72</v>
      </c>
      <c r="I460" s="49" t="s">
        <v>78</v>
      </c>
      <c r="J460" s="51">
        <v>614.41</v>
      </c>
      <c r="K460" s="51">
        <v>614.41</v>
      </c>
      <c r="L460" s="51">
        <f t="shared" si="205"/>
        <v>0</v>
      </c>
      <c r="M460" s="51">
        <v>277.70999999999998</v>
      </c>
      <c r="N460" s="51">
        <v>277.70999999999998</v>
      </c>
      <c r="O460" s="51">
        <f t="shared" si="206"/>
        <v>0</v>
      </c>
      <c r="P460" s="52">
        <v>6500</v>
      </c>
      <c r="Q460" s="52">
        <v>14380.702891505529</v>
      </c>
      <c r="R460" s="52">
        <v>20000</v>
      </c>
      <c r="S460" s="52">
        <v>3993665</v>
      </c>
      <c r="T460" s="52">
        <v>479240</v>
      </c>
      <c r="U460" s="53">
        <f t="shared" si="207"/>
        <v>0.12000005007931311</v>
      </c>
      <c r="V460" s="54">
        <f t="shared" si="230"/>
        <v>0</v>
      </c>
      <c r="W460" s="51">
        <f t="shared" si="208"/>
        <v>0</v>
      </c>
      <c r="X460" s="51"/>
      <c r="Y460" s="51"/>
      <c r="Z460" s="52">
        <f t="shared" si="209"/>
        <v>3993665</v>
      </c>
      <c r="AA460" s="56">
        <v>976130</v>
      </c>
      <c r="AB460" s="56">
        <v>117136</v>
      </c>
      <c r="AC460" s="52">
        <f t="shared" si="210"/>
        <v>3017535</v>
      </c>
      <c r="AD460" s="51">
        <f t="shared" si="211"/>
        <v>300</v>
      </c>
      <c r="AE460" s="55">
        <v>83313</v>
      </c>
      <c r="AF460" s="57">
        <v>14996</v>
      </c>
      <c r="AG460" s="55">
        <f t="shared" si="212"/>
        <v>0</v>
      </c>
      <c r="AH460" s="55">
        <f t="shared" si="213"/>
        <v>0</v>
      </c>
      <c r="AI460" s="55">
        <f t="shared" si="214"/>
        <v>83313</v>
      </c>
      <c r="AJ460" s="55">
        <f t="shared" si="215"/>
        <v>14997</v>
      </c>
      <c r="AK460" s="51">
        <v>83313</v>
      </c>
      <c r="AL460" s="55">
        <f t="shared" si="216"/>
        <v>83313</v>
      </c>
      <c r="AM460" s="15">
        <f t="shared" si="217"/>
        <v>3100848</v>
      </c>
      <c r="AN460" s="15">
        <f t="shared" si="218"/>
        <v>377101</v>
      </c>
      <c r="AO460" s="55">
        <f t="shared" si="223"/>
        <v>462523</v>
      </c>
      <c r="AP460" s="58">
        <f t="shared" si="219"/>
        <v>3563371</v>
      </c>
      <c r="AQ460" s="55">
        <v>2932344</v>
      </c>
      <c r="AR460" s="15">
        <v>2109</v>
      </c>
      <c r="AS460" s="18">
        <f t="shared" si="224"/>
        <v>631027</v>
      </c>
      <c r="AT460" s="60">
        <v>0</v>
      </c>
      <c r="AU460" s="49">
        <v>8800</v>
      </c>
      <c r="AV460" s="54">
        <f t="shared" si="225"/>
        <v>2443848</v>
      </c>
      <c r="AW460" s="59">
        <f t="shared" si="226"/>
        <v>3100848</v>
      </c>
      <c r="AX460" s="55">
        <f t="shared" si="220"/>
        <v>3101000</v>
      </c>
      <c r="AY460" s="61">
        <v>0.06</v>
      </c>
      <c r="AZ460" s="54">
        <f t="shared" si="221"/>
        <v>186060</v>
      </c>
      <c r="BA460" s="55">
        <f t="shared" si="222"/>
        <v>186100</v>
      </c>
      <c r="BB460" s="62">
        <f t="shared" si="227"/>
        <v>817127</v>
      </c>
      <c r="BC460" s="51">
        <f t="shared" si="228"/>
        <v>0</v>
      </c>
      <c r="BD460" s="51">
        <f t="shared" si="229"/>
        <v>0</v>
      </c>
      <c r="BE460" s="51">
        <v>57.08</v>
      </c>
      <c r="BF460" s="51">
        <v>25.8</v>
      </c>
      <c r="BG460" s="107">
        <v>46176</v>
      </c>
      <c r="BH460" s="109">
        <f t="shared" si="203"/>
        <v>46206</v>
      </c>
      <c r="BI460" s="63">
        <v>6</v>
      </c>
      <c r="BJ460" s="24" t="s">
        <v>350</v>
      </c>
      <c r="BK460" s="6"/>
      <c r="BL460" s="6">
        <f>VLOOKUP(A460,[2]Sheet1!$D$2:$H$933,5,0)</f>
        <v>0</v>
      </c>
      <c r="BM460" s="6" t="s">
        <v>3828</v>
      </c>
      <c r="BN460" s="6" t="s">
        <v>3829</v>
      </c>
      <c r="BO460" s="6" t="s">
        <v>3820</v>
      </c>
      <c r="BP460" s="6" t="s">
        <v>3821</v>
      </c>
      <c r="BQ460" s="6" t="s">
        <v>3830</v>
      </c>
      <c r="BR460" t="s">
        <v>3823</v>
      </c>
      <c r="BS460" t="s">
        <v>3824</v>
      </c>
      <c r="BT460" t="s">
        <v>3825</v>
      </c>
      <c r="BU460" t="s">
        <v>3826</v>
      </c>
      <c r="BV460" t="s">
        <v>3827</v>
      </c>
      <c r="BW460" t="s">
        <v>3835</v>
      </c>
      <c r="BX460">
        <v>0</v>
      </c>
      <c r="BY460" t="s">
        <v>3859</v>
      </c>
      <c r="BZ460" t="s">
        <v>3860</v>
      </c>
    </row>
    <row r="461" spans="1:78" x14ac:dyDescent="0.25">
      <c r="A461" s="7" t="s">
        <v>1931</v>
      </c>
      <c r="B461" s="7" t="s">
        <v>181</v>
      </c>
      <c r="C461" s="7" t="s">
        <v>1929</v>
      </c>
      <c r="D461" s="8" t="s">
        <v>1930</v>
      </c>
      <c r="E461" s="7" t="s">
        <v>1932</v>
      </c>
      <c r="F461" s="9">
        <v>44999</v>
      </c>
      <c r="G461" s="9" t="s">
        <v>65</v>
      </c>
      <c r="H461" s="9" t="s">
        <v>72</v>
      </c>
      <c r="I461" s="8" t="s">
        <v>78</v>
      </c>
      <c r="J461" s="10">
        <v>516.66999999999996</v>
      </c>
      <c r="K461" s="10">
        <v>516.66999999999996</v>
      </c>
      <c r="L461" s="10">
        <f t="shared" si="205"/>
        <v>0</v>
      </c>
      <c r="M461" s="10">
        <v>238.96</v>
      </c>
      <c r="N461" s="10">
        <v>238.96</v>
      </c>
      <c r="O461" s="10">
        <f t="shared" si="206"/>
        <v>0</v>
      </c>
      <c r="P461" s="11">
        <v>8713.9992645208749</v>
      </c>
      <c r="Q461" s="11">
        <v>18841.069635085369</v>
      </c>
      <c r="R461" s="11">
        <v>20000</v>
      </c>
      <c r="S461" s="11">
        <v>4502262</v>
      </c>
      <c r="T461" s="11">
        <v>540274</v>
      </c>
      <c r="U461" s="12">
        <f t="shared" si="207"/>
        <v>0.12000056860307108</v>
      </c>
      <c r="V461" s="13">
        <f t="shared" si="230"/>
        <v>0</v>
      </c>
      <c r="W461" s="10">
        <f t="shared" si="208"/>
        <v>0</v>
      </c>
      <c r="X461" s="10"/>
      <c r="Y461" s="10"/>
      <c r="Z461" s="11">
        <f t="shared" si="209"/>
        <v>4502262</v>
      </c>
      <c r="AA461" s="14"/>
      <c r="AB461" s="14"/>
      <c r="AC461" s="11">
        <f t="shared" si="210"/>
        <v>4502262</v>
      </c>
      <c r="AD461" s="10">
        <f t="shared" si="211"/>
        <v>300</v>
      </c>
      <c r="AE461" s="15">
        <v>71688</v>
      </c>
      <c r="AF461" s="16">
        <v>12904</v>
      </c>
      <c r="AG461" s="15">
        <f t="shared" si="212"/>
        <v>0</v>
      </c>
      <c r="AH461" s="15">
        <f t="shared" si="213"/>
        <v>0</v>
      </c>
      <c r="AI461" s="15">
        <f t="shared" si="214"/>
        <v>71688</v>
      </c>
      <c r="AJ461" s="15">
        <f t="shared" si="215"/>
        <v>12904</v>
      </c>
      <c r="AK461" s="10">
        <v>71688</v>
      </c>
      <c r="AL461" s="15">
        <f t="shared" si="216"/>
        <v>71688</v>
      </c>
      <c r="AM461" s="15">
        <f t="shared" si="217"/>
        <v>4573950</v>
      </c>
      <c r="AN461" s="15">
        <f t="shared" si="218"/>
        <v>553178</v>
      </c>
      <c r="AO461" s="15">
        <f t="shared" si="223"/>
        <v>633053</v>
      </c>
      <c r="AP461" s="17">
        <f t="shared" si="219"/>
        <v>5207003</v>
      </c>
      <c r="AQ461" s="15">
        <v>3087051</v>
      </c>
      <c r="AR461" s="15">
        <v>8187</v>
      </c>
      <c r="AS461" s="18">
        <f t="shared" si="224"/>
        <v>2119952</v>
      </c>
      <c r="AT461" s="19">
        <v>0</v>
      </c>
      <c r="AU461" s="8">
        <v>8800</v>
      </c>
      <c r="AV461" s="13">
        <f t="shared" si="225"/>
        <v>2102848</v>
      </c>
      <c r="AW461" s="18">
        <f t="shared" si="226"/>
        <v>4573950</v>
      </c>
      <c r="AX461" s="15">
        <f t="shared" si="220"/>
        <v>4574000</v>
      </c>
      <c r="AY461" s="20">
        <v>7.0000000000000007E-2</v>
      </c>
      <c r="AZ461" s="13">
        <f t="shared" si="221"/>
        <v>320180.00000000006</v>
      </c>
      <c r="BA461" s="15">
        <f t="shared" si="222"/>
        <v>320200</v>
      </c>
      <c r="BB461" s="21">
        <f t="shared" si="227"/>
        <v>2440152</v>
      </c>
      <c r="BC461" s="10">
        <f t="shared" si="228"/>
        <v>0</v>
      </c>
      <c r="BD461" s="10">
        <f t="shared" si="229"/>
        <v>0</v>
      </c>
      <c r="BE461" s="10">
        <v>48</v>
      </c>
      <c r="BF461" s="10">
        <v>22.2</v>
      </c>
      <c r="BG461" s="107">
        <v>46176</v>
      </c>
      <c r="BH461" s="107">
        <f t="shared" si="203"/>
        <v>46206</v>
      </c>
      <c r="BI461" s="23">
        <v>7</v>
      </c>
      <c r="BJ461" s="6"/>
      <c r="BK461" s="6"/>
      <c r="BL461" s="6">
        <f>VLOOKUP(A461,[2]Sheet1!$D$2:$H$933,5,0)</f>
        <v>0</v>
      </c>
      <c r="BM461" s="6" t="s">
        <v>3828</v>
      </c>
      <c r="BN461" s="6" t="s">
        <v>3829</v>
      </c>
      <c r="BO461" s="6" t="s">
        <v>3820</v>
      </c>
      <c r="BP461" s="6" t="s">
        <v>3821</v>
      </c>
      <c r="BQ461" s="6" t="s">
        <v>3830</v>
      </c>
      <c r="BR461" t="s">
        <v>3823</v>
      </c>
      <c r="BS461" t="s">
        <v>3824</v>
      </c>
      <c r="BT461" t="s">
        <v>3825</v>
      </c>
      <c r="BU461" t="s">
        <v>3826</v>
      </c>
      <c r="BV461" t="s">
        <v>3827</v>
      </c>
      <c r="BW461" t="s">
        <v>3835</v>
      </c>
      <c r="BX461">
        <v>0</v>
      </c>
      <c r="BY461" t="s">
        <v>3868</v>
      </c>
      <c r="BZ461" t="s">
        <v>3860</v>
      </c>
    </row>
    <row r="462" spans="1:78" x14ac:dyDescent="0.25">
      <c r="A462" s="7" t="s">
        <v>1935</v>
      </c>
      <c r="B462" s="7" t="s">
        <v>181</v>
      </c>
      <c r="C462" s="7" t="s">
        <v>1933</v>
      </c>
      <c r="D462" s="8" t="s">
        <v>1934</v>
      </c>
      <c r="E462" s="7" t="s">
        <v>1936</v>
      </c>
      <c r="F462" s="9">
        <v>45030</v>
      </c>
      <c r="G462" s="9" t="s">
        <v>65</v>
      </c>
      <c r="H462" s="9" t="s">
        <v>72</v>
      </c>
      <c r="I462" s="8" t="s">
        <v>78</v>
      </c>
      <c r="J462" s="10">
        <v>937.76</v>
      </c>
      <c r="K462" s="10">
        <v>937.76</v>
      </c>
      <c r="L462" s="10">
        <f t="shared" si="205"/>
        <v>0</v>
      </c>
      <c r="M462" s="10">
        <v>430.56</v>
      </c>
      <c r="N462" s="10">
        <v>430.56</v>
      </c>
      <c r="O462" s="10">
        <f t="shared" si="206"/>
        <v>0</v>
      </c>
      <c r="P462" s="11">
        <v>6734.000170619348</v>
      </c>
      <c r="Q462" s="11">
        <v>14666.657376439985</v>
      </c>
      <c r="R462" s="11">
        <v>20000</v>
      </c>
      <c r="S462" s="11">
        <v>6314876</v>
      </c>
      <c r="T462" s="11">
        <v>757784</v>
      </c>
      <c r="U462" s="12">
        <f t="shared" si="207"/>
        <v>0.11999982264101465</v>
      </c>
      <c r="V462" s="13">
        <f t="shared" si="230"/>
        <v>0</v>
      </c>
      <c r="W462" s="10">
        <f t="shared" si="208"/>
        <v>0</v>
      </c>
      <c r="X462" s="10"/>
      <c r="Y462" s="10"/>
      <c r="Z462" s="11">
        <f t="shared" si="209"/>
        <v>6314876</v>
      </c>
      <c r="AA462" s="14"/>
      <c r="AB462" s="14"/>
      <c r="AC462" s="11">
        <f t="shared" si="210"/>
        <v>6314876</v>
      </c>
      <c r="AD462" s="10">
        <f t="shared" si="211"/>
        <v>300</v>
      </c>
      <c r="AE462" s="15">
        <v>129168</v>
      </c>
      <c r="AF462" s="16">
        <v>23250</v>
      </c>
      <c r="AG462" s="15">
        <f t="shared" si="212"/>
        <v>0</v>
      </c>
      <c r="AH462" s="15">
        <f t="shared" si="213"/>
        <v>0</v>
      </c>
      <c r="AI462" s="15">
        <f t="shared" si="214"/>
        <v>129168</v>
      </c>
      <c r="AJ462" s="15">
        <f t="shared" si="215"/>
        <v>23251</v>
      </c>
      <c r="AK462" s="10">
        <v>129168</v>
      </c>
      <c r="AL462" s="15">
        <f t="shared" si="216"/>
        <v>129168</v>
      </c>
      <c r="AM462" s="15">
        <f t="shared" si="217"/>
        <v>6444044</v>
      </c>
      <c r="AN462" s="15">
        <f t="shared" si="218"/>
        <v>781035</v>
      </c>
      <c r="AO462" s="15">
        <f t="shared" si="223"/>
        <v>916079.92</v>
      </c>
      <c r="AP462" s="17">
        <f t="shared" si="219"/>
        <v>7360123.9199999999</v>
      </c>
      <c r="AQ462" s="15">
        <v>6315930</v>
      </c>
      <c r="AR462" s="15">
        <v>5876.92</v>
      </c>
      <c r="AS462" s="18">
        <f t="shared" si="224"/>
        <v>1044194</v>
      </c>
      <c r="AT462" s="19">
        <v>0</v>
      </c>
      <c r="AU462" s="8">
        <v>8800</v>
      </c>
      <c r="AV462" s="13">
        <f t="shared" si="225"/>
        <v>3788928</v>
      </c>
      <c r="AW462" s="18">
        <f t="shared" si="226"/>
        <v>6444044</v>
      </c>
      <c r="AX462" s="15">
        <f t="shared" si="220"/>
        <v>6445000</v>
      </c>
      <c r="AY462" s="20">
        <v>0.05</v>
      </c>
      <c r="AZ462" s="13">
        <f t="shared" si="221"/>
        <v>322250</v>
      </c>
      <c r="BA462" s="15">
        <f t="shared" si="222"/>
        <v>322300</v>
      </c>
      <c r="BB462" s="21">
        <f t="shared" si="227"/>
        <v>1366494</v>
      </c>
      <c r="BC462" s="10">
        <f t="shared" si="228"/>
        <v>0</v>
      </c>
      <c r="BD462" s="10">
        <f t="shared" si="229"/>
        <v>0</v>
      </c>
      <c r="BE462" s="10">
        <v>87.12</v>
      </c>
      <c r="BF462" s="10">
        <v>40</v>
      </c>
      <c r="BG462" s="107">
        <v>46176</v>
      </c>
      <c r="BH462" s="107">
        <f t="shared" si="203"/>
        <v>46206</v>
      </c>
      <c r="BI462" s="23">
        <v>5</v>
      </c>
      <c r="BJ462" s="6"/>
      <c r="BK462" s="6"/>
      <c r="BL462" s="6">
        <f>VLOOKUP(A462,[2]Sheet1!$D$2:$H$933,5,0)</f>
        <v>0</v>
      </c>
      <c r="BM462" s="6" t="s">
        <v>3828</v>
      </c>
      <c r="BN462" s="6" t="s">
        <v>3829</v>
      </c>
      <c r="BO462" s="6" t="s">
        <v>3820</v>
      </c>
      <c r="BP462" s="6" t="s">
        <v>3821</v>
      </c>
      <c r="BQ462" s="6" t="s">
        <v>3830</v>
      </c>
      <c r="BR462" t="s">
        <v>3823</v>
      </c>
      <c r="BS462" t="s">
        <v>3824</v>
      </c>
      <c r="BT462" t="s">
        <v>3825</v>
      </c>
      <c r="BU462" t="s">
        <v>3826</v>
      </c>
      <c r="BV462" t="s">
        <v>3827</v>
      </c>
      <c r="BW462" t="s">
        <v>3835</v>
      </c>
      <c r="BX462">
        <v>0</v>
      </c>
      <c r="BY462" t="s">
        <v>3867</v>
      </c>
      <c r="BZ462" t="s">
        <v>3860</v>
      </c>
    </row>
    <row r="463" spans="1:78" x14ac:dyDescent="0.25">
      <c r="A463" s="7" t="s">
        <v>1939</v>
      </c>
      <c r="B463" s="7" t="s">
        <v>181</v>
      </c>
      <c r="C463" s="7" t="s">
        <v>1937</v>
      </c>
      <c r="D463" s="8" t="s">
        <v>1938</v>
      </c>
      <c r="E463" s="7" t="s">
        <v>1916</v>
      </c>
      <c r="F463" s="9">
        <v>44866</v>
      </c>
      <c r="G463" s="9" t="s">
        <v>404</v>
      </c>
      <c r="H463" s="9" t="s">
        <v>87</v>
      </c>
      <c r="I463" s="8" t="s">
        <v>78</v>
      </c>
      <c r="J463" s="10">
        <v>231.64</v>
      </c>
      <c r="K463" s="10">
        <v>231.64</v>
      </c>
      <c r="L463" s="10">
        <f t="shared" si="205"/>
        <v>0</v>
      </c>
      <c r="M463" s="10">
        <v>98.38</v>
      </c>
      <c r="N463" s="10">
        <v>98.38</v>
      </c>
      <c r="O463" s="10">
        <f t="shared" si="206"/>
        <v>0</v>
      </c>
      <c r="P463" s="11">
        <v>25177.003108271456</v>
      </c>
      <c r="Q463" s="11">
        <v>59280.351697499493</v>
      </c>
      <c r="R463" s="11">
        <v>40000</v>
      </c>
      <c r="S463" s="11">
        <v>5832001</v>
      </c>
      <c r="T463" s="11">
        <v>699840</v>
      </c>
      <c r="U463" s="12">
        <f t="shared" si="207"/>
        <v>0.11999997942387185</v>
      </c>
      <c r="V463" s="13">
        <f t="shared" si="230"/>
        <v>0</v>
      </c>
      <c r="W463" s="10">
        <f t="shared" si="208"/>
        <v>0</v>
      </c>
      <c r="X463" s="10"/>
      <c r="Y463" s="10"/>
      <c r="Z463" s="11">
        <f t="shared" si="209"/>
        <v>5832001</v>
      </c>
      <c r="AA463" s="14">
        <v>801958</v>
      </c>
      <c r="AB463" s="14">
        <v>96234</v>
      </c>
      <c r="AC463" s="11">
        <f t="shared" si="210"/>
        <v>5030043</v>
      </c>
      <c r="AD463" s="10">
        <f t="shared" si="211"/>
        <v>300</v>
      </c>
      <c r="AE463" s="15">
        <v>29514</v>
      </c>
      <c r="AF463" s="16">
        <v>5312</v>
      </c>
      <c r="AG463" s="15">
        <f t="shared" si="212"/>
        <v>0</v>
      </c>
      <c r="AH463" s="15">
        <f t="shared" si="213"/>
        <v>0</v>
      </c>
      <c r="AI463" s="15">
        <f t="shared" si="214"/>
        <v>29514</v>
      </c>
      <c r="AJ463" s="15">
        <f t="shared" si="215"/>
        <v>5313</v>
      </c>
      <c r="AK463" s="10">
        <v>29514</v>
      </c>
      <c r="AL463" s="15">
        <f t="shared" si="216"/>
        <v>29514</v>
      </c>
      <c r="AM463" s="15">
        <f t="shared" si="217"/>
        <v>5059557</v>
      </c>
      <c r="AN463" s="15">
        <f t="shared" si="218"/>
        <v>608919</v>
      </c>
      <c r="AO463" s="15">
        <f t="shared" si="223"/>
        <v>644362</v>
      </c>
      <c r="AP463" s="17">
        <f t="shared" si="219"/>
        <v>5703919</v>
      </c>
      <c r="AQ463" s="15">
        <v>4809377</v>
      </c>
      <c r="AR463" s="15">
        <v>5929</v>
      </c>
      <c r="AS463" s="18">
        <f t="shared" si="224"/>
        <v>894542</v>
      </c>
      <c r="AT463" s="19">
        <v>0</v>
      </c>
      <c r="AU463" s="8">
        <v>8800</v>
      </c>
      <c r="AV463" s="13">
        <f t="shared" si="225"/>
        <v>865744</v>
      </c>
      <c r="AW463" s="18">
        <f t="shared" si="226"/>
        <v>5059557</v>
      </c>
      <c r="AX463" s="15">
        <f t="shared" si="220"/>
        <v>5060000</v>
      </c>
      <c r="AY463" s="20">
        <v>0.06</v>
      </c>
      <c r="AZ463" s="13">
        <f t="shared" si="221"/>
        <v>303600</v>
      </c>
      <c r="BA463" s="15">
        <f t="shared" si="222"/>
        <v>303600</v>
      </c>
      <c r="BB463" s="21">
        <f t="shared" si="227"/>
        <v>1198142</v>
      </c>
      <c r="BC463" s="10">
        <f t="shared" si="228"/>
        <v>0</v>
      </c>
      <c r="BD463" s="10">
        <f t="shared" si="229"/>
        <v>0</v>
      </c>
      <c r="BE463" s="10">
        <v>21.52</v>
      </c>
      <c r="BF463" s="10">
        <v>9.14</v>
      </c>
      <c r="BG463" s="107">
        <v>46176</v>
      </c>
      <c r="BH463" s="107">
        <f t="shared" si="203"/>
        <v>46206</v>
      </c>
      <c r="BI463" s="23">
        <v>6</v>
      </c>
      <c r="BJ463" s="6"/>
      <c r="BK463" s="6"/>
      <c r="BL463" s="6">
        <f>VLOOKUP(A463,[2]Sheet1!$D$2:$H$933,5,0)</f>
        <v>0</v>
      </c>
      <c r="BM463" s="6" t="s">
        <v>3828</v>
      </c>
      <c r="BN463" s="6" t="s">
        <v>3829</v>
      </c>
      <c r="BO463" s="6" t="s">
        <v>3820</v>
      </c>
      <c r="BP463" s="6" t="s">
        <v>3821</v>
      </c>
      <c r="BQ463" s="6" t="s">
        <v>3830</v>
      </c>
      <c r="BR463" t="s">
        <v>3823</v>
      </c>
      <c r="BS463" t="s">
        <v>3824</v>
      </c>
      <c r="BT463" t="s">
        <v>3825</v>
      </c>
      <c r="BU463" t="s">
        <v>3826</v>
      </c>
      <c r="BV463" t="s">
        <v>3827</v>
      </c>
      <c r="BW463" t="s">
        <v>3835</v>
      </c>
      <c r="BX463">
        <v>0</v>
      </c>
      <c r="BY463" t="s">
        <v>3865</v>
      </c>
      <c r="BZ463" t="s">
        <v>3863</v>
      </c>
    </row>
    <row r="464" spans="1:78" x14ac:dyDescent="0.25">
      <c r="A464" s="7" t="s">
        <v>1942</v>
      </c>
      <c r="B464" s="7" t="s">
        <v>181</v>
      </c>
      <c r="C464" s="7" t="s">
        <v>1940</v>
      </c>
      <c r="D464" s="8" t="s">
        <v>1941</v>
      </c>
      <c r="E464" s="7" t="s">
        <v>1943</v>
      </c>
      <c r="F464" s="9">
        <v>44908</v>
      </c>
      <c r="G464" s="9" t="s">
        <v>404</v>
      </c>
      <c r="H464" s="9" t="s">
        <v>72</v>
      </c>
      <c r="I464" s="8" t="s">
        <v>78</v>
      </c>
      <c r="J464" s="10">
        <v>652.29999999999995</v>
      </c>
      <c r="K464" s="10">
        <v>652.29999999999995</v>
      </c>
      <c r="L464" s="10">
        <f t="shared" si="205"/>
        <v>0</v>
      </c>
      <c r="M464" s="10">
        <v>293.86</v>
      </c>
      <c r="N464" s="10">
        <v>293.86</v>
      </c>
      <c r="O464" s="10">
        <f t="shared" si="206"/>
        <v>0</v>
      </c>
      <c r="P464" s="11">
        <v>11196.999846696306</v>
      </c>
      <c r="Q464" s="11">
        <v>24854.702919757707</v>
      </c>
      <c r="R464" s="11">
        <v>20000</v>
      </c>
      <c r="S464" s="11">
        <v>7303803</v>
      </c>
      <c r="T464" s="11">
        <v>876458</v>
      </c>
      <c r="U464" s="12">
        <f t="shared" si="207"/>
        <v>0.12000022454055784</v>
      </c>
      <c r="V464" s="13">
        <f t="shared" si="230"/>
        <v>0</v>
      </c>
      <c r="W464" s="10">
        <f t="shared" si="208"/>
        <v>0</v>
      </c>
      <c r="X464" s="10"/>
      <c r="Y464" s="10"/>
      <c r="Z464" s="11">
        <f t="shared" si="209"/>
        <v>7303803</v>
      </c>
      <c r="AA464" s="14"/>
      <c r="AB464" s="14"/>
      <c r="AC464" s="11">
        <f t="shared" si="210"/>
        <v>7303803</v>
      </c>
      <c r="AD464" s="10">
        <f t="shared" si="211"/>
        <v>300</v>
      </c>
      <c r="AE464" s="15">
        <v>88158</v>
      </c>
      <c r="AF464" s="16">
        <v>15868</v>
      </c>
      <c r="AG464" s="15">
        <f t="shared" si="212"/>
        <v>0</v>
      </c>
      <c r="AH464" s="15">
        <f t="shared" si="213"/>
        <v>0</v>
      </c>
      <c r="AI464" s="15">
        <f t="shared" si="214"/>
        <v>88158</v>
      </c>
      <c r="AJ464" s="15">
        <f t="shared" si="215"/>
        <v>15869</v>
      </c>
      <c r="AK464" s="10">
        <v>88158</v>
      </c>
      <c r="AL464" s="15">
        <f t="shared" si="216"/>
        <v>88158</v>
      </c>
      <c r="AM464" s="15">
        <f t="shared" si="217"/>
        <v>7391961</v>
      </c>
      <c r="AN464" s="15">
        <f t="shared" si="218"/>
        <v>892327</v>
      </c>
      <c r="AO464" s="15">
        <f t="shared" si="223"/>
        <v>986479</v>
      </c>
      <c r="AP464" s="17">
        <f t="shared" si="219"/>
        <v>8378440</v>
      </c>
      <c r="AQ464" s="15">
        <v>7368269.29</v>
      </c>
      <c r="AR464" s="15">
        <v>5994</v>
      </c>
      <c r="AS464" s="18">
        <f t="shared" si="224"/>
        <v>1010171</v>
      </c>
      <c r="AT464" s="19">
        <v>0</v>
      </c>
      <c r="AU464" s="8">
        <v>8800</v>
      </c>
      <c r="AV464" s="13">
        <f t="shared" si="225"/>
        <v>2585968</v>
      </c>
      <c r="AW464" s="18">
        <f t="shared" si="226"/>
        <v>7391961</v>
      </c>
      <c r="AX464" s="15">
        <f t="shared" si="220"/>
        <v>7392000</v>
      </c>
      <c r="AY464" s="20">
        <v>0.06</v>
      </c>
      <c r="AZ464" s="13">
        <f t="shared" si="221"/>
        <v>443520</v>
      </c>
      <c r="BA464" s="15">
        <f t="shared" si="222"/>
        <v>443600</v>
      </c>
      <c r="BB464" s="21">
        <f t="shared" si="227"/>
        <v>1453771</v>
      </c>
      <c r="BC464" s="10">
        <f t="shared" si="228"/>
        <v>0</v>
      </c>
      <c r="BD464" s="10">
        <f t="shared" si="229"/>
        <v>0</v>
      </c>
      <c r="BE464" s="10">
        <v>60.6</v>
      </c>
      <c r="BF464" s="10">
        <v>27.3</v>
      </c>
      <c r="BG464" s="107">
        <v>46176</v>
      </c>
      <c r="BH464" s="107">
        <f t="shared" si="203"/>
        <v>46206</v>
      </c>
      <c r="BI464" s="23">
        <v>6</v>
      </c>
      <c r="BJ464" s="6"/>
      <c r="BK464" s="6"/>
      <c r="BL464" s="6">
        <f>VLOOKUP(A464,[2]Sheet1!$D$2:$H$933,5,0)</f>
        <v>0</v>
      </c>
      <c r="BM464" s="6" t="s">
        <v>3828</v>
      </c>
      <c r="BN464" s="6" t="s">
        <v>3829</v>
      </c>
      <c r="BO464" s="6" t="s">
        <v>3820</v>
      </c>
      <c r="BP464" s="6" t="s">
        <v>3821</v>
      </c>
      <c r="BQ464" s="6" t="s">
        <v>3830</v>
      </c>
      <c r="BR464" t="s">
        <v>3823</v>
      </c>
      <c r="BS464" t="s">
        <v>3824</v>
      </c>
      <c r="BT464" t="s">
        <v>3825</v>
      </c>
      <c r="BU464" t="s">
        <v>3826</v>
      </c>
      <c r="BV464" t="s">
        <v>3827</v>
      </c>
      <c r="BW464" t="s">
        <v>3835</v>
      </c>
      <c r="BX464">
        <v>0</v>
      </c>
      <c r="BY464" t="s">
        <v>3869</v>
      </c>
      <c r="BZ464" t="s">
        <v>3863</v>
      </c>
    </row>
    <row r="465" spans="1:78" x14ac:dyDescent="0.25">
      <c r="A465" s="48" t="s">
        <v>1946</v>
      </c>
      <c r="B465" s="48" t="s">
        <v>181</v>
      </c>
      <c r="C465" s="48" t="s">
        <v>1944</v>
      </c>
      <c r="D465" s="49" t="s">
        <v>1945</v>
      </c>
      <c r="E465" s="48" t="s">
        <v>1947</v>
      </c>
      <c r="F465" s="50">
        <v>44854</v>
      </c>
      <c r="G465" s="50" t="s">
        <v>65</v>
      </c>
      <c r="H465" s="50" t="s">
        <v>72</v>
      </c>
      <c r="I465" s="49" t="s">
        <v>78</v>
      </c>
      <c r="J465" s="51">
        <v>356.5</v>
      </c>
      <c r="K465" s="51">
        <v>356.5</v>
      </c>
      <c r="L465" s="51">
        <f t="shared" si="205"/>
        <v>0</v>
      </c>
      <c r="M465" s="51">
        <v>162.54</v>
      </c>
      <c r="N465" s="51">
        <v>162.54</v>
      </c>
      <c r="O465" s="51">
        <f t="shared" si="206"/>
        <v>0</v>
      </c>
      <c r="P465" s="52">
        <v>14150</v>
      </c>
      <c r="Q465" s="52">
        <v>31035.283622492927</v>
      </c>
      <c r="R465" s="52">
        <v>20000</v>
      </c>
      <c r="S465" s="52">
        <v>5044475</v>
      </c>
      <c r="T465" s="52">
        <v>605338</v>
      </c>
      <c r="U465" s="53">
        <f t="shared" si="207"/>
        <v>0.12000019823668469</v>
      </c>
      <c r="V465" s="54">
        <f t="shared" si="230"/>
        <v>0</v>
      </c>
      <c r="W465" s="51">
        <f t="shared" si="208"/>
        <v>0</v>
      </c>
      <c r="X465" s="51"/>
      <c r="Y465" s="51"/>
      <c r="Z465" s="52">
        <f t="shared" si="209"/>
        <v>5044475</v>
      </c>
      <c r="AA465" s="56">
        <v>1308300</v>
      </c>
      <c r="AB465" s="56">
        <v>156996</v>
      </c>
      <c r="AC465" s="52">
        <f t="shared" si="210"/>
        <v>3736175</v>
      </c>
      <c r="AD465" s="51">
        <f t="shared" si="211"/>
        <v>300</v>
      </c>
      <c r="AE465" s="55">
        <v>48762</v>
      </c>
      <c r="AF465" s="57">
        <v>8778</v>
      </c>
      <c r="AG465" s="55">
        <f t="shared" si="212"/>
        <v>0</v>
      </c>
      <c r="AH465" s="55">
        <f t="shared" si="213"/>
        <v>0</v>
      </c>
      <c r="AI465" s="55">
        <f t="shared" si="214"/>
        <v>48762</v>
      </c>
      <c r="AJ465" s="55">
        <f t="shared" si="215"/>
        <v>8778</v>
      </c>
      <c r="AK465" s="51">
        <v>48762</v>
      </c>
      <c r="AL465" s="55">
        <f t="shared" si="216"/>
        <v>48762</v>
      </c>
      <c r="AM465" s="15">
        <f t="shared" si="217"/>
        <v>3784937</v>
      </c>
      <c r="AN465" s="15">
        <f t="shared" si="218"/>
        <v>457120</v>
      </c>
      <c r="AO465" s="55">
        <f t="shared" si="223"/>
        <v>506108</v>
      </c>
      <c r="AP465" s="58">
        <f t="shared" si="219"/>
        <v>4291045</v>
      </c>
      <c r="AQ465" s="55">
        <v>3574135</v>
      </c>
      <c r="AR465" s="15">
        <v>226</v>
      </c>
      <c r="AS465" s="18">
        <f t="shared" si="224"/>
        <v>716910</v>
      </c>
      <c r="AT465" s="60">
        <v>0</v>
      </c>
      <c r="AU465" s="49">
        <v>8800</v>
      </c>
      <c r="AV465" s="54">
        <f t="shared" si="225"/>
        <v>1430352</v>
      </c>
      <c r="AW465" s="59">
        <f t="shared" si="226"/>
        <v>3784937</v>
      </c>
      <c r="AX465" s="55">
        <f t="shared" si="220"/>
        <v>3785000</v>
      </c>
      <c r="AY465" s="61">
        <v>0.05</v>
      </c>
      <c r="AZ465" s="54">
        <f t="shared" si="221"/>
        <v>189250</v>
      </c>
      <c r="BA465" s="55">
        <f t="shared" si="222"/>
        <v>189300</v>
      </c>
      <c r="BB465" s="62">
        <f t="shared" si="227"/>
        <v>906210</v>
      </c>
      <c r="BC465" s="51">
        <f t="shared" si="228"/>
        <v>0</v>
      </c>
      <c r="BD465" s="51">
        <f t="shared" si="229"/>
        <v>0</v>
      </c>
      <c r="BE465" s="51">
        <v>33.119999999999997</v>
      </c>
      <c r="BF465" s="51">
        <v>15.1</v>
      </c>
      <c r="BG465" s="107">
        <v>46176</v>
      </c>
      <c r="BH465" s="109">
        <f t="shared" si="203"/>
        <v>46206</v>
      </c>
      <c r="BI465" s="63">
        <v>5</v>
      </c>
      <c r="BJ465" s="24" t="s">
        <v>350</v>
      </c>
      <c r="BK465" s="6"/>
      <c r="BL465" s="6">
        <f>VLOOKUP(A465,[2]Sheet1!$D$2:$H$933,5,0)</f>
        <v>0</v>
      </c>
      <c r="BM465" s="6" t="s">
        <v>3828</v>
      </c>
      <c r="BN465" s="6" t="s">
        <v>3829</v>
      </c>
      <c r="BO465" s="6" t="s">
        <v>3820</v>
      </c>
      <c r="BP465" s="6" t="s">
        <v>3821</v>
      </c>
      <c r="BQ465" s="6" t="s">
        <v>3830</v>
      </c>
      <c r="BR465" t="s">
        <v>3823</v>
      </c>
      <c r="BS465" t="s">
        <v>3824</v>
      </c>
      <c r="BT465" t="s">
        <v>3825</v>
      </c>
      <c r="BU465" t="s">
        <v>3826</v>
      </c>
      <c r="BV465" t="s">
        <v>3827</v>
      </c>
      <c r="BW465" t="s">
        <v>3835</v>
      </c>
      <c r="BX465">
        <v>0</v>
      </c>
      <c r="BY465" t="s">
        <v>3859</v>
      </c>
      <c r="BZ465" t="s">
        <v>3860</v>
      </c>
    </row>
    <row r="466" spans="1:78" x14ac:dyDescent="0.25">
      <c r="A466" s="7" t="s">
        <v>1950</v>
      </c>
      <c r="B466" s="7" t="s">
        <v>181</v>
      </c>
      <c r="C466" s="7" t="s">
        <v>1948</v>
      </c>
      <c r="D466" s="8" t="s">
        <v>1949</v>
      </c>
      <c r="E466" s="7" t="s">
        <v>1951</v>
      </c>
      <c r="F466" s="9">
        <v>44937</v>
      </c>
      <c r="G466" s="9" t="s">
        <v>527</v>
      </c>
      <c r="H466" s="9" t="s">
        <v>72</v>
      </c>
      <c r="I466" s="8" t="s">
        <v>78</v>
      </c>
      <c r="J466" s="10">
        <v>800.2</v>
      </c>
      <c r="K466" s="10">
        <v>800.2</v>
      </c>
      <c r="L466" s="10">
        <f t="shared" si="205"/>
        <v>0</v>
      </c>
      <c r="M466" s="10">
        <v>357.9</v>
      </c>
      <c r="N466" s="10">
        <v>357.9</v>
      </c>
      <c r="O466" s="10">
        <f t="shared" si="206"/>
        <v>0</v>
      </c>
      <c r="P466" s="11">
        <v>10259.000249937515</v>
      </c>
      <c r="Q466" s="11">
        <v>22937.278569432805</v>
      </c>
      <c r="R466" s="11">
        <v>20000</v>
      </c>
      <c r="S466" s="11">
        <v>8209252</v>
      </c>
      <c r="T466" s="11">
        <v>985110</v>
      </c>
      <c r="U466" s="12">
        <f t="shared" si="207"/>
        <v>0.11999997076469331</v>
      </c>
      <c r="V466" s="13">
        <f t="shared" si="230"/>
        <v>0</v>
      </c>
      <c r="W466" s="10">
        <f t="shared" si="208"/>
        <v>0</v>
      </c>
      <c r="X466" s="10"/>
      <c r="Y466" s="10"/>
      <c r="Z466" s="11">
        <f t="shared" si="209"/>
        <v>8209252</v>
      </c>
      <c r="AA466" s="14"/>
      <c r="AB466" s="14"/>
      <c r="AC466" s="11">
        <f t="shared" si="210"/>
        <v>8209252</v>
      </c>
      <c r="AD466" s="10">
        <f t="shared" si="211"/>
        <v>300</v>
      </c>
      <c r="AE466" s="15">
        <v>107370</v>
      </c>
      <c r="AF466" s="16">
        <v>19326</v>
      </c>
      <c r="AG466" s="15">
        <f t="shared" si="212"/>
        <v>0</v>
      </c>
      <c r="AH466" s="15">
        <f t="shared" si="213"/>
        <v>0</v>
      </c>
      <c r="AI466" s="15">
        <f t="shared" si="214"/>
        <v>107370</v>
      </c>
      <c r="AJ466" s="15">
        <f t="shared" si="215"/>
        <v>19327</v>
      </c>
      <c r="AK466" s="10">
        <v>107370</v>
      </c>
      <c r="AL466" s="15">
        <f t="shared" si="216"/>
        <v>107370</v>
      </c>
      <c r="AM466" s="15">
        <f t="shared" si="217"/>
        <v>8316622</v>
      </c>
      <c r="AN466" s="15">
        <f t="shared" si="218"/>
        <v>1004437</v>
      </c>
      <c r="AO466" s="15">
        <f t="shared" si="223"/>
        <v>1120857</v>
      </c>
      <c r="AP466" s="17">
        <f t="shared" si="219"/>
        <v>9437479</v>
      </c>
      <c r="AQ466" s="15">
        <v>6454613.8399999999</v>
      </c>
      <c r="AR466" s="15">
        <v>9050</v>
      </c>
      <c r="AS466" s="18">
        <f t="shared" si="224"/>
        <v>2982865</v>
      </c>
      <c r="AT466" s="19">
        <v>0</v>
      </c>
      <c r="AU466" s="8">
        <v>8800</v>
      </c>
      <c r="AV466" s="13">
        <f t="shared" si="225"/>
        <v>3149520</v>
      </c>
      <c r="AW466" s="18">
        <f t="shared" si="226"/>
        <v>8316622</v>
      </c>
      <c r="AX466" s="15">
        <f t="shared" si="220"/>
        <v>8317000</v>
      </c>
      <c r="AY466" s="20">
        <v>7.0000000000000007E-2</v>
      </c>
      <c r="AZ466" s="13">
        <f t="shared" si="221"/>
        <v>582190</v>
      </c>
      <c r="BA466" s="15">
        <f t="shared" si="222"/>
        <v>582200</v>
      </c>
      <c r="BB466" s="21">
        <f t="shared" si="227"/>
        <v>3565065</v>
      </c>
      <c r="BC466" s="10">
        <f t="shared" si="228"/>
        <v>0</v>
      </c>
      <c r="BD466" s="10">
        <f t="shared" si="229"/>
        <v>0</v>
      </c>
      <c r="BE466" s="10">
        <v>74.34</v>
      </c>
      <c r="BF466" s="10">
        <v>33.25</v>
      </c>
      <c r="BG466" s="107">
        <v>46176</v>
      </c>
      <c r="BH466" s="107">
        <f t="shared" si="203"/>
        <v>46206</v>
      </c>
      <c r="BI466" s="23">
        <v>7</v>
      </c>
      <c r="BJ466" s="6"/>
      <c r="BK466" s="6"/>
      <c r="BL466" s="6">
        <f>VLOOKUP(A466,[2]Sheet1!$D$2:$H$933,5,0)</f>
        <v>0</v>
      </c>
      <c r="BM466" s="6" t="s">
        <v>3828</v>
      </c>
      <c r="BN466" s="6" t="s">
        <v>3829</v>
      </c>
      <c r="BO466" s="6" t="s">
        <v>3820</v>
      </c>
      <c r="BP466" s="6" t="s">
        <v>3821</v>
      </c>
      <c r="BQ466" s="6" t="s">
        <v>3830</v>
      </c>
      <c r="BR466" t="s">
        <v>3823</v>
      </c>
      <c r="BS466" t="s">
        <v>3824</v>
      </c>
      <c r="BT466" t="s">
        <v>3825</v>
      </c>
      <c r="BU466" t="s">
        <v>3826</v>
      </c>
      <c r="BV466" t="s">
        <v>3827</v>
      </c>
      <c r="BW466" t="s">
        <v>3835</v>
      </c>
      <c r="BX466">
        <v>0</v>
      </c>
      <c r="BY466" t="s">
        <v>3865</v>
      </c>
      <c r="BZ466" t="s">
        <v>3871</v>
      </c>
    </row>
    <row r="467" spans="1:78" x14ac:dyDescent="0.25">
      <c r="A467" s="7" t="s">
        <v>1954</v>
      </c>
      <c r="B467" s="7" t="s">
        <v>181</v>
      </c>
      <c r="C467" s="7" t="s">
        <v>1952</v>
      </c>
      <c r="D467" s="8" t="s">
        <v>1953</v>
      </c>
      <c r="E467" s="7" t="s">
        <v>1955</v>
      </c>
      <c r="F467" s="9">
        <v>44930</v>
      </c>
      <c r="G467" s="9" t="s">
        <v>65</v>
      </c>
      <c r="H467" s="9" t="s">
        <v>72</v>
      </c>
      <c r="I467" s="8" t="s">
        <v>78</v>
      </c>
      <c r="J467" s="10">
        <v>676.41</v>
      </c>
      <c r="K467" s="10">
        <v>676.41</v>
      </c>
      <c r="L467" s="10">
        <f t="shared" si="205"/>
        <v>0</v>
      </c>
      <c r="M467" s="10">
        <v>315.39</v>
      </c>
      <c r="N467" s="10">
        <v>315.39</v>
      </c>
      <c r="O467" s="10">
        <f t="shared" si="206"/>
        <v>0</v>
      </c>
      <c r="P467" s="11">
        <v>11850.000739196641</v>
      </c>
      <c r="Q467" s="11">
        <v>25414.4360949935</v>
      </c>
      <c r="R467" s="11">
        <v>20000</v>
      </c>
      <c r="S467" s="11">
        <v>8015459</v>
      </c>
      <c r="T467" s="11">
        <v>961856</v>
      </c>
      <c r="U467" s="12">
        <f t="shared" si="207"/>
        <v>0.12000011477820546</v>
      </c>
      <c r="V467" s="13">
        <f t="shared" si="230"/>
        <v>0</v>
      </c>
      <c r="W467" s="10">
        <f t="shared" si="208"/>
        <v>0</v>
      </c>
      <c r="X467" s="10"/>
      <c r="Y467" s="10"/>
      <c r="Z467" s="11">
        <f t="shared" si="209"/>
        <v>8015459</v>
      </c>
      <c r="AA467" s="14"/>
      <c r="AB467" s="14"/>
      <c r="AC467" s="11">
        <f t="shared" si="210"/>
        <v>8015459</v>
      </c>
      <c r="AD467" s="10">
        <f t="shared" si="211"/>
        <v>300</v>
      </c>
      <c r="AE467" s="15">
        <v>94617</v>
      </c>
      <c r="AF467" s="16">
        <v>17032</v>
      </c>
      <c r="AG467" s="15">
        <f t="shared" si="212"/>
        <v>0</v>
      </c>
      <c r="AH467" s="15">
        <f t="shared" si="213"/>
        <v>0</v>
      </c>
      <c r="AI467" s="15">
        <f t="shared" si="214"/>
        <v>94617</v>
      </c>
      <c r="AJ467" s="15">
        <f t="shared" si="215"/>
        <v>17032</v>
      </c>
      <c r="AK467" s="10">
        <v>94617</v>
      </c>
      <c r="AL467" s="15">
        <f t="shared" si="216"/>
        <v>94617</v>
      </c>
      <c r="AM467" s="15">
        <f t="shared" si="217"/>
        <v>8110076</v>
      </c>
      <c r="AN467" s="15">
        <f t="shared" si="218"/>
        <v>978888</v>
      </c>
      <c r="AO467" s="15">
        <f t="shared" si="223"/>
        <v>1079712</v>
      </c>
      <c r="AP467" s="17">
        <f t="shared" si="219"/>
        <v>9189788</v>
      </c>
      <c r="AQ467" s="15">
        <v>8011845</v>
      </c>
      <c r="AR467" s="15">
        <v>6207</v>
      </c>
      <c r="AS467" s="18">
        <f t="shared" si="224"/>
        <v>1177943</v>
      </c>
      <c r="AT467" s="19">
        <v>0</v>
      </c>
      <c r="AU467" s="8">
        <v>8800</v>
      </c>
      <c r="AV467" s="13">
        <f t="shared" si="225"/>
        <v>2775432</v>
      </c>
      <c r="AW467" s="18">
        <f t="shared" si="226"/>
        <v>8110076</v>
      </c>
      <c r="AX467" s="15">
        <f t="shared" si="220"/>
        <v>8111000</v>
      </c>
      <c r="AY467" s="20">
        <v>0.05</v>
      </c>
      <c r="AZ467" s="13">
        <f t="shared" si="221"/>
        <v>405550</v>
      </c>
      <c r="BA467" s="15">
        <f t="shared" si="222"/>
        <v>405600</v>
      </c>
      <c r="BB467" s="21">
        <f t="shared" si="227"/>
        <v>1583543</v>
      </c>
      <c r="BC467" s="10">
        <f t="shared" si="228"/>
        <v>0</v>
      </c>
      <c r="BD467" s="10">
        <f t="shared" si="229"/>
        <v>0</v>
      </c>
      <c r="BE467" s="10">
        <v>62.84</v>
      </c>
      <c r="BF467" s="10">
        <v>29.3</v>
      </c>
      <c r="BG467" s="107">
        <v>46176</v>
      </c>
      <c r="BH467" s="107">
        <f t="shared" si="203"/>
        <v>46206</v>
      </c>
      <c r="BI467" s="23">
        <v>5</v>
      </c>
      <c r="BJ467" s="6"/>
      <c r="BK467" s="6"/>
      <c r="BL467" s="6">
        <f>VLOOKUP(A467,[2]Sheet1!$D$2:$H$933,5,0)</f>
        <v>0</v>
      </c>
      <c r="BM467" s="6" t="s">
        <v>3828</v>
      </c>
      <c r="BN467" s="6" t="s">
        <v>3829</v>
      </c>
      <c r="BO467" s="6" t="s">
        <v>3820</v>
      </c>
      <c r="BP467" s="6" t="s">
        <v>3821</v>
      </c>
      <c r="BQ467" s="6" t="s">
        <v>3830</v>
      </c>
      <c r="BR467" t="s">
        <v>3823</v>
      </c>
      <c r="BS467" t="s">
        <v>3824</v>
      </c>
      <c r="BT467" t="s">
        <v>3825</v>
      </c>
      <c r="BU467" t="s">
        <v>3826</v>
      </c>
      <c r="BV467" t="s">
        <v>3827</v>
      </c>
      <c r="BW467" t="s">
        <v>3835</v>
      </c>
      <c r="BX467">
        <v>0</v>
      </c>
      <c r="BY467" t="s">
        <v>3862</v>
      </c>
      <c r="BZ467" t="s">
        <v>3860</v>
      </c>
    </row>
    <row r="468" spans="1:78" x14ac:dyDescent="0.25">
      <c r="A468" s="7" t="s">
        <v>1958</v>
      </c>
      <c r="B468" s="7" t="s">
        <v>181</v>
      </c>
      <c r="C468" s="7" t="s">
        <v>1956</v>
      </c>
      <c r="D468" s="8" t="s">
        <v>1957</v>
      </c>
      <c r="E468" s="7" t="s">
        <v>1959</v>
      </c>
      <c r="F468" s="9">
        <v>45100</v>
      </c>
      <c r="G468" s="9" t="s">
        <v>717</v>
      </c>
      <c r="H468" s="9" t="s">
        <v>66</v>
      </c>
      <c r="I468" s="8" t="s">
        <v>78</v>
      </c>
      <c r="J468" s="10">
        <v>1220.6400000000001</v>
      </c>
      <c r="K468" s="10">
        <v>1220.6400000000001</v>
      </c>
      <c r="L468" s="10">
        <f t="shared" si="205"/>
        <v>0</v>
      </c>
      <c r="M468" s="10">
        <v>557.58000000000004</v>
      </c>
      <c r="N468" s="10">
        <v>557.58000000000004</v>
      </c>
      <c r="O468" s="10">
        <f t="shared" si="206"/>
        <v>0</v>
      </c>
      <c r="P468" s="11">
        <v>10894.169452090706</v>
      </c>
      <c r="Q468" s="11">
        <v>23849.239571003262</v>
      </c>
      <c r="R468" s="11">
        <v>22000</v>
      </c>
      <c r="S468" s="11">
        <v>13297859</v>
      </c>
      <c r="T468" s="11">
        <v>1595742</v>
      </c>
      <c r="U468" s="12">
        <f t="shared" si="207"/>
        <v>0.11999991878391852</v>
      </c>
      <c r="V468" s="13">
        <f t="shared" si="230"/>
        <v>0</v>
      </c>
      <c r="W468" s="10">
        <f t="shared" si="208"/>
        <v>0</v>
      </c>
      <c r="X468" s="10"/>
      <c r="Y468" s="10"/>
      <c r="Z468" s="11">
        <f t="shared" si="209"/>
        <v>13297859</v>
      </c>
      <c r="AA468" s="14"/>
      <c r="AB468" s="14"/>
      <c r="AC468" s="11">
        <f t="shared" si="210"/>
        <v>13297859</v>
      </c>
      <c r="AD468" s="10">
        <f t="shared" si="211"/>
        <v>300</v>
      </c>
      <c r="AE468" s="15">
        <v>167274</v>
      </c>
      <c r="AF468" s="16">
        <v>30110</v>
      </c>
      <c r="AG468" s="15">
        <f t="shared" si="212"/>
        <v>0</v>
      </c>
      <c r="AH468" s="15">
        <f t="shared" si="213"/>
        <v>0</v>
      </c>
      <c r="AI468" s="15">
        <f t="shared" si="214"/>
        <v>167274</v>
      </c>
      <c r="AJ468" s="15">
        <f t="shared" si="215"/>
        <v>30110</v>
      </c>
      <c r="AK468" s="10">
        <v>167274</v>
      </c>
      <c r="AL468" s="15">
        <f t="shared" si="216"/>
        <v>167274</v>
      </c>
      <c r="AM468" s="15">
        <f t="shared" si="217"/>
        <v>13465133</v>
      </c>
      <c r="AN468" s="15">
        <f t="shared" si="218"/>
        <v>1625852</v>
      </c>
      <c r="AO468" s="15">
        <f t="shared" si="223"/>
        <v>1799404</v>
      </c>
      <c r="AP468" s="17">
        <f t="shared" si="219"/>
        <v>15264537</v>
      </c>
      <c r="AQ468" s="15">
        <v>12681730.710000001</v>
      </c>
      <c r="AR468" s="15">
        <v>6278</v>
      </c>
      <c r="AS468" s="18">
        <f t="shared" si="224"/>
        <v>2582806</v>
      </c>
      <c r="AT468" s="19">
        <v>0</v>
      </c>
      <c r="AU468" s="8">
        <v>8800</v>
      </c>
      <c r="AV468" s="13">
        <f t="shared" si="225"/>
        <v>4906704</v>
      </c>
      <c r="AW468" s="18">
        <f t="shared" si="226"/>
        <v>13465133</v>
      </c>
      <c r="AX468" s="15">
        <f t="shared" si="220"/>
        <v>13466000</v>
      </c>
      <c r="AY468" s="20">
        <v>7.0000000000000007E-2</v>
      </c>
      <c r="AZ468" s="13">
        <f t="shared" si="221"/>
        <v>942620.00000000012</v>
      </c>
      <c r="BA468" s="15">
        <f t="shared" si="222"/>
        <v>942700</v>
      </c>
      <c r="BB468" s="21">
        <f t="shared" si="227"/>
        <v>3525506</v>
      </c>
      <c r="BC468" s="10">
        <f t="shared" si="228"/>
        <v>0</v>
      </c>
      <c r="BD468" s="10">
        <f t="shared" si="229"/>
        <v>0</v>
      </c>
      <c r="BE468" s="10">
        <v>113.4</v>
      </c>
      <c r="BF468" s="10">
        <v>51.8</v>
      </c>
      <c r="BG468" s="107">
        <v>46176</v>
      </c>
      <c r="BH468" s="107">
        <f t="shared" si="203"/>
        <v>46206</v>
      </c>
      <c r="BI468" s="23">
        <v>7</v>
      </c>
      <c r="BJ468" s="6"/>
      <c r="BK468" s="6"/>
      <c r="BL468" s="6">
        <f>VLOOKUP(A468,[2]Sheet1!$D$2:$H$933,5,0)</f>
        <v>0</v>
      </c>
      <c r="BM468" s="6" t="s">
        <v>3828</v>
      </c>
      <c r="BN468" s="6" t="s">
        <v>3829</v>
      </c>
      <c r="BO468" s="6" t="s">
        <v>3820</v>
      </c>
      <c r="BP468" s="6" t="s">
        <v>3821</v>
      </c>
      <c r="BQ468" s="6" t="s">
        <v>3830</v>
      </c>
      <c r="BR468" t="s">
        <v>3823</v>
      </c>
      <c r="BS468" t="s">
        <v>3824</v>
      </c>
      <c r="BT468" t="s">
        <v>3825</v>
      </c>
      <c r="BU468" t="s">
        <v>3826</v>
      </c>
      <c r="BV468" t="s">
        <v>3827</v>
      </c>
      <c r="BW468" t="s">
        <v>3835</v>
      </c>
      <c r="BX468">
        <v>0</v>
      </c>
      <c r="BY468" t="s">
        <v>3869</v>
      </c>
      <c r="BZ468" t="s">
        <v>3872</v>
      </c>
    </row>
    <row r="469" spans="1:78" x14ac:dyDescent="0.25">
      <c r="A469" s="7" t="s">
        <v>1962</v>
      </c>
      <c r="B469" s="7" t="s">
        <v>181</v>
      </c>
      <c r="C469" s="7" t="s">
        <v>1960</v>
      </c>
      <c r="D469" s="8" t="s">
        <v>1961</v>
      </c>
      <c r="E469" s="7" t="s">
        <v>1963</v>
      </c>
      <c r="F469" s="9">
        <v>44862</v>
      </c>
      <c r="G469" s="9" t="s">
        <v>404</v>
      </c>
      <c r="H469" s="9" t="s">
        <v>72</v>
      </c>
      <c r="I469" s="8" t="s">
        <v>78</v>
      </c>
      <c r="J469" s="10">
        <v>556.5</v>
      </c>
      <c r="K469" s="10">
        <v>556.5</v>
      </c>
      <c r="L469" s="10">
        <f t="shared" si="205"/>
        <v>0</v>
      </c>
      <c r="M469" s="10">
        <v>257.26</v>
      </c>
      <c r="N469" s="10">
        <v>257.26</v>
      </c>
      <c r="O469" s="10">
        <f t="shared" si="206"/>
        <v>0</v>
      </c>
      <c r="P469" s="11">
        <v>12555.840071877808</v>
      </c>
      <c r="Q469" s="11">
        <v>27160.557412734201</v>
      </c>
      <c r="R469" s="11">
        <v>20000</v>
      </c>
      <c r="S469" s="11">
        <v>6987325</v>
      </c>
      <c r="T469" s="11">
        <v>838480</v>
      </c>
      <c r="U469" s="12">
        <f t="shared" si="207"/>
        <v>0.12000014311628555</v>
      </c>
      <c r="V469" s="13">
        <f t="shared" si="230"/>
        <v>0</v>
      </c>
      <c r="W469" s="10">
        <f t="shared" si="208"/>
        <v>0</v>
      </c>
      <c r="X469" s="10"/>
      <c r="Y469" s="10"/>
      <c r="Z469" s="11">
        <f t="shared" si="209"/>
        <v>6987325</v>
      </c>
      <c r="AA469" s="14">
        <v>444488</v>
      </c>
      <c r="AB469" s="14">
        <v>53338</v>
      </c>
      <c r="AC469" s="11">
        <f t="shared" si="210"/>
        <v>6542837</v>
      </c>
      <c r="AD469" s="10">
        <f t="shared" si="211"/>
        <v>300</v>
      </c>
      <c r="AE469" s="15">
        <v>77178</v>
      </c>
      <c r="AF469" s="16">
        <v>13892</v>
      </c>
      <c r="AG469" s="15">
        <f t="shared" si="212"/>
        <v>0</v>
      </c>
      <c r="AH469" s="15">
        <f t="shared" si="213"/>
        <v>0</v>
      </c>
      <c r="AI469" s="15">
        <f t="shared" si="214"/>
        <v>77178</v>
      </c>
      <c r="AJ469" s="15">
        <f t="shared" si="215"/>
        <v>13893</v>
      </c>
      <c r="AK469" s="10">
        <v>77178</v>
      </c>
      <c r="AL469" s="15">
        <f t="shared" si="216"/>
        <v>77178</v>
      </c>
      <c r="AM469" s="15">
        <f t="shared" si="217"/>
        <v>6620015</v>
      </c>
      <c r="AN469" s="15">
        <f t="shared" si="218"/>
        <v>799035</v>
      </c>
      <c r="AO469" s="15">
        <f t="shared" si="223"/>
        <v>882328</v>
      </c>
      <c r="AP469" s="17">
        <f t="shared" si="219"/>
        <v>7502343</v>
      </c>
      <c r="AQ469" s="15">
        <v>6551398</v>
      </c>
      <c r="AR469" s="15">
        <v>6115</v>
      </c>
      <c r="AS469" s="18">
        <f t="shared" si="224"/>
        <v>950945</v>
      </c>
      <c r="AT469" s="19">
        <v>0</v>
      </c>
      <c r="AU469" s="8">
        <v>8800</v>
      </c>
      <c r="AV469" s="13">
        <f t="shared" si="225"/>
        <v>2263888</v>
      </c>
      <c r="AW469" s="18">
        <f t="shared" si="226"/>
        <v>6620015</v>
      </c>
      <c r="AX469" s="15">
        <f t="shared" si="220"/>
        <v>6621000</v>
      </c>
      <c r="AY469" s="20">
        <v>7.0000000000000007E-2</v>
      </c>
      <c r="AZ469" s="13">
        <f t="shared" si="221"/>
        <v>463470.00000000006</v>
      </c>
      <c r="BA469" s="15">
        <f t="shared" si="222"/>
        <v>463500</v>
      </c>
      <c r="BB469" s="21">
        <f t="shared" si="227"/>
        <v>1414445</v>
      </c>
      <c r="BC469" s="10">
        <f t="shared" si="228"/>
        <v>0</v>
      </c>
      <c r="BD469" s="10">
        <f t="shared" si="229"/>
        <v>0</v>
      </c>
      <c r="BE469" s="10">
        <v>51.7</v>
      </c>
      <c r="BF469" s="10">
        <v>23.9</v>
      </c>
      <c r="BG469" s="107">
        <v>46176</v>
      </c>
      <c r="BH469" s="107">
        <f t="shared" si="203"/>
        <v>46206</v>
      </c>
      <c r="BI469" s="23">
        <v>7</v>
      </c>
      <c r="BJ469" s="6"/>
      <c r="BK469" s="6"/>
      <c r="BL469" s="6">
        <f>VLOOKUP(A469,[2]Sheet1!$D$2:$H$933,5,0)</f>
        <v>0</v>
      </c>
      <c r="BM469" s="6" t="s">
        <v>3828</v>
      </c>
      <c r="BN469" s="6" t="s">
        <v>3829</v>
      </c>
      <c r="BO469" s="6" t="s">
        <v>3820</v>
      </c>
      <c r="BP469" s="6" t="s">
        <v>3821</v>
      </c>
      <c r="BQ469" s="6" t="s">
        <v>3830</v>
      </c>
      <c r="BR469" t="s">
        <v>3823</v>
      </c>
      <c r="BS469" t="s">
        <v>3824</v>
      </c>
      <c r="BT469" t="s">
        <v>3825</v>
      </c>
      <c r="BU469" t="s">
        <v>3826</v>
      </c>
      <c r="BV469" t="s">
        <v>3827</v>
      </c>
      <c r="BW469" t="s">
        <v>3835</v>
      </c>
      <c r="BX469">
        <v>0</v>
      </c>
      <c r="BY469" t="s">
        <v>3864</v>
      </c>
      <c r="BZ469" t="s">
        <v>3863</v>
      </c>
    </row>
    <row r="470" spans="1:78" x14ac:dyDescent="0.25">
      <c r="A470" s="7" t="s">
        <v>1966</v>
      </c>
      <c r="B470" s="7" t="s">
        <v>181</v>
      </c>
      <c r="C470" s="7" t="s">
        <v>1964</v>
      </c>
      <c r="D470" s="8" t="s">
        <v>1965</v>
      </c>
      <c r="E470" s="7" t="s">
        <v>1967</v>
      </c>
      <c r="F470" s="9">
        <v>44896</v>
      </c>
      <c r="G470" s="9" t="s">
        <v>404</v>
      </c>
      <c r="H470" s="9" t="s">
        <v>72</v>
      </c>
      <c r="I470" s="8" t="s">
        <v>78</v>
      </c>
      <c r="J470" s="10">
        <v>556.5</v>
      </c>
      <c r="K470" s="10">
        <v>556.5</v>
      </c>
      <c r="L470" s="10">
        <f t="shared" si="205"/>
        <v>0</v>
      </c>
      <c r="M470" s="10">
        <v>257.26</v>
      </c>
      <c r="N470" s="10">
        <v>257.26</v>
      </c>
      <c r="O470" s="10">
        <f t="shared" si="206"/>
        <v>0</v>
      </c>
      <c r="P470" s="11">
        <v>8282</v>
      </c>
      <c r="Q470" s="11">
        <v>17915.466842882688</v>
      </c>
      <c r="R470" s="11">
        <v>20000</v>
      </c>
      <c r="S470" s="11">
        <v>4608933</v>
      </c>
      <c r="T470" s="11">
        <v>553072</v>
      </c>
      <c r="U470" s="12">
        <f t="shared" si="207"/>
        <v>0.12000000867879833</v>
      </c>
      <c r="V470" s="13">
        <f t="shared" si="230"/>
        <v>0</v>
      </c>
      <c r="W470" s="10">
        <f t="shared" si="208"/>
        <v>0</v>
      </c>
      <c r="X470" s="10"/>
      <c r="Y470" s="10"/>
      <c r="Z470" s="11">
        <f t="shared" si="209"/>
        <v>4608933</v>
      </c>
      <c r="AA470" s="14"/>
      <c r="AB470" s="14"/>
      <c r="AC470" s="11">
        <f t="shared" si="210"/>
        <v>4608933</v>
      </c>
      <c r="AD470" s="10">
        <f t="shared" si="211"/>
        <v>300</v>
      </c>
      <c r="AE470" s="15">
        <v>77178</v>
      </c>
      <c r="AF470" s="16">
        <v>13892</v>
      </c>
      <c r="AG470" s="15">
        <f t="shared" si="212"/>
        <v>0</v>
      </c>
      <c r="AH470" s="15">
        <f t="shared" si="213"/>
        <v>0</v>
      </c>
      <c r="AI470" s="15">
        <f t="shared" si="214"/>
        <v>77178</v>
      </c>
      <c r="AJ470" s="15">
        <f t="shared" si="215"/>
        <v>13893</v>
      </c>
      <c r="AK470" s="10">
        <v>77178</v>
      </c>
      <c r="AL470" s="15">
        <f t="shared" si="216"/>
        <v>77178</v>
      </c>
      <c r="AM470" s="15">
        <f t="shared" si="217"/>
        <v>4686111</v>
      </c>
      <c r="AN470" s="15">
        <f t="shared" si="218"/>
        <v>566965</v>
      </c>
      <c r="AO470" s="15">
        <f t="shared" si="223"/>
        <v>653398</v>
      </c>
      <c r="AP470" s="17">
        <f t="shared" si="219"/>
        <v>5339509</v>
      </c>
      <c r="AQ470" s="15">
        <v>2784000</v>
      </c>
      <c r="AR470" s="15">
        <v>9255</v>
      </c>
      <c r="AS470" s="18">
        <f t="shared" si="224"/>
        <v>2555509</v>
      </c>
      <c r="AT470" s="19">
        <v>0</v>
      </c>
      <c r="AU470" s="8">
        <v>8800</v>
      </c>
      <c r="AV470" s="13">
        <f t="shared" si="225"/>
        <v>2263888</v>
      </c>
      <c r="AW470" s="18">
        <f t="shared" si="226"/>
        <v>4686111</v>
      </c>
      <c r="AX470" s="15">
        <f t="shared" si="220"/>
        <v>4687000</v>
      </c>
      <c r="AY470" s="20">
        <v>0.05</v>
      </c>
      <c r="AZ470" s="13">
        <f t="shared" si="221"/>
        <v>234350</v>
      </c>
      <c r="BA470" s="15">
        <f t="shared" si="222"/>
        <v>234400</v>
      </c>
      <c r="BB470" s="21">
        <f t="shared" si="227"/>
        <v>2789909</v>
      </c>
      <c r="BC470" s="10">
        <f t="shared" si="228"/>
        <v>0</v>
      </c>
      <c r="BD470" s="10">
        <f t="shared" si="229"/>
        <v>0</v>
      </c>
      <c r="BE470" s="10">
        <v>51.7</v>
      </c>
      <c r="BF470" s="10">
        <v>23.9</v>
      </c>
      <c r="BG470" s="107">
        <v>46176</v>
      </c>
      <c r="BH470" s="107">
        <f t="shared" si="203"/>
        <v>46206</v>
      </c>
      <c r="BI470" s="23">
        <v>5</v>
      </c>
      <c r="BJ470" s="6"/>
      <c r="BK470" s="6"/>
      <c r="BL470" s="6">
        <f>VLOOKUP(A470,[2]Sheet1!$D$2:$H$933,5,0)</f>
        <v>0</v>
      </c>
      <c r="BM470" s="6" t="s">
        <v>3828</v>
      </c>
      <c r="BN470" s="6" t="s">
        <v>3829</v>
      </c>
      <c r="BO470" s="6" t="s">
        <v>3820</v>
      </c>
      <c r="BP470" s="6" t="s">
        <v>3821</v>
      </c>
      <c r="BQ470" s="6" t="s">
        <v>3830</v>
      </c>
      <c r="BR470" t="s">
        <v>3823</v>
      </c>
      <c r="BS470" t="s">
        <v>3824</v>
      </c>
      <c r="BT470" t="s">
        <v>3825</v>
      </c>
      <c r="BU470" t="s">
        <v>3826</v>
      </c>
      <c r="BV470" t="s">
        <v>3827</v>
      </c>
      <c r="BW470" t="s">
        <v>3835</v>
      </c>
      <c r="BX470">
        <v>0</v>
      </c>
      <c r="BY470" t="s">
        <v>3868</v>
      </c>
      <c r="BZ470" t="s">
        <v>3863</v>
      </c>
    </row>
    <row r="471" spans="1:78" x14ac:dyDescent="0.25">
      <c r="A471" s="7" t="s">
        <v>1970</v>
      </c>
      <c r="B471" s="7" t="s">
        <v>181</v>
      </c>
      <c r="C471" s="7" t="s">
        <v>1968</v>
      </c>
      <c r="D471" s="8" t="s">
        <v>1969</v>
      </c>
      <c r="E471" s="7" t="s">
        <v>1971</v>
      </c>
      <c r="F471" s="9">
        <v>44924</v>
      </c>
      <c r="G471" s="9" t="s">
        <v>65</v>
      </c>
      <c r="H471" s="9" t="s">
        <v>72</v>
      </c>
      <c r="I471" s="8" t="s">
        <v>78</v>
      </c>
      <c r="J471" s="10">
        <v>503.32</v>
      </c>
      <c r="K471" s="10">
        <v>503.32</v>
      </c>
      <c r="L471" s="10">
        <f t="shared" si="205"/>
        <v>0</v>
      </c>
      <c r="M471" s="10">
        <v>220.66</v>
      </c>
      <c r="N471" s="10">
        <v>220.66</v>
      </c>
      <c r="O471" s="10">
        <f t="shared" si="206"/>
        <v>0</v>
      </c>
      <c r="P471" s="11">
        <v>9000</v>
      </c>
      <c r="Q471" s="11">
        <v>20528.777304450286</v>
      </c>
      <c r="R471" s="11">
        <v>20000</v>
      </c>
      <c r="S471" s="11">
        <v>4529880</v>
      </c>
      <c r="T471" s="11">
        <v>543586</v>
      </c>
      <c r="U471" s="12">
        <f t="shared" si="207"/>
        <v>0.12000008830255988</v>
      </c>
      <c r="V471" s="13">
        <f t="shared" si="230"/>
        <v>0</v>
      </c>
      <c r="W471" s="10">
        <f t="shared" si="208"/>
        <v>0</v>
      </c>
      <c r="X471" s="10"/>
      <c r="Y471" s="10"/>
      <c r="Z471" s="11">
        <f t="shared" si="209"/>
        <v>4529880</v>
      </c>
      <c r="AA471" s="14">
        <v>1585458</v>
      </c>
      <c r="AB471" s="14">
        <v>190254</v>
      </c>
      <c r="AC471" s="11">
        <f t="shared" si="210"/>
        <v>2944422</v>
      </c>
      <c r="AD471" s="10">
        <f t="shared" si="211"/>
        <v>300</v>
      </c>
      <c r="AE471" s="15">
        <v>66198</v>
      </c>
      <c r="AF471" s="16">
        <v>11916</v>
      </c>
      <c r="AG471" s="15">
        <f t="shared" si="212"/>
        <v>0</v>
      </c>
      <c r="AH471" s="15">
        <f t="shared" si="213"/>
        <v>0</v>
      </c>
      <c r="AI471" s="15">
        <f t="shared" si="214"/>
        <v>66198</v>
      </c>
      <c r="AJ471" s="15">
        <f t="shared" si="215"/>
        <v>11916</v>
      </c>
      <c r="AK471" s="10">
        <v>66198</v>
      </c>
      <c r="AL471" s="15">
        <f t="shared" si="216"/>
        <v>66198</v>
      </c>
      <c r="AM471" s="15">
        <f t="shared" si="217"/>
        <v>3010620</v>
      </c>
      <c r="AN471" s="15">
        <f t="shared" si="218"/>
        <v>365248</v>
      </c>
      <c r="AO471" s="15">
        <f t="shared" si="223"/>
        <v>439475</v>
      </c>
      <c r="AP471" s="17">
        <f t="shared" si="219"/>
        <v>3450095</v>
      </c>
      <c r="AQ471" s="15">
        <v>1751000</v>
      </c>
      <c r="AR471" s="15">
        <v>8029</v>
      </c>
      <c r="AS471" s="18">
        <f t="shared" si="224"/>
        <v>1699095</v>
      </c>
      <c r="AT471" s="19">
        <v>0</v>
      </c>
      <c r="AU471" s="8">
        <v>8800</v>
      </c>
      <c r="AV471" s="13">
        <f t="shared" si="225"/>
        <v>1941808</v>
      </c>
      <c r="AW471" s="18">
        <f t="shared" si="226"/>
        <v>3010620</v>
      </c>
      <c r="AX471" s="15">
        <f t="shared" si="220"/>
        <v>3011000</v>
      </c>
      <c r="AY471" s="20">
        <v>7.0000000000000007E-2</v>
      </c>
      <c r="AZ471" s="13">
        <f t="shared" si="221"/>
        <v>210770.00000000003</v>
      </c>
      <c r="BA471" s="15">
        <f t="shared" si="222"/>
        <v>210800</v>
      </c>
      <c r="BB471" s="21">
        <f t="shared" si="227"/>
        <v>1909895</v>
      </c>
      <c r="BC471" s="10">
        <f t="shared" si="228"/>
        <v>0</v>
      </c>
      <c r="BD471" s="10">
        <f t="shared" si="229"/>
        <v>0</v>
      </c>
      <c r="BE471" s="10">
        <v>46.76</v>
      </c>
      <c r="BF471" s="10">
        <v>20.5</v>
      </c>
      <c r="BG471" s="107">
        <v>46176</v>
      </c>
      <c r="BH471" s="107">
        <f t="shared" si="203"/>
        <v>46206</v>
      </c>
      <c r="BI471" s="23">
        <v>7</v>
      </c>
      <c r="BJ471" s="6"/>
      <c r="BK471" s="6"/>
      <c r="BL471" s="6">
        <f>VLOOKUP(A471,[2]Sheet1!$D$2:$H$933,5,0)</f>
        <v>0</v>
      </c>
      <c r="BM471" s="6" t="s">
        <v>3828</v>
      </c>
      <c r="BN471" s="6" t="s">
        <v>3829</v>
      </c>
      <c r="BO471" s="6" t="s">
        <v>3820</v>
      </c>
      <c r="BP471" s="6" t="s">
        <v>3821</v>
      </c>
      <c r="BQ471" s="6" t="s">
        <v>3830</v>
      </c>
      <c r="BR471" t="s">
        <v>3823</v>
      </c>
      <c r="BS471" t="s">
        <v>3824</v>
      </c>
      <c r="BT471" t="s">
        <v>3825</v>
      </c>
      <c r="BU471" t="s">
        <v>3826</v>
      </c>
      <c r="BV471" t="s">
        <v>3827</v>
      </c>
      <c r="BW471" t="s">
        <v>3835</v>
      </c>
      <c r="BX471">
        <v>0</v>
      </c>
      <c r="BY471" t="s">
        <v>3868</v>
      </c>
      <c r="BZ471" t="s">
        <v>3860</v>
      </c>
    </row>
    <row r="472" spans="1:78" x14ac:dyDescent="0.25">
      <c r="A472" s="7" t="s">
        <v>1974</v>
      </c>
      <c r="B472" s="7" t="s">
        <v>181</v>
      </c>
      <c r="C472" s="7" t="s">
        <v>1972</v>
      </c>
      <c r="D472" s="8" t="s">
        <v>1973</v>
      </c>
      <c r="E472" s="7" t="s">
        <v>1975</v>
      </c>
      <c r="F472" s="9">
        <v>45100</v>
      </c>
      <c r="G472" s="9" t="s">
        <v>527</v>
      </c>
      <c r="H472" s="9" t="s">
        <v>66</v>
      </c>
      <c r="I472" s="8" t="s">
        <v>67</v>
      </c>
      <c r="J472" s="10">
        <v>388.7</v>
      </c>
      <c r="K472" s="10">
        <v>388.7</v>
      </c>
      <c r="L472" s="10">
        <f t="shared" si="205"/>
        <v>0</v>
      </c>
      <c r="M472" s="10">
        <v>156.08000000000001</v>
      </c>
      <c r="N472" s="10">
        <v>156.08000000000001</v>
      </c>
      <c r="O472" s="10">
        <f t="shared" si="206"/>
        <v>0</v>
      </c>
      <c r="P472" s="11">
        <v>9011.5127347568814</v>
      </c>
      <c r="Q472" s="11">
        <v>22442.177088672473</v>
      </c>
      <c r="R472" s="11">
        <v>22000</v>
      </c>
      <c r="S472" s="11">
        <v>3502775</v>
      </c>
      <c r="T472" s="11">
        <v>420332</v>
      </c>
      <c r="U472" s="12">
        <f t="shared" si="207"/>
        <v>0.11999971451206544</v>
      </c>
      <c r="V472" s="13">
        <f t="shared" si="230"/>
        <v>0</v>
      </c>
      <c r="W472" s="10">
        <f t="shared" si="208"/>
        <v>0</v>
      </c>
      <c r="X472" s="10"/>
      <c r="Y472" s="10"/>
      <c r="Z472" s="11">
        <f t="shared" si="209"/>
        <v>3502775</v>
      </c>
      <c r="AA472" s="14"/>
      <c r="AB472" s="14"/>
      <c r="AC472" s="11">
        <f t="shared" si="210"/>
        <v>3502775</v>
      </c>
      <c r="AD472" s="10">
        <f t="shared" si="211"/>
        <v>300</v>
      </c>
      <c r="AE472" s="15">
        <v>46824</v>
      </c>
      <c r="AF472" s="16">
        <v>8428</v>
      </c>
      <c r="AG472" s="15">
        <f t="shared" si="212"/>
        <v>0</v>
      </c>
      <c r="AH472" s="15">
        <f t="shared" si="213"/>
        <v>0</v>
      </c>
      <c r="AI472" s="15">
        <f t="shared" si="214"/>
        <v>46824.000000000007</v>
      </c>
      <c r="AJ472" s="15">
        <f t="shared" si="215"/>
        <v>8429</v>
      </c>
      <c r="AK472" s="10">
        <v>46824</v>
      </c>
      <c r="AL472" s="15">
        <f t="shared" si="216"/>
        <v>46824.000000000007</v>
      </c>
      <c r="AM472" s="15">
        <f t="shared" si="217"/>
        <v>3549599</v>
      </c>
      <c r="AN472" s="15">
        <f t="shared" si="218"/>
        <v>428761</v>
      </c>
      <c r="AO472" s="15">
        <f t="shared" si="223"/>
        <v>475585</v>
      </c>
      <c r="AP472" s="17">
        <f t="shared" si="219"/>
        <v>4025184</v>
      </c>
      <c r="AQ472" s="15">
        <v>2937439</v>
      </c>
      <c r="AR472" s="15">
        <v>0</v>
      </c>
      <c r="AS472" s="18">
        <f t="shared" si="224"/>
        <v>1087745</v>
      </c>
      <c r="AT472" s="19">
        <v>0</v>
      </c>
      <c r="AU472" s="8">
        <v>8800</v>
      </c>
      <c r="AV472" s="13">
        <f t="shared" si="225"/>
        <v>1373504</v>
      </c>
      <c r="AW472" s="18">
        <f t="shared" si="226"/>
        <v>3549599</v>
      </c>
      <c r="AX472" s="15">
        <f t="shared" si="220"/>
        <v>3550000</v>
      </c>
      <c r="AY472" s="20">
        <v>7.0000000000000007E-2</v>
      </c>
      <c r="AZ472" s="13">
        <f t="shared" si="221"/>
        <v>248500.00000000003</v>
      </c>
      <c r="BA472" s="15">
        <f t="shared" si="222"/>
        <v>248500</v>
      </c>
      <c r="BB472" s="21">
        <f t="shared" si="227"/>
        <v>1336245</v>
      </c>
      <c r="BC472" s="10">
        <f t="shared" si="228"/>
        <v>0</v>
      </c>
      <c r="BD472" s="10">
        <f t="shared" si="229"/>
        <v>0</v>
      </c>
      <c r="BE472" s="10">
        <v>36.11</v>
      </c>
      <c r="BF472" s="10">
        <v>14.5</v>
      </c>
      <c r="BG472" s="107">
        <v>46176</v>
      </c>
      <c r="BH472" s="107">
        <f t="shared" si="203"/>
        <v>46206</v>
      </c>
      <c r="BI472" s="23">
        <v>7</v>
      </c>
      <c r="BJ472" s="6"/>
      <c r="BK472" s="6"/>
      <c r="BL472" s="6">
        <f>VLOOKUP(A472,[2]Sheet1!$D$2:$H$933,5,0)</f>
        <v>0</v>
      </c>
      <c r="BM472" s="6" t="s">
        <v>3828</v>
      </c>
      <c r="BN472" s="6" t="s">
        <v>3829</v>
      </c>
      <c r="BO472" s="6" t="s">
        <v>3820</v>
      </c>
      <c r="BP472" s="6" t="s">
        <v>3821</v>
      </c>
      <c r="BQ472" s="6" t="s">
        <v>3830</v>
      </c>
      <c r="BR472" t="s">
        <v>3823</v>
      </c>
      <c r="BS472" t="s">
        <v>3824</v>
      </c>
      <c r="BT472" t="s">
        <v>3825</v>
      </c>
      <c r="BU472" t="s">
        <v>3826</v>
      </c>
      <c r="BV472" t="s">
        <v>3827</v>
      </c>
      <c r="BW472" t="s">
        <v>3835</v>
      </c>
      <c r="BX472">
        <v>0</v>
      </c>
      <c r="BY472" t="s">
        <v>3861</v>
      </c>
      <c r="BZ472" t="s">
        <v>3871</v>
      </c>
    </row>
    <row r="473" spans="1:78" x14ac:dyDescent="0.25">
      <c r="A473" s="7" t="s">
        <v>1978</v>
      </c>
      <c r="B473" s="7" t="s">
        <v>181</v>
      </c>
      <c r="C473" s="7" t="s">
        <v>1976</v>
      </c>
      <c r="D473" s="8" t="s">
        <v>1977</v>
      </c>
      <c r="E473" s="7" t="s">
        <v>1916</v>
      </c>
      <c r="F473" s="9">
        <v>44871</v>
      </c>
      <c r="G473" s="9" t="s">
        <v>527</v>
      </c>
      <c r="H473" s="9" t="s">
        <v>72</v>
      </c>
      <c r="I473" s="8" t="s">
        <v>78</v>
      </c>
      <c r="J473" s="10">
        <v>699.66</v>
      </c>
      <c r="K473" s="10">
        <v>699.66</v>
      </c>
      <c r="L473" s="10">
        <f t="shared" si="205"/>
        <v>0</v>
      </c>
      <c r="M473" s="10">
        <v>304.62</v>
      </c>
      <c r="N473" s="10">
        <v>304.62</v>
      </c>
      <c r="O473" s="10">
        <f t="shared" si="206"/>
        <v>0</v>
      </c>
      <c r="P473" s="11">
        <v>11435.998913758112</v>
      </c>
      <c r="Q473" s="11">
        <v>26266.532072746373</v>
      </c>
      <c r="R473" s="11">
        <v>20000</v>
      </c>
      <c r="S473" s="11">
        <v>8001311</v>
      </c>
      <c r="T473" s="11">
        <v>960158</v>
      </c>
      <c r="U473" s="12">
        <f t="shared" si="207"/>
        <v>0.12000008498607291</v>
      </c>
      <c r="V473" s="13">
        <f t="shared" si="230"/>
        <v>0</v>
      </c>
      <c r="W473" s="10">
        <f t="shared" si="208"/>
        <v>0</v>
      </c>
      <c r="X473" s="10"/>
      <c r="Y473" s="10"/>
      <c r="Z473" s="11">
        <f t="shared" si="209"/>
        <v>8001311</v>
      </c>
      <c r="AA473" s="14">
        <v>1075558</v>
      </c>
      <c r="AB473" s="14">
        <v>129066</v>
      </c>
      <c r="AC473" s="11">
        <f t="shared" si="210"/>
        <v>6925753</v>
      </c>
      <c r="AD473" s="10">
        <f t="shared" si="211"/>
        <v>300</v>
      </c>
      <c r="AE473" s="15">
        <v>91386</v>
      </c>
      <c r="AF473" s="16">
        <v>16450</v>
      </c>
      <c r="AG473" s="15">
        <f t="shared" si="212"/>
        <v>0</v>
      </c>
      <c r="AH473" s="15">
        <f t="shared" si="213"/>
        <v>0</v>
      </c>
      <c r="AI473" s="15">
        <f t="shared" si="214"/>
        <v>91386</v>
      </c>
      <c r="AJ473" s="15">
        <f t="shared" si="215"/>
        <v>16450</v>
      </c>
      <c r="AK473" s="10">
        <v>91386</v>
      </c>
      <c r="AL473" s="15">
        <f t="shared" si="216"/>
        <v>91386</v>
      </c>
      <c r="AM473" s="15">
        <f t="shared" si="217"/>
        <v>7017139</v>
      </c>
      <c r="AN473" s="15">
        <f t="shared" si="218"/>
        <v>847542</v>
      </c>
      <c r="AO473" s="15">
        <f t="shared" si="223"/>
        <v>945334</v>
      </c>
      <c r="AP473" s="17">
        <f t="shared" si="219"/>
        <v>7962473</v>
      </c>
      <c r="AQ473" s="15">
        <v>6829653</v>
      </c>
      <c r="AR473" s="15">
        <v>6406</v>
      </c>
      <c r="AS473" s="18">
        <f t="shared" si="224"/>
        <v>1132820</v>
      </c>
      <c r="AT473" s="19">
        <v>0</v>
      </c>
      <c r="AU473" s="8">
        <v>8800</v>
      </c>
      <c r="AV473" s="13">
        <f t="shared" si="225"/>
        <v>2680656</v>
      </c>
      <c r="AW473" s="18">
        <f t="shared" si="226"/>
        <v>7017139</v>
      </c>
      <c r="AX473" s="15">
        <f t="shared" si="220"/>
        <v>7018000</v>
      </c>
      <c r="AY473" s="20">
        <v>0.06</v>
      </c>
      <c r="AZ473" s="13">
        <f t="shared" si="221"/>
        <v>421080</v>
      </c>
      <c r="BA473" s="15">
        <f t="shared" si="222"/>
        <v>421100</v>
      </c>
      <c r="BB473" s="21">
        <f t="shared" si="227"/>
        <v>1553920</v>
      </c>
      <c r="BC473" s="10">
        <f t="shared" si="228"/>
        <v>0</v>
      </c>
      <c r="BD473" s="10">
        <f t="shared" si="229"/>
        <v>0</v>
      </c>
      <c r="BE473" s="10">
        <v>65</v>
      </c>
      <c r="BF473" s="10">
        <v>28.3</v>
      </c>
      <c r="BG473" s="107">
        <v>46176</v>
      </c>
      <c r="BH473" s="107">
        <f t="shared" si="203"/>
        <v>46206</v>
      </c>
      <c r="BI473" s="23">
        <v>6</v>
      </c>
      <c r="BJ473" s="6"/>
      <c r="BK473" s="6"/>
      <c r="BL473" s="6">
        <f>VLOOKUP(A473,[2]Sheet1!$D$2:$H$933,5,0)</f>
        <v>0</v>
      </c>
      <c r="BM473" s="6" t="s">
        <v>3828</v>
      </c>
      <c r="BN473" s="6" t="s">
        <v>3829</v>
      </c>
      <c r="BO473" s="6" t="s">
        <v>3820</v>
      </c>
      <c r="BP473" s="6" t="s">
        <v>3821</v>
      </c>
      <c r="BQ473" s="6" t="s">
        <v>3830</v>
      </c>
      <c r="BR473" t="s">
        <v>3823</v>
      </c>
      <c r="BS473" t="s">
        <v>3824</v>
      </c>
      <c r="BT473" t="s">
        <v>3825</v>
      </c>
      <c r="BU473" t="s">
        <v>3826</v>
      </c>
      <c r="BV473" t="s">
        <v>3827</v>
      </c>
      <c r="BW473" t="s">
        <v>3835</v>
      </c>
      <c r="BX473">
        <v>0</v>
      </c>
      <c r="BY473" t="s">
        <v>3862</v>
      </c>
      <c r="BZ473" t="s">
        <v>3871</v>
      </c>
    </row>
    <row r="474" spans="1:78" x14ac:dyDescent="0.25">
      <c r="A474" s="7" t="s">
        <v>1981</v>
      </c>
      <c r="B474" s="7" t="s">
        <v>181</v>
      </c>
      <c r="C474" s="7" t="s">
        <v>1979</v>
      </c>
      <c r="D474" s="8" t="s">
        <v>1980</v>
      </c>
      <c r="E474" s="7" t="s">
        <v>1982</v>
      </c>
      <c r="F474" s="9">
        <v>44868</v>
      </c>
      <c r="G474" s="9" t="s">
        <v>404</v>
      </c>
      <c r="H474" s="9" t="s">
        <v>72</v>
      </c>
      <c r="I474" s="8" t="s">
        <v>78</v>
      </c>
      <c r="J474" s="10">
        <v>365.98</v>
      </c>
      <c r="K474" s="10">
        <v>365.98</v>
      </c>
      <c r="L474" s="10">
        <f t="shared" si="205"/>
        <v>0</v>
      </c>
      <c r="M474" s="10">
        <v>156.08000000000001</v>
      </c>
      <c r="N474" s="10">
        <v>156.08000000000001</v>
      </c>
      <c r="O474" s="10">
        <f t="shared" si="206"/>
        <v>0</v>
      </c>
      <c r="P474" s="11">
        <v>9000</v>
      </c>
      <c r="Q474" s="11">
        <v>21103.4085084572</v>
      </c>
      <c r="R474" s="11">
        <v>20000</v>
      </c>
      <c r="S474" s="11">
        <v>3293820</v>
      </c>
      <c r="T474" s="11">
        <v>395258</v>
      </c>
      <c r="U474" s="12">
        <f t="shared" si="207"/>
        <v>0.11999987856045564</v>
      </c>
      <c r="V474" s="13">
        <f t="shared" si="230"/>
        <v>0</v>
      </c>
      <c r="W474" s="10">
        <f t="shared" si="208"/>
        <v>0</v>
      </c>
      <c r="X474" s="10"/>
      <c r="Y474" s="10"/>
      <c r="Z474" s="11">
        <f t="shared" si="209"/>
        <v>3293820</v>
      </c>
      <c r="AA474" s="14">
        <v>583110</v>
      </c>
      <c r="AB474" s="14">
        <v>69974</v>
      </c>
      <c r="AC474" s="11">
        <f t="shared" si="210"/>
        <v>2710710</v>
      </c>
      <c r="AD474" s="10">
        <f t="shared" si="211"/>
        <v>300</v>
      </c>
      <c r="AE474" s="15">
        <v>46824</v>
      </c>
      <c r="AF474" s="16">
        <v>8428</v>
      </c>
      <c r="AG474" s="15">
        <f t="shared" si="212"/>
        <v>0</v>
      </c>
      <c r="AH474" s="15">
        <f t="shared" si="213"/>
        <v>0</v>
      </c>
      <c r="AI474" s="15">
        <f t="shared" si="214"/>
        <v>46824.000000000007</v>
      </c>
      <c r="AJ474" s="15">
        <f t="shared" si="215"/>
        <v>8429</v>
      </c>
      <c r="AK474" s="10">
        <v>46824</v>
      </c>
      <c r="AL474" s="15">
        <f t="shared" si="216"/>
        <v>46824.000000000007</v>
      </c>
      <c r="AM474" s="15">
        <f t="shared" si="217"/>
        <v>2757534</v>
      </c>
      <c r="AN474" s="15">
        <f t="shared" si="218"/>
        <v>333713</v>
      </c>
      <c r="AO474" s="15">
        <f t="shared" si="223"/>
        <v>386999</v>
      </c>
      <c r="AP474" s="17">
        <f t="shared" si="219"/>
        <v>3144533</v>
      </c>
      <c r="AQ474" s="15">
        <v>2455988</v>
      </c>
      <c r="AR474" s="15">
        <v>6462</v>
      </c>
      <c r="AS474" s="18">
        <f t="shared" si="224"/>
        <v>688545</v>
      </c>
      <c r="AT474" s="19">
        <v>0</v>
      </c>
      <c r="AU474" s="8">
        <v>8800</v>
      </c>
      <c r="AV474" s="13">
        <f t="shared" si="225"/>
        <v>1373504</v>
      </c>
      <c r="AW474" s="18">
        <f t="shared" si="226"/>
        <v>2757534</v>
      </c>
      <c r="AX474" s="15">
        <f t="shared" si="220"/>
        <v>2758000</v>
      </c>
      <c r="AY474" s="20">
        <v>0.06</v>
      </c>
      <c r="AZ474" s="13">
        <f t="shared" si="221"/>
        <v>165480</v>
      </c>
      <c r="BA474" s="15">
        <f t="shared" si="222"/>
        <v>165500</v>
      </c>
      <c r="BB474" s="21">
        <f t="shared" si="227"/>
        <v>854045</v>
      </c>
      <c r="BC474" s="10">
        <f t="shared" si="228"/>
        <v>0</v>
      </c>
      <c r="BD474" s="10">
        <f t="shared" si="229"/>
        <v>0</v>
      </c>
      <c r="BE474" s="10">
        <v>34</v>
      </c>
      <c r="BF474" s="10">
        <v>14.5</v>
      </c>
      <c r="BG474" s="107">
        <v>46176</v>
      </c>
      <c r="BH474" s="107">
        <f t="shared" si="203"/>
        <v>46206</v>
      </c>
      <c r="BI474" s="23">
        <v>6</v>
      </c>
      <c r="BJ474" s="6"/>
      <c r="BK474" s="6"/>
      <c r="BL474" s="6">
        <f>VLOOKUP(A474,[2]Sheet1!$D$2:$H$933,5,0)</f>
        <v>0</v>
      </c>
      <c r="BM474" s="6" t="s">
        <v>3828</v>
      </c>
      <c r="BN474" s="6" t="s">
        <v>3829</v>
      </c>
      <c r="BO474" s="6" t="s">
        <v>3820</v>
      </c>
      <c r="BP474" s="6" t="s">
        <v>3821</v>
      </c>
      <c r="BQ474" s="6" t="s">
        <v>3830</v>
      </c>
      <c r="BR474" t="s">
        <v>3823</v>
      </c>
      <c r="BS474" t="s">
        <v>3824</v>
      </c>
      <c r="BT474" t="s">
        <v>3825</v>
      </c>
      <c r="BU474" t="s">
        <v>3826</v>
      </c>
      <c r="BV474" t="s">
        <v>3827</v>
      </c>
      <c r="BW474" t="s">
        <v>3835</v>
      </c>
      <c r="BX474">
        <v>0</v>
      </c>
      <c r="BY474" t="s">
        <v>3862</v>
      </c>
      <c r="BZ474" t="s">
        <v>3863</v>
      </c>
    </row>
    <row r="475" spans="1:78" x14ac:dyDescent="0.25">
      <c r="A475" s="7" t="s">
        <v>1985</v>
      </c>
      <c r="B475" s="7" t="s">
        <v>181</v>
      </c>
      <c r="C475" s="7" t="s">
        <v>1983</v>
      </c>
      <c r="D475" s="8" t="s">
        <v>1984</v>
      </c>
      <c r="E475" s="7" t="s">
        <v>1986</v>
      </c>
      <c r="F475" s="9">
        <v>45050</v>
      </c>
      <c r="G475" s="9" t="s">
        <v>717</v>
      </c>
      <c r="H475" s="9" t="s">
        <v>72</v>
      </c>
      <c r="I475" s="8" t="s">
        <v>78</v>
      </c>
      <c r="J475" s="10">
        <v>1220.6400000000001</v>
      </c>
      <c r="K475" s="10">
        <v>1220.6400000000001</v>
      </c>
      <c r="L475" s="10">
        <f t="shared" si="205"/>
        <v>0</v>
      </c>
      <c r="M475" s="10">
        <v>557.58000000000004</v>
      </c>
      <c r="N475" s="10">
        <v>557.58000000000004</v>
      </c>
      <c r="O475" s="10">
        <f t="shared" si="206"/>
        <v>0</v>
      </c>
      <c r="P475" s="11">
        <v>7162.9243675448943</v>
      </c>
      <c r="Q475" s="11">
        <v>15680.892427992394</v>
      </c>
      <c r="R475" s="11">
        <v>20000</v>
      </c>
      <c r="S475" s="11">
        <v>8743352</v>
      </c>
      <c r="T475" s="11">
        <v>1049204</v>
      </c>
      <c r="U475" s="12">
        <f t="shared" si="207"/>
        <v>0.12000020129579594</v>
      </c>
      <c r="V475" s="13">
        <f t="shared" si="230"/>
        <v>0</v>
      </c>
      <c r="W475" s="10">
        <f t="shared" si="208"/>
        <v>0</v>
      </c>
      <c r="X475" s="10"/>
      <c r="Y475" s="10"/>
      <c r="Z475" s="11">
        <f t="shared" si="209"/>
        <v>8743352</v>
      </c>
      <c r="AA475" s="14"/>
      <c r="AB475" s="14"/>
      <c r="AC475" s="11">
        <f t="shared" si="210"/>
        <v>8743352</v>
      </c>
      <c r="AD475" s="10">
        <f t="shared" si="211"/>
        <v>300</v>
      </c>
      <c r="AE475" s="15">
        <v>167274</v>
      </c>
      <c r="AF475" s="16">
        <v>30110</v>
      </c>
      <c r="AG475" s="15">
        <f t="shared" si="212"/>
        <v>0</v>
      </c>
      <c r="AH475" s="15">
        <f t="shared" si="213"/>
        <v>0</v>
      </c>
      <c r="AI475" s="15">
        <f t="shared" si="214"/>
        <v>167274</v>
      </c>
      <c r="AJ475" s="15">
        <f t="shared" si="215"/>
        <v>30110</v>
      </c>
      <c r="AK475" s="10">
        <v>167274</v>
      </c>
      <c r="AL475" s="15">
        <f t="shared" si="216"/>
        <v>167274</v>
      </c>
      <c r="AM475" s="15">
        <f t="shared" si="217"/>
        <v>8910626</v>
      </c>
      <c r="AN475" s="15">
        <f t="shared" si="218"/>
        <v>1079314</v>
      </c>
      <c r="AO475" s="15">
        <f t="shared" si="223"/>
        <v>1255870</v>
      </c>
      <c r="AP475" s="17">
        <f t="shared" si="219"/>
        <v>10166496</v>
      </c>
      <c r="AQ475" s="15">
        <v>9757057.9199999999</v>
      </c>
      <c r="AR475" s="15">
        <v>9282</v>
      </c>
      <c r="AS475" s="18">
        <f t="shared" si="224"/>
        <v>409438</v>
      </c>
      <c r="AT475" s="19">
        <v>0</v>
      </c>
      <c r="AU475" s="8">
        <v>8800</v>
      </c>
      <c r="AV475" s="13">
        <f t="shared" si="225"/>
        <v>4906704</v>
      </c>
      <c r="AW475" s="18">
        <f t="shared" si="226"/>
        <v>8910626</v>
      </c>
      <c r="AX475" s="15">
        <f t="shared" si="220"/>
        <v>8911000</v>
      </c>
      <c r="AY475" s="20">
        <v>0.06</v>
      </c>
      <c r="AZ475" s="13">
        <f t="shared" si="221"/>
        <v>534660</v>
      </c>
      <c r="BA475" s="15">
        <f t="shared" si="222"/>
        <v>534700</v>
      </c>
      <c r="BB475" s="21">
        <f t="shared" si="227"/>
        <v>944138</v>
      </c>
      <c r="BC475" s="10">
        <f t="shared" si="228"/>
        <v>0</v>
      </c>
      <c r="BD475" s="10">
        <f t="shared" si="229"/>
        <v>0</v>
      </c>
      <c r="BE475" s="10">
        <v>113.4</v>
      </c>
      <c r="BF475" s="10">
        <v>51.8</v>
      </c>
      <c r="BG475" s="107">
        <v>46176</v>
      </c>
      <c r="BH475" s="107">
        <f t="shared" si="203"/>
        <v>46206</v>
      </c>
      <c r="BI475" s="23">
        <v>6</v>
      </c>
      <c r="BJ475" s="6"/>
      <c r="BK475" s="6"/>
      <c r="BL475" s="6">
        <f>VLOOKUP(A475,[2]Sheet1!$D$2:$H$933,5,0)</f>
        <v>0</v>
      </c>
      <c r="BM475" s="6" t="s">
        <v>3828</v>
      </c>
      <c r="BN475" s="6" t="s">
        <v>3829</v>
      </c>
      <c r="BO475" s="6" t="s">
        <v>3820</v>
      </c>
      <c r="BP475" s="6" t="s">
        <v>3821</v>
      </c>
      <c r="BQ475" s="6" t="s">
        <v>3830</v>
      </c>
      <c r="BR475" t="s">
        <v>3823</v>
      </c>
      <c r="BS475" t="s">
        <v>3824</v>
      </c>
      <c r="BT475" t="s">
        <v>3825</v>
      </c>
      <c r="BU475" t="s">
        <v>3826</v>
      </c>
      <c r="BV475" t="s">
        <v>3827</v>
      </c>
      <c r="BW475" t="s">
        <v>3835</v>
      </c>
      <c r="BX475">
        <v>0</v>
      </c>
      <c r="BY475" t="s">
        <v>3859</v>
      </c>
      <c r="BZ475" t="s">
        <v>3872</v>
      </c>
    </row>
    <row r="476" spans="1:78" x14ac:dyDescent="0.25">
      <c r="A476" s="7" t="s">
        <v>1989</v>
      </c>
      <c r="B476" s="7" t="s">
        <v>181</v>
      </c>
      <c r="C476" s="7" t="s">
        <v>1987</v>
      </c>
      <c r="D476" s="8" t="s">
        <v>1988</v>
      </c>
      <c r="E476" s="7" t="s">
        <v>1990</v>
      </c>
      <c r="F476" s="9">
        <v>45043</v>
      </c>
      <c r="G476" s="9" t="s">
        <v>527</v>
      </c>
      <c r="H476" s="9" t="s">
        <v>92</v>
      </c>
      <c r="I476" s="8" t="s">
        <v>67</v>
      </c>
      <c r="J476" s="10">
        <v>270.3</v>
      </c>
      <c r="K476" s="10">
        <v>270.3</v>
      </c>
      <c r="L476" s="10">
        <f t="shared" si="205"/>
        <v>0</v>
      </c>
      <c r="M476" s="10">
        <v>107.64</v>
      </c>
      <c r="N476" s="10">
        <v>107.64</v>
      </c>
      <c r="O476" s="10">
        <f t="shared" si="206"/>
        <v>0</v>
      </c>
      <c r="P476" s="11">
        <v>17130</v>
      </c>
      <c r="Q476" s="11">
        <v>43015.96989966555</v>
      </c>
      <c r="R476" s="11">
        <v>28000</v>
      </c>
      <c r="S476" s="11">
        <v>4630239</v>
      </c>
      <c r="T476" s="11">
        <v>555630</v>
      </c>
      <c r="U476" s="12">
        <f t="shared" si="207"/>
        <v>0.1200002850824763</v>
      </c>
      <c r="V476" s="13">
        <f t="shared" si="230"/>
        <v>0</v>
      </c>
      <c r="W476" s="10">
        <f t="shared" si="208"/>
        <v>0</v>
      </c>
      <c r="X476" s="10"/>
      <c r="Y476" s="10"/>
      <c r="Z476" s="11">
        <f t="shared" si="209"/>
        <v>4630239</v>
      </c>
      <c r="AA476" s="14">
        <v>194120</v>
      </c>
      <c r="AB476" s="14">
        <v>23294</v>
      </c>
      <c r="AC476" s="11">
        <f t="shared" si="210"/>
        <v>4436119</v>
      </c>
      <c r="AD476" s="10">
        <f t="shared" si="211"/>
        <v>300</v>
      </c>
      <c r="AE476" s="15">
        <v>32292</v>
      </c>
      <c r="AF476" s="16">
        <v>5812</v>
      </c>
      <c r="AG476" s="15">
        <f t="shared" si="212"/>
        <v>0</v>
      </c>
      <c r="AH476" s="15">
        <f t="shared" si="213"/>
        <v>0</v>
      </c>
      <c r="AI476" s="15">
        <f t="shared" si="214"/>
        <v>32292</v>
      </c>
      <c r="AJ476" s="15">
        <f t="shared" si="215"/>
        <v>5813</v>
      </c>
      <c r="AK476" s="10">
        <v>32292</v>
      </c>
      <c r="AL476" s="15">
        <f t="shared" si="216"/>
        <v>32292</v>
      </c>
      <c r="AM476" s="15">
        <f t="shared" si="217"/>
        <v>4468411</v>
      </c>
      <c r="AN476" s="15">
        <f t="shared" si="218"/>
        <v>538149</v>
      </c>
      <c r="AO476" s="15">
        <f t="shared" si="223"/>
        <v>577173</v>
      </c>
      <c r="AP476" s="17">
        <f t="shared" si="219"/>
        <v>5045584</v>
      </c>
      <c r="AQ476" s="15">
        <v>4449869</v>
      </c>
      <c r="AR476" s="15">
        <v>6732</v>
      </c>
      <c r="AS476" s="18">
        <f t="shared" si="224"/>
        <v>595715</v>
      </c>
      <c r="AT476" s="19">
        <v>0</v>
      </c>
      <c r="AU476" s="8">
        <v>8800</v>
      </c>
      <c r="AV476" s="13">
        <f t="shared" si="225"/>
        <v>947232</v>
      </c>
      <c r="AW476" s="18">
        <f t="shared" si="226"/>
        <v>4468411</v>
      </c>
      <c r="AX476" s="15">
        <f t="shared" si="220"/>
        <v>4469000</v>
      </c>
      <c r="AY476" s="20">
        <v>0.05</v>
      </c>
      <c r="AZ476" s="13">
        <f t="shared" si="221"/>
        <v>223450</v>
      </c>
      <c r="BA476" s="15">
        <f t="shared" si="222"/>
        <v>223500</v>
      </c>
      <c r="BB476" s="21">
        <f t="shared" si="227"/>
        <v>819215</v>
      </c>
      <c r="BC476" s="10">
        <f t="shared" si="228"/>
        <v>0</v>
      </c>
      <c r="BD476" s="10">
        <f t="shared" si="229"/>
        <v>0</v>
      </c>
      <c r="BE476" s="10">
        <v>25.11</v>
      </c>
      <c r="BF476" s="10">
        <v>10</v>
      </c>
      <c r="BG476" s="107">
        <v>46176</v>
      </c>
      <c r="BH476" s="107">
        <f t="shared" si="203"/>
        <v>46206</v>
      </c>
      <c r="BI476" s="23">
        <v>5</v>
      </c>
      <c r="BJ476" s="6"/>
      <c r="BK476" s="6"/>
      <c r="BL476" s="6">
        <f>VLOOKUP(A476,[2]Sheet1!$D$2:$H$933,5,0)</f>
        <v>0</v>
      </c>
      <c r="BM476" s="6" t="s">
        <v>3828</v>
      </c>
      <c r="BN476" s="6" t="s">
        <v>3829</v>
      </c>
      <c r="BO476" s="6" t="s">
        <v>3820</v>
      </c>
      <c r="BP476" s="6" t="s">
        <v>3821</v>
      </c>
      <c r="BQ476" s="6" t="s">
        <v>3830</v>
      </c>
      <c r="BR476" t="s">
        <v>3823</v>
      </c>
      <c r="BS476" t="s">
        <v>3824</v>
      </c>
      <c r="BT476" t="s">
        <v>3825</v>
      </c>
      <c r="BU476" t="s">
        <v>3826</v>
      </c>
      <c r="BV476" t="s">
        <v>3827</v>
      </c>
      <c r="BW476" t="s">
        <v>3835</v>
      </c>
      <c r="BX476">
        <v>0</v>
      </c>
      <c r="BY476" t="s">
        <v>3862</v>
      </c>
      <c r="BZ476" t="s">
        <v>3871</v>
      </c>
    </row>
    <row r="477" spans="1:78" x14ac:dyDescent="0.25">
      <c r="A477" s="7" t="s">
        <v>1993</v>
      </c>
      <c r="B477" s="7" t="s">
        <v>181</v>
      </c>
      <c r="C477" s="7" t="s">
        <v>1991</v>
      </c>
      <c r="D477" s="8" t="s">
        <v>1992</v>
      </c>
      <c r="E477" s="7" t="s">
        <v>1994</v>
      </c>
      <c r="F477" s="9">
        <v>44896</v>
      </c>
      <c r="G477" s="9" t="s">
        <v>717</v>
      </c>
      <c r="H477" s="9" t="s">
        <v>66</v>
      </c>
      <c r="I477" s="8" t="s">
        <v>78</v>
      </c>
      <c r="J477" s="10">
        <v>596.33000000000004</v>
      </c>
      <c r="K477" s="10">
        <v>610</v>
      </c>
      <c r="L477" s="10">
        <f t="shared" si="205"/>
        <v>13.669999999999959</v>
      </c>
      <c r="M477" s="10">
        <v>266.95</v>
      </c>
      <c r="N477" s="10">
        <v>275</v>
      </c>
      <c r="O477" s="10">
        <f t="shared" si="206"/>
        <v>8.0500000000000114</v>
      </c>
      <c r="P477" s="11">
        <v>12000</v>
      </c>
      <c r="Q477" s="11">
        <v>26806.36823375164</v>
      </c>
      <c r="R477" s="11">
        <v>22000</v>
      </c>
      <c r="S477" s="11">
        <v>7155960</v>
      </c>
      <c r="T477" s="11">
        <v>858718</v>
      </c>
      <c r="U477" s="12">
        <f t="shared" si="207"/>
        <v>0.12000039128223187</v>
      </c>
      <c r="V477" s="13">
        <f>L477*R477</f>
        <v>300739.99999999913</v>
      </c>
      <c r="W477" s="10">
        <f t="shared" si="208"/>
        <v>36088.917674218312</v>
      </c>
      <c r="X477" s="15"/>
      <c r="Y477" s="15"/>
      <c r="Z477" s="11">
        <f t="shared" si="209"/>
        <v>7456699.9999999991</v>
      </c>
      <c r="AA477" s="14"/>
      <c r="AB477" s="14"/>
      <c r="AC477" s="11">
        <f t="shared" si="210"/>
        <v>7456699.9999999991</v>
      </c>
      <c r="AD477" s="10">
        <f t="shared" si="211"/>
        <v>300</v>
      </c>
      <c r="AE477" s="15">
        <v>80085</v>
      </c>
      <c r="AF477" s="16">
        <v>14416</v>
      </c>
      <c r="AG477" s="15">
        <f t="shared" si="212"/>
        <v>2415.0000000000036</v>
      </c>
      <c r="AH477" s="15">
        <f t="shared" si="213"/>
        <v>434.70000000000061</v>
      </c>
      <c r="AI477" s="15">
        <f t="shared" si="214"/>
        <v>82500</v>
      </c>
      <c r="AJ477" s="15">
        <f t="shared" si="215"/>
        <v>14850</v>
      </c>
      <c r="AK477" s="10">
        <v>80085</v>
      </c>
      <c r="AL477" s="15">
        <f t="shared" si="216"/>
        <v>82500</v>
      </c>
      <c r="AM477" s="15">
        <f t="shared" si="217"/>
        <v>7539200</v>
      </c>
      <c r="AN477" s="15">
        <f t="shared" si="218"/>
        <v>909657</v>
      </c>
      <c r="AO477" s="15">
        <f t="shared" si="223"/>
        <v>1002264</v>
      </c>
      <c r="AP477" s="17">
        <f t="shared" si="219"/>
        <v>8541464</v>
      </c>
      <c r="AQ477" s="15">
        <v>5179801</v>
      </c>
      <c r="AR477" s="15">
        <v>10107</v>
      </c>
      <c r="AS477" s="18">
        <f t="shared" si="224"/>
        <v>3361663</v>
      </c>
      <c r="AT477" s="19">
        <v>0</v>
      </c>
      <c r="AU477" s="8">
        <v>8800</v>
      </c>
      <c r="AV477" s="13">
        <f t="shared" si="225"/>
        <v>2420000</v>
      </c>
      <c r="AW477" s="18">
        <f t="shared" si="226"/>
        <v>7539200</v>
      </c>
      <c r="AX477" s="15">
        <f t="shared" si="220"/>
        <v>7540000</v>
      </c>
      <c r="AY477" s="20">
        <v>0.05</v>
      </c>
      <c r="AZ477" s="13">
        <f t="shared" si="221"/>
        <v>377000</v>
      </c>
      <c r="BA477" s="15">
        <f t="shared" si="222"/>
        <v>377000</v>
      </c>
      <c r="BB477" s="21">
        <f t="shared" si="227"/>
        <v>3738663</v>
      </c>
      <c r="BC477" s="10">
        <f t="shared" si="228"/>
        <v>2.2923549041637949</v>
      </c>
      <c r="BD477" s="10">
        <f t="shared" si="229"/>
        <v>3.0155459823937112</v>
      </c>
      <c r="BE477" s="10">
        <v>56.67</v>
      </c>
      <c r="BF477" s="10">
        <v>25.55</v>
      </c>
      <c r="BG477" s="107">
        <v>46176</v>
      </c>
      <c r="BH477" s="107">
        <f t="shared" si="203"/>
        <v>46206</v>
      </c>
      <c r="BI477" s="23">
        <v>5</v>
      </c>
      <c r="BJ477" s="6"/>
      <c r="BK477" s="6"/>
      <c r="BL477" s="6">
        <f>VLOOKUP(A477,[2]Sheet1!$D$2:$H$933,5,0)</f>
        <v>0</v>
      </c>
      <c r="BM477" s="6" t="s">
        <v>3828</v>
      </c>
      <c r="BN477" s="6" t="s">
        <v>3829</v>
      </c>
      <c r="BO477" s="6" t="s">
        <v>3820</v>
      </c>
      <c r="BP477" s="6" t="s">
        <v>3821</v>
      </c>
      <c r="BQ477" s="6" t="s">
        <v>3830</v>
      </c>
      <c r="BR477" t="s">
        <v>3823</v>
      </c>
      <c r="BS477" t="s">
        <v>3824</v>
      </c>
      <c r="BT477" t="s">
        <v>3825</v>
      </c>
      <c r="BU477" t="s">
        <v>3826</v>
      </c>
      <c r="BV477" t="s">
        <v>3827</v>
      </c>
      <c r="BW477" t="s">
        <v>3835</v>
      </c>
      <c r="BX477">
        <v>0</v>
      </c>
      <c r="BY477" t="s">
        <v>3866</v>
      </c>
      <c r="BZ477" t="s">
        <v>3872</v>
      </c>
    </row>
    <row r="478" spans="1:78" x14ac:dyDescent="0.25">
      <c r="A478" s="7" t="s">
        <v>1997</v>
      </c>
      <c r="B478" s="7" t="s">
        <v>181</v>
      </c>
      <c r="C478" s="7" t="s">
        <v>1995</v>
      </c>
      <c r="D478" s="8" t="s">
        <v>1996</v>
      </c>
      <c r="E478" s="7" t="s">
        <v>1998</v>
      </c>
      <c r="F478" s="9">
        <v>44987</v>
      </c>
      <c r="G478" s="9" t="s">
        <v>65</v>
      </c>
      <c r="H478" s="9" t="s">
        <v>92</v>
      </c>
      <c r="I478" s="8" t="s">
        <v>78</v>
      </c>
      <c r="J478" s="10">
        <v>611.4</v>
      </c>
      <c r="K478" s="10">
        <v>611.4</v>
      </c>
      <c r="L478" s="10">
        <f t="shared" si="205"/>
        <v>0</v>
      </c>
      <c r="M478" s="10">
        <v>281.48</v>
      </c>
      <c r="N478" s="10">
        <v>281.48</v>
      </c>
      <c r="O478" s="10">
        <f t="shared" si="206"/>
        <v>0</v>
      </c>
      <c r="P478" s="11">
        <v>9300</v>
      </c>
      <c r="Q478" s="11">
        <v>20200.440528634361</v>
      </c>
      <c r="R478" s="11">
        <v>28000</v>
      </c>
      <c r="S478" s="11">
        <v>5686020</v>
      </c>
      <c r="T478" s="11">
        <v>682322</v>
      </c>
      <c r="U478" s="12">
        <f t="shared" si="207"/>
        <v>0.11999992965202373</v>
      </c>
      <c r="V478" s="13">
        <f t="shared" ref="V478:V494" si="231">L478*P478</f>
        <v>0</v>
      </c>
      <c r="W478" s="10">
        <f t="shared" si="208"/>
        <v>0</v>
      </c>
      <c r="X478" s="10"/>
      <c r="Y478" s="10"/>
      <c r="Z478" s="11">
        <f t="shared" si="209"/>
        <v>5686020</v>
      </c>
      <c r="AA478" s="14"/>
      <c r="AB478" s="14"/>
      <c r="AC478" s="11">
        <f t="shared" si="210"/>
        <v>5686020</v>
      </c>
      <c r="AD478" s="10">
        <f t="shared" si="211"/>
        <v>300</v>
      </c>
      <c r="AE478" s="15">
        <v>84444</v>
      </c>
      <c r="AF478" s="16">
        <v>15200</v>
      </c>
      <c r="AG478" s="15">
        <f t="shared" si="212"/>
        <v>0</v>
      </c>
      <c r="AH478" s="15">
        <f t="shared" si="213"/>
        <v>0</v>
      </c>
      <c r="AI478" s="15">
        <f t="shared" si="214"/>
        <v>84444</v>
      </c>
      <c r="AJ478" s="15">
        <f t="shared" si="215"/>
        <v>15200</v>
      </c>
      <c r="AK478" s="10">
        <v>84444</v>
      </c>
      <c r="AL478" s="15">
        <f t="shared" si="216"/>
        <v>84444</v>
      </c>
      <c r="AM478" s="15">
        <f t="shared" si="217"/>
        <v>5770464</v>
      </c>
      <c r="AN478" s="15">
        <f t="shared" si="218"/>
        <v>697522</v>
      </c>
      <c r="AO478" s="15">
        <f t="shared" si="223"/>
        <v>792090</v>
      </c>
      <c r="AP478" s="17">
        <f t="shared" si="219"/>
        <v>6562554</v>
      </c>
      <c r="AQ478" s="15">
        <v>2986066</v>
      </c>
      <c r="AR478" s="15">
        <v>10124</v>
      </c>
      <c r="AS478" s="18">
        <f t="shared" si="224"/>
        <v>3576488</v>
      </c>
      <c r="AT478" s="19">
        <v>0</v>
      </c>
      <c r="AU478" s="8">
        <v>8800</v>
      </c>
      <c r="AV478" s="13">
        <f t="shared" si="225"/>
        <v>2477024</v>
      </c>
      <c r="AW478" s="18">
        <f t="shared" si="226"/>
        <v>5770464</v>
      </c>
      <c r="AX478" s="15">
        <f t="shared" si="220"/>
        <v>5771000</v>
      </c>
      <c r="AY478" s="20">
        <v>0.05</v>
      </c>
      <c r="AZ478" s="13">
        <f t="shared" si="221"/>
        <v>288550</v>
      </c>
      <c r="BA478" s="15">
        <f t="shared" si="222"/>
        <v>288600</v>
      </c>
      <c r="BB478" s="21">
        <f t="shared" si="227"/>
        <v>3865088</v>
      </c>
      <c r="BC478" s="10">
        <f t="shared" si="228"/>
        <v>0</v>
      </c>
      <c r="BD478" s="10">
        <f t="shared" si="229"/>
        <v>0</v>
      </c>
      <c r="BE478" s="10">
        <v>56.8</v>
      </c>
      <c r="BF478" s="10">
        <v>26.15</v>
      </c>
      <c r="BG478" s="107">
        <v>46176</v>
      </c>
      <c r="BH478" s="107">
        <f t="shared" si="203"/>
        <v>46206</v>
      </c>
      <c r="BI478" s="23">
        <v>5</v>
      </c>
      <c r="BJ478" s="6"/>
      <c r="BK478" s="6"/>
      <c r="BL478" s="6">
        <f>VLOOKUP(A478,[2]Sheet1!$D$2:$H$933,5,0)</f>
        <v>0</v>
      </c>
      <c r="BM478" s="6" t="s">
        <v>3828</v>
      </c>
      <c r="BN478" s="6" t="s">
        <v>3829</v>
      </c>
      <c r="BO478" s="6" t="s">
        <v>3820</v>
      </c>
      <c r="BP478" s="6" t="s">
        <v>3821</v>
      </c>
      <c r="BQ478" s="6" t="s">
        <v>3830</v>
      </c>
      <c r="BR478" t="s">
        <v>3823</v>
      </c>
      <c r="BS478" t="s">
        <v>3824</v>
      </c>
      <c r="BT478" t="s">
        <v>3825</v>
      </c>
      <c r="BU478" t="s">
        <v>3826</v>
      </c>
      <c r="BV478" t="s">
        <v>3827</v>
      </c>
      <c r="BW478" t="s">
        <v>3835</v>
      </c>
      <c r="BX478">
        <v>0</v>
      </c>
      <c r="BY478" t="s">
        <v>3869</v>
      </c>
      <c r="BZ478" t="s">
        <v>3860</v>
      </c>
    </row>
    <row r="479" spans="1:78" x14ac:dyDescent="0.25">
      <c r="A479" s="7" t="s">
        <v>2001</v>
      </c>
      <c r="B479" s="7" t="s">
        <v>181</v>
      </c>
      <c r="C479" s="7" t="s">
        <v>1999</v>
      </c>
      <c r="D479" s="8" t="s">
        <v>2000</v>
      </c>
      <c r="E479" s="7" t="s">
        <v>2002</v>
      </c>
      <c r="F479" s="9">
        <v>44956</v>
      </c>
      <c r="G479" s="9" t="s">
        <v>404</v>
      </c>
      <c r="H479" s="9" t="s">
        <v>190</v>
      </c>
      <c r="I479" s="8" t="s">
        <v>78</v>
      </c>
      <c r="J479" s="10">
        <v>1438.07</v>
      </c>
      <c r="K479" s="10">
        <v>1438.07</v>
      </c>
      <c r="L479" s="10">
        <f t="shared" si="205"/>
        <v>0</v>
      </c>
      <c r="M479" s="10">
        <v>648.85</v>
      </c>
      <c r="N479" s="10">
        <v>648.85</v>
      </c>
      <c r="O479" s="10">
        <f t="shared" si="206"/>
        <v>0</v>
      </c>
      <c r="P479" s="11">
        <v>27249.28271920004</v>
      </c>
      <c r="Q479" s="11">
        <v>60393.582492101406</v>
      </c>
      <c r="R479" s="11">
        <v>60000</v>
      </c>
      <c r="S479" s="11">
        <v>39186376</v>
      </c>
      <c r="T479" s="11">
        <v>4702366</v>
      </c>
      <c r="U479" s="12">
        <f t="shared" si="207"/>
        <v>0.12000002245678447</v>
      </c>
      <c r="V479" s="13">
        <f t="shared" si="231"/>
        <v>0</v>
      </c>
      <c r="W479" s="10">
        <f t="shared" si="208"/>
        <v>0</v>
      </c>
      <c r="X479" s="10"/>
      <c r="Y479" s="10"/>
      <c r="Z479" s="11">
        <f t="shared" si="209"/>
        <v>39186376</v>
      </c>
      <c r="AA479" s="14">
        <v>13715231</v>
      </c>
      <c r="AB479" s="14">
        <v>1645828</v>
      </c>
      <c r="AC479" s="11">
        <f t="shared" si="210"/>
        <v>25471145</v>
      </c>
      <c r="AD479" s="10">
        <f t="shared" si="211"/>
        <v>300</v>
      </c>
      <c r="AE479" s="15">
        <v>194655</v>
      </c>
      <c r="AF479" s="16">
        <v>35038</v>
      </c>
      <c r="AG479" s="15">
        <f t="shared" si="212"/>
        <v>0</v>
      </c>
      <c r="AH479" s="15">
        <f t="shared" si="213"/>
        <v>0</v>
      </c>
      <c r="AI479" s="15">
        <f t="shared" si="214"/>
        <v>194655</v>
      </c>
      <c r="AJ479" s="15">
        <f t="shared" si="215"/>
        <v>35038</v>
      </c>
      <c r="AK479" s="10">
        <v>194655</v>
      </c>
      <c r="AL479" s="15">
        <f t="shared" si="216"/>
        <v>194655</v>
      </c>
      <c r="AM479" s="15">
        <f t="shared" si="217"/>
        <v>25665800</v>
      </c>
      <c r="AN479" s="15">
        <f t="shared" si="218"/>
        <v>3091576</v>
      </c>
      <c r="AO479" s="15">
        <f t="shared" si="223"/>
        <v>3294078</v>
      </c>
      <c r="AP479" s="17">
        <f t="shared" si="219"/>
        <v>28959878</v>
      </c>
      <c r="AQ479" s="15">
        <v>22394825.32</v>
      </c>
      <c r="AR479" s="15">
        <v>7847</v>
      </c>
      <c r="AS479" s="18">
        <f t="shared" si="224"/>
        <v>6565053</v>
      </c>
      <c r="AT479" s="19">
        <v>0</v>
      </c>
      <c r="AU479" s="8">
        <v>8800</v>
      </c>
      <c r="AV479" s="13">
        <f t="shared" si="225"/>
        <v>5709880</v>
      </c>
      <c r="AW479" s="18">
        <f t="shared" si="226"/>
        <v>25665800</v>
      </c>
      <c r="AX479" s="15">
        <f t="shared" si="220"/>
        <v>25666000</v>
      </c>
      <c r="AY479" s="20">
        <v>7.0000000000000007E-2</v>
      </c>
      <c r="AZ479" s="13">
        <f t="shared" si="221"/>
        <v>1796620.0000000002</v>
      </c>
      <c r="BA479" s="15">
        <f t="shared" si="222"/>
        <v>1796700</v>
      </c>
      <c r="BB479" s="21">
        <f t="shared" si="227"/>
        <v>8361753</v>
      </c>
      <c r="BC479" s="10">
        <f t="shared" si="228"/>
        <v>0</v>
      </c>
      <c r="BD479" s="10">
        <f t="shared" si="229"/>
        <v>0</v>
      </c>
      <c r="BE479" s="10">
        <v>133.6</v>
      </c>
      <c r="BF479" s="10">
        <v>60.28</v>
      </c>
      <c r="BG479" s="107">
        <v>46176</v>
      </c>
      <c r="BH479" s="107">
        <f t="shared" si="203"/>
        <v>46206</v>
      </c>
      <c r="BI479" s="23">
        <v>7</v>
      </c>
      <c r="BJ479" s="6"/>
      <c r="BK479" s="6"/>
      <c r="BL479" s="6">
        <f>VLOOKUP(A479,[2]Sheet1!$D$2:$H$933,5,0)</f>
        <v>0</v>
      </c>
      <c r="BM479" s="6" t="s">
        <v>3828</v>
      </c>
      <c r="BN479" s="6" t="s">
        <v>3829</v>
      </c>
      <c r="BO479" s="6" t="s">
        <v>3820</v>
      </c>
      <c r="BP479" s="6" t="s">
        <v>3821</v>
      </c>
      <c r="BQ479" s="6" t="s">
        <v>3830</v>
      </c>
      <c r="BR479" t="s">
        <v>3823</v>
      </c>
      <c r="BS479" t="s">
        <v>3824</v>
      </c>
      <c r="BT479" t="s">
        <v>3825</v>
      </c>
      <c r="BU479" t="s">
        <v>3826</v>
      </c>
      <c r="BV479" t="s">
        <v>3827</v>
      </c>
      <c r="BW479" t="s">
        <v>3835</v>
      </c>
      <c r="BX479">
        <v>0</v>
      </c>
      <c r="BY479" t="s">
        <v>3865</v>
      </c>
      <c r="BZ479" t="s">
        <v>3863</v>
      </c>
    </row>
    <row r="480" spans="1:78" x14ac:dyDescent="0.25">
      <c r="A480" s="7" t="s">
        <v>2005</v>
      </c>
      <c r="B480" s="7" t="s">
        <v>181</v>
      </c>
      <c r="C480" s="7" t="s">
        <v>2003</v>
      </c>
      <c r="D480" s="8" t="s">
        <v>2004</v>
      </c>
      <c r="E480" s="7" t="s">
        <v>2006</v>
      </c>
      <c r="F480" s="9">
        <v>45020</v>
      </c>
      <c r="G480" s="9" t="s">
        <v>363</v>
      </c>
      <c r="H480" s="9" t="s">
        <v>92</v>
      </c>
      <c r="I480" s="8" t="s">
        <v>78</v>
      </c>
      <c r="J480" s="10">
        <v>697.51</v>
      </c>
      <c r="K480" s="10">
        <v>697.51</v>
      </c>
      <c r="L480" s="10">
        <f t="shared" si="205"/>
        <v>0</v>
      </c>
      <c r="M480" s="10">
        <v>317.54000000000002</v>
      </c>
      <c r="N480" s="10">
        <v>317.54000000000002</v>
      </c>
      <c r="O480" s="10">
        <f t="shared" si="206"/>
        <v>0</v>
      </c>
      <c r="P480" s="11">
        <v>13082.000258060816</v>
      </c>
      <c r="Q480" s="11">
        <v>28735.989166719151</v>
      </c>
      <c r="R480" s="11">
        <v>28000</v>
      </c>
      <c r="S480" s="11">
        <v>9124826</v>
      </c>
      <c r="T480" s="11">
        <v>1094980</v>
      </c>
      <c r="U480" s="12">
        <f t="shared" si="207"/>
        <v>0.12000009644019513</v>
      </c>
      <c r="V480" s="13">
        <f t="shared" si="231"/>
        <v>0</v>
      </c>
      <c r="W480" s="10">
        <f t="shared" si="208"/>
        <v>0</v>
      </c>
      <c r="X480" s="10"/>
      <c r="Y480" s="10"/>
      <c r="Z480" s="11">
        <f t="shared" si="209"/>
        <v>9124826</v>
      </c>
      <c r="AA480" s="14"/>
      <c r="AB480" s="14"/>
      <c r="AC480" s="11">
        <f t="shared" si="210"/>
        <v>9124826</v>
      </c>
      <c r="AD480" s="10">
        <f t="shared" si="211"/>
        <v>300</v>
      </c>
      <c r="AE480" s="15">
        <v>95262</v>
      </c>
      <c r="AF480" s="16">
        <v>17148</v>
      </c>
      <c r="AG480" s="15">
        <f t="shared" si="212"/>
        <v>0</v>
      </c>
      <c r="AH480" s="15">
        <f t="shared" si="213"/>
        <v>0</v>
      </c>
      <c r="AI480" s="15">
        <f t="shared" si="214"/>
        <v>95262</v>
      </c>
      <c r="AJ480" s="15">
        <f t="shared" si="215"/>
        <v>17148</v>
      </c>
      <c r="AK480" s="10">
        <v>95262</v>
      </c>
      <c r="AL480" s="15">
        <f t="shared" si="216"/>
        <v>95262</v>
      </c>
      <c r="AM480" s="15">
        <f t="shared" si="217"/>
        <v>9220088</v>
      </c>
      <c r="AN480" s="15">
        <f t="shared" si="218"/>
        <v>1112128</v>
      </c>
      <c r="AO480" s="15">
        <f t="shared" si="223"/>
        <v>1217569</v>
      </c>
      <c r="AP480" s="17">
        <f t="shared" si="219"/>
        <v>10437657</v>
      </c>
      <c r="AQ480" s="15">
        <v>7149962</v>
      </c>
      <c r="AR480" s="15">
        <v>10179</v>
      </c>
      <c r="AS480" s="18">
        <f t="shared" si="224"/>
        <v>3287695</v>
      </c>
      <c r="AT480" s="19">
        <v>0</v>
      </c>
      <c r="AU480" s="8">
        <v>8800</v>
      </c>
      <c r="AV480" s="13">
        <f t="shared" si="225"/>
        <v>2794352</v>
      </c>
      <c r="AW480" s="18">
        <f t="shared" si="226"/>
        <v>9220088</v>
      </c>
      <c r="AX480" s="15">
        <f t="shared" si="220"/>
        <v>9221000</v>
      </c>
      <c r="AY480" s="20">
        <v>7.0000000000000007E-2</v>
      </c>
      <c r="AZ480" s="13">
        <f t="shared" si="221"/>
        <v>645470.00000000012</v>
      </c>
      <c r="BA480" s="15">
        <f t="shared" si="222"/>
        <v>645500</v>
      </c>
      <c r="BB480" s="21">
        <f t="shared" si="227"/>
        <v>3933195</v>
      </c>
      <c r="BC480" s="10">
        <f t="shared" si="228"/>
        <v>0</v>
      </c>
      <c r="BD480" s="10">
        <f t="shared" si="229"/>
        <v>0</v>
      </c>
      <c r="BE480" s="10">
        <v>64.8</v>
      </c>
      <c r="BF480" s="10">
        <v>29.5</v>
      </c>
      <c r="BG480" s="107">
        <v>46176</v>
      </c>
      <c r="BH480" s="107">
        <f t="shared" si="203"/>
        <v>46206</v>
      </c>
      <c r="BI480" s="23">
        <v>7</v>
      </c>
      <c r="BJ480" s="6"/>
      <c r="BK480" s="6"/>
      <c r="BL480" s="6">
        <f>VLOOKUP(A480,[2]Sheet1!$D$2:$H$933,5,0)</f>
        <v>0</v>
      </c>
      <c r="BM480" s="6" t="s">
        <v>3828</v>
      </c>
      <c r="BN480" s="6" t="s">
        <v>3829</v>
      </c>
      <c r="BO480" s="6" t="s">
        <v>3820</v>
      </c>
      <c r="BP480" s="6" t="s">
        <v>3821</v>
      </c>
      <c r="BQ480" s="6" t="s">
        <v>3830</v>
      </c>
      <c r="BR480" t="s">
        <v>3823</v>
      </c>
      <c r="BS480" t="s">
        <v>3824</v>
      </c>
      <c r="BT480" t="s">
        <v>3825</v>
      </c>
      <c r="BU480" t="s">
        <v>3826</v>
      </c>
      <c r="BV480" t="s">
        <v>3827</v>
      </c>
      <c r="BW480" t="s">
        <v>3835</v>
      </c>
      <c r="BX480">
        <v>0</v>
      </c>
      <c r="BY480" t="s">
        <v>3861</v>
      </c>
      <c r="BZ480" t="s">
        <v>3860</v>
      </c>
    </row>
    <row r="481" spans="1:78" x14ac:dyDescent="0.25">
      <c r="A481" s="7" t="s">
        <v>2009</v>
      </c>
      <c r="B481" s="7" t="s">
        <v>181</v>
      </c>
      <c r="C481" s="7" t="s">
        <v>2007</v>
      </c>
      <c r="D481" s="8" t="s">
        <v>2008</v>
      </c>
      <c r="E481" s="7" t="s">
        <v>2010</v>
      </c>
      <c r="F481" s="9">
        <v>44873</v>
      </c>
      <c r="G481" s="9" t="s">
        <v>717</v>
      </c>
      <c r="H481" s="9" t="s">
        <v>72</v>
      </c>
      <c r="I481" s="8" t="s">
        <v>78</v>
      </c>
      <c r="J481" s="10">
        <v>406.88</v>
      </c>
      <c r="K481" s="10">
        <v>406.88</v>
      </c>
      <c r="L481" s="10">
        <f t="shared" si="205"/>
        <v>0</v>
      </c>
      <c r="M481" s="10">
        <v>175.45</v>
      </c>
      <c r="N481" s="10">
        <v>175.45</v>
      </c>
      <c r="O481" s="10">
        <f t="shared" si="206"/>
        <v>0</v>
      </c>
      <c r="P481" s="11">
        <v>11707.719720802203</v>
      </c>
      <c r="Q481" s="11">
        <v>27150.966087204335</v>
      </c>
      <c r="R481" s="11">
        <v>20000</v>
      </c>
      <c r="S481" s="11">
        <v>4763637</v>
      </c>
      <c r="T481" s="11">
        <v>571636</v>
      </c>
      <c r="U481" s="12">
        <f t="shared" si="207"/>
        <v>0.11999990763360012</v>
      </c>
      <c r="V481" s="13">
        <f t="shared" si="231"/>
        <v>0</v>
      </c>
      <c r="W481" s="10">
        <f t="shared" si="208"/>
        <v>0</v>
      </c>
      <c r="X481" s="10"/>
      <c r="Y481" s="10"/>
      <c r="Z481" s="11">
        <f t="shared" si="209"/>
        <v>4763637</v>
      </c>
      <c r="AA481" s="14"/>
      <c r="AB481" s="14"/>
      <c r="AC481" s="11">
        <f t="shared" si="210"/>
        <v>4763637</v>
      </c>
      <c r="AD481" s="10">
        <f t="shared" si="211"/>
        <v>300</v>
      </c>
      <c r="AE481" s="15">
        <v>52635</v>
      </c>
      <c r="AF481" s="16">
        <v>9474</v>
      </c>
      <c r="AG481" s="15">
        <f t="shared" si="212"/>
        <v>0</v>
      </c>
      <c r="AH481" s="15">
        <f t="shared" si="213"/>
        <v>0</v>
      </c>
      <c r="AI481" s="15">
        <f t="shared" si="214"/>
        <v>52635</v>
      </c>
      <c r="AJ481" s="15">
        <f t="shared" si="215"/>
        <v>9475</v>
      </c>
      <c r="AK481" s="10">
        <v>52635</v>
      </c>
      <c r="AL481" s="15">
        <f t="shared" si="216"/>
        <v>52635</v>
      </c>
      <c r="AM481" s="15">
        <f t="shared" si="217"/>
        <v>4816272</v>
      </c>
      <c r="AN481" s="15">
        <f t="shared" si="218"/>
        <v>581111</v>
      </c>
      <c r="AO481" s="15">
        <f t="shared" si="223"/>
        <v>642233</v>
      </c>
      <c r="AP481" s="17">
        <f t="shared" si="219"/>
        <v>5458505</v>
      </c>
      <c r="AQ481" s="15">
        <v>2986774</v>
      </c>
      <c r="AR481" s="15">
        <v>8487</v>
      </c>
      <c r="AS481" s="18">
        <f t="shared" si="224"/>
        <v>2471731</v>
      </c>
      <c r="AT481" s="19">
        <v>0</v>
      </c>
      <c r="AU481" s="8">
        <v>8800</v>
      </c>
      <c r="AV481" s="13">
        <f t="shared" si="225"/>
        <v>1543960</v>
      </c>
      <c r="AW481" s="18">
        <f t="shared" si="226"/>
        <v>4816272</v>
      </c>
      <c r="AX481" s="15">
        <f t="shared" si="220"/>
        <v>4817000</v>
      </c>
      <c r="AY481" s="20">
        <v>0.06</v>
      </c>
      <c r="AZ481" s="13">
        <f t="shared" si="221"/>
        <v>289020</v>
      </c>
      <c r="BA481" s="15">
        <f t="shared" si="222"/>
        <v>289100</v>
      </c>
      <c r="BB481" s="21">
        <f t="shared" si="227"/>
        <v>2760831</v>
      </c>
      <c r="BC481" s="10">
        <f t="shared" si="228"/>
        <v>0</v>
      </c>
      <c r="BD481" s="10">
        <f t="shared" si="229"/>
        <v>0</v>
      </c>
      <c r="BE481" s="10">
        <v>37.799999999999997</v>
      </c>
      <c r="BF481" s="10">
        <v>16.3</v>
      </c>
      <c r="BG481" s="107">
        <v>46176</v>
      </c>
      <c r="BH481" s="107">
        <f t="shared" si="203"/>
        <v>46206</v>
      </c>
      <c r="BI481" s="23">
        <v>6</v>
      </c>
      <c r="BJ481" s="6"/>
      <c r="BK481" s="6"/>
      <c r="BL481" s="6">
        <f>VLOOKUP(A481,[2]Sheet1!$D$2:$H$933,5,0)</f>
        <v>0</v>
      </c>
      <c r="BM481" s="6" t="s">
        <v>3828</v>
      </c>
      <c r="BN481" s="6" t="s">
        <v>3829</v>
      </c>
      <c r="BO481" s="6" t="s">
        <v>3820</v>
      </c>
      <c r="BP481" s="6" t="s">
        <v>3821</v>
      </c>
      <c r="BQ481" s="6" t="s">
        <v>3830</v>
      </c>
      <c r="BR481" t="s">
        <v>3823</v>
      </c>
      <c r="BS481" t="s">
        <v>3824</v>
      </c>
      <c r="BT481" t="s">
        <v>3825</v>
      </c>
      <c r="BU481" t="s">
        <v>3826</v>
      </c>
      <c r="BV481" t="s">
        <v>3827</v>
      </c>
      <c r="BW481" t="s">
        <v>3835</v>
      </c>
      <c r="BX481">
        <v>0</v>
      </c>
      <c r="BY481" t="s">
        <v>3859</v>
      </c>
      <c r="BZ481" t="s">
        <v>3872</v>
      </c>
    </row>
    <row r="482" spans="1:78" x14ac:dyDescent="0.25">
      <c r="A482" s="7" t="s">
        <v>2013</v>
      </c>
      <c r="B482" s="7" t="s">
        <v>181</v>
      </c>
      <c r="C482" s="7" t="s">
        <v>2011</v>
      </c>
      <c r="D482" s="8" t="s">
        <v>2012</v>
      </c>
      <c r="E482" s="7" t="s">
        <v>1065</v>
      </c>
      <c r="F482" s="9">
        <v>45143</v>
      </c>
      <c r="G482" s="9" t="s">
        <v>363</v>
      </c>
      <c r="H482" s="9" t="s">
        <v>87</v>
      </c>
      <c r="I482" s="8" t="s">
        <v>67</v>
      </c>
      <c r="J482" s="10">
        <v>311.44</v>
      </c>
      <c r="K482" s="10">
        <v>311.44</v>
      </c>
      <c r="L482" s="10">
        <f t="shared" si="205"/>
        <v>0</v>
      </c>
      <c r="M482" s="10">
        <v>115.71</v>
      </c>
      <c r="N482" s="10">
        <v>115.71</v>
      </c>
      <c r="O482" s="10">
        <f t="shared" si="206"/>
        <v>0</v>
      </c>
      <c r="P482" s="11">
        <v>18256.999743128694</v>
      </c>
      <c r="Q482" s="11">
        <v>49139.745916515429</v>
      </c>
      <c r="R482" s="11">
        <v>40000</v>
      </c>
      <c r="S482" s="11">
        <v>5685960</v>
      </c>
      <c r="T482" s="11">
        <v>682316</v>
      </c>
      <c r="U482" s="12">
        <f t="shared" si="207"/>
        <v>0.1200001406974372</v>
      </c>
      <c r="V482" s="13">
        <f t="shared" si="231"/>
        <v>0</v>
      </c>
      <c r="W482" s="10">
        <f t="shared" si="208"/>
        <v>0</v>
      </c>
      <c r="X482" s="10"/>
      <c r="Y482" s="10"/>
      <c r="Z482" s="11">
        <f t="shared" si="209"/>
        <v>5685960</v>
      </c>
      <c r="AA482" s="14"/>
      <c r="AB482" s="14"/>
      <c r="AC482" s="11">
        <f t="shared" si="210"/>
        <v>5685960</v>
      </c>
      <c r="AD482" s="10">
        <f t="shared" si="211"/>
        <v>300</v>
      </c>
      <c r="AE482" s="15">
        <v>34713</v>
      </c>
      <c r="AF482" s="16">
        <v>6248</v>
      </c>
      <c r="AG482" s="15">
        <f t="shared" si="212"/>
        <v>0</v>
      </c>
      <c r="AH482" s="15">
        <f t="shared" si="213"/>
        <v>0</v>
      </c>
      <c r="AI482" s="15">
        <f t="shared" si="214"/>
        <v>34713</v>
      </c>
      <c r="AJ482" s="15">
        <f t="shared" si="215"/>
        <v>6249</v>
      </c>
      <c r="AK482" s="10">
        <v>34713</v>
      </c>
      <c r="AL482" s="15">
        <f t="shared" si="216"/>
        <v>34713</v>
      </c>
      <c r="AM482" s="15">
        <f t="shared" si="217"/>
        <v>5720673</v>
      </c>
      <c r="AN482" s="15">
        <f t="shared" si="218"/>
        <v>688565</v>
      </c>
      <c r="AO482" s="15">
        <f t="shared" si="223"/>
        <v>733430</v>
      </c>
      <c r="AP482" s="17">
        <f t="shared" si="219"/>
        <v>6454103</v>
      </c>
      <c r="AQ482" s="15">
        <v>3731448</v>
      </c>
      <c r="AR482" s="15">
        <v>10152</v>
      </c>
      <c r="AS482" s="18">
        <f t="shared" si="224"/>
        <v>2722655</v>
      </c>
      <c r="AT482" s="19">
        <v>0</v>
      </c>
      <c r="AU482" s="8">
        <v>8800</v>
      </c>
      <c r="AV482" s="13">
        <f t="shared" si="225"/>
        <v>1018248</v>
      </c>
      <c r="AW482" s="18">
        <f t="shared" si="226"/>
        <v>5720673</v>
      </c>
      <c r="AX482" s="15">
        <f t="shared" si="220"/>
        <v>5721000</v>
      </c>
      <c r="AY482" s="20">
        <v>0.05</v>
      </c>
      <c r="AZ482" s="13">
        <f t="shared" si="221"/>
        <v>286050</v>
      </c>
      <c r="BA482" s="15">
        <f t="shared" si="222"/>
        <v>286100</v>
      </c>
      <c r="BB482" s="21">
        <f t="shared" si="227"/>
        <v>3008755</v>
      </c>
      <c r="BC482" s="10">
        <f t="shared" si="228"/>
        <v>0</v>
      </c>
      <c r="BD482" s="10">
        <f t="shared" si="229"/>
        <v>0</v>
      </c>
      <c r="BE482" s="10">
        <v>28.93</v>
      </c>
      <c r="BF482" s="10">
        <v>10.75</v>
      </c>
      <c r="BG482" s="107">
        <v>46176</v>
      </c>
      <c r="BH482" s="107">
        <f t="shared" si="203"/>
        <v>46206</v>
      </c>
      <c r="BI482" s="23">
        <v>5</v>
      </c>
      <c r="BJ482" s="6"/>
      <c r="BK482" s="6"/>
      <c r="BL482" s="6">
        <f>VLOOKUP(A482,[2]Sheet1!$D$2:$H$933,5,0)</f>
        <v>0</v>
      </c>
      <c r="BM482" s="6" t="s">
        <v>3828</v>
      </c>
      <c r="BN482" s="6" t="s">
        <v>3829</v>
      </c>
      <c r="BO482" s="6" t="s">
        <v>3820</v>
      </c>
      <c r="BP482" s="6" t="s">
        <v>3821</v>
      </c>
      <c r="BQ482" s="6" t="s">
        <v>3830</v>
      </c>
      <c r="BR482" t="s">
        <v>3823</v>
      </c>
      <c r="BS482" t="s">
        <v>3824</v>
      </c>
      <c r="BT482" t="s">
        <v>3825</v>
      </c>
      <c r="BU482" t="s">
        <v>3826</v>
      </c>
      <c r="BV482" t="s">
        <v>3827</v>
      </c>
      <c r="BW482" t="s">
        <v>3835</v>
      </c>
      <c r="BX482">
        <v>0</v>
      </c>
      <c r="BY482" t="s">
        <v>3865</v>
      </c>
      <c r="BZ482" t="s">
        <v>3860</v>
      </c>
    </row>
    <row r="483" spans="1:78" x14ac:dyDescent="0.25">
      <c r="A483" s="7" t="s">
        <v>2016</v>
      </c>
      <c r="B483" s="7" t="s">
        <v>181</v>
      </c>
      <c r="C483" s="7" t="s">
        <v>2014</v>
      </c>
      <c r="D483" s="8" t="s">
        <v>2015</v>
      </c>
      <c r="E483" s="7" t="s">
        <v>634</v>
      </c>
      <c r="F483" s="9">
        <v>44866</v>
      </c>
      <c r="G483" s="9" t="s">
        <v>527</v>
      </c>
      <c r="H483" s="9" t="s">
        <v>72</v>
      </c>
      <c r="I483" s="8" t="s">
        <v>635</v>
      </c>
      <c r="J483" s="10">
        <v>796.25</v>
      </c>
      <c r="K483" s="10">
        <v>796.25</v>
      </c>
      <c r="L483" s="10">
        <f t="shared" si="205"/>
        <v>0</v>
      </c>
      <c r="M483" s="10">
        <v>120.56</v>
      </c>
      <c r="N483" s="10">
        <v>120.56</v>
      </c>
      <c r="O483" s="10">
        <f t="shared" si="206"/>
        <v>0</v>
      </c>
      <c r="P483" s="11">
        <v>12938.230455259027</v>
      </c>
      <c r="Q483" s="11">
        <v>85451.775049767748</v>
      </c>
      <c r="R483" s="11">
        <v>20000</v>
      </c>
      <c r="S483" s="11">
        <v>10302066</v>
      </c>
      <c r="T483" s="11">
        <v>1236248</v>
      </c>
      <c r="U483" s="12">
        <f t="shared" si="207"/>
        <v>0.12000000776543268</v>
      </c>
      <c r="V483" s="13">
        <f t="shared" si="231"/>
        <v>0</v>
      </c>
      <c r="W483" s="10">
        <f t="shared" si="208"/>
        <v>0</v>
      </c>
      <c r="X483" s="10"/>
      <c r="Y483" s="10"/>
      <c r="Z483" s="11">
        <f t="shared" si="209"/>
        <v>10302066</v>
      </c>
      <c r="AA483" s="14">
        <v>2457689</v>
      </c>
      <c r="AB483" s="14">
        <v>294922</v>
      </c>
      <c r="AC483" s="11">
        <f t="shared" si="210"/>
        <v>7844377</v>
      </c>
      <c r="AD483" s="10">
        <f t="shared" si="211"/>
        <v>300</v>
      </c>
      <c r="AE483" s="15">
        <v>36168</v>
      </c>
      <c r="AF483" s="16">
        <v>6510</v>
      </c>
      <c r="AG483" s="15">
        <f t="shared" si="212"/>
        <v>0</v>
      </c>
      <c r="AH483" s="15">
        <f t="shared" si="213"/>
        <v>0</v>
      </c>
      <c r="AI483" s="15">
        <f t="shared" si="214"/>
        <v>36168</v>
      </c>
      <c r="AJ483" s="15">
        <f t="shared" si="215"/>
        <v>6511</v>
      </c>
      <c r="AK483" s="10">
        <v>36168</v>
      </c>
      <c r="AL483" s="15">
        <f t="shared" si="216"/>
        <v>36168</v>
      </c>
      <c r="AM483" s="15">
        <f t="shared" si="217"/>
        <v>7880545</v>
      </c>
      <c r="AN483" s="15">
        <f t="shared" si="218"/>
        <v>947837</v>
      </c>
      <c r="AO483" s="15">
        <f t="shared" si="223"/>
        <v>990942</v>
      </c>
      <c r="AP483" s="17">
        <f t="shared" si="219"/>
        <v>8871487</v>
      </c>
      <c r="AQ483" s="15">
        <v>7638807.9600000009</v>
      </c>
      <c r="AR483" s="15">
        <v>6937</v>
      </c>
      <c r="AS483" s="18">
        <f t="shared" si="224"/>
        <v>1232679</v>
      </c>
      <c r="AT483" s="19">
        <v>0</v>
      </c>
      <c r="AU483" s="8">
        <v>8800</v>
      </c>
      <c r="AV483" s="13">
        <f t="shared" si="225"/>
        <v>1060928</v>
      </c>
      <c r="AW483" s="18">
        <f t="shared" si="226"/>
        <v>7880545</v>
      </c>
      <c r="AX483" s="15">
        <f t="shared" si="220"/>
        <v>7881000</v>
      </c>
      <c r="AY483" s="20">
        <v>0.06</v>
      </c>
      <c r="AZ483" s="13">
        <f t="shared" si="221"/>
        <v>472860</v>
      </c>
      <c r="BA483" s="15">
        <f t="shared" si="222"/>
        <v>472900</v>
      </c>
      <c r="BB483" s="21">
        <f t="shared" si="227"/>
        <v>1705579</v>
      </c>
      <c r="BC483" s="10">
        <f t="shared" si="228"/>
        <v>0</v>
      </c>
      <c r="BD483" s="10">
        <f t="shared" si="229"/>
        <v>0</v>
      </c>
      <c r="BE483" s="10">
        <v>73.97</v>
      </c>
      <c r="BF483" s="10">
        <v>11.2</v>
      </c>
      <c r="BG483" s="107">
        <v>46176</v>
      </c>
      <c r="BH483" s="107">
        <f t="shared" si="203"/>
        <v>46206</v>
      </c>
      <c r="BI483" s="23">
        <v>6</v>
      </c>
      <c r="BJ483" s="6"/>
      <c r="BK483" s="91"/>
      <c r="BL483" s="6">
        <f>VLOOKUP(A483,[2]Sheet1!$D$2:$H$933,5,0)</f>
        <v>0</v>
      </c>
      <c r="BM483" s="6" t="s">
        <v>3828</v>
      </c>
      <c r="BN483" s="6" t="s">
        <v>3829</v>
      </c>
      <c r="BO483" s="6" t="s">
        <v>3820</v>
      </c>
      <c r="BP483" s="6" t="s">
        <v>3821</v>
      </c>
      <c r="BQ483" s="6" t="s">
        <v>3830</v>
      </c>
      <c r="BR483" t="s">
        <v>3823</v>
      </c>
      <c r="BS483" t="s">
        <v>3824</v>
      </c>
      <c r="BT483" t="s">
        <v>3825</v>
      </c>
      <c r="BU483" t="s">
        <v>3826</v>
      </c>
      <c r="BV483" t="s">
        <v>3827</v>
      </c>
      <c r="BW483" t="s">
        <v>3835</v>
      </c>
      <c r="BX483">
        <v>0</v>
      </c>
      <c r="BY483" t="s">
        <v>3862</v>
      </c>
      <c r="BZ483" t="s">
        <v>3871</v>
      </c>
    </row>
    <row r="484" spans="1:78" x14ac:dyDescent="0.25">
      <c r="A484" s="7" t="s">
        <v>2019</v>
      </c>
      <c r="B484" s="7" t="s">
        <v>181</v>
      </c>
      <c r="C484" s="7" t="s">
        <v>2017</v>
      </c>
      <c r="D484" s="8" t="s">
        <v>2018</v>
      </c>
      <c r="E484" s="7" t="s">
        <v>2020</v>
      </c>
      <c r="F484" s="9">
        <v>45007</v>
      </c>
      <c r="G484" s="9" t="s">
        <v>404</v>
      </c>
      <c r="H484" s="9" t="s">
        <v>92</v>
      </c>
      <c r="I484" s="8" t="s">
        <v>78</v>
      </c>
      <c r="J484" s="10">
        <v>933.24</v>
      </c>
      <c r="K484" s="10">
        <v>933.24</v>
      </c>
      <c r="L484" s="10">
        <f t="shared" si="205"/>
        <v>0</v>
      </c>
      <c r="M484" s="10">
        <v>427.33</v>
      </c>
      <c r="N484" s="10">
        <v>427.33</v>
      </c>
      <c r="O484" s="10">
        <f t="shared" si="206"/>
        <v>0</v>
      </c>
      <c r="P484" s="11">
        <v>14816.260554626891</v>
      </c>
      <c r="Q484" s="11">
        <v>32357.023845739826</v>
      </c>
      <c r="R484" s="11">
        <v>28000</v>
      </c>
      <c r="S484" s="11">
        <v>13827127</v>
      </c>
      <c r="T484" s="11">
        <v>1659254</v>
      </c>
      <c r="U484" s="12">
        <f t="shared" si="207"/>
        <v>0.11999991032121134</v>
      </c>
      <c r="V484" s="13">
        <f t="shared" si="231"/>
        <v>0</v>
      </c>
      <c r="W484" s="10">
        <f t="shared" si="208"/>
        <v>0</v>
      </c>
      <c r="X484" s="10"/>
      <c r="Y484" s="10"/>
      <c r="Z484" s="11">
        <f t="shared" si="209"/>
        <v>13827127</v>
      </c>
      <c r="AA484" s="14"/>
      <c r="AB484" s="14"/>
      <c r="AC484" s="11">
        <f t="shared" si="210"/>
        <v>13827127</v>
      </c>
      <c r="AD484" s="10">
        <f t="shared" si="211"/>
        <v>300</v>
      </c>
      <c r="AE484" s="15">
        <v>128199</v>
      </c>
      <c r="AF484" s="16">
        <v>23076</v>
      </c>
      <c r="AG484" s="15">
        <f t="shared" si="212"/>
        <v>0</v>
      </c>
      <c r="AH484" s="15">
        <f t="shared" si="213"/>
        <v>0</v>
      </c>
      <c r="AI484" s="15">
        <f t="shared" si="214"/>
        <v>128199</v>
      </c>
      <c r="AJ484" s="15">
        <f t="shared" si="215"/>
        <v>23076</v>
      </c>
      <c r="AK484" s="10">
        <v>128199</v>
      </c>
      <c r="AL484" s="15">
        <f t="shared" si="216"/>
        <v>128199</v>
      </c>
      <c r="AM484" s="15">
        <f t="shared" si="217"/>
        <v>13955326</v>
      </c>
      <c r="AN484" s="15">
        <f t="shared" si="218"/>
        <v>1682330</v>
      </c>
      <c r="AO484" s="15">
        <f t="shared" si="223"/>
        <v>1817668</v>
      </c>
      <c r="AP484" s="17">
        <f t="shared" si="219"/>
        <v>15772994</v>
      </c>
      <c r="AQ484" s="15">
        <v>12821288</v>
      </c>
      <c r="AR484" s="15">
        <v>7139</v>
      </c>
      <c r="AS484" s="18">
        <f t="shared" si="224"/>
        <v>2951706</v>
      </c>
      <c r="AT484" s="19">
        <v>0</v>
      </c>
      <c r="AU484" s="8">
        <v>8800</v>
      </c>
      <c r="AV484" s="13">
        <f t="shared" si="225"/>
        <v>3760504</v>
      </c>
      <c r="AW484" s="18">
        <f t="shared" si="226"/>
        <v>13955326</v>
      </c>
      <c r="AX484" s="15">
        <f t="shared" si="220"/>
        <v>13956000</v>
      </c>
      <c r="AY484" s="20">
        <v>7.0000000000000007E-2</v>
      </c>
      <c r="AZ484" s="13">
        <f t="shared" si="221"/>
        <v>976920.00000000012</v>
      </c>
      <c r="BA484" s="15">
        <f t="shared" si="222"/>
        <v>977000</v>
      </c>
      <c r="BB484" s="21">
        <f t="shared" si="227"/>
        <v>3928706</v>
      </c>
      <c r="BC484" s="10">
        <f t="shared" si="228"/>
        <v>0</v>
      </c>
      <c r="BD484" s="10">
        <f t="shared" si="229"/>
        <v>0</v>
      </c>
      <c r="BE484" s="10">
        <v>86.7</v>
      </c>
      <c r="BF484" s="10">
        <v>39.700000000000003</v>
      </c>
      <c r="BG484" s="107">
        <v>46176</v>
      </c>
      <c r="BH484" s="107">
        <f t="shared" si="203"/>
        <v>46206</v>
      </c>
      <c r="BI484" s="23">
        <v>7</v>
      </c>
      <c r="BJ484" s="6"/>
      <c r="BK484" s="6"/>
      <c r="BL484" s="6">
        <f>VLOOKUP(A484,[2]Sheet1!$D$2:$H$933,5,0)</f>
        <v>0</v>
      </c>
      <c r="BM484" s="6" t="s">
        <v>3828</v>
      </c>
      <c r="BN484" s="6" t="s">
        <v>3829</v>
      </c>
      <c r="BO484" s="6" t="s">
        <v>3820</v>
      </c>
      <c r="BP484" s="6" t="s">
        <v>3821</v>
      </c>
      <c r="BQ484" s="6" t="s">
        <v>3830</v>
      </c>
      <c r="BR484" t="s">
        <v>3823</v>
      </c>
      <c r="BS484" t="s">
        <v>3824</v>
      </c>
      <c r="BT484" t="s">
        <v>3825</v>
      </c>
      <c r="BU484" t="s">
        <v>3826</v>
      </c>
      <c r="BV484" t="s">
        <v>3827</v>
      </c>
      <c r="BW484" t="s">
        <v>3835</v>
      </c>
      <c r="BX484">
        <v>0</v>
      </c>
      <c r="BY484" t="s">
        <v>3869</v>
      </c>
      <c r="BZ484" t="s">
        <v>3863</v>
      </c>
    </row>
    <row r="485" spans="1:78" x14ac:dyDescent="0.25">
      <c r="A485" s="7" t="s">
        <v>2023</v>
      </c>
      <c r="B485" s="7" t="s">
        <v>181</v>
      </c>
      <c r="C485" s="7" t="s">
        <v>2021</v>
      </c>
      <c r="D485" s="8" t="s">
        <v>2022</v>
      </c>
      <c r="E485" s="7" t="s">
        <v>2024</v>
      </c>
      <c r="F485" s="9">
        <v>44900</v>
      </c>
      <c r="G485" s="9" t="s">
        <v>404</v>
      </c>
      <c r="H485" s="9" t="s">
        <v>72</v>
      </c>
      <c r="I485" s="8" t="s">
        <v>78</v>
      </c>
      <c r="J485" s="10">
        <v>556.5</v>
      </c>
      <c r="K485" s="10">
        <v>556.5</v>
      </c>
      <c r="L485" s="10">
        <f t="shared" si="205"/>
        <v>0</v>
      </c>
      <c r="M485" s="10">
        <v>257.26</v>
      </c>
      <c r="N485" s="10">
        <v>257.26</v>
      </c>
      <c r="O485" s="10">
        <f t="shared" si="206"/>
        <v>0</v>
      </c>
      <c r="P485" s="11">
        <v>12600</v>
      </c>
      <c r="Q485" s="11">
        <v>27256.083339811863</v>
      </c>
      <c r="R485" s="11">
        <v>20000</v>
      </c>
      <c r="S485" s="11">
        <v>7011900</v>
      </c>
      <c r="T485" s="11">
        <v>841428</v>
      </c>
      <c r="U485" s="12">
        <f t="shared" si="207"/>
        <v>0.12</v>
      </c>
      <c r="V485" s="13">
        <f t="shared" si="231"/>
        <v>0</v>
      </c>
      <c r="W485" s="10">
        <f t="shared" si="208"/>
        <v>0</v>
      </c>
      <c r="X485" s="10"/>
      <c r="Y485" s="10"/>
      <c r="Z485" s="11">
        <f t="shared" si="209"/>
        <v>7011900</v>
      </c>
      <c r="AA485" s="14"/>
      <c r="AB485" s="14"/>
      <c r="AC485" s="11">
        <f t="shared" si="210"/>
        <v>7011900</v>
      </c>
      <c r="AD485" s="10">
        <f t="shared" si="211"/>
        <v>300</v>
      </c>
      <c r="AE485" s="15">
        <v>77178</v>
      </c>
      <c r="AF485" s="16">
        <v>13892</v>
      </c>
      <c r="AG485" s="15">
        <f t="shared" si="212"/>
        <v>0</v>
      </c>
      <c r="AH485" s="15">
        <f t="shared" si="213"/>
        <v>0</v>
      </c>
      <c r="AI485" s="15">
        <f t="shared" si="214"/>
        <v>77178</v>
      </c>
      <c r="AJ485" s="15">
        <f t="shared" si="215"/>
        <v>13893</v>
      </c>
      <c r="AK485" s="10">
        <v>77178</v>
      </c>
      <c r="AL485" s="15">
        <f t="shared" si="216"/>
        <v>77178</v>
      </c>
      <c r="AM485" s="15">
        <f t="shared" si="217"/>
        <v>7089078</v>
      </c>
      <c r="AN485" s="15">
        <f t="shared" si="218"/>
        <v>855321</v>
      </c>
      <c r="AO485" s="15">
        <f t="shared" si="223"/>
        <v>939525</v>
      </c>
      <c r="AP485" s="17">
        <f t="shared" si="219"/>
        <v>8028603</v>
      </c>
      <c r="AQ485" s="15">
        <v>7067997</v>
      </c>
      <c r="AR485" s="15">
        <v>7026</v>
      </c>
      <c r="AS485" s="18">
        <f t="shared" si="224"/>
        <v>960606</v>
      </c>
      <c r="AT485" s="19">
        <v>0</v>
      </c>
      <c r="AU485" s="8">
        <v>8800</v>
      </c>
      <c r="AV485" s="13">
        <f t="shared" si="225"/>
        <v>2263888</v>
      </c>
      <c r="AW485" s="18">
        <f t="shared" si="226"/>
        <v>7089078</v>
      </c>
      <c r="AX485" s="15">
        <f t="shared" si="220"/>
        <v>7090000</v>
      </c>
      <c r="AY485" s="20">
        <v>7.0000000000000007E-2</v>
      </c>
      <c r="AZ485" s="13">
        <f t="shared" si="221"/>
        <v>496300.00000000006</v>
      </c>
      <c r="BA485" s="15">
        <f t="shared" si="222"/>
        <v>496300</v>
      </c>
      <c r="BB485" s="21">
        <f t="shared" si="227"/>
        <v>1456906</v>
      </c>
      <c r="BC485" s="10">
        <f t="shared" si="228"/>
        <v>0</v>
      </c>
      <c r="BD485" s="10">
        <f t="shared" si="229"/>
        <v>0</v>
      </c>
      <c r="BE485" s="10">
        <v>51.7</v>
      </c>
      <c r="BF485" s="10">
        <v>23.9</v>
      </c>
      <c r="BG485" s="107">
        <v>46176</v>
      </c>
      <c r="BH485" s="107">
        <f t="shared" si="203"/>
        <v>46206</v>
      </c>
      <c r="BI485" s="23">
        <v>7</v>
      </c>
      <c r="BJ485" s="6"/>
      <c r="BK485" s="24"/>
      <c r="BL485" s="6">
        <f>VLOOKUP(A485,[2]Sheet1!$D$2:$H$933,5,0)</f>
        <v>0</v>
      </c>
      <c r="BM485" s="6" t="s">
        <v>3828</v>
      </c>
      <c r="BN485" s="6" t="s">
        <v>3829</v>
      </c>
      <c r="BO485" s="6" t="s">
        <v>3820</v>
      </c>
      <c r="BP485" s="6" t="s">
        <v>3821</v>
      </c>
      <c r="BQ485" s="6" t="s">
        <v>3830</v>
      </c>
      <c r="BR485" t="s">
        <v>3823</v>
      </c>
      <c r="BS485" t="s">
        <v>3824</v>
      </c>
      <c r="BT485" t="s">
        <v>3825</v>
      </c>
      <c r="BU485" t="s">
        <v>3826</v>
      </c>
      <c r="BV485" t="s">
        <v>3827</v>
      </c>
      <c r="BW485" t="s">
        <v>3835</v>
      </c>
      <c r="BX485">
        <v>0</v>
      </c>
      <c r="BY485" t="s">
        <v>3869</v>
      </c>
      <c r="BZ485" t="s">
        <v>3863</v>
      </c>
    </row>
    <row r="486" spans="1:78" x14ac:dyDescent="0.25">
      <c r="A486" s="7" t="s">
        <v>2027</v>
      </c>
      <c r="B486" s="7" t="s">
        <v>181</v>
      </c>
      <c r="C486" s="7" t="s">
        <v>2025</v>
      </c>
      <c r="D486" s="8" t="s">
        <v>2026</v>
      </c>
      <c r="E486" s="7" t="s">
        <v>2028</v>
      </c>
      <c r="F486" s="9">
        <v>44896</v>
      </c>
      <c r="G486" s="9" t="s">
        <v>404</v>
      </c>
      <c r="H486" s="9" t="s">
        <v>72</v>
      </c>
      <c r="I486" s="8" t="s">
        <v>78</v>
      </c>
      <c r="J486" s="10">
        <v>556.5</v>
      </c>
      <c r="K486" s="10">
        <v>540.20000000000005</v>
      </c>
      <c r="L486" s="10">
        <f t="shared" si="205"/>
        <v>-16.299999999999955</v>
      </c>
      <c r="M486" s="10">
        <v>257.26</v>
      </c>
      <c r="N486" s="10">
        <v>249.72</v>
      </c>
      <c r="O486" s="10">
        <f t="shared" si="206"/>
        <v>-7.539999999999992</v>
      </c>
      <c r="P486" s="11">
        <v>9500</v>
      </c>
      <c r="Q486" s="11">
        <v>20550.221565731168</v>
      </c>
      <c r="R486" s="11">
        <v>20000</v>
      </c>
      <c r="S486" s="11">
        <v>5286750</v>
      </c>
      <c r="T486" s="11">
        <v>634412</v>
      </c>
      <c r="U486" s="12">
        <f t="shared" si="207"/>
        <v>0.1200003783042512</v>
      </c>
      <c r="V486" s="13">
        <f t="shared" si="231"/>
        <v>-154849.99999999956</v>
      </c>
      <c r="W486" s="10">
        <f t="shared" si="208"/>
        <v>-18582.058580413246</v>
      </c>
      <c r="X486" s="15"/>
      <c r="Y486" s="15"/>
      <c r="Z486" s="11">
        <f t="shared" si="209"/>
        <v>5131900</v>
      </c>
      <c r="AA486" s="14"/>
      <c r="AB486" s="14"/>
      <c r="AC486" s="11">
        <f t="shared" si="210"/>
        <v>5131900</v>
      </c>
      <c r="AD486" s="10">
        <f t="shared" si="211"/>
        <v>300</v>
      </c>
      <c r="AE486" s="15">
        <v>77178</v>
      </c>
      <c r="AF486" s="16">
        <v>13892</v>
      </c>
      <c r="AG486" s="15">
        <f t="shared" si="212"/>
        <v>-2261.9999999999977</v>
      </c>
      <c r="AH486" s="15">
        <f t="shared" si="213"/>
        <v>-407.15999999999957</v>
      </c>
      <c r="AI486" s="15">
        <f t="shared" si="214"/>
        <v>74916</v>
      </c>
      <c r="AJ486" s="15">
        <f t="shared" si="215"/>
        <v>13485</v>
      </c>
      <c r="AK486" s="10">
        <v>77178</v>
      </c>
      <c r="AL486" s="15">
        <f t="shared" si="216"/>
        <v>74916</v>
      </c>
      <c r="AM486" s="15">
        <f t="shared" si="217"/>
        <v>5206816</v>
      </c>
      <c r="AN486" s="15">
        <f t="shared" si="218"/>
        <v>629315</v>
      </c>
      <c r="AO486" s="15">
        <f t="shared" si="223"/>
        <v>713239</v>
      </c>
      <c r="AP486" s="17">
        <f t="shared" si="219"/>
        <v>5920055</v>
      </c>
      <c r="AQ486" s="15">
        <v>4174072</v>
      </c>
      <c r="AR486" s="15">
        <v>9008</v>
      </c>
      <c r="AS486" s="18">
        <f t="shared" si="224"/>
        <v>1745983</v>
      </c>
      <c r="AT486" s="19">
        <v>0</v>
      </c>
      <c r="AU486" s="8">
        <v>8800</v>
      </c>
      <c r="AV486" s="13">
        <f t="shared" si="225"/>
        <v>2197536</v>
      </c>
      <c r="AW486" s="18">
        <f t="shared" si="226"/>
        <v>5206816</v>
      </c>
      <c r="AX486" s="15">
        <f t="shared" si="220"/>
        <v>5207000</v>
      </c>
      <c r="AY486" s="20">
        <v>7.0000000000000007E-2</v>
      </c>
      <c r="AZ486" s="13">
        <f t="shared" si="221"/>
        <v>364490.00000000006</v>
      </c>
      <c r="BA486" s="15">
        <f t="shared" si="222"/>
        <v>364500</v>
      </c>
      <c r="BB486" s="21">
        <f t="shared" si="227"/>
        <v>2110483</v>
      </c>
      <c r="BC486" s="10">
        <f t="shared" si="228"/>
        <v>-2.929020664869713</v>
      </c>
      <c r="BD486" s="10">
        <f t="shared" si="229"/>
        <v>-2.9308870403482827</v>
      </c>
      <c r="BE486" s="10">
        <v>50.19</v>
      </c>
      <c r="BF486" s="10">
        <v>23.2</v>
      </c>
      <c r="BG486" s="107">
        <v>46176</v>
      </c>
      <c r="BH486" s="107">
        <f t="shared" si="203"/>
        <v>46206</v>
      </c>
      <c r="BI486" s="23">
        <v>7</v>
      </c>
      <c r="BJ486" s="6"/>
      <c r="BK486" s="6"/>
      <c r="BL486" s="6">
        <f>VLOOKUP(A486,[2]Sheet1!$D$2:$H$933,5,0)</f>
        <v>0</v>
      </c>
      <c r="BM486" s="6" t="s">
        <v>3828</v>
      </c>
      <c r="BN486" s="6" t="s">
        <v>3829</v>
      </c>
      <c r="BO486" s="6" t="s">
        <v>3820</v>
      </c>
      <c r="BP486" s="6" t="s">
        <v>3821</v>
      </c>
      <c r="BQ486" s="6" t="s">
        <v>3830</v>
      </c>
      <c r="BR486" t="s">
        <v>3823</v>
      </c>
      <c r="BS486" t="s">
        <v>3824</v>
      </c>
      <c r="BT486" t="s">
        <v>3825</v>
      </c>
      <c r="BU486" t="s">
        <v>3826</v>
      </c>
      <c r="BV486" t="s">
        <v>3827</v>
      </c>
      <c r="BW486" t="s">
        <v>3835</v>
      </c>
      <c r="BX486">
        <v>0</v>
      </c>
      <c r="BY486" t="s">
        <v>3864</v>
      </c>
      <c r="BZ486" t="s">
        <v>3863</v>
      </c>
    </row>
    <row r="487" spans="1:78" x14ac:dyDescent="0.25">
      <c r="A487" s="7" t="s">
        <v>2031</v>
      </c>
      <c r="B487" s="7" t="s">
        <v>181</v>
      </c>
      <c r="C487" s="7" t="s">
        <v>2029</v>
      </c>
      <c r="D487" s="8" t="s">
        <v>2030</v>
      </c>
      <c r="E487" s="7" t="s">
        <v>2032</v>
      </c>
      <c r="F487" s="9">
        <v>45007</v>
      </c>
      <c r="G487" s="9" t="s">
        <v>404</v>
      </c>
      <c r="H487" s="9" t="s">
        <v>87</v>
      </c>
      <c r="I487" s="8" t="s">
        <v>78</v>
      </c>
      <c r="J487" s="10">
        <v>840.02</v>
      </c>
      <c r="K487" s="10">
        <v>840.02</v>
      </c>
      <c r="L487" s="10">
        <f t="shared" si="205"/>
        <v>0</v>
      </c>
      <c r="M487" s="10">
        <v>379.97</v>
      </c>
      <c r="N487" s="10">
        <v>379.97</v>
      </c>
      <c r="O487" s="10">
        <f t="shared" si="206"/>
        <v>0</v>
      </c>
      <c r="P487" s="11">
        <v>18650</v>
      </c>
      <c r="Q487" s="11">
        <v>41230.552412032528</v>
      </c>
      <c r="R487" s="11">
        <v>40000</v>
      </c>
      <c r="S487" s="11">
        <v>15666373</v>
      </c>
      <c r="T487" s="11">
        <v>1879966</v>
      </c>
      <c r="U487" s="12">
        <f t="shared" si="207"/>
        <v>0.12000007915041982</v>
      </c>
      <c r="V487" s="13">
        <f t="shared" si="231"/>
        <v>0</v>
      </c>
      <c r="W487" s="10">
        <f t="shared" si="208"/>
        <v>0</v>
      </c>
      <c r="X487" s="10"/>
      <c r="Y487" s="10"/>
      <c r="Z487" s="11">
        <f t="shared" si="209"/>
        <v>15666373</v>
      </c>
      <c r="AA487" s="14"/>
      <c r="AB487" s="14"/>
      <c r="AC487" s="11">
        <f t="shared" si="210"/>
        <v>15666373</v>
      </c>
      <c r="AD487" s="10">
        <f t="shared" si="211"/>
        <v>300</v>
      </c>
      <c r="AE487" s="15">
        <v>113991</v>
      </c>
      <c r="AF487" s="16">
        <v>20518</v>
      </c>
      <c r="AG487" s="15">
        <f t="shared" si="212"/>
        <v>0</v>
      </c>
      <c r="AH487" s="15">
        <f t="shared" si="213"/>
        <v>0</v>
      </c>
      <c r="AI487" s="15">
        <f t="shared" si="214"/>
        <v>113991.00000000001</v>
      </c>
      <c r="AJ487" s="15">
        <f t="shared" si="215"/>
        <v>20519</v>
      </c>
      <c r="AK487" s="10">
        <v>113991</v>
      </c>
      <c r="AL487" s="15">
        <f t="shared" si="216"/>
        <v>113991.00000000001</v>
      </c>
      <c r="AM487" s="15">
        <f t="shared" si="217"/>
        <v>15780364</v>
      </c>
      <c r="AN487" s="15">
        <f t="shared" si="218"/>
        <v>1900485</v>
      </c>
      <c r="AO487" s="15">
        <f t="shared" si="223"/>
        <v>2025119</v>
      </c>
      <c r="AP487" s="17">
        <f t="shared" si="219"/>
        <v>17805483</v>
      </c>
      <c r="AQ487" s="15">
        <v>13650514</v>
      </c>
      <c r="AR487" s="15">
        <v>10643</v>
      </c>
      <c r="AS487" s="18">
        <f t="shared" si="224"/>
        <v>4154969</v>
      </c>
      <c r="AT487" s="19">
        <v>0</v>
      </c>
      <c r="AU487" s="8">
        <v>8800</v>
      </c>
      <c r="AV487" s="13">
        <f t="shared" si="225"/>
        <v>3343736.0000000005</v>
      </c>
      <c r="AW487" s="18">
        <f t="shared" si="226"/>
        <v>15780364</v>
      </c>
      <c r="AX487" s="15">
        <f t="shared" si="220"/>
        <v>15781000</v>
      </c>
      <c r="AY487" s="20">
        <v>7.0000000000000007E-2</v>
      </c>
      <c r="AZ487" s="13">
        <f t="shared" si="221"/>
        <v>1104670</v>
      </c>
      <c r="BA487" s="15">
        <f t="shared" si="222"/>
        <v>1104700</v>
      </c>
      <c r="BB487" s="21">
        <f t="shared" si="227"/>
        <v>5259669</v>
      </c>
      <c r="BC487" s="10">
        <f t="shared" si="228"/>
        <v>0</v>
      </c>
      <c r="BD487" s="10">
        <f t="shared" si="229"/>
        <v>0</v>
      </c>
      <c r="BE487" s="10">
        <v>78.040000000000006</v>
      </c>
      <c r="BF487" s="10">
        <v>35.299999999999997</v>
      </c>
      <c r="BG487" s="107">
        <v>46176</v>
      </c>
      <c r="BH487" s="107">
        <f t="shared" si="203"/>
        <v>46206</v>
      </c>
      <c r="BI487" s="23">
        <v>7</v>
      </c>
      <c r="BJ487" s="6"/>
      <c r="BK487" s="6"/>
      <c r="BL487" s="6">
        <f>VLOOKUP(A487,[2]Sheet1!$D$2:$H$933,5,0)</f>
        <v>0</v>
      </c>
      <c r="BM487" s="6" t="s">
        <v>3828</v>
      </c>
      <c r="BN487" s="6" t="s">
        <v>3829</v>
      </c>
      <c r="BO487" s="6" t="s">
        <v>3820</v>
      </c>
      <c r="BP487" s="6" t="s">
        <v>3821</v>
      </c>
      <c r="BQ487" s="6" t="s">
        <v>3830</v>
      </c>
      <c r="BR487" t="s">
        <v>3823</v>
      </c>
      <c r="BS487" t="s">
        <v>3824</v>
      </c>
      <c r="BT487" t="s">
        <v>3825</v>
      </c>
      <c r="BU487" t="s">
        <v>3826</v>
      </c>
      <c r="BV487" t="s">
        <v>3827</v>
      </c>
      <c r="BW487" t="s">
        <v>3835</v>
      </c>
      <c r="BX487">
        <v>0</v>
      </c>
      <c r="BY487" t="s">
        <v>3869</v>
      </c>
      <c r="BZ487" t="s">
        <v>3863</v>
      </c>
    </row>
    <row r="488" spans="1:78" x14ac:dyDescent="0.25">
      <c r="A488" s="7" t="s">
        <v>2035</v>
      </c>
      <c r="B488" s="7" t="s">
        <v>181</v>
      </c>
      <c r="C488" s="7" t="s">
        <v>2033</v>
      </c>
      <c r="D488" s="8" t="s">
        <v>2034</v>
      </c>
      <c r="E488" s="7" t="s">
        <v>2036</v>
      </c>
      <c r="F488" s="9">
        <v>44994</v>
      </c>
      <c r="G488" s="9" t="s">
        <v>527</v>
      </c>
      <c r="H488" s="9" t="s">
        <v>66</v>
      </c>
      <c r="I488" s="8" t="s">
        <v>67</v>
      </c>
      <c r="J488" s="10">
        <v>412.62</v>
      </c>
      <c r="K488" s="10">
        <v>412.62</v>
      </c>
      <c r="L488" s="10">
        <f t="shared" si="205"/>
        <v>0</v>
      </c>
      <c r="M488" s="10">
        <v>166.84</v>
      </c>
      <c r="N488" s="10">
        <v>166.84</v>
      </c>
      <c r="O488" s="10">
        <f t="shared" si="206"/>
        <v>0</v>
      </c>
      <c r="P488" s="11">
        <v>20548.000581648976</v>
      </c>
      <c r="Q488" s="11">
        <v>50818.245025173819</v>
      </c>
      <c r="R488" s="11">
        <v>22000</v>
      </c>
      <c r="S488" s="11">
        <v>8478516</v>
      </c>
      <c r="T488" s="11">
        <v>1017422</v>
      </c>
      <c r="U488" s="12">
        <f t="shared" si="207"/>
        <v>0.12000000943561349</v>
      </c>
      <c r="V488" s="13">
        <f t="shared" si="231"/>
        <v>0</v>
      </c>
      <c r="W488" s="10">
        <f t="shared" si="208"/>
        <v>0</v>
      </c>
      <c r="X488" s="10"/>
      <c r="Y488" s="10"/>
      <c r="Z488" s="11">
        <f t="shared" si="209"/>
        <v>8478516</v>
      </c>
      <c r="AA488" s="14">
        <v>1227289</v>
      </c>
      <c r="AB488" s="14">
        <v>147274</v>
      </c>
      <c r="AC488" s="11">
        <f t="shared" si="210"/>
        <v>7251227</v>
      </c>
      <c r="AD488" s="10">
        <f t="shared" si="211"/>
        <v>300</v>
      </c>
      <c r="AE488" s="15">
        <v>50052</v>
      </c>
      <c r="AF488" s="16">
        <v>9010</v>
      </c>
      <c r="AG488" s="15">
        <f t="shared" si="212"/>
        <v>0</v>
      </c>
      <c r="AH488" s="15">
        <f t="shared" si="213"/>
        <v>0</v>
      </c>
      <c r="AI488" s="15">
        <f t="shared" si="214"/>
        <v>50052</v>
      </c>
      <c r="AJ488" s="15">
        <f t="shared" si="215"/>
        <v>9010</v>
      </c>
      <c r="AK488" s="10">
        <v>50052</v>
      </c>
      <c r="AL488" s="15">
        <f t="shared" si="216"/>
        <v>50052</v>
      </c>
      <c r="AM488" s="15">
        <f t="shared" si="217"/>
        <v>7301279</v>
      </c>
      <c r="AN488" s="15">
        <f t="shared" si="218"/>
        <v>879158</v>
      </c>
      <c r="AO488" s="15">
        <f t="shared" si="223"/>
        <v>931804</v>
      </c>
      <c r="AP488" s="17">
        <f t="shared" si="219"/>
        <v>8233083</v>
      </c>
      <c r="AQ488" s="15">
        <v>7171738</v>
      </c>
      <c r="AR488" s="15">
        <v>2594</v>
      </c>
      <c r="AS488" s="18">
        <f t="shared" si="224"/>
        <v>1061345</v>
      </c>
      <c r="AT488" s="19">
        <v>0</v>
      </c>
      <c r="AU488" s="8">
        <v>8800</v>
      </c>
      <c r="AV488" s="13">
        <f t="shared" si="225"/>
        <v>1468192</v>
      </c>
      <c r="AW488" s="18">
        <f t="shared" si="226"/>
        <v>7301279</v>
      </c>
      <c r="AX488" s="15">
        <f t="shared" si="220"/>
        <v>7302000</v>
      </c>
      <c r="AY488" s="20">
        <v>0.05</v>
      </c>
      <c r="AZ488" s="13">
        <f t="shared" si="221"/>
        <v>365100</v>
      </c>
      <c r="BA488" s="15">
        <f t="shared" si="222"/>
        <v>365100</v>
      </c>
      <c r="BB488" s="21">
        <f t="shared" si="227"/>
        <v>1426445</v>
      </c>
      <c r="BC488" s="10">
        <f t="shared" si="228"/>
        <v>0</v>
      </c>
      <c r="BD488" s="10">
        <f t="shared" si="229"/>
        <v>0</v>
      </c>
      <c r="BE488" s="10">
        <v>38.33</v>
      </c>
      <c r="BF488" s="10">
        <v>15.5</v>
      </c>
      <c r="BG488" s="107">
        <v>46176</v>
      </c>
      <c r="BH488" s="107">
        <f t="shared" si="203"/>
        <v>46206</v>
      </c>
      <c r="BI488" s="23">
        <v>5</v>
      </c>
      <c r="BJ488" s="64"/>
      <c r="BK488" s="6"/>
      <c r="BL488" s="6">
        <f>VLOOKUP(A488,[2]Sheet1!$D$2:$H$933,5,0)</f>
        <v>0</v>
      </c>
      <c r="BM488" s="6" t="s">
        <v>3828</v>
      </c>
      <c r="BN488" s="6" t="s">
        <v>3829</v>
      </c>
      <c r="BO488" s="6" t="s">
        <v>3820</v>
      </c>
      <c r="BP488" s="6" t="s">
        <v>3821</v>
      </c>
      <c r="BQ488" s="6" t="s">
        <v>3830</v>
      </c>
      <c r="BR488" t="s">
        <v>3823</v>
      </c>
      <c r="BS488" t="s">
        <v>3824</v>
      </c>
      <c r="BT488" t="s">
        <v>3825</v>
      </c>
      <c r="BU488" t="s">
        <v>3826</v>
      </c>
      <c r="BV488" t="s">
        <v>3827</v>
      </c>
      <c r="BW488" t="s">
        <v>3835</v>
      </c>
      <c r="BX488">
        <v>0</v>
      </c>
      <c r="BY488" t="s">
        <v>3866</v>
      </c>
      <c r="BZ488" t="s">
        <v>3871</v>
      </c>
    </row>
    <row r="489" spans="1:78" x14ac:dyDescent="0.25">
      <c r="A489" s="7" t="s">
        <v>2039</v>
      </c>
      <c r="B489" s="7" t="s">
        <v>181</v>
      </c>
      <c r="C489" s="7" t="s">
        <v>2037</v>
      </c>
      <c r="D489" s="8" t="s">
        <v>2038</v>
      </c>
      <c r="E489" s="7" t="s">
        <v>2040</v>
      </c>
      <c r="F489" s="9">
        <v>44854</v>
      </c>
      <c r="G489" s="9" t="s">
        <v>65</v>
      </c>
      <c r="H489" s="9" t="s">
        <v>72</v>
      </c>
      <c r="I489" s="8" t="s">
        <v>78</v>
      </c>
      <c r="J489" s="10">
        <v>451.44</v>
      </c>
      <c r="K489" s="10">
        <v>451.44</v>
      </c>
      <c r="L489" s="10">
        <f t="shared" si="205"/>
        <v>0</v>
      </c>
      <c r="M489" s="10">
        <v>207.75</v>
      </c>
      <c r="N489" s="10">
        <v>207.75</v>
      </c>
      <c r="O489" s="10">
        <f t="shared" si="206"/>
        <v>0</v>
      </c>
      <c r="P489" s="11">
        <v>12381.251107566897</v>
      </c>
      <c r="Q489" s="11">
        <v>26904.413959085439</v>
      </c>
      <c r="R489" s="11">
        <v>20000</v>
      </c>
      <c r="S489" s="11">
        <v>5589392</v>
      </c>
      <c r="T489" s="11">
        <v>670728</v>
      </c>
      <c r="U489" s="12">
        <f t="shared" si="207"/>
        <v>0.12000017175392243</v>
      </c>
      <c r="V489" s="13">
        <f t="shared" si="231"/>
        <v>0</v>
      </c>
      <c r="W489" s="10">
        <f t="shared" si="208"/>
        <v>0</v>
      </c>
      <c r="X489" s="10"/>
      <c r="Y489" s="10"/>
      <c r="Z489" s="11">
        <f t="shared" si="209"/>
        <v>5589392</v>
      </c>
      <c r="AA489" s="14">
        <v>654776</v>
      </c>
      <c r="AB489" s="14">
        <v>78574</v>
      </c>
      <c r="AC489" s="11">
        <f t="shared" si="210"/>
        <v>4934616</v>
      </c>
      <c r="AD489" s="10">
        <f t="shared" si="211"/>
        <v>300</v>
      </c>
      <c r="AE489" s="15">
        <v>62325</v>
      </c>
      <c r="AF489" s="16">
        <v>11218</v>
      </c>
      <c r="AG489" s="15">
        <f t="shared" si="212"/>
        <v>0</v>
      </c>
      <c r="AH489" s="15">
        <f t="shared" si="213"/>
        <v>0</v>
      </c>
      <c r="AI489" s="15">
        <f t="shared" si="214"/>
        <v>62325</v>
      </c>
      <c r="AJ489" s="15">
        <f t="shared" si="215"/>
        <v>11219</v>
      </c>
      <c r="AK489" s="10">
        <v>62325</v>
      </c>
      <c r="AL489" s="15">
        <f t="shared" si="216"/>
        <v>62325</v>
      </c>
      <c r="AM489" s="15">
        <f t="shared" si="217"/>
        <v>4996941</v>
      </c>
      <c r="AN489" s="15">
        <f t="shared" si="218"/>
        <v>603373</v>
      </c>
      <c r="AO489" s="15">
        <f t="shared" si="223"/>
        <v>672944</v>
      </c>
      <c r="AP489" s="17">
        <f t="shared" si="219"/>
        <v>5669885</v>
      </c>
      <c r="AQ489" s="15">
        <v>4754189</v>
      </c>
      <c r="AR489" s="15">
        <v>7246</v>
      </c>
      <c r="AS489" s="18">
        <f t="shared" si="224"/>
        <v>915696</v>
      </c>
      <c r="AT489" s="19">
        <v>0</v>
      </c>
      <c r="AU489" s="8">
        <v>8800</v>
      </c>
      <c r="AV489" s="13">
        <f t="shared" si="225"/>
        <v>1828200</v>
      </c>
      <c r="AW489" s="18">
        <f t="shared" si="226"/>
        <v>4996941</v>
      </c>
      <c r="AX489" s="15">
        <f t="shared" si="220"/>
        <v>4997000</v>
      </c>
      <c r="AY489" s="20">
        <v>7.0000000000000007E-2</v>
      </c>
      <c r="AZ489" s="13">
        <f t="shared" si="221"/>
        <v>349790.00000000006</v>
      </c>
      <c r="BA489" s="15">
        <f t="shared" si="222"/>
        <v>349800</v>
      </c>
      <c r="BB489" s="21">
        <f t="shared" si="227"/>
        <v>1265496</v>
      </c>
      <c r="BC489" s="10">
        <f t="shared" si="228"/>
        <v>0</v>
      </c>
      <c r="BD489" s="10">
        <f t="shared" si="229"/>
        <v>0</v>
      </c>
      <c r="BE489" s="10">
        <v>41.94</v>
      </c>
      <c r="BF489" s="10">
        <v>19.3</v>
      </c>
      <c r="BG489" s="107">
        <v>46176</v>
      </c>
      <c r="BH489" s="107">
        <f t="shared" ref="BH489:BH552" si="232">BG489+30</f>
        <v>46206</v>
      </c>
      <c r="BI489" s="23">
        <v>7</v>
      </c>
      <c r="BJ489" s="6"/>
      <c r="BK489" s="6"/>
      <c r="BL489" s="6">
        <f>VLOOKUP(A489,[2]Sheet1!$D$2:$H$933,5,0)</f>
        <v>0</v>
      </c>
      <c r="BM489" s="6" t="s">
        <v>3828</v>
      </c>
      <c r="BN489" s="6" t="s">
        <v>3829</v>
      </c>
      <c r="BO489" s="6" t="s">
        <v>3820</v>
      </c>
      <c r="BP489" s="6" t="s">
        <v>3821</v>
      </c>
      <c r="BQ489" s="6" t="s">
        <v>3830</v>
      </c>
      <c r="BR489" t="s">
        <v>3823</v>
      </c>
      <c r="BS489" t="s">
        <v>3824</v>
      </c>
      <c r="BT489" t="s">
        <v>3825</v>
      </c>
      <c r="BU489" t="s">
        <v>3826</v>
      </c>
      <c r="BV489" t="s">
        <v>3827</v>
      </c>
      <c r="BW489" t="s">
        <v>3835</v>
      </c>
      <c r="BX489">
        <v>0</v>
      </c>
      <c r="BY489" t="s">
        <v>3865</v>
      </c>
      <c r="BZ489" t="s">
        <v>3860</v>
      </c>
    </row>
    <row r="490" spans="1:78" x14ac:dyDescent="0.25">
      <c r="A490" s="7" t="s">
        <v>2043</v>
      </c>
      <c r="B490" s="7" t="s">
        <v>181</v>
      </c>
      <c r="C490" s="7" t="s">
        <v>2041</v>
      </c>
      <c r="D490" s="8" t="s">
        <v>2042</v>
      </c>
      <c r="E490" s="7" t="s">
        <v>2044</v>
      </c>
      <c r="F490" s="9">
        <v>44896</v>
      </c>
      <c r="G490" s="9" t="s">
        <v>527</v>
      </c>
      <c r="H490" s="9" t="s">
        <v>66</v>
      </c>
      <c r="I490" s="8" t="s">
        <v>78</v>
      </c>
      <c r="J490" s="10">
        <v>271.25</v>
      </c>
      <c r="K490" s="10">
        <v>271.25</v>
      </c>
      <c r="L490" s="10">
        <f t="shared" si="205"/>
        <v>0</v>
      </c>
      <c r="M490" s="10">
        <v>112.48</v>
      </c>
      <c r="N490" s="10">
        <v>112.48</v>
      </c>
      <c r="O490" s="10">
        <f t="shared" si="206"/>
        <v>0</v>
      </c>
      <c r="P490" s="11">
        <v>12000</v>
      </c>
      <c r="Q490" s="11">
        <v>28938.477951635847</v>
      </c>
      <c r="R490" s="11">
        <v>22000</v>
      </c>
      <c r="S490" s="11">
        <v>3255000</v>
      </c>
      <c r="T490" s="11">
        <v>390600</v>
      </c>
      <c r="U490" s="12">
        <f t="shared" si="207"/>
        <v>0.12</v>
      </c>
      <c r="V490" s="13">
        <f t="shared" si="231"/>
        <v>0</v>
      </c>
      <c r="W490" s="10">
        <f t="shared" si="208"/>
        <v>0</v>
      </c>
      <c r="X490" s="10"/>
      <c r="Y490" s="10"/>
      <c r="Z490" s="11">
        <f t="shared" si="209"/>
        <v>3255000</v>
      </c>
      <c r="AA490" s="14"/>
      <c r="AB490" s="14"/>
      <c r="AC490" s="11">
        <f t="shared" si="210"/>
        <v>3255000</v>
      </c>
      <c r="AD490" s="10">
        <f t="shared" si="211"/>
        <v>300</v>
      </c>
      <c r="AE490" s="15">
        <v>33744</v>
      </c>
      <c r="AF490" s="16">
        <v>6074</v>
      </c>
      <c r="AG490" s="15">
        <f t="shared" si="212"/>
        <v>0</v>
      </c>
      <c r="AH490" s="15">
        <f t="shared" si="213"/>
        <v>0</v>
      </c>
      <c r="AI490" s="15">
        <f t="shared" si="214"/>
        <v>33744</v>
      </c>
      <c r="AJ490" s="15">
        <f t="shared" si="215"/>
        <v>6074</v>
      </c>
      <c r="AK490" s="10">
        <v>33744</v>
      </c>
      <c r="AL490" s="15">
        <f t="shared" si="216"/>
        <v>33744</v>
      </c>
      <c r="AM490" s="15">
        <f t="shared" si="217"/>
        <v>3288744</v>
      </c>
      <c r="AN490" s="15">
        <f t="shared" si="218"/>
        <v>396674</v>
      </c>
      <c r="AO490" s="15">
        <f t="shared" si="223"/>
        <v>441290</v>
      </c>
      <c r="AP490" s="17">
        <f t="shared" si="219"/>
        <v>3730034</v>
      </c>
      <c r="AQ490" s="15">
        <v>1093680</v>
      </c>
      <c r="AR490" s="15">
        <v>10872</v>
      </c>
      <c r="AS490" s="18">
        <f t="shared" si="224"/>
        <v>2636354</v>
      </c>
      <c r="AT490" s="19">
        <v>0</v>
      </c>
      <c r="AU490" s="8">
        <v>8800</v>
      </c>
      <c r="AV490" s="13">
        <f t="shared" si="225"/>
        <v>989824</v>
      </c>
      <c r="AW490" s="18">
        <f t="shared" si="226"/>
        <v>3288744</v>
      </c>
      <c r="AX490" s="15">
        <f t="shared" si="220"/>
        <v>3289000</v>
      </c>
      <c r="AY490" s="20">
        <v>0.05</v>
      </c>
      <c r="AZ490" s="13">
        <f t="shared" si="221"/>
        <v>164450</v>
      </c>
      <c r="BA490" s="15">
        <f t="shared" si="222"/>
        <v>164500</v>
      </c>
      <c r="BB490" s="21">
        <f t="shared" si="227"/>
        <v>2800854</v>
      </c>
      <c r="BC490" s="10">
        <f t="shared" si="228"/>
        <v>0</v>
      </c>
      <c r="BD490" s="10">
        <f t="shared" si="229"/>
        <v>0</v>
      </c>
      <c r="BE490" s="10">
        <v>25.2</v>
      </c>
      <c r="BF490" s="10">
        <v>10.45</v>
      </c>
      <c r="BG490" s="107">
        <v>46176</v>
      </c>
      <c r="BH490" s="107">
        <f t="shared" si="232"/>
        <v>46206</v>
      </c>
      <c r="BI490" s="23">
        <v>5</v>
      </c>
      <c r="BJ490" s="6"/>
      <c r="BK490" s="6"/>
      <c r="BL490" s="6">
        <f>VLOOKUP(A490,[2]Sheet1!$D$2:$H$933,5,0)</f>
        <v>0</v>
      </c>
      <c r="BM490" s="6" t="s">
        <v>3828</v>
      </c>
      <c r="BN490" s="6" t="s">
        <v>3829</v>
      </c>
      <c r="BO490" s="6" t="s">
        <v>3820</v>
      </c>
      <c r="BP490" s="6" t="s">
        <v>3821</v>
      </c>
      <c r="BQ490" s="6" t="s">
        <v>3830</v>
      </c>
      <c r="BR490" t="s">
        <v>3823</v>
      </c>
      <c r="BS490" t="s">
        <v>3824</v>
      </c>
      <c r="BT490" t="s">
        <v>3825</v>
      </c>
      <c r="BU490" t="s">
        <v>3826</v>
      </c>
      <c r="BV490" t="s">
        <v>3827</v>
      </c>
      <c r="BW490" t="s">
        <v>3835</v>
      </c>
      <c r="BX490">
        <v>0</v>
      </c>
      <c r="BY490" t="s">
        <v>3861</v>
      </c>
      <c r="BZ490" t="s">
        <v>3871</v>
      </c>
    </row>
    <row r="491" spans="1:78" x14ac:dyDescent="0.25">
      <c r="A491" s="7" t="s">
        <v>2047</v>
      </c>
      <c r="B491" s="7" t="s">
        <v>181</v>
      </c>
      <c r="C491" s="7" t="s">
        <v>2045</v>
      </c>
      <c r="D491" s="8" t="s">
        <v>2046</v>
      </c>
      <c r="E491" s="7" t="s">
        <v>2048</v>
      </c>
      <c r="F491" s="9">
        <v>44863</v>
      </c>
      <c r="G491" s="9" t="s">
        <v>527</v>
      </c>
      <c r="H491" s="9" t="s">
        <v>87</v>
      </c>
      <c r="I491" s="8" t="s">
        <v>78</v>
      </c>
      <c r="J491" s="10">
        <v>466.08</v>
      </c>
      <c r="K491" s="10">
        <v>466.08</v>
      </c>
      <c r="L491" s="10">
        <f t="shared" si="205"/>
        <v>0</v>
      </c>
      <c r="M491" s="10">
        <v>207.75</v>
      </c>
      <c r="N491" s="10">
        <v>207.75</v>
      </c>
      <c r="O491" s="10">
        <f t="shared" si="206"/>
        <v>0</v>
      </c>
      <c r="P491" s="11">
        <v>24043.35950909715</v>
      </c>
      <c r="Q491" s="11">
        <v>53940.452466907343</v>
      </c>
      <c r="R491" s="11">
        <v>40000</v>
      </c>
      <c r="S491" s="11">
        <v>11206129</v>
      </c>
      <c r="T491" s="11">
        <v>1344736</v>
      </c>
      <c r="U491" s="12">
        <f t="shared" si="207"/>
        <v>0.12000004640317811</v>
      </c>
      <c r="V491" s="13">
        <f t="shared" si="231"/>
        <v>0</v>
      </c>
      <c r="W491" s="10">
        <f t="shared" si="208"/>
        <v>0</v>
      </c>
      <c r="X491" s="10"/>
      <c r="Y491" s="10"/>
      <c r="Z491" s="11">
        <f t="shared" si="209"/>
        <v>11206129</v>
      </c>
      <c r="AA491" s="14">
        <v>2041385</v>
      </c>
      <c r="AB491" s="14">
        <v>244966</v>
      </c>
      <c r="AC491" s="11">
        <f t="shared" si="210"/>
        <v>9164744</v>
      </c>
      <c r="AD491" s="10">
        <f t="shared" si="211"/>
        <v>300</v>
      </c>
      <c r="AE491" s="15">
        <v>62325</v>
      </c>
      <c r="AF491" s="16">
        <v>11218</v>
      </c>
      <c r="AG491" s="15">
        <f t="shared" si="212"/>
        <v>0</v>
      </c>
      <c r="AH491" s="15">
        <f t="shared" si="213"/>
        <v>0</v>
      </c>
      <c r="AI491" s="15">
        <f t="shared" si="214"/>
        <v>62325</v>
      </c>
      <c r="AJ491" s="15">
        <f t="shared" si="215"/>
        <v>11219</v>
      </c>
      <c r="AK491" s="10">
        <v>62325</v>
      </c>
      <c r="AL491" s="15">
        <f t="shared" si="216"/>
        <v>62325</v>
      </c>
      <c r="AM491" s="15">
        <f t="shared" si="217"/>
        <v>9227069</v>
      </c>
      <c r="AN491" s="15">
        <f t="shared" si="218"/>
        <v>1110989</v>
      </c>
      <c r="AO491" s="15">
        <f t="shared" si="223"/>
        <v>1180731.24</v>
      </c>
      <c r="AP491" s="17">
        <f t="shared" si="219"/>
        <v>10407800.24</v>
      </c>
      <c r="AQ491" s="15">
        <v>8960369</v>
      </c>
      <c r="AR491" s="15">
        <v>7417.24</v>
      </c>
      <c r="AS491" s="18">
        <f t="shared" si="224"/>
        <v>1447431</v>
      </c>
      <c r="AT491" s="19">
        <v>0</v>
      </c>
      <c r="AU491" s="8">
        <v>8800</v>
      </c>
      <c r="AV491" s="13">
        <f t="shared" si="225"/>
        <v>1828200</v>
      </c>
      <c r="AW491" s="18">
        <f t="shared" si="226"/>
        <v>9227069</v>
      </c>
      <c r="AX491" s="15">
        <f t="shared" si="220"/>
        <v>9228000</v>
      </c>
      <c r="AY491" s="20">
        <v>0.06</v>
      </c>
      <c r="AZ491" s="13">
        <f t="shared" si="221"/>
        <v>553680</v>
      </c>
      <c r="BA491" s="15">
        <f t="shared" si="222"/>
        <v>553700</v>
      </c>
      <c r="BB491" s="21">
        <f t="shared" si="227"/>
        <v>2001131</v>
      </c>
      <c r="BC491" s="10">
        <f t="shared" si="228"/>
        <v>0</v>
      </c>
      <c r="BD491" s="10">
        <f t="shared" si="229"/>
        <v>0</v>
      </c>
      <c r="BE491" s="10">
        <v>43.3</v>
      </c>
      <c r="BF491" s="10">
        <v>19.3</v>
      </c>
      <c r="BG491" s="107">
        <v>46176</v>
      </c>
      <c r="BH491" s="107">
        <f t="shared" si="232"/>
        <v>46206</v>
      </c>
      <c r="BI491" s="23">
        <v>6</v>
      </c>
      <c r="BJ491" s="6"/>
      <c r="BK491" s="6"/>
      <c r="BL491" s="6">
        <f>VLOOKUP(A491,[2]Sheet1!$D$2:$H$933,5,0)</f>
        <v>0</v>
      </c>
      <c r="BM491" s="6" t="s">
        <v>3828</v>
      </c>
      <c r="BN491" s="6" t="s">
        <v>3829</v>
      </c>
      <c r="BO491" s="6" t="s">
        <v>3820</v>
      </c>
      <c r="BP491" s="6" t="s">
        <v>3821</v>
      </c>
      <c r="BQ491" s="6" t="s">
        <v>3830</v>
      </c>
      <c r="BR491" t="s">
        <v>3823</v>
      </c>
      <c r="BS491" t="s">
        <v>3824</v>
      </c>
      <c r="BT491" t="s">
        <v>3825</v>
      </c>
      <c r="BU491" t="s">
        <v>3826</v>
      </c>
      <c r="BV491" t="s">
        <v>3827</v>
      </c>
      <c r="BW491" t="s">
        <v>3835</v>
      </c>
      <c r="BX491">
        <v>0</v>
      </c>
      <c r="BY491" t="s">
        <v>3862</v>
      </c>
      <c r="BZ491" t="s">
        <v>3871</v>
      </c>
    </row>
    <row r="492" spans="1:78" x14ac:dyDescent="0.25">
      <c r="A492" s="7" t="s">
        <v>2051</v>
      </c>
      <c r="B492" s="7" t="s">
        <v>181</v>
      </c>
      <c r="C492" s="7" t="s">
        <v>2049</v>
      </c>
      <c r="D492" s="8" t="s">
        <v>2050</v>
      </c>
      <c r="E492" s="7" t="s">
        <v>2052</v>
      </c>
      <c r="F492" s="9">
        <v>44958</v>
      </c>
      <c r="G492" s="9" t="s">
        <v>404</v>
      </c>
      <c r="H492" s="9" t="s">
        <v>66</v>
      </c>
      <c r="I492" s="8" t="s">
        <v>78</v>
      </c>
      <c r="J492" s="10">
        <v>784.7</v>
      </c>
      <c r="K492" s="10">
        <v>784.7</v>
      </c>
      <c r="L492" s="10">
        <f t="shared" si="205"/>
        <v>0</v>
      </c>
      <c r="M492" s="10">
        <v>358.44</v>
      </c>
      <c r="N492" s="10">
        <v>358.44</v>
      </c>
      <c r="O492" s="10">
        <f t="shared" si="206"/>
        <v>0</v>
      </c>
      <c r="P492" s="11">
        <v>12885.000637186185</v>
      </c>
      <c r="Q492" s="11">
        <v>28207.95670126102</v>
      </c>
      <c r="R492" s="11">
        <v>22000</v>
      </c>
      <c r="S492" s="11">
        <v>10110860</v>
      </c>
      <c r="T492" s="11">
        <v>1213304</v>
      </c>
      <c r="U492" s="12">
        <f t="shared" si="207"/>
        <v>0.12000007912284415</v>
      </c>
      <c r="V492" s="13">
        <f t="shared" si="231"/>
        <v>0</v>
      </c>
      <c r="W492" s="10">
        <f t="shared" si="208"/>
        <v>0</v>
      </c>
      <c r="X492" s="10"/>
      <c r="Y492" s="10"/>
      <c r="Z492" s="11">
        <f t="shared" si="209"/>
        <v>10110860</v>
      </c>
      <c r="AA492" s="14">
        <v>3538800</v>
      </c>
      <c r="AB492" s="14">
        <v>424656</v>
      </c>
      <c r="AC492" s="11">
        <f t="shared" si="210"/>
        <v>6572060</v>
      </c>
      <c r="AD492" s="10">
        <f t="shared" si="211"/>
        <v>300</v>
      </c>
      <c r="AE492" s="15">
        <v>107532</v>
      </c>
      <c r="AF492" s="16">
        <v>19356</v>
      </c>
      <c r="AG492" s="15">
        <f t="shared" si="212"/>
        <v>0</v>
      </c>
      <c r="AH492" s="15">
        <f t="shared" si="213"/>
        <v>0</v>
      </c>
      <c r="AI492" s="15">
        <f t="shared" si="214"/>
        <v>107532</v>
      </c>
      <c r="AJ492" s="15">
        <f t="shared" si="215"/>
        <v>19356</v>
      </c>
      <c r="AK492" s="10">
        <v>107532</v>
      </c>
      <c r="AL492" s="15">
        <f t="shared" si="216"/>
        <v>107532</v>
      </c>
      <c r="AM492" s="15">
        <f t="shared" si="217"/>
        <v>6679592</v>
      </c>
      <c r="AN492" s="15">
        <f t="shared" si="218"/>
        <v>808004</v>
      </c>
      <c r="AO492" s="15">
        <f t="shared" si="223"/>
        <v>926646</v>
      </c>
      <c r="AP492" s="17">
        <f t="shared" si="219"/>
        <v>7606238</v>
      </c>
      <c r="AQ492" s="15">
        <v>3993289</v>
      </c>
      <c r="AR492" s="15">
        <v>11110</v>
      </c>
      <c r="AS492" s="18">
        <f t="shared" si="224"/>
        <v>3612949</v>
      </c>
      <c r="AT492" s="19">
        <v>0</v>
      </c>
      <c r="AU492" s="8">
        <v>8800</v>
      </c>
      <c r="AV492" s="13">
        <f t="shared" si="225"/>
        <v>3154272</v>
      </c>
      <c r="AW492" s="18">
        <f t="shared" si="226"/>
        <v>6679592</v>
      </c>
      <c r="AX492" s="15">
        <f t="shared" si="220"/>
        <v>6680000</v>
      </c>
      <c r="AY492" s="20">
        <v>7.0000000000000007E-2</v>
      </c>
      <c r="AZ492" s="13">
        <f t="shared" si="221"/>
        <v>467600.00000000006</v>
      </c>
      <c r="BA492" s="15">
        <f t="shared" si="222"/>
        <v>467600</v>
      </c>
      <c r="BB492" s="21">
        <f t="shared" si="227"/>
        <v>4080549</v>
      </c>
      <c r="BC492" s="10">
        <f t="shared" si="228"/>
        <v>0</v>
      </c>
      <c r="BD492" s="10">
        <f t="shared" si="229"/>
        <v>0</v>
      </c>
      <c r="BE492" s="10">
        <v>72.900000000000006</v>
      </c>
      <c r="BF492" s="10">
        <v>33.299999999999997</v>
      </c>
      <c r="BG492" s="107">
        <v>46176</v>
      </c>
      <c r="BH492" s="107">
        <f t="shared" si="232"/>
        <v>46206</v>
      </c>
      <c r="BI492" s="23">
        <v>7</v>
      </c>
      <c r="BJ492" s="6"/>
      <c r="BK492" s="6"/>
      <c r="BL492" s="6">
        <f>VLOOKUP(A492,[2]Sheet1!$D$2:$H$933,5,0)</f>
        <v>0</v>
      </c>
      <c r="BM492" s="6" t="s">
        <v>3828</v>
      </c>
      <c r="BN492" s="6" t="s">
        <v>3829</v>
      </c>
      <c r="BO492" s="6" t="s">
        <v>3820</v>
      </c>
      <c r="BP492" s="6" t="s">
        <v>3821</v>
      </c>
      <c r="BQ492" s="6" t="s">
        <v>3830</v>
      </c>
      <c r="BR492" t="s">
        <v>3823</v>
      </c>
      <c r="BS492" t="s">
        <v>3824</v>
      </c>
      <c r="BT492" t="s">
        <v>3825</v>
      </c>
      <c r="BU492" t="s">
        <v>3826</v>
      </c>
      <c r="BV492" t="s">
        <v>3827</v>
      </c>
      <c r="BW492" t="s">
        <v>3835</v>
      </c>
      <c r="BX492">
        <v>0</v>
      </c>
      <c r="BY492" t="s">
        <v>3869</v>
      </c>
      <c r="BZ492" t="s">
        <v>3863</v>
      </c>
    </row>
    <row r="493" spans="1:78" x14ac:dyDescent="0.25">
      <c r="A493" s="7" t="s">
        <v>2055</v>
      </c>
      <c r="B493" s="7" t="s">
        <v>181</v>
      </c>
      <c r="C493" s="7" t="s">
        <v>2053</v>
      </c>
      <c r="D493" s="8" t="s">
        <v>2054</v>
      </c>
      <c r="E493" s="7" t="s">
        <v>2056</v>
      </c>
      <c r="F493" s="9">
        <v>45103</v>
      </c>
      <c r="G493" s="9" t="s">
        <v>404</v>
      </c>
      <c r="H493" s="9" t="s">
        <v>66</v>
      </c>
      <c r="I493" s="8" t="s">
        <v>78</v>
      </c>
      <c r="J493" s="10">
        <v>677.06</v>
      </c>
      <c r="K493" s="10">
        <v>677.06</v>
      </c>
      <c r="L493" s="10">
        <f t="shared" si="205"/>
        <v>0</v>
      </c>
      <c r="M493" s="10">
        <v>315.39</v>
      </c>
      <c r="N493" s="10">
        <v>315.39</v>
      </c>
      <c r="O493" s="10">
        <f t="shared" si="206"/>
        <v>0</v>
      </c>
      <c r="P493" s="11">
        <v>12745.997400525805</v>
      </c>
      <c r="Q493" s="11">
        <v>27362.329179745713</v>
      </c>
      <c r="R493" s="11">
        <v>22000</v>
      </c>
      <c r="S493" s="11">
        <v>8629805</v>
      </c>
      <c r="T493" s="11">
        <v>1035578</v>
      </c>
      <c r="U493" s="12">
        <f t="shared" si="207"/>
        <v>0.12000016222846287</v>
      </c>
      <c r="V493" s="13">
        <f t="shared" si="231"/>
        <v>0</v>
      </c>
      <c r="W493" s="10">
        <f t="shared" si="208"/>
        <v>0</v>
      </c>
      <c r="X493" s="10"/>
      <c r="Y493" s="10"/>
      <c r="Z493" s="11">
        <f t="shared" si="209"/>
        <v>8629805</v>
      </c>
      <c r="AA493" s="14"/>
      <c r="AB493" s="14"/>
      <c r="AC493" s="11">
        <f t="shared" si="210"/>
        <v>8629805</v>
      </c>
      <c r="AD493" s="10">
        <f t="shared" si="211"/>
        <v>300</v>
      </c>
      <c r="AE493" s="15">
        <v>94617</v>
      </c>
      <c r="AF493" s="16">
        <v>17032</v>
      </c>
      <c r="AG493" s="15">
        <f t="shared" si="212"/>
        <v>0</v>
      </c>
      <c r="AH493" s="15">
        <f t="shared" si="213"/>
        <v>0</v>
      </c>
      <c r="AI493" s="15">
        <f t="shared" si="214"/>
        <v>94617</v>
      </c>
      <c r="AJ493" s="15">
        <f t="shared" si="215"/>
        <v>17032</v>
      </c>
      <c r="AK493" s="10">
        <v>94617</v>
      </c>
      <c r="AL493" s="15">
        <f t="shared" si="216"/>
        <v>94617</v>
      </c>
      <c r="AM493" s="15">
        <f t="shared" si="217"/>
        <v>8724422</v>
      </c>
      <c r="AN493" s="15">
        <f t="shared" si="218"/>
        <v>1052610</v>
      </c>
      <c r="AO493" s="15">
        <f t="shared" si="223"/>
        <v>1154763</v>
      </c>
      <c r="AP493" s="17">
        <f t="shared" si="219"/>
        <v>9879185</v>
      </c>
      <c r="AQ493" s="15">
        <v>8649327</v>
      </c>
      <c r="AR493" s="15">
        <v>7536</v>
      </c>
      <c r="AS493" s="18">
        <f t="shared" si="224"/>
        <v>1229858</v>
      </c>
      <c r="AT493" s="19">
        <v>0</v>
      </c>
      <c r="AU493" s="8">
        <v>8800</v>
      </c>
      <c r="AV493" s="13">
        <f t="shared" si="225"/>
        <v>2775432</v>
      </c>
      <c r="AW493" s="18">
        <f t="shared" si="226"/>
        <v>8724422</v>
      </c>
      <c r="AX493" s="15">
        <f t="shared" si="220"/>
        <v>8725000</v>
      </c>
      <c r="AY493" s="20">
        <v>0.06</v>
      </c>
      <c r="AZ493" s="13">
        <f t="shared" si="221"/>
        <v>523500</v>
      </c>
      <c r="BA493" s="15">
        <f t="shared" si="222"/>
        <v>523500</v>
      </c>
      <c r="BB493" s="21">
        <f t="shared" si="227"/>
        <v>1753358</v>
      </c>
      <c r="BC493" s="10">
        <f t="shared" si="228"/>
        <v>0</v>
      </c>
      <c r="BD493" s="10">
        <f t="shared" si="229"/>
        <v>0</v>
      </c>
      <c r="BE493" s="10">
        <v>62.9</v>
      </c>
      <c r="BF493" s="10">
        <v>29.3</v>
      </c>
      <c r="BG493" s="107">
        <v>46176</v>
      </c>
      <c r="BH493" s="107">
        <f t="shared" si="232"/>
        <v>46206</v>
      </c>
      <c r="BI493" s="23">
        <v>6</v>
      </c>
      <c r="BJ493" s="6"/>
      <c r="BK493" s="6"/>
      <c r="BL493" s="6">
        <f>VLOOKUP(A493,[2]Sheet1!$D$2:$H$933,5,0)</f>
        <v>0</v>
      </c>
      <c r="BM493" s="6" t="s">
        <v>3828</v>
      </c>
      <c r="BN493" s="6" t="s">
        <v>3829</v>
      </c>
      <c r="BO493" s="6" t="s">
        <v>3820</v>
      </c>
      <c r="BP493" s="6" t="s">
        <v>3821</v>
      </c>
      <c r="BQ493" s="6" t="s">
        <v>3830</v>
      </c>
      <c r="BR493" t="s">
        <v>3823</v>
      </c>
      <c r="BS493" t="s">
        <v>3824</v>
      </c>
      <c r="BT493" t="s">
        <v>3825</v>
      </c>
      <c r="BU493" t="s">
        <v>3826</v>
      </c>
      <c r="BV493" t="s">
        <v>3827</v>
      </c>
      <c r="BW493" t="s">
        <v>3835</v>
      </c>
      <c r="BX493">
        <v>0</v>
      </c>
      <c r="BY493" t="s">
        <v>3861</v>
      </c>
      <c r="BZ493" t="s">
        <v>3863</v>
      </c>
    </row>
    <row r="494" spans="1:78" x14ac:dyDescent="0.25">
      <c r="A494" s="7" t="s">
        <v>2059</v>
      </c>
      <c r="B494" s="7" t="s">
        <v>181</v>
      </c>
      <c r="C494" s="7" t="s">
        <v>2057</v>
      </c>
      <c r="D494" s="8" t="s">
        <v>2058</v>
      </c>
      <c r="E494" s="7" t="s">
        <v>1536</v>
      </c>
      <c r="F494" s="9">
        <v>44896</v>
      </c>
      <c r="G494" s="9" t="s">
        <v>65</v>
      </c>
      <c r="H494" s="9" t="s">
        <v>72</v>
      </c>
      <c r="I494" s="8" t="s">
        <v>78</v>
      </c>
      <c r="J494" s="10">
        <v>369.21</v>
      </c>
      <c r="K494" s="10">
        <v>369.21</v>
      </c>
      <c r="L494" s="10">
        <f t="shared" si="205"/>
        <v>0</v>
      </c>
      <c r="M494" s="10">
        <v>160.38</v>
      </c>
      <c r="N494" s="10">
        <v>160.38</v>
      </c>
      <c r="O494" s="10">
        <f t="shared" si="206"/>
        <v>0</v>
      </c>
      <c r="P494" s="11">
        <v>13800</v>
      </c>
      <c r="Q494" s="11">
        <v>31768.911335578003</v>
      </c>
      <c r="R494" s="11">
        <v>20000</v>
      </c>
      <c r="S494" s="11">
        <v>5095098</v>
      </c>
      <c r="T494" s="11">
        <v>611412</v>
      </c>
      <c r="U494" s="12">
        <f t="shared" si="207"/>
        <v>0.12000004710409888</v>
      </c>
      <c r="V494" s="13">
        <f t="shared" si="231"/>
        <v>0</v>
      </c>
      <c r="W494" s="10">
        <f t="shared" si="208"/>
        <v>0</v>
      </c>
      <c r="X494" s="10"/>
      <c r="Y494" s="10"/>
      <c r="Z494" s="11">
        <f t="shared" si="209"/>
        <v>5095098</v>
      </c>
      <c r="AA494" s="14"/>
      <c r="AB494" s="14"/>
      <c r="AC494" s="11">
        <f t="shared" si="210"/>
        <v>5095098</v>
      </c>
      <c r="AD494" s="10">
        <f t="shared" si="211"/>
        <v>300</v>
      </c>
      <c r="AE494" s="15">
        <v>48114</v>
      </c>
      <c r="AF494" s="16">
        <v>8660</v>
      </c>
      <c r="AG494" s="15">
        <f t="shared" si="212"/>
        <v>0</v>
      </c>
      <c r="AH494" s="15">
        <f t="shared" si="213"/>
        <v>0</v>
      </c>
      <c r="AI494" s="15">
        <f t="shared" si="214"/>
        <v>48114</v>
      </c>
      <c r="AJ494" s="15">
        <f t="shared" si="215"/>
        <v>8661</v>
      </c>
      <c r="AK494" s="10">
        <v>48114</v>
      </c>
      <c r="AL494" s="15">
        <f t="shared" si="216"/>
        <v>48114</v>
      </c>
      <c r="AM494" s="15">
        <f t="shared" si="217"/>
        <v>5143212</v>
      </c>
      <c r="AN494" s="15">
        <f t="shared" si="218"/>
        <v>620073</v>
      </c>
      <c r="AO494" s="15">
        <f t="shared" si="223"/>
        <v>679534</v>
      </c>
      <c r="AP494" s="17">
        <f t="shared" si="219"/>
        <v>5822746</v>
      </c>
      <c r="AQ494" s="15">
        <v>2853255.55</v>
      </c>
      <c r="AR494" s="15">
        <v>11347</v>
      </c>
      <c r="AS494" s="18">
        <f t="shared" si="224"/>
        <v>2969490</v>
      </c>
      <c r="AT494" s="19">
        <v>0</v>
      </c>
      <c r="AU494" s="8">
        <v>8800</v>
      </c>
      <c r="AV494" s="13">
        <f t="shared" si="225"/>
        <v>1411344</v>
      </c>
      <c r="AW494" s="18">
        <f t="shared" si="226"/>
        <v>5143212</v>
      </c>
      <c r="AX494" s="15">
        <f t="shared" si="220"/>
        <v>5144000</v>
      </c>
      <c r="AY494" s="20">
        <v>0.05</v>
      </c>
      <c r="AZ494" s="13">
        <f t="shared" si="221"/>
        <v>257200</v>
      </c>
      <c r="BA494" s="15">
        <f t="shared" si="222"/>
        <v>257200</v>
      </c>
      <c r="BB494" s="21">
        <f t="shared" si="227"/>
        <v>3226690</v>
      </c>
      <c r="BC494" s="10">
        <f t="shared" si="228"/>
        <v>0</v>
      </c>
      <c r="BD494" s="10">
        <f t="shared" si="229"/>
        <v>0</v>
      </c>
      <c r="BE494" s="10">
        <v>34.299999999999997</v>
      </c>
      <c r="BF494" s="10">
        <v>14.9</v>
      </c>
      <c r="BG494" s="107">
        <v>46176</v>
      </c>
      <c r="BH494" s="107">
        <f t="shared" si="232"/>
        <v>46206</v>
      </c>
      <c r="BI494" s="23">
        <v>5</v>
      </c>
      <c r="BJ494" s="6"/>
      <c r="BK494" s="6"/>
      <c r="BL494" s="6">
        <f>VLOOKUP(A494,[2]Sheet1!$D$2:$H$933,5,0)</f>
        <v>0</v>
      </c>
      <c r="BM494" s="6" t="s">
        <v>3828</v>
      </c>
      <c r="BN494" s="6" t="s">
        <v>3829</v>
      </c>
      <c r="BO494" s="6" t="s">
        <v>3820</v>
      </c>
      <c r="BP494" s="6" t="s">
        <v>3821</v>
      </c>
      <c r="BQ494" s="6" t="s">
        <v>3830</v>
      </c>
      <c r="BR494" t="s">
        <v>3823</v>
      </c>
      <c r="BS494" t="s">
        <v>3824</v>
      </c>
      <c r="BT494" t="s">
        <v>3825</v>
      </c>
      <c r="BU494" t="s">
        <v>3826</v>
      </c>
      <c r="BV494" t="s">
        <v>3827</v>
      </c>
      <c r="BW494" t="s">
        <v>3835</v>
      </c>
      <c r="BX494">
        <v>0</v>
      </c>
      <c r="BY494" t="s">
        <v>3859</v>
      </c>
      <c r="BZ494" t="s">
        <v>3860</v>
      </c>
    </row>
    <row r="495" spans="1:78" x14ac:dyDescent="0.25">
      <c r="A495" s="7" t="s">
        <v>2062</v>
      </c>
      <c r="B495" s="7" t="s">
        <v>181</v>
      </c>
      <c r="C495" s="7" t="s">
        <v>2060</v>
      </c>
      <c r="D495" s="8" t="s">
        <v>2061</v>
      </c>
      <c r="E495" s="7" t="s">
        <v>1916</v>
      </c>
      <c r="F495" s="9">
        <v>44866</v>
      </c>
      <c r="G495" s="9" t="s">
        <v>717</v>
      </c>
      <c r="H495" s="9" t="s">
        <v>92</v>
      </c>
      <c r="I495" s="8" t="s">
        <v>78</v>
      </c>
      <c r="J495" s="10">
        <v>406.88</v>
      </c>
      <c r="K495" s="10">
        <v>412</v>
      </c>
      <c r="L495" s="10">
        <f t="shared" si="205"/>
        <v>5.1200000000000045</v>
      </c>
      <c r="M495" s="10">
        <v>175.45</v>
      </c>
      <c r="N495" s="10">
        <v>182</v>
      </c>
      <c r="O495" s="10">
        <f t="shared" si="206"/>
        <v>6.5500000000000114</v>
      </c>
      <c r="P495" s="11">
        <v>20073.999705072751</v>
      </c>
      <c r="Q495" s="11">
        <v>46552.915360501567</v>
      </c>
      <c r="R495" s="11">
        <v>28000</v>
      </c>
      <c r="S495" s="11">
        <v>8167709</v>
      </c>
      <c r="T495" s="11">
        <v>980126</v>
      </c>
      <c r="U495" s="12">
        <f t="shared" si="207"/>
        <v>0.12000011263868485</v>
      </c>
      <c r="V495" s="13">
        <f>L495*R495</f>
        <v>143360.00000000012</v>
      </c>
      <c r="W495" s="10">
        <f t="shared" si="208"/>
        <v>17203.216147881874</v>
      </c>
      <c r="X495" s="15"/>
      <c r="Y495" s="15"/>
      <c r="Z495" s="11">
        <f t="shared" si="209"/>
        <v>8311069</v>
      </c>
      <c r="AA495" s="14">
        <v>1102022</v>
      </c>
      <c r="AB495" s="14">
        <v>132242</v>
      </c>
      <c r="AC495" s="11">
        <f t="shared" si="210"/>
        <v>7209047</v>
      </c>
      <c r="AD495" s="10">
        <f t="shared" si="211"/>
        <v>300</v>
      </c>
      <c r="AE495" s="15">
        <v>52635</v>
      </c>
      <c r="AF495" s="16">
        <v>9474</v>
      </c>
      <c r="AG495" s="15">
        <f t="shared" si="212"/>
        <v>1965.0000000000034</v>
      </c>
      <c r="AH495" s="15">
        <f t="shared" si="213"/>
        <v>353.70000000000061</v>
      </c>
      <c r="AI495" s="15">
        <f t="shared" si="214"/>
        <v>54600</v>
      </c>
      <c r="AJ495" s="15">
        <f t="shared" si="215"/>
        <v>9828</v>
      </c>
      <c r="AK495" s="10">
        <v>52635</v>
      </c>
      <c r="AL495" s="15">
        <f t="shared" si="216"/>
        <v>54600</v>
      </c>
      <c r="AM495" s="15">
        <f t="shared" si="217"/>
        <v>7263647</v>
      </c>
      <c r="AN495" s="15">
        <f t="shared" si="218"/>
        <v>874916</v>
      </c>
      <c r="AO495" s="15">
        <f t="shared" si="223"/>
        <v>937183</v>
      </c>
      <c r="AP495" s="17">
        <f t="shared" si="219"/>
        <v>8200830</v>
      </c>
      <c r="AQ495" s="15">
        <v>6728610</v>
      </c>
      <c r="AR495" s="15">
        <v>7667</v>
      </c>
      <c r="AS495" s="18">
        <f t="shared" si="224"/>
        <v>1472220</v>
      </c>
      <c r="AT495" s="19">
        <v>0</v>
      </c>
      <c r="AU495" s="8">
        <v>8800</v>
      </c>
      <c r="AV495" s="13">
        <f t="shared" si="225"/>
        <v>1601600</v>
      </c>
      <c r="AW495" s="18">
        <f t="shared" si="226"/>
        <v>7263647</v>
      </c>
      <c r="AX495" s="15">
        <f t="shared" si="220"/>
        <v>7264000</v>
      </c>
      <c r="AY495" s="20">
        <v>7.0000000000000007E-2</v>
      </c>
      <c r="AZ495" s="13">
        <f t="shared" si="221"/>
        <v>508480.00000000006</v>
      </c>
      <c r="BA495" s="15">
        <f t="shared" si="222"/>
        <v>508500</v>
      </c>
      <c r="BB495" s="21">
        <f t="shared" si="227"/>
        <v>1980720</v>
      </c>
      <c r="BC495" s="10">
        <f t="shared" si="228"/>
        <v>1.2583562721195451</v>
      </c>
      <c r="BD495" s="10">
        <f t="shared" si="229"/>
        <v>3.733257338273019</v>
      </c>
      <c r="BE495" s="10">
        <v>38.28</v>
      </c>
      <c r="BF495" s="10">
        <v>16.91</v>
      </c>
      <c r="BG495" s="107">
        <v>46176</v>
      </c>
      <c r="BH495" s="107">
        <f t="shared" si="232"/>
        <v>46206</v>
      </c>
      <c r="BI495" s="23">
        <v>7</v>
      </c>
      <c r="BJ495" s="6"/>
      <c r="BK495" s="6"/>
      <c r="BL495" s="6">
        <f>VLOOKUP(A495,[2]Sheet1!$D$2:$H$933,5,0)</f>
        <v>0</v>
      </c>
      <c r="BM495" s="6" t="s">
        <v>3828</v>
      </c>
      <c r="BN495" s="6" t="s">
        <v>3829</v>
      </c>
      <c r="BO495" s="6" t="s">
        <v>3820</v>
      </c>
      <c r="BP495" s="6" t="s">
        <v>3821</v>
      </c>
      <c r="BQ495" s="6" t="s">
        <v>3830</v>
      </c>
      <c r="BR495" t="s">
        <v>3823</v>
      </c>
      <c r="BS495" t="s">
        <v>3824</v>
      </c>
      <c r="BT495" t="s">
        <v>3825</v>
      </c>
      <c r="BU495" t="s">
        <v>3826</v>
      </c>
      <c r="BV495" t="s">
        <v>3827</v>
      </c>
      <c r="BW495" t="s">
        <v>3835</v>
      </c>
      <c r="BX495">
        <v>0</v>
      </c>
      <c r="BY495" t="s">
        <v>3868</v>
      </c>
      <c r="BZ495" t="s">
        <v>3872</v>
      </c>
    </row>
    <row r="496" spans="1:78" x14ac:dyDescent="0.25">
      <c r="A496" s="7" t="s">
        <v>2065</v>
      </c>
      <c r="B496" s="7" t="s">
        <v>181</v>
      </c>
      <c r="C496" s="7" t="s">
        <v>2063</v>
      </c>
      <c r="D496" s="8" t="s">
        <v>2064</v>
      </c>
      <c r="E496" s="7" t="s">
        <v>2066</v>
      </c>
      <c r="F496" s="9">
        <v>45124</v>
      </c>
      <c r="G496" s="9" t="s">
        <v>527</v>
      </c>
      <c r="H496" s="9" t="s">
        <v>92</v>
      </c>
      <c r="I496" s="8" t="s">
        <v>67</v>
      </c>
      <c r="J496" s="10">
        <v>394.68</v>
      </c>
      <c r="K496" s="10">
        <v>394.68</v>
      </c>
      <c r="L496" s="10">
        <f t="shared" si="205"/>
        <v>0</v>
      </c>
      <c r="M496" s="10">
        <v>158.22999999999999</v>
      </c>
      <c r="N496" s="10">
        <v>158.22999999999999</v>
      </c>
      <c r="O496" s="10">
        <f t="shared" si="206"/>
        <v>0</v>
      </c>
      <c r="P496" s="11">
        <v>17200</v>
      </c>
      <c r="Q496" s="11">
        <v>42902.711243127094</v>
      </c>
      <c r="R496" s="11">
        <v>28000</v>
      </c>
      <c r="S496" s="11">
        <v>6788496</v>
      </c>
      <c r="T496" s="11">
        <v>814620</v>
      </c>
      <c r="U496" s="12">
        <f t="shared" si="207"/>
        <v>0.12000007070785634</v>
      </c>
      <c r="V496" s="13">
        <f>L496*P496</f>
        <v>0</v>
      </c>
      <c r="W496" s="10">
        <f t="shared" si="208"/>
        <v>0</v>
      </c>
      <c r="X496" s="10"/>
      <c r="Y496" s="10"/>
      <c r="Z496" s="11">
        <f t="shared" si="209"/>
        <v>6788496</v>
      </c>
      <c r="AA496" s="14"/>
      <c r="AB496" s="14"/>
      <c r="AC496" s="11">
        <f t="shared" si="210"/>
        <v>6788496</v>
      </c>
      <c r="AD496" s="10">
        <f t="shared" si="211"/>
        <v>300</v>
      </c>
      <c r="AE496" s="15">
        <v>47469</v>
      </c>
      <c r="AF496" s="16">
        <v>8544</v>
      </c>
      <c r="AG496" s="15">
        <f t="shared" si="212"/>
        <v>0</v>
      </c>
      <c r="AH496" s="15">
        <f t="shared" si="213"/>
        <v>0</v>
      </c>
      <c r="AI496" s="15">
        <f t="shared" si="214"/>
        <v>47469</v>
      </c>
      <c r="AJ496" s="15">
        <f t="shared" si="215"/>
        <v>8545</v>
      </c>
      <c r="AK496" s="10">
        <v>47469</v>
      </c>
      <c r="AL496" s="15">
        <f t="shared" si="216"/>
        <v>47469</v>
      </c>
      <c r="AM496" s="15">
        <f t="shared" si="217"/>
        <v>6835965</v>
      </c>
      <c r="AN496" s="15">
        <f t="shared" si="218"/>
        <v>823165</v>
      </c>
      <c r="AO496" s="15">
        <f t="shared" si="223"/>
        <v>878431</v>
      </c>
      <c r="AP496" s="17">
        <f t="shared" si="219"/>
        <v>7714396</v>
      </c>
      <c r="AQ496" s="15">
        <v>6804788.4199999999</v>
      </c>
      <c r="AR496" s="15">
        <v>7797</v>
      </c>
      <c r="AS496" s="18">
        <f t="shared" si="224"/>
        <v>909608</v>
      </c>
      <c r="AT496" s="19">
        <v>0</v>
      </c>
      <c r="AU496" s="8">
        <v>8800</v>
      </c>
      <c r="AV496" s="13">
        <f t="shared" si="225"/>
        <v>1392424</v>
      </c>
      <c r="AW496" s="18">
        <f t="shared" si="226"/>
        <v>6835965</v>
      </c>
      <c r="AX496" s="15">
        <f t="shared" si="220"/>
        <v>6836000</v>
      </c>
      <c r="AY496" s="20">
        <v>5.67E-2</v>
      </c>
      <c r="AZ496" s="13">
        <f t="shared" si="221"/>
        <v>387601.2</v>
      </c>
      <c r="BA496" s="15">
        <f t="shared" si="222"/>
        <v>387700</v>
      </c>
      <c r="BB496" s="21">
        <f t="shared" si="227"/>
        <v>1297308</v>
      </c>
      <c r="BC496" s="10">
        <f t="shared" si="228"/>
        <v>0</v>
      </c>
      <c r="BD496" s="10">
        <f t="shared" si="229"/>
        <v>0</v>
      </c>
      <c r="BE496" s="10">
        <v>36.67</v>
      </c>
      <c r="BF496" s="10">
        <v>14.7</v>
      </c>
      <c r="BG496" s="107">
        <v>46176</v>
      </c>
      <c r="BH496" s="107">
        <f t="shared" si="232"/>
        <v>46206</v>
      </c>
      <c r="BI496" s="23">
        <v>5.67</v>
      </c>
      <c r="BJ496" s="6"/>
      <c r="BK496" s="6"/>
      <c r="BL496" s="6">
        <f>VLOOKUP(A496,[2]Sheet1!$D$2:$H$933,5,0)</f>
        <v>0</v>
      </c>
      <c r="BM496" s="6" t="s">
        <v>3828</v>
      </c>
      <c r="BN496" s="6" t="s">
        <v>3829</v>
      </c>
      <c r="BO496" s="6" t="s">
        <v>3820</v>
      </c>
      <c r="BP496" s="6" t="s">
        <v>3821</v>
      </c>
      <c r="BQ496" s="6" t="s">
        <v>3830</v>
      </c>
      <c r="BR496" t="s">
        <v>3823</v>
      </c>
      <c r="BS496" t="s">
        <v>3824</v>
      </c>
      <c r="BT496" t="s">
        <v>3825</v>
      </c>
      <c r="BU496" t="s">
        <v>3826</v>
      </c>
      <c r="BV496" t="s">
        <v>3827</v>
      </c>
      <c r="BW496" t="s">
        <v>3835</v>
      </c>
      <c r="BX496">
        <v>0</v>
      </c>
      <c r="BY496" t="s">
        <v>3867</v>
      </c>
      <c r="BZ496" t="s">
        <v>3871</v>
      </c>
    </row>
    <row r="497" spans="1:78" x14ac:dyDescent="0.25">
      <c r="A497" s="7" t="s">
        <v>2069</v>
      </c>
      <c r="B497" s="7" t="s">
        <v>181</v>
      </c>
      <c r="C497" s="7" t="s">
        <v>2067</v>
      </c>
      <c r="D497" s="8" t="s">
        <v>2068</v>
      </c>
      <c r="E497" s="7" t="s">
        <v>2070</v>
      </c>
      <c r="F497" s="9">
        <v>45016</v>
      </c>
      <c r="G497" s="9" t="s">
        <v>527</v>
      </c>
      <c r="H497" s="9" t="s">
        <v>66</v>
      </c>
      <c r="I497" s="8" t="s">
        <v>67</v>
      </c>
      <c r="J497" s="10">
        <v>388.7</v>
      </c>
      <c r="K497" s="10">
        <v>388.7</v>
      </c>
      <c r="L497" s="10">
        <f t="shared" si="205"/>
        <v>0</v>
      </c>
      <c r="M497" s="10">
        <v>156.08000000000001</v>
      </c>
      <c r="N497" s="10">
        <v>156.08000000000001</v>
      </c>
      <c r="O497" s="10">
        <f t="shared" si="206"/>
        <v>0</v>
      </c>
      <c r="P497" s="11">
        <v>9686.3390789812202</v>
      </c>
      <c r="Q497" s="11">
        <v>24122.757560225524</v>
      </c>
      <c r="R497" s="11">
        <v>22000</v>
      </c>
      <c r="S497" s="11">
        <v>3765080</v>
      </c>
      <c r="T497" s="11">
        <v>451808</v>
      </c>
      <c r="U497" s="12">
        <f t="shared" si="207"/>
        <v>0.11999957504223017</v>
      </c>
      <c r="V497" s="13">
        <f>L497*P497</f>
        <v>0</v>
      </c>
      <c r="W497" s="10">
        <f t="shared" si="208"/>
        <v>0</v>
      </c>
      <c r="X497" s="10"/>
      <c r="Y497" s="10"/>
      <c r="Z497" s="11">
        <f t="shared" si="209"/>
        <v>3765080</v>
      </c>
      <c r="AA497" s="14"/>
      <c r="AB497" s="14"/>
      <c r="AC497" s="11">
        <f t="shared" si="210"/>
        <v>3765080</v>
      </c>
      <c r="AD497" s="10">
        <f t="shared" si="211"/>
        <v>300</v>
      </c>
      <c r="AE497" s="15">
        <v>46824</v>
      </c>
      <c r="AF497" s="16">
        <v>8428</v>
      </c>
      <c r="AG497" s="15">
        <f t="shared" si="212"/>
        <v>0</v>
      </c>
      <c r="AH497" s="15">
        <f t="shared" si="213"/>
        <v>0</v>
      </c>
      <c r="AI497" s="15">
        <f t="shared" si="214"/>
        <v>46824.000000000007</v>
      </c>
      <c r="AJ497" s="15">
        <f t="shared" si="215"/>
        <v>8429</v>
      </c>
      <c r="AK497" s="10">
        <v>46824</v>
      </c>
      <c r="AL497" s="15">
        <f t="shared" si="216"/>
        <v>46824.000000000007</v>
      </c>
      <c r="AM497" s="15">
        <f t="shared" si="217"/>
        <v>3811904</v>
      </c>
      <c r="AN497" s="15">
        <f t="shared" si="218"/>
        <v>460237</v>
      </c>
      <c r="AO497" s="15">
        <f t="shared" si="223"/>
        <v>518504</v>
      </c>
      <c r="AP497" s="17">
        <f t="shared" si="219"/>
        <v>4330408</v>
      </c>
      <c r="AQ497" s="15">
        <v>1560000</v>
      </c>
      <c r="AR497" s="15">
        <v>11443</v>
      </c>
      <c r="AS497" s="18">
        <f t="shared" si="224"/>
        <v>2770408</v>
      </c>
      <c r="AT497" s="19">
        <v>0</v>
      </c>
      <c r="AU497" s="8">
        <v>8800</v>
      </c>
      <c r="AV497" s="13">
        <f t="shared" si="225"/>
        <v>1373504</v>
      </c>
      <c r="AW497" s="18">
        <f t="shared" si="226"/>
        <v>3811904</v>
      </c>
      <c r="AX497" s="15">
        <f t="shared" si="220"/>
        <v>3812000</v>
      </c>
      <c r="AY497" s="20">
        <v>7.0000000000000007E-2</v>
      </c>
      <c r="AZ497" s="13">
        <f t="shared" si="221"/>
        <v>266840</v>
      </c>
      <c r="BA497" s="15">
        <f t="shared" si="222"/>
        <v>266900</v>
      </c>
      <c r="BB497" s="21">
        <f t="shared" si="227"/>
        <v>3037308</v>
      </c>
      <c r="BC497" s="10">
        <f t="shared" si="228"/>
        <v>0</v>
      </c>
      <c r="BD497" s="10">
        <f t="shared" si="229"/>
        <v>0</v>
      </c>
      <c r="BE497" s="10">
        <v>36.11</v>
      </c>
      <c r="BF497" s="10">
        <v>14.5</v>
      </c>
      <c r="BG497" s="107">
        <v>46176</v>
      </c>
      <c r="BH497" s="107">
        <f t="shared" si="232"/>
        <v>46206</v>
      </c>
      <c r="BI497" s="23">
        <v>7</v>
      </c>
      <c r="BJ497" s="6"/>
      <c r="BK497" s="6"/>
      <c r="BL497" s="6">
        <f>VLOOKUP(A497,[2]Sheet1!$D$2:$H$933,5,0)</f>
        <v>0</v>
      </c>
      <c r="BM497" s="6" t="s">
        <v>3828</v>
      </c>
      <c r="BN497" s="6" t="s">
        <v>3829</v>
      </c>
      <c r="BO497" s="6" t="s">
        <v>3820</v>
      </c>
      <c r="BP497" s="6" t="s">
        <v>3821</v>
      </c>
      <c r="BQ497" s="6" t="s">
        <v>3830</v>
      </c>
      <c r="BR497" t="s">
        <v>3823</v>
      </c>
      <c r="BS497" t="s">
        <v>3824</v>
      </c>
      <c r="BT497" t="s">
        <v>3825</v>
      </c>
      <c r="BU497" t="s">
        <v>3826</v>
      </c>
      <c r="BV497" t="s">
        <v>3827</v>
      </c>
      <c r="BW497" t="s">
        <v>3835</v>
      </c>
      <c r="BX497">
        <v>0</v>
      </c>
      <c r="BY497" t="s">
        <v>3859</v>
      </c>
      <c r="BZ497" t="s">
        <v>3871</v>
      </c>
    </row>
    <row r="498" spans="1:78" x14ac:dyDescent="0.25">
      <c r="A498" s="7" t="s">
        <v>2073</v>
      </c>
      <c r="B498" s="7" t="s">
        <v>181</v>
      </c>
      <c r="C498" s="7" t="s">
        <v>2071</v>
      </c>
      <c r="D498" s="8" t="s">
        <v>2072</v>
      </c>
      <c r="E498" s="7" t="s">
        <v>2074</v>
      </c>
      <c r="F498" s="9">
        <v>44854</v>
      </c>
      <c r="G498" s="9" t="s">
        <v>717</v>
      </c>
      <c r="H498" s="9" t="s">
        <v>66</v>
      </c>
      <c r="I498" s="8" t="s">
        <v>78</v>
      </c>
      <c r="J498" s="10">
        <v>596.33000000000004</v>
      </c>
      <c r="K498" s="10">
        <v>610</v>
      </c>
      <c r="L498" s="10">
        <f t="shared" si="205"/>
        <v>13.669999999999959</v>
      </c>
      <c r="M498" s="10">
        <v>266.95</v>
      </c>
      <c r="N498" s="10">
        <v>275</v>
      </c>
      <c r="O498" s="10">
        <f t="shared" si="206"/>
        <v>8.0500000000000114</v>
      </c>
      <c r="P498" s="11">
        <v>15099.999999999998</v>
      </c>
      <c r="Q498" s="11">
        <v>33731.346694137479</v>
      </c>
      <c r="R498" s="11">
        <v>22000</v>
      </c>
      <c r="S498" s="11">
        <v>9004583</v>
      </c>
      <c r="T498" s="11">
        <v>1080550</v>
      </c>
      <c r="U498" s="12">
        <f t="shared" si="207"/>
        <v>0.12000000444218238</v>
      </c>
      <c r="V498" s="13">
        <f>L498*R498</f>
        <v>300739.99999999913</v>
      </c>
      <c r="W498" s="10">
        <f t="shared" si="208"/>
        <v>36088.801335941826</v>
      </c>
      <c r="X498" s="15"/>
      <c r="Y498" s="15"/>
      <c r="Z498" s="11">
        <f t="shared" si="209"/>
        <v>9305323</v>
      </c>
      <c r="AA498" s="14">
        <v>3151604</v>
      </c>
      <c r="AB498" s="14">
        <v>378192</v>
      </c>
      <c r="AC498" s="11">
        <f t="shared" si="210"/>
        <v>6153719</v>
      </c>
      <c r="AD498" s="10">
        <f t="shared" si="211"/>
        <v>300</v>
      </c>
      <c r="AE498" s="15">
        <v>80085</v>
      </c>
      <c r="AF498" s="16">
        <v>14416</v>
      </c>
      <c r="AG498" s="15">
        <f t="shared" si="212"/>
        <v>2415.0000000000036</v>
      </c>
      <c r="AH498" s="15">
        <f t="shared" si="213"/>
        <v>434.70000000000061</v>
      </c>
      <c r="AI498" s="15">
        <f t="shared" si="214"/>
        <v>82500</v>
      </c>
      <c r="AJ498" s="15">
        <f t="shared" si="215"/>
        <v>14850</v>
      </c>
      <c r="AK498" s="10">
        <v>80085</v>
      </c>
      <c r="AL498" s="15">
        <f t="shared" si="216"/>
        <v>82500</v>
      </c>
      <c r="AM498" s="15">
        <f t="shared" si="217"/>
        <v>6236219</v>
      </c>
      <c r="AN498" s="15">
        <f t="shared" si="218"/>
        <v>753297</v>
      </c>
      <c r="AO498" s="15">
        <f t="shared" si="223"/>
        <v>843729.12</v>
      </c>
      <c r="AP498" s="17">
        <f t="shared" si="219"/>
        <v>7079948.1200000001</v>
      </c>
      <c r="AQ498" s="15">
        <v>5384130</v>
      </c>
      <c r="AR498" s="15">
        <v>7932.12</v>
      </c>
      <c r="AS498" s="18">
        <f t="shared" si="224"/>
        <v>1695818</v>
      </c>
      <c r="AT498" s="19">
        <v>0</v>
      </c>
      <c r="AU498" s="8">
        <v>8800</v>
      </c>
      <c r="AV498" s="13">
        <f t="shared" si="225"/>
        <v>2420000</v>
      </c>
      <c r="AW498" s="18">
        <f t="shared" si="226"/>
        <v>6236219</v>
      </c>
      <c r="AX498" s="15">
        <f t="shared" si="220"/>
        <v>6237000</v>
      </c>
      <c r="AY498" s="20">
        <v>0.05</v>
      </c>
      <c r="AZ498" s="13">
        <f t="shared" si="221"/>
        <v>311850</v>
      </c>
      <c r="BA498" s="15">
        <f t="shared" si="222"/>
        <v>311900</v>
      </c>
      <c r="BB498" s="21">
        <f t="shared" si="227"/>
        <v>2007718</v>
      </c>
      <c r="BC498" s="10">
        <f t="shared" si="228"/>
        <v>2.2923549041637949</v>
      </c>
      <c r="BD498" s="10">
        <f t="shared" si="229"/>
        <v>3.0155459823937112</v>
      </c>
      <c r="BE498" s="10">
        <v>56.67</v>
      </c>
      <c r="BF498" s="10">
        <v>25.55</v>
      </c>
      <c r="BG498" s="107">
        <v>46176</v>
      </c>
      <c r="BH498" s="107">
        <f t="shared" si="232"/>
        <v>46206</v>
      </c>
      <c r="BI498" s="23">
        <v>5</v>
      </c>
      <c r="BJ498" s="6"/>
      <c r="BK498" s="6"/>
      <c r="BL498" s="6">
        <f>VLOOKUP(A498,[2]Sheet1!$D$2:$H$933,5,0)</f>
        <v>0</v>
      </c>
      <c r="BM498" s="6" t="s">
        <v>3828</v>
      </c>
      <c r="BN498" s="6" t="s">
        <v>3829</v>
      </c>
      <c r="BO498" s="6" t="s">
        <v>3820</v>
      </c>
      <c r="BP498" s="6" t="s">
        <v>3821</v>
      </c>
      <c r="BQ498" s="6" t="s">
        <v>3830</v>
      </c>
      <c r="BR498" t="s">
        <v>3823</v>
      </c>
      <c r="BS498" t="s">
        <v>3824</v>
      </c>
      <c r="BT498" t="s">
        <v>3825</v>
      </c>
      <c r="BU498" t="s">
        <v>3826</v>
      </c>
      <c r="BV498" t="s">
        <v>3827</v>
      </c>
      <c r="BW498" t="s">
        <v>3835</v>
      </c>
      <c r="BX498">
        <v>0</v>
      </c>
      <c r="BY498" t="s">
        <v>3866</v>
      </c>
      <c r="BZ498" t="s">
        <v>3872</v>
      </c>
    </row>
    <row r="499" spans="1:78" x14ac:dyDescent="0.25">
      <c r="A499" s="7" t="s">
        <v>2077</v>
      </c>
      <c r="B499" s="7" t="s">
        <v>181</v>
      </c>
      <c r="C499" s="7" t="s">
        <v>2075</v>
      </c>
      <c r="D499" s="8" t="s">
        <v>2076</v>
      </c>
      <c r="E499" s="7" t="s">
        <v>2078</v>
      </c>
      <c r="F499" s="9">
        <v>44909</v>
      </c>
      <c r="G499" s="9" t="s">
        <v>404</v>
      </c>
      <c r="H499" s="9" t="s">
        <v>92</v>
      </c>
      <c r="I499" s="8" t="s">
        <v>78</v>
      </c>
      <c r="J499" s="10">
        <v>632.49</v>
      </c>
      <c r="K499" s="10">
        <v>632.49</v>
      </c>
      <c r="L499" s="10">
        <f t="shared" si="205"/>
        <v>0</v>
      </c>
      <c r="M499" s="10">
        <v>290.63</v>
      </c>
      <c r="N499" s="10">
        <v>290.63</v>
      </c>
      <c r="O499" s="10">
        <f t="shared" si="206"/>
        <v>0</v>
      </c>
      <c r="P499" s="11">
        <v>21149.999209473666</v>
      </c>
      <c r="Q499" s="11">
        <v>46028.156074734201</v>
      </c>
      <c r="R499" s="11">
        <v>28000</v>
      </c>
      <c r="S499" s="11">
        <v>13377163</v>
      </c>
      <c r="T499" s="11">
        <v>1605260</v>
      </c>
      <c r="U499" s="12">
        <f t="shared" si="207"/>
        <v>0.120000032891877</v>
      </c>
      <c r="V499" s="13">
        <f t="shared" ref="V499:V515" si="233">L499*P499</f>
        <v>0</v>
      </c>
      <c r="W499" s="10">
        <f t="shared" si="208"/>
        <v>0</v>
      </c>
      <c r="X499" s="10"/>
      <c r="Y499" s="10"/>
      <c r="Z499" s="11">
        <f t="shared" si="209"/>
        <v>13377163</v>
      </c>
      <c r="AA499" s="14"/>
      <c r="AB499" s="14"/>
      <c r="AC499" s="11">
        <f t="shared" si="210"/>
        <v>13377163</v>
      </c>
      <c r="AD499" s="10">
        <f t="shared" si="211"/>
        <v>300</v>
      </c>
      <c r="AE499" s="15">
        <v>87189</v>
      </c>
      <c r="AF499" s="16">
        <v>15694</v>
      </c>
      <c r="AG499" s="15">
        <f t="shared" si="212"/>
        <v>0</v>
      </c>
      <c r="AH499" s="15">
        <f t="shared" si="213"/>
        <v>0</v>
      </c>
      <c r="AI499" s="15">
        <f t="shared" si="214"/>
        <v>87189</v>
      </c>
      <c r="AJ499" s="15">
        <f t="shared" si="215"/>
        <v>15695</v>
      </c>
      <c r="AK499" s="10">
        <v>87189</v>
      </c>
      <c r="AL499" s="15">
        <f t="shared" si="216"/>
        <v>87189</v>
      </c>
      <c r="AM499" s="15">
        <f t="shared" si="217"/>
        <v>13464352</v>
      </c>
      <c r="AN499" s="15">
        <f t="shared" si="218"/>
        <v>1620955</v>
      </c>
      <c r="AO499" s="15">
        <f t="shared" si="223"/>
        <v>1716008</v>
      </c>
      <c r="AP499" s="17">
        <f t="shared" si="219"/>
        <v>15180360</v>
      </c>
      <c r="AQ499" s="15">
        <v>13430672</v>
      </c>
      <c r="AR499" s="15">
        <v>7864</v>
      </c>
      <c r="AS499" s="18">
        <f t="shared" si="224"/>
        <v>1749688</v>
      </c>
      <c r="AT499" s="19">
        <v>0</v>
      </c>
      <c r="AU499" s="8">
        <v>8800</v>
      </c>
      <c r="AV499" s="13">
        <f t="shared" si="225"/>
        <v>2557544</v>
      </c>
      <c r="AW499" s="18">
        <f t="shared" si="226"/>
        <v>13464352</v>
      </c>
      <c r="AX499" s="15">
        <f t="shared" si="220"/>
        <v>13465000</v>
      </c>
      <c r="AY499" s="20">
        <v>7.0000000000000007E-2</v>
      </c>
      <c r="AZ499" s="13">
        <f t="shared" si="221"/>
        <v>942550.00000000012</v>
      </c>
      <c r="BA499" s="15">
        <f t="shared" si="222"/>
        <v>942600</v>
      </c>
      <c r="BB499" s="21">
        <f t="shared" si="227"/>
        <v>2692288</v>
      </c>
      <c r="BC499" s="10">
        <f t="shared" si="228"/>
        <v>0</v>
      </c>
      <c r="BD499" s="10">
        <f t="shared" si="229"/>
        <v>0</v>
      </c>
      <c r="BE499" s="10">
        <v>58.76</v>
      </c>
      <c r="BF499" s="10">
        <v>27</v>
      </c>
      <c r="BG499" s="107">
        <v>46176</v>
      </c>
      <c r="BH499" s="107">
        <f t="shared" si="232"/>
        <v>46206</v>
      </c>
      <c r="BI499" s="23">
        <v>7</v>
      </c>
      <c r="BJ499" s="6"/>
      <c r="BK499" s="6"/>
      <c r="BL499" s="6">
        <f>VLOOKUP(A499,[2]Sheet1!$D$2:$H$933,5,0)</f>
        <v>0</v>
      </c>
      <c r="BM499" s="6" t="s">
        <v>3828</v>
      </c>
      <c r="BN499" s="6" t="s">
        <v>3829</v>
      </c>
      <c r="BO499" s="6" t="s">
        <v>3820</v>
      </c>
      <c r="BP499" s="6" t="s">
        <v>3821</v>
      </c>
      <c r="BQ499" s="6" t="s">
        <v>3830</v>
      </c>
      <c r="BR499" t="s">
        <v>3823</v>
      </c>
      <c r="BS499" t="s">
        <v>3824</v>
      </c>
      <c r="BT499" t="s">
        <v>3825</v>
      </c>
      <c r="BU499" t="s">
        <v>3826</v>
      </c>
      <c r="BV499" t="s">
        <v>3827</v>
      </c>
      <c r="BW499" t="s">
        <v>3835</v>
      </c>
      <c r="BX499">
        <v>0</v>
      </c>
      <c r="BY499" t="s">
        <v>3869</v>
      </c>
      <c r="BZ499" t="s">
        <v>3863</v>
      </c>
    </row>
    <row r="500" spans="1:78" x14ac:dyDescent="0.25">
      <c r="A500" s="92" t="s">
        <v>2081</v>
      </c>
      <c r="B500" s="48" t="s">
        <v>181</v>
      </c>
      <c r="C500" s="48" t="s">
        <v>2079</v>
      </c>
      <c r="D500" s="49" t="s">
        <v>2080</v>
      </c>
      <c r="E500" s="48" t="s">
        <v>2082</v>
      </c>
      <c r="F500" s="50">
        <v>44861</v>
      </c>
      <c r="G500" s="50" t="s">
        <v>717</v>
      </c>
      <c r="H500" s="50" t="s">
        <v>72</v>
      </c>
      <c r="I500" s="49" t="s">
        <v>78</v>
      </c>
      <c r="J500" s="51">
        <v>348.75</v>
      </c>
      <c r="K500" s="51">
        <v>348.75</v>
      </c>
      <c r="L500" s="51">
        <f t="shared" ref="L500:L563" si="234">K500-J500</f>
        <v>0</v>
      </c>
      <c r="M500" s="51">
        <v>142.72999999999999</v>
      </c>
      <c r="N500" s="51">
        <v>142.72999999999999</v>
      </c>
      <c r="O500" s="51">
        <f t="shared" ref="O500:O563" si="235">N500-M500</f>
        <v>0</v>
      </c>
      <c r="P500" s="52">
        <v>8174.9992831541222</v>
      </c>
      <c r="Q500" s="52">
        <v>19974.99474532334</v>
      </c>
      <c r="R500" s="52">
        <v>20000</v>
      </c>
      <c r="S500" s="52">
        <v>2851031</v>
      </c>
      <c r="T500" s="52">
        <v>342122</v>
      </c>
      <c r="U500" s="53">
        <f t="shared" ref="U500:U563" si="236">T500/S500</f>
        <v>0.11999939670947106</v>
      </c>
      <c r="V500" s="54">
        <f t="shared" si="233"/>
        <v>0</v>
      </c>
      <c r="W500" s="51">
        <f t="shared" ref="W500:W563" si="237">V500*U500</f>
        <v>0</v>
      </c>
      <c r="X500" s="51"/>
      <c r="Y500" s="51"/>
      <c r="Z500" s="52">
        <f t="shared" ref="Z500:Z563" si="238">S500+V500+X500</f>
        <v>2851031</v>
      </c>
      <c r="AA500" s="56">
        <v>997860</v>
      </c>
      <c r="AB500" s="56">
        <v>119743</v>
      </c>
      <c r="AC500" s="52">
        <f t="shared" ref="AC500:AC563" si="239">Z500-AA500</f>
        <v>1853171</v>
      </c>
      <c r="AD500" s="51">
        <f t="shared" ref="AD500:AD563" si="240">AE500/M500</f>
        <v>300</v>
      </c>
      <c r="AE500" s="55">
        <v>42819</v>
      </c>
      <c r="AF500" s="57">
        <v>7708</v>
      </c>
      <c r="AG500" s="55">
        <f t="shared" ref="AG500:AG563" si="241">(AD500*O500)</f>
        <v>0</v>
      </c>
      <c r="AH500" s="55">
        <f t="shared" ref="AH500:AH563" si="242">AG500*18%</f>
        <v>0</v>
      </c>
      <c r="AI500" s="55">
        <f t="shared" ref="AI500:AI563" si="243">AD500*N500</f>
        <v>42819</v>
      </c>
      <c r="AJ500" s="55">
        <f t="shared" ref="AJ500:AJ563" si="244">ROUNDUP(AI500*18%,0)</f>
        <v>7708</v>
      </c>
      <c r="AK500" s="51">
        <v>42819</v>
      </c>
      <c r="AL500" s="55">
        <f t="shared" ref="AL500:AL563" si="245">N500*300</f>
        <v>42819</v>
      </c>
      <c r="AM500" s="15">
        <f t="shared" ref="AM500:AM563" si="246">ROUND(AI500+AC500,0)</f>
        <v>1895990</v>
      </c>
      <c r="AN500" s="15">
        <f t="shared" ref="AN500:AN563" si="247">ROUNDUP(AJ500+W500+T500+Y500-AB500,0)</f>
        <v>230087</v>
      </c>
      <c r="AO500" s="55">
        <f t="shared" si="223"/>
        <v>276850</v>
      </c>
      <c r="AP500" s="58">
        <f t="shared" ref="AP500:AP563" si="248">AM500+AO500</f>
        <v>2172840</v>
      </c>
      <c r="AQ500" s="55">
        <v>1421188</v>
      </c>
      <c r="AR500" s="15">
        <v>3944</v>
      </c>
      <c r="AS500" s="18">
        <f t="shared" si="224"/>
        <v>751652</v>
      </c>
      <c r="AT500" s="60">
        <v>0</v>
      </c>
      <c r="AU500" s="49">
        <v>8800</v>
      </c>
      <c r="AV500" s="54">
        <f t="shared" si="225"/>
        <v>1256024</v>
      </c>
      <c r="AW500" s="59">
        <f t="shared" si="226"/>
        <v>1895990</v>
      </c>
      <c r="AX500" s="55">
        <f t="shared" ref="AX500:AX563" si="249">CEILING((AW500),1000)</f>
        <v>1896000</v>
      </c>
      <c r="AY500" s="61">
        <v>0.05</v>
      </c>
      <c r="AZ500" s="54">
        <f t="shared" ref="AZ500:AZ563" si="250">AY500*AX500</f>
        <v>94800</v>
      </c>
      <c r="BA500" s="55">
        <f t="shared" ref="BA500:BA563" si="251">CEILING(AZ500,100)</f>
        <v>94800</v>
      </c>
      <c r="BB500" s="62">
        <f t="shared" si="227"/>
        <v>846452</v>
      </c>
      <c r="BC500" s="51">
        <f t="shared" si="228"/>
        <v>0</v>
      </c>
      <c r="BD500" s="51">
        <f t="shared" si="229"/>
        <v>0</v>
      </c>
      <c r="BE500" s="51">
        <v>32.4</v>
      </c>
      <c r="BF500" s="51">
        <v>13.26</v>
      </c>
      <c r="BG500" s="107">
        <v>46176</v>
      </c>
      <c r="BH500" s="109">
        <f t="shared" si="232"/>
        <v>46206</v>
      </c>
      <c r="BI500" s="63">
        <v>5</v>
      </c>
      <c r="BJ500" s="24" t="s">
        <v>350</v>
      </c>
      <c r="BK500" s="6"/>
      <c r="BL500" s="6">
        <f>VLOOKUP(A500,[2]Sheet1!$D$2:$H$933,5,0)</f>
        <v>0</v>
      </c>
      <c r="BM500" s="6" t="s">
        <v>3828</v>
      </c>
      <c r="BN500" s="6" t="s">
        <v>3829</v>
      </c>
      <c r="BO500" s="6" t="s">
        <v>3820</v>
      </c>
      <c r="BP500" s="6" t="s">
        <v>3821</v>
      </c>
      <c r="BQ500" s="6" t="s">
        <v>3830</v>
      </c>
      <c r="BR500" t="s">
        <v>3823</v>
      </c>
      <c r="BS500" t="s">
        <v>3824</v>
      </c>
      <c r="BT500" t="s">
        <v>3825</v>
      </c>
      <c r="BU500" t="s">
        <v>3826</v>
      </c>
      <c r="BV500" t="s">
        <v>3827</v>
      </c>
      <c r="BW500" t="s">
        <v>3835</v>
      </c>
      <c r="BX500">
        <v>0</v>
      </c>
      <c r="BY500" t="s">
        <v>3866</v>
      </c>
      <c r="BZ500" t="s">
        <v>3872</v>
      </c>
    </row>
    <row r="501" spans="1:78" x14ac:dyDescent="0.25">
      <c r="A501" s="29" t="s">
        <v>2085</v>
      </c>
      <c r="B501" s="7" t="s">
        <v>181</v>
      </c>
      <c r="C501" s="7" t="s">
        <v>2083</v>
      </c>
      <c r="D501" s="8" t="s">
        <v>2084</v>
      </c>
      <c r="E501" s="7" t="s">
        <v>2086</v>
      </c>
      <c r="F501" s="9">
        <v>45008</v>
      </c>
      <c r="G501" s="9" t="s">
        <v>527</v>
      </c>
      <c r="H501" s="9" t="s">
        <v>92</v>
      </c>
      <c r="I501" s="8" t="s">
        <v>67</v>
      </c>
      <c r="J501" s="10">
        <v>399.46</v>
      </c>
      <c r="K501" s="10">
        <v>399.46</v>
      </c>
      <c r="L501" s="10">
        <f t="shared" si="234"/>
        <v>0</v>
      </c>
      <c r="M501" s="10">
        <v>162.54</v>
      </c>
      <c r="N501" s="10">
        <v>162.54</v>
      </c>
      <c r="O501" s="10">
        <f t="shared" si="235"/>
        <v>0</v>
      </c>
      <c r="P501" s="11">
        <v>13493.999399188906</v>
      </c>
      <c r="Q501" s="11">
        <v>33162.993724621636</v>
      </c>
      <c r="R501" s="11">
        <v>28000</v>
      </c>
      <c r="S501" s="11">
        <v>5390313</v>
      </c>
      <c r="T501" s="11">
        <v>646840</v>
      </c>
      <c r="U501" s="12">
        <f t="shared" si="236"/>
        <v>0.12000045266388056</v>
      </c>
      <c r="V501" s="13">
        <f t="shared" si="233"/>
        <v>0</v>
      </c>
      <c r="W501" s="10">
        <f t="shared" si="237"/>
        <v>0</v>
      </c>
      <c r="X501" s="10"/>
      <c r="Y501" s="10"/>
      <c r="Z501" s="11">
        <f t="shared" si="238"/>
        <v>5390313</v>
      </c>
      <c r="AA501" s="14"/>
      <c r="AB501" s="14"/>
      <c r="AC501" s="11">
        <f t="shared" si="239"/>
        <v>5390313</v>
      </c>
      <c r="AD501" s="10">
        <f t="shared" si="240"/>
        <v>300</v>
      </c>
      <c r="AE501" s="15">
        <v>48762</v>
      </c>
      <c r="AF501" s="16">
        <v>8778</v>
      </c>
      <c r="AG501" s="15">
        <f t="shared" si="241"/>
        <v>0</v>
      </c>
      <c r="AH501" s="15">
        <f t="shared" si="242"/>
        <v>0</v>
      </c>
      <c r="AI501" s="15">
        <f t="shared" si="243"/>
        <v>48762</v>
      </c>
      <c r="AJ501" s="15">
        <f t="shared" si="244"/>
        <v>8778</v>
      </c>
      <c r="AK501" s="10">
        <v>48762</v>
      </c>
      <c r="AL501" s="15">
        <f t="shared" si="245"/>
        <v>48762</v>
      </c>
      <c r="AM501" s="15">
        <f t="shared" si="246"/>
        <v>5439075</v>
      </c>
      <c r="AN501" s="15">
        <f t="shared" si="247"/>
        <v>655618</v>
      </c>
      <c r="AO501" s="15">
        <f t="shared" si="223"/>
        <v>706692.68</v>
      </c>
      <c r="AP501" s="17">
        <f t="shared" si="248"/>
        <v>6145767.6799999997</v>
      </c>
      <c r="AQ501" s="15">
        <f>3237519+325000</f>
        <v>3562519</v>
      </c>
      <c r="AR501" s="15">
        <v>2312.6799999999998</v>
      </c>
      <c r="AS501" s="18">
        <f t="shared" si="224"/>
        <v>2583249</v>
      </c>
      <c r="AT501" s="19">
        <v>0</v>
      </c>
      <c r="AU501" s="8">
        <v>8800</v>
      </c>
      <c r="AV501" s="13">
        <f t="shared" si="225"/>
        <v>1430352</v>
      </c>
      <c r="AW501" s="18">
        <f t="shared" si="226"/>
        <v>5439075</v>
      </c>
      <c r="AX501" s="15">
        <f t="shared" si="249"/>
        <v>5440000</v>
      </c>
      <c r="AY501" s="20">
        <v>0.05</v>
      </c>
      <c r="AZ501" s="13">
        <f t="shared" si="250"/>
        <v>272000</v>
      </c>
      <c r="BA501" s="15">
        <f t="shared" si="251"/>
        <v>272000</v>
      </c>
      <c r="BB501" s="21">
        <f t="shared" si="227"/>
        <v>2855249</v>
      </c>
      <c r="BC501" s="10">
        <f t="shared" si="228"/>
        <v>0</v>
      </c>
      <c r="BD501" s="10">
        <f t="shared" si="229"/>
        <v>0</v>
      </c>
      <c r="BE501" s="10">
        <v>37.11</v>
      </c>
      <c r="BF501" s="10">
        <v>15.1</v>
      </c>
      <c r="BG501" s="107">
        <v>46176</v>
      </c>
      <c r="BH501" s="107">
        <f t="shared" si="232"/>
        <v>46206</v>
      </c>
      <c r="BI501" s="23">
        <v>5</v>
      </c>
      <c r="BJ501" s="6"/>
      <c r="BK501" s="6"/>
      <c r="BL501" s="6">
        <f>VLOOKUP(A501,[2]Sheet1!$D$2:$H$933,5,0)</f>
        <v>0</v>
      </c>
      <c r="BM501" s="6" t="s">
        <v>3828</v>
      </c>
      <c r="BN501" s="6" t="s">
        <v>3829</v>
      </c>
      <c r="BO501" s="6" t="s">
        <v>3820</v>
      </c>
      <c r="BP501" s="6" t="s">
        <v>3821</v>
      </c>
      <c r="BQ501" s="6" t="s">
        <v>3830</v>
      </c>
      <c r="BR501" t="s">
        <v>3823</v>
      </c>
      <c r="BS501" t="s">
        <v>3824</v>
      </c>
      <c r="BT501" t="s">
        <v>3825</v>
      </c>
      <c r="BU501" t="s">
        <v>3826</v>
      </c>
      <c r="BV501" t="s">
        <v>3827</v>
      </c>
      <c r="BW501" t="s">
        <v>3835</v>
      </c>
      <c r="BX501">
        <v>0</v>
      </c>
      <c r="BY501" t="s">
        <v>3859</v>
      </c>
      <c r="BZ501" t="s">
        <v>3871</v>
      </c>
    </row>
    <row r="502" spans="1:78" x14ac:dyDescent="0.25">
      <c r="A502" s="29" t="s">
        <v>2089</v>
      </c>
      <c r="B502" s="7" t="s">
        <v>181</v>
      </c>
      <c r="C502" s="7" t="s">
        <v>2087</v>
      </c>
      <c r="D502" s="8" t="s">
        <v>2088</v>
      </c>
      <c r="E502" s="7" t="s">
        <v>2090</v>
      </c>
      <c r="F502" s="9">
        <v>45001</v>
      </c>
      <c r="G502" s="9" t="s">
        <v>527</v>
      </c>
      <c r="H502" s="9" t="s">
        <v>92</v>
      </c>
      <c r="I502" s="8" t="s">
        <v>67</v>
      </c>
      <c r="J502" s="10">
        <v>371.24</v>
      </c>
      <c r="K502" s="10">
        <v>371.24</v>
      </c>
      <c r="L502" s="10">
        <f t="shared" si="234"/>
        <v>0</v>
      </c>
      <c r="M502" s="10">
        <v>148.54</v>
      </c>
      <c r="N502" s="10">
        <v>148.54</v>
      </c>
      <c r="O502" s="10">
        <f t="shared" si="235"/>
        <v>0</v>
      </c>
      <c r="P502" s="11">
        <v>12622.998599288869</v>
      </c>
      <c r="Q502" s="11">
        <v>31548.148646829137</v>
      </c>
      <c r="R502" s="11">
        <v>28000</v>
      </c>
      <c r="S502" s="11">
        <v>4686162</v>
      </c>
      <c r="T502" s="11">
        <v>562340</v>
      </c>
      <c r="U502" s="12">
        <f t="shared" si="236"/>
        <v>0.12000011950077696</v>
      </c>
      <c r="V502" s="13">
        <f t="shared" si="233"/>
        <v>0</v>
      </c>
      <c r="W502" s="10">
        <f t="shared" si="237"/>
        <v>0</v>
      </c>
      <c r="X502" s="10"/>
      <c r="Y502" s="10"/>
      <c r="Z502" s="11">
        <f t="shared" si="238"/>
        <v>4686162</v>
      </c>
      <c r="AA502" s="14"/>
      <c r="AB502" s="14"/>
      <c r="AC502" s="11">
        <f t="shared" si="239"/>
        <v>4686162</v>
      </c>
      <c r="AD502" s="10">
        <f t="shared" si="240"/>
        <v>300</v>
      </c>
      <c r="AE502" s="15">
        <v>44562</v>
      </c>
      <c r="AF502" s="16">
        <v>8022</v>
      </c>
      <c r="AG502" s="15">
        <f t="shared" si="241"/>
        <v>0</v>
      </c>
      <c r="AH502" s="15">
        <f t="shared" si="242"/>
        <v>0</v>
      </c>
      <c r="AI502" s="15">
        <f t="shared" si="243"/>
        <v>44562</v>
      </c>
      <c r="AJ502" s="15">
        <f t="shared" si="244"/>
        <v>8022</v>
      </c>
      <c r="AK502" s="10">
        <v>44562</v>
      </c>
      <c r="AL502" s="15">
        <f t="shared" si="245"/>
        <v>44562</v>
      </c>
      <c r="AM502" s="15">
        <f t="shared" si="246"/>
        <v>4730724</v>
      </c>
      <c r="AN502" s="15">
        <f t="shared" si="247"/>
        <v>570362</v>
      </c>
      <c r="AO502" s="15">
        <f t="shared" si="223"/>
        <v>625740.36</v>
      </c>
      <c r="AP502" s="17">
        <f t="shared" si="248"/>
        <v>5356464.3600000003</v>
      </c>
      <c r="AQ502" s="15">
        <v>2253666</v>
      </c>
      <c r="AR502" s="15">
        <v>10816.36</v>
      </c>
      <c r="AS502" s="18">
        <f t="shared" si="224"/>
        <v>3102798</v>
      </c>
      <c r="AT502" s="19">
        <v>0</v>
      </c>
      <c r="AU502" s="8">
        <v>8800</v>
      </c>
      <c r="AV502" s="13">
        <f t="shared" si="225"/>
        <v>1307152</v>
      </c>
      <c r="AW502" s="18">
        <f t="shared" si="226"/>
        <v>4730724</v>
      </c>
      <c r="AX502" s="15">
        <f t="shared" si="249"/>
        <v>4731000</v>
      </c>
      <c r="AY502" s="20">
        <v>7.0000000000000007E-2</v>
      </c>
      <c r="AZ502" s="13">
        <f t="shared" si="250"/>
        <v>331170.00000000006</v>
      </c>
      <c r="BA502" s="15">
        <f t="shared" si="251"/>
        <v>331200</v>
      </c>
      <c r="BB502" s="21">
        <f t="shared" si="227"/>
        <v>3433998</v>
      </c>
      <c r="BC502" s="10">
        <f t="shared" si="228"/>
        <v>0</v>
      </c>
      <c r="BD502" s="10">
        <f t="shared" si="229"/>
        <v>0</v>
      </c>
      <c r="BE502" s="10">
        <v>34.49</v>
      </c>
      <c r="BF502" s="10">
        <v>13.8</v>
      </c>
      <c r="BG502" s="107">
        <v>46176</v>
      </c>
      <c r="BH502" s="107">
        <f t="shared" si="232"/>
        <v>46206</v>
      </c>
      <c r="BI502" s="23">
        <v>7</v>
      </c>
      <c r="BJ502" s="6"/>
      <c r="BK502" s="6"/>
      <c r="BL502" s="6">
        <f>VLOOKUP(A502,[2]Sheet1!$D$2:$H$933,5,0)</f>
        <v>0</v>
      </c>
      <c r="BM502" s="6" t="s">
        <v>3828</v>
      </c>
      <c r="BN502" s="6" t="s">
        <v>3829</v>
      </c>
      <c r="BO502" s="6" t="s">
        <v>3820</v>
      </c>
      <c r="BP502" s="6" t="s">
        <v>3821</v>
      </c>
      <c r="BQ502" s="6" t="s">
        <v>3830</v>
      </c>
      <c r="BR502" t="s">
        <v>3823</v>
      </c>
      <c r="BS502" t="s">
        <v>3824</v>
      </c>
      <c r="BT502" t="s">
        <v>3825</v>
      </c>
      <c r="BU502" t="s">
        <v>3826</v>
      </c>
      <c r="BV502" t="s">
        <v>3827</v>
      </c>
      <c r="BW502" t="s">
        <v>3835</v>
      </c>
      <c r="BX502">
        <v>0</v>
      </c>
      <c r="BY502" t="s">
        <v>3861</v>
      </c>
      <c r="BZ502" t="s">
        <v>3871</v>
      </c>
    </row>
    <row r="503" spans="1:78" x14ac:dyDescent="0.25">
      <c r="A503" s="29" t="s">
        <v>2093</v>
      </c>
      <c r="B503" s="7" t="s">
        <v>181</v>
      </c>
      <c r="C503" s="7" t="s">
        <v>2091</v>
      </c>
      <c r="D503" s="8" t="s">
        <v>2092</v>
      </c>
      <c r="E503" s="7" t="s">
        <v>2094</v>
      </c>
      <c r="F503" s="9">
        <v>44872</v>
      </c>
      <c r="G503" s="9" t="s">
        <v>65</v>
      </c>
      <c r="H503" s="9" t="s">
        <v>72</v>
      </c>
      <c r="I503" s="8" t="s">
        <v>78</v>
      </c>
      <c r="J503" s="10">
        <v>572.42999999999995</v>
      </c>
      <c r="K503" s="10">
        <v>572.42999999999995</v>
      </c>
      <c r="L503" s="10">
        <f t="shared" si="234"/>
        <v>0</v>
      </c>
      <c r="M503" s="10">
        <v>266.95</v>
      </c>
      <c r="N503" s="10">
        <v>266.95</v>
      </c>
      <c r="O503" s="10">
        <f t="shared" si="235"/>
        <v>0</v>
      </c>
      <c r="P503" s="11">
        <v>11353.999615673532</v>
      </c>
      <c r="Q503" s="11">
        <v>24346.769057876008</v>
      </c>
      <c r="R503" s="11">
        <v>20000</v>
      </c>
      <c r="S503" s="11">
        <v>6499370</v>
      </c>
      <c r="T503" s="11">
        <v>779924</v>
      </c>
      <c r="U503" s="12">
        <f t="shared" si="236"/>
        <v>0.11999993845557339</v>
      </c>
      <c r="V503" s="13">
        <f t="shared" si="233"/>
        <v>0</v>
      </c>
      <c r="W503" s="10">
        <f t="shared" si="237"/>
        <v>0</v>
      </c>
      <c r="X503" s="10"/>
      <c r="Y503" s="10"/>
      <c r="Z503" s="11">
        <f t="shared" si="238"/>
        <v>6499370</v>
      </c>
      <c r="AA503" s="14">
        <v>623250</v>
      </c>
      <c r="AB503" s="14">
        <v>74790</v>
      </c>
      <c r="AC503" s="11">
        <f t="shared" si="239"/>
        <v>5876120</v>
      </c>
      <c r="AD503" s="10">
        <f t="shared" si="240"/>
        <v>300</v>
      </c>
      <c r="AE503" s="15">
        <v>80085</v>
      </c>
      <c r="AF503" s="16">
        <v>14416</v>
      </c>
      <c r="AG503" s="15">
        <f t="shared" si="241"/>
        <v>0</v>
      </c>
      <c r="AH503" s="15">
        <f t="shared" si="242"/>
        <v>0</v>
      </c>
      <c r="AI503" s="15">
        <f t="shared" si="243"/>
        <v>80085</v>
      </c>
      <c r="AJ503" s="15">
        <f t="shared" si="244"/>
        <v>14416</v>
      </c>
      <c r="AK503" s="10">
        <v>80085</v>
      </c>
      <c r="AL503" s="15">
        <f t="shared" si="245"/>
        <v>80085</v>
      </c>
      <c r="AM503" s="15">
        <f t="shared" si="246"/>
        <v>5956205</v>
      </c>
      <c r="AN503" s="15">
        <f t="shared" si="247"/>
        <v>719550</v>
      </c>
      <c r="AO503" s="15">
        <f t="shared" si="223"/>
        <v>807970</v>
      </c>
      <c r="AP503" s="17">
        <f t="shared" si="248"/>
        <v>6764175</v>
      </c>
      <c r="AQ503" s="15">
        <v>5821063</v>
      </c>
      <c r="AR503" s="15">
        <v>8335</v>
      </c>
      <c r="AS503" s="18">
        <f t="shared" si="224"/>
        <v>943112</v>
      </c>
      <c r="AT503" s="19">
        <v>0</v>
      </c>
      <c r="AU503" s="8">
        <v>8800</v>
      </c>
      <c r="AV503" s="13">
        <f t="shared" si="225"/>
        <v>2349160</v>
      </c>
      <c r="AW503" s="18">
        <f t="shared" si="226"/>
        <v>5956205</v>
      </c>
      <c r="AX503" s="15">
        <f t="shared" si="249"/>
        <v>5957000</v>
      </c>
      <c r="AY503" s="20">
        <v>7.0000000000000007E-2</v>
      </c>
      <c r="AZ503" s="13">
        <f t="shared" si="250"/>
        <v>416990.00000000006</v>
      </c>
      <c r="BA503" s="15">
        <f t="shared" si="251"/>
        <v>417000</v>
      </c>
      <c r="BB503" s="21">
        <f t="shared" si="227"/>
        <v>1360112</v>
      </c>
      <c r="BC503" s="10">
        <f t="shared" si="228"/>
        <v>0</v>
      </c>
      <c r="BD503" s="10">
        <f t="shared" si="229"/>
        <v>0</v>
      </c>
      <c r="BE503" s="10">
        <v>53.18</v>
      </c>
      <c r="BF503" s="10">
        <v>24.8</v>
      </c>
      <c r="BG503" s="107">
        <v>46176</v>
      </c>
      <c r="BH503" s="107">
        <f t="shared" si="232"/>
        <v>46206</v>
      </c>
      <c r="BI503" s="23">
        <v>7</v>
      </c>
      <c r="BJ503" s="6"/>
      <c r="BK503" s="6"/>
      <c r="BL503" s="6">
        <f>VLOOKUP(A503,[2]Sheet1!$D$2:$H$933,5,0)</f>
        <v>0</v>
      </c>
      <c r="BM503" s="6" t="s">
        <v>3828</v>
      </c>
      <c r="BN503" s="6" t="s">
        <v>3829</v>
      </c>
      <c r="BO503" s="6" t="s">
        <v>3820</v>
      </c>
      <c r="BP503" s="6" t="s">
        <v>3821</v>
      </c>
      <c r="BQ503" s="6" t="s">
        <v>3830</v>
      </c>
      <c r="BR503" t="s">
        <v>3823</v>
      </c>
      <c r="BS503" t="s">
        <v>3824</v>
      </c>
      <c r="BT503" t="s">
        <v>3825</v>
      </c>
      <c r="BU503" t="s">
        <v>3826</v>
      </c>
      <c r="BV503" t="s">
        <v>3827</v>
      </c>
      <c r="BW503" t="s">
        <v>3835</v>
      </c>
      <c r="BX503">
        <v>0</v>
      </c>
      <c r="BY503" t="s">
        <v>3862</v>
      </c>
      <c r="BZ503" t="s">
        <v>3860</v>
      </c>
    </row>
    <row r="504" spans="1:78" x14ac:dyDescent="0.25">
      <c r="A504" s="29" t="s">
        <v>2097</v>
      </c>
      <c r="B504" s="7" t="s">
        <v>181</v>
      </c>
      <c r="C504" s="7" t="s">
        <v>2095</v>
      </c>
      <c r="D504" s="8" t="s">
        <v>2096</v>
      </c>
      <c r="E504" s="7" t="s">
        <v>2098</v>
      </c>
      <c r="F504" s="9">
        <v>45301</v>
      </c>
      <c r="G504" s="9" t="s">
        <v>363</v>
      </c>
      <c r="H504" s="9" t="s">
        <v>87</v>
      </c>
      <c r="I504" s="8" t="s">
        <v>67</v>
      </c>
      <c r="J504" s="10">
        <v>516.66999999999996</v>
      </c>
      <c r="K504" s="10">
        <v>516.66999999999996</v>
      </c>
      <c r="L504" s="10">
        <f t="shared" si="234"/>
        <v>0</v>
      </c>
      <c r="M504" s="10">
        <v>208.82</v>
      </c>
      <c r="N504" s="10">
        <v>208.82</v>
      </c>
      <c r="O504" s="10">
        <f t="shared" si="235"/>
        <v>0</v>
      </c>
      <c r="P504" s="11">
        <v>21857.50091934891</v>
      </c>
      <c r="Q504" s="11">
        <v>54080.619672445173</v>
      </c>
      <c r="R504" s="11">
        <v>40000</v>
      </c>
      <c r="S504" s="11">
        <v>11293115</v>
      </c>
      <c r="T504" s="11">
        <v>1355172</v>
      </c>
      <c r="U504" s="12">
        <f t="shared" si="236"/>
        <v>0.11999984061085006</v>
      </c>
      <c r="V504" s="13">
        <f t="shared" si="233"/>
        <v>0</v>
      </c>
      <c r="W504" s="10">
        <f t="shared" si="237"/>
        <v>0</v>
      </c>
      <c r="X504" s="10"/>
      <c r="Y504" s="10"/>
      <c r="Z504" s="11">
        <f t="shared" si="238"/>
        <v>11293115</v>
      </c>
      <c r="AA504" s="14"/>
      <c r="AB504" s="14"/>
      <c r="AC504" s="11">
        <f t="shared" si="239"/>
        <v>11293115</v>
      </c>
      <c r="AD504" s="10">
        <f t="shared" si="240"/>
        <v>300</v>
      </c>
      <c r="AE504" s="15">
        <v>62646</v>
      </c>
      <c r="AF504" s="16">
        <v>11276</v>
      </c>
      <c r="AG504" s="15">
        <f t="shared" si="241"/>
        <v>0</v>
      </c>
      <c r="AH504" s="15">
        <f t="shared" si="242"/>
        <v>0</v>
      </c>
      <c r="AI504" s="15">
        <f t="shared" si="243"/>
        <v>62646</v>
      </c>
      <c r="AJ504" s="15">
        <f t="shared" si="244"/>
        <v>11277</v>
      </c>
      <c r="AK504" s="10">
        <v>62646</v>
      </c>
      <c r="AL504" s="15">
        <f t="shared" si="245"/>
        <v>62646</v>
      </c>
      <c r="AM504" s="15">
        <f t="shared" si="246"/>
        <v>11355761</v>
      </c>
      <c r="AN504" s="15">
        <f t="shared" si="247"/>
        <v>1366449</v>
      </c>
      <c r="AO504" s="15">
        <f t="shared" si="223"/>
        <v>1437456</v>
      </c>
      <c r="AP504" s="17">
        <f t="shared" si="248"/>
        <v>12793217</v>
      </c>
      <c r="AQ504" s="15">
        <v>11353511.640000001</v>
      </c>
      <c r="AR504" s="15">
        <v>8361</v>
      </c>
      <c r="AS504" s="18">
        <f t="shared" si="224"/>
        <v>1439705</v>
      </c>
      <c r="AT504" s="19">
        <v>0</v>
      </c>
      <c r="AU504" s="8">
        <v>8800</v>
      </c>
      <c r="AV504" s="13">
        <f t="shared" si="225"/>
        <v>1837616</v>
      </c>
      <c r="AW504" s="18">
        <f t="shared" si="226"/>
        <v>11355761</v>
      </c>
      <c r="AX504" s="15">
        <f t="shared" si="249"/>
        <v>11356000</v>
      </c>
      <c r="AY504" s="20">
        <v>0.05</v>
      </c>
      <c r="AZ504" s="13">
        <f t="shared" si="250"/>
        <v>567800</v>
      </c>
      <c r="BA504" s="15">
        <f t="shared" si="251"/>
        <v>567800</v>
      </c>
      <c r="BB504" s="21">
        <f t="shared" si="227"/>
        <v>2007505</v>
      </c>
      <c r="BC504" s="10">
        <f t="shared" si="228"/>
        <v>0</v>
      </c>
      <c r="BD504" s="10">
        <f t="shared" si="229"/>
        <v>0</v>
      </c>
      <c r="BE504" s="10">
        <v>48</v>
      </c>
      <c r="BF504" s="10">
        <v>19.399999999999999</v>
      </c>
      <c r="BG504" s="107">
        <v>46176</v>
      </c>
      <c r="BH504" s="107">
        <f t="shared" si="232"/>
        <v>46206</v>
      </c>
      <c r="BI504" s="23">
        <v>5</v>
      </c>
      <c r="BJ504" s="6"/>
      <c r="BK504" s="6"/>
      <c r="BL504" s="6">
        <f>VLOOKUP(A504,[2]Sheet1!$D$2:$H$933,5,0)</f>
        <v>0</v>
      </c>
      <c r="BM504" s="6" t="s">
        <v>3828</v>
      </c>
      <c r="BN504" s="6" t="s">
        <v>3829</v>
      </c>
      <c r="BO504" s="6" t="s">
        <v>3820</v>
      </c>
      <c r="BP504" s="6" t="s">
        <v>3821</v>
      </c>
      <c r="BQ504" s="6" t="s">
        <v>3830</v>
      </c>
      <c r="BR504" t="s">
        <v>3823</v>
      </c>
      <c r="BS504" t="s">
        <v>3824</v>
      </c>
      <c r="BT504" t="s">
        <v>3825</v>
      </c>
      <c r="BU504" t="s">
        <v>3826</v>
      </c>
      <c r="BV504" t="s">
        <v>3827</v>
      </c>
      <c r="BW504" t="s">
        <v>3835</v>
      </c>
      <c r="BX504">
        <v>0</v>
      </c>
      <c r="BY504" t="s">
        <v>3862</v>
      </c>
      <c r="BZ504" t="s">
        <v>3860</v>
      </c>
    </row>
    <row r="505" spans="1:78" x14ac:dyDescent="0.25">
      <c r="A505" s="7" t="s">
        <v>2101</v>
      </c>
      <c r="B505" s="7" t="s">
        <v>181</v>
      </c>
      <c r="C505" s="7" t="s">
        <v>2099</v>
      </c>
      <c r="D505" s="8" t="s">
        <v>2100</v>
      </c>
      <c r="E505" s="7" t="s">
        <v>2102</v>
      </c>
      <c r="F505" s="9">
        <v>45075</v>
      </c>
      <c r="G505" s="9" t="s">
        <v>527</v>
      </c>
      <c r="H505" s="9" t="s">
        <v>66</v>
      </c>
      <c r="I505" s="8" t="s">
        <v>67</v>
      </c>
      <c r="J505" s="10">
        <v>615.94000000000005</v>
      </c>
      <c r="K505" s="10">
        <v>561.76</v>
      </c>
      <c r="L505" s="10">
        <f t="shared" si="234"/>
        <v>-54.180000000000064</v>
      </c>
      <c r="M505" s="10">
        <v>234.66</v>
      </c>
      <c r="N505" s="10">
        <v>214</v>
      </c>
      <c r="O505" s="10">
        <f t="shared" si="235"/>
        <v>-20.659999999999997</v>
      </c>
      <c r="P505" s="11">
        <v>13375.999285644704</v>
      </c>
      <c r="Q505" s="11">
        <v>35109.575556123753</v>
      </c>
      <c r="R505" s="11">
        <v>22000</v>
      </c>
      <c r="S505" s="11">
        <v>8238813</v>
      </c>
      <c r="T505" s="11">
        <v>988658</v>
      </c>
      <c r="U505" s="12">
        <f t="shared" si="236"/>
        <v>0.12000005340575154</v>
      </c>
      <c r="V505" s="13">
        <f t="shared" si="233"/>
        <v>-724711.64129623096</v>
      </c>
      <c r="W505" s="10">
        <f t="shared" si="237"/>
        <v>-86965.435659317562</v>
      </c>
      <c r="X505" s="15"/>
      <c r="Y505" s="15"/>
      <c r="Z505" s="11">
        <f t="shared" si="238"/>
        <v>7514101.3587037688</v>
      </c>
      <c r="AA505" s="14"/>
      <c r="AB505" s="14"/>
      <c r="AC505" s="11">
        <f t="shared" si="239"/>
        <v>7514101.3587037688</v>
      </c>
      <c r="AD505" s="10">
        <f t="shared" si="240"/>
        <v>300</v>
      </c>
      <c r="AE505" s="15">
        <v>70398</v>
      </c>
      <c r="AF505" s="16">
        <v>12672</v>
      </c>
      <c r="AG505" s="15">
        <f t="shared" si="241"/>
        <v>-6197.9999999999991</v>
      </c>
      <c r="AH505" s="15">
        <f t="shared" si="242"/>
        <v>-1115.6399999999999</v>
      </c>
      <c r="AI505" s="15">
        <f t="shared" si="243"/>
        <v>64200</v>
      </c>
      <c r="AJ505" s="15">
        <f t="shared" si="244"/>
        <v>11556</v>
      </c>
      <c r="AK505" s="10">
        <v>70398</v>
      </c>
      <c r="AL505" s="15">
        <f t="shared" si="245"/>
        <v>64200</v>
      </c>
      <c r="AM505" s="15">
        <f t="shared" si="246"/>
        <v>7578301</v>
      </c>
      <c r="AN505" s="15">
        <f t="shared" si="247"/>
        <v>913249</v>
      </c>
      <c r="AO505" s="15">
        <f t="shared" si="223"/>
        <v>992944</v>
      </c>
      <c r="AP505" s="17">
        <f t="shared" si="248"/>
        <v>8571245</v>
      </c>
      <c r="AQ505" s="15">
        <v>4053896</v>
      </c>
      <c r="AR505" s="15">
        <v>15495</v>
      </c>
      <c r="AS505" s="18">
        <f t="shared" si="224"/>
        <v>4517349</v>
      </c>
      <c r="AT505" s="19">
        <v>0</v>
      </c>
      <c r="AU505" s="8">
        <v>8800</v>
      </c>
      <c r="AV505" s="13">
        <f t="shared" si="225"/>
        <v>1883200</v>
      </c>
      <c r="AW505" s="18">
        <f t="shared" si="226"/>
        <v>7578301</v>
      </c>
      <c r="AX505" s="15">
        <f t="shared" si="249"/>
        <v>7579000</v>
      </c>
      <c r="AY505" s="20">
        <v>7.0000000000000007E-2</v>
      </c>
      <c r="AZ505" s="13">
        <f t="shared" si="250"/>
        <v>530530</v>
      </c>
      <c r="BA505" s="15">
        <f t="shared" si="251"/>
        <v>530600</v>
      </c>
      <c r="BB505" s="21">
        <f t="shared" si="227"/>
        <v>5047949</v>
      </c>
      <c r="BC505" s="10">
        <f t="shared" si="228"/>
        <v>-8.7963113290255635</v>
      </c>
      <c r="BD505" s="10">
        <f t="shared" si="229"/>
        <v>-8.804227392823659</v>
      </c>
      <c r="BE505" s="10">
        <v>52.19</v>
      </c>
      <c r="BF505" s="10">
        <v>19.88</v>
      </c>
      <c r="BG505" s="107">
        <v>46176</v>
      </c>
      <c r="BH505" s="107">
        <f t="shared" si="232"/>
        <v>46206</v>
      </c>
      <c r="BI505" s="23">
        <v>7</v>
      </c>
      <c r="BJ505" s="6"/>
      <c r="BK505" s="6"/>
      <c r="BL505" s="6">
        <f>VLOOKUP(A505,[2]Sheet1!$D$2:$H$933,5,0)</f>
        <v>0</v>
      </c>
      <c r="BM505" s="6" t="s">
        <v>3828</v>
      </c>
      <c r="BN505" s="6" t="s">
        <v>3829</v>
      </c>
      <c r="BO505" s="6" t="s">
        <v>3820</v>
      </c>
      <c r="BP505" s="6" t="s">
        <v>3821</v>
      </c>
      <c r="BQ505" s="6" t="s">
        <v>3830</v>
      </c>
      <c r="BR505" t="s">
        <v>3823</v>
      </c>
      <c r="BS505" t="s">
        <v>3824</v>
      </c>
      <c r="BT505" t="s">
        <v>3825</v>
      </c>
      <c r="BU505" t="s">
        <v>3826</v>
      </c>
      <c r="BV505" t="s">
        <v>3827</v>
      </c>
      <c r="BW505" t="s">
        <v>3835</v>
      </c>
      <c r="BX505">
        <v>0</v>
      </c>
      <c r="BY505" t="s">
        <v>3864</v>
      </c>
      <c r="BZ505" t="s">
        <v>3871</v>
      </c>
    </row>
    <row r="506" spans="1:78" x14ac:dyDescent="0.25">
      <c r="A506" s="7" t="s">
        <v>2105</v>
      </c>
      <c r="B506" s="7" t="s">
        <v>181</v>
      </c>
      <c r="C506" s="7" t="s">
        <v>2103</v>
      </c>
      <c r="D506" s="8" t="s">
        <v>2104</v>
      </c>
      <c r="E506" s="7" t="s">
        <v>1312</v>
      </c>
      <c r="F506" s="9">
        <v>45003</v>
      </c>
      <c r="G506" s="9" t="s">
        <v>527</v>
      </c>
      <c r="H506" s="9" t="s">
        <v>92</v>
      </c>
      <c r="I506" s="8" t="s">
        <v>67</v>
      </c>
      <c r="J506" s="10">
        <v>371.24</v>
      </c>
      <c r="K506" s="10">
        <v>371.24</v>
      </c>
      <c r="L506" s="10">
        <f t="shared" si="234"/>
        <v>0</v>
      </c>
      <c r="M506" s="10">
        <v>148.54</v>
      </c>
      <c r="N506" s="10">
        <v>148.54</v>
      </c>
      <c r="O506" s="10">
        <f t="shared" si="235"/>
        <v>0</v>
      </c>
      <c r="P506" s="11">
        <v>10595.99989225299</v>
      </c>
      <c r="Q506" s="11">
        <v>26482.152955432881</v>
      </c>
      <c r="R506" s="11">
        <v>28000</v>
      </c>
      <c r="S506" s="11">
        <v>3933659</v>
      </c>
      <c r="T506" s="11">
        <v>472040</v>
      </c>
      <c r="U506" s="12">
        <f t="shared" si="236"/>
        <v>0.1200002338789407</v>
      </c>
      <c r="V506" s="13">
        <f t="shared" si="233"/>
        <v>0</v>
      </c>
      <c r="W506" s="10">
        <f t="shared" si="237"/>
        <v>0</v>
      </c>
      <c r="X506" s="10"/>
      <c r="Y506" s="10"/>
      <c r="Z506" s="11">
        <f t="shared" si="238"/>
        <v>3933659</v>
      </c>
      <c r="AA506" s="14"/>
      <c r="AB506" s="14"/>
      <c r="AC506" s="11">
        <f t="shared" si="239"/>
        <v>3933659</v>
      </c>
      <c r="AD506" s="10">
        <f t="shared" si="240"/>
        <v>300</v>
      </c>
      <c r="AE506" s="15">
        <v>44562</v>
      </c>
      <c r="AF506" s="16">
        <v>8022</v>
      </c>
      <c r="AG506" s="15">
        <f t="shared" si="241"/>
        <v>0</v>
      </c>
      <c r="AH506" s="15">
        <f t="shared" si="242"/>
        <v>0</v>
      </c>
      <c r="AI506" s="15">
        <f t="shared" si="243"/>
        <v>44562</v>
      </c>
      <c r="AJ506" s="15">
        <f t="shared" si="244"/>
        <v>8022</v>
      </c>
      <c r="AK506" s="10">
        <v>44562</v>
      </c>
      <c r="AL506" s="15">
        <f t="shared" si="245"/>
        <v>44562</v>
      </c>
      <c r="AM506" s="15">
        <f t="shared" si="246"/>
        <v>3978221</v>
      </c>
      <c r="AN506" s="15">
        <f t="shared" si="247"/>
        <v>480062</v>
      </c>
      <c r="AO506" s="15">
        <f t="shared" si="223"/>
        <v>536631</v>
      </c>
      <c r="AP506" s="17">
        <f t="shared" si="248"/>
        <v>4514852</v>
      </c>
      <c r="AQ506" s="15">
        <v>1850000</v>
      </c>
      <c r="AR506" s="15">
        <v>12007</v>
      </c>
      <c r="AS506" s="18">
        <f t="shared" si="224"/>
        <v>2664852</v>
      </c>
      <c r="AT506" s="19">
        <v>0</v>
      </c>
      <c r="AU506" s="8">
        <v>8800</v>
      </c>
      <c r="AV506" s="13">
        <f t="shared" si="225"/>
        <v>1307152</v>
      </c>
      <c r="AW506" s="18">
        <f t="shared" si="226"/>
        <v>3978221</v>
      </c>
      <c r="AX506" s="15">
        <f t="shared" si="249"/>
        <v>3979000</v>
      </c>
      <c r="AY506" s="20">
        <v>0.05</v>
      </c>
      <c r="AZ506" s="13">
        <f t="shared" si="250"/>
        <v>198950</v>
      </c>
      <c r="BA506" s="15">
        <f t="shared" si="251"/>
        <v>199000</v>
      </c>
      <c r="BB506" s="21">
        <f t="shared" si="227"/>
        <v>2863852</v>
      </c>
      <c r="BC506" s="10">
        <f t="shared" si="228"/>
        <v>0</v>
      </c>
      <c r="BD506" s="10">
        <f t="shared" si="229"/>
        <v>0</v>
      </c>
      <c r="BE506" s="10">
        <v>34.49</v>
      </c>
      <c r="BF506" s="10">
        <v>13.8</v>
      </c>
      <c r="BG506" s="107">
        <v>46176</v>
      </c>
      <c r="BH506" s="107">
        <f t="shared" si="232"/>
        <v>46206</v>
      </c>
      <c r="BI506" s="23">
        <v>5</v>
      </c>
      <c r="BJ506" s="6"/>
      <c r="BK506" s="6"/>
      <c r="BL506" s="6">
        <f>VLOOKUP(A506,[2]Sheet1!$D$2:$H$933,5,0)</f>
        <v>0</v>
      </c>
      <c r="BM506" s="6" t="s">
        <v>3828</v>
      </c>
      <c r="BN506" s="6" t="s">
        <v>3829</v>
      </c>
      <c r="BO506" s="6" t="s">
        <v>3820</v>
      </c>
      <c r="BP506" s="6" t="s">
        <v>3821</v>
      </c>
      <c r="BQ506" s="6" t="s">
        <v>3830</v>
      </c>
      <c r="BR506" t="s">
        <v>3823</v>
      </c>
      <c r="BS506" t="s">
        <v>3824</v>
      </c>
      <c r="BT506" t="s">
        <v>3825</v>
      </c>
      <c r="BU506" t="s">
        <v>3826</v>
      </c>
      <c r="BV506" t="s">
        <v>3827</v>
      </c>
      <c r="BW506" t="s">
        <v>3835</v>
      </c>
      <c r="BX506">
        <v>0</v>
      </c>
      <c r="BY506" t="s">
        <v>3859</v>
      </c>
      <c r="BZ506" t="s">
        <v>3871</v>
      </c>
    </row>
    <row r="507" spans="1:78" x14ac:dyDescent="0.25">
      <c r="A507" s="7" t="s">
        <v>2108</v>
      </c>
      <c r="B507" s="7" t="s">
        <v>181</v>
      </c>
      <c r="C507" s="7" t="s">
        <v>2106</v>
      </c>
      <c r="D507" s="8" t="s">
        <v>2107</v>
      </c>
      <c r="E507" s="7" t="s">
        <v>2109</v>
      </c>
      <c r="F507" s="9">
        <v>44990</v>
      </c>
      <c r="G507" s="9" t="s">
        <v>363</v>
      </c>
      <c r="H507" s="9" t="s">
        <v>87</v>
      </c>
      <c r="I507" s="8" t="s">
        <v>67</v>
      </c>
      <c r="J507" s="10">
        <v>220.06</v>
      </c>
      <c r="K507" s="10">
        <v>220.06</v>
      </c>
      <c r="L507" s="10">
        <f t="shared" si="234"/>
        <v>0</v>
      </c>
      <c r="M507" s="10">
        <v>88.26</v>
      </c>
      <c r="N507" s="10">
        <v>88.26</v>
      </c>
      <c r="O507" s="10">
        <f t="shared" si="235"/>
        <v>0</v>
      </c>
      <c r="P507" s="11">
        <v>17013.000999727348</v>
      </c>
      <c r="Q507" s="11">
        <v>42418.774076591886</v>
      </c>
      <c r="R507" s="11">
        <v>40000</v>
      </c>
      <c r="S507" s="11">
        <v>3743881</v>
      </c>
      <c r="T507" s="11">
        <v>449266</v>
      </c>
      <c r="U507" s="12">
        <f t="shared" si="236"/>
        <v>0.12000007478870188</v>
      </c>
      <c r="V507" s="13">
        <f t="shared" si="233"/>
        <v>0</v>
      </c>
      <c r="W507" s="10">
        <f t="shared" si="237"/>
        <v>0</v>
      </c>
      <c r="X507" s="10"/>
      <c r="Y507" s="10"/>
      <c r="Z507" s="11">
        <f t="shared" si="238"/>
        <v>3743881</v>
      </c>
      <c r="AA507" s="14"/>
      <c r="AB507" s="14"/>
      <c r="AC507" s="11">
        <f t="shared" si="239"/>
        <v>3743881</v>
      </c>
      <c r="AD507" s="10">
        <f t="shared" si="240"/>
        <v>300</v>
      </c>
      <c r="AE507" s="15">
        <v>26478</v>
      </c>
      <c r="AF507" s="16">
        <v>4766</v>
      </c>
      <c r="AG507" s="15">
        <f t="shared" si="241"/>
        <v>0</v>
      </c>
      <c r="AH507" s="15">
        <f t="shared" si="242"/>
        <v>0</v>
      </c>
      <c r="AI507" s="15">
        <f t="shared" si="243"/>
        <v>26478</v>
      </c>
      <c r="AJ507" s="15">
        <f t="shared" si="244"/>
        <v>4767</v>
      </c>
      <c r="AK507" s="10">
        <v>26478</v>
      </c>
      <c r="AL507" s="15">
        <f t="shared" si="245"/>
        <v>26478</v>
      </c>
      <c r="AM507" s="15">
        <f t="shared" si="246"/>
        <v>3770359</v>
      </c>
      <c r="AN507" s="15">
        <f t="shared" si="247"/>
        <v>454033</v>
      </c>
      <c r="AO507" s="15">
        <f t="shared" ref="AO507:AO570" si="252">AN507+AL507+AR507</f>
        <v>492342.72</v>
      </c>
      <c r="AP507" s="17">
        <f t="shared" si="248"/>
        <v>4262701.72</v>
      </c>
      <c r="AQ507" s="15">
        <v>1784000</v>
      </c>
      <c r="AR507" s="15">
        <v>11831.72</v>
      </c>
      <c r="AS507" s="18">
        <f t="shared" ref="AS507:AS570" si="253">ROUND(AP507-AQ507,0)</f>
        <v>2478702</v>
      </c>
      <c r="AT507" s="19">
        <v>0</v>
      </c>
      <c r="AU507" s="8">
        <v>8800</v>
      </c>
      <c r="AV507" s="13">
        <f t="shared" ref="AV507:AV570" si="254">AU507*N507</f>
        <v>776688</v>
      </c>
      <c r="AW507" s="18">
        <f t="shared" ref="AW507:AW570" si="255">MAX(AM507,AT507,AV507)</f>
        <v>3770359</v>
      </c>
      <c r="AX507" s="15">
        <f t="shared" si="249"/>
        <v>3771000</v>
      </c>
      <c r="AY507" s="20">
        <v>0.05</v>
      </c>
      <c r="AZ507" s="13">
        <f t="shared" si="250"/>
        <v>188550</v>
      </c>
      <c r="BA507" s="15">
        <f t="shared" si="251"/>
        <v>188600</v>
      </c>
      <c r="BB507" s="21">
        <f t="shared" ref="BB507:BB570" si="256">BA507+AS507</f>
        <v>2667302</v>
      </c>
      <c r="BC507" s="10">
        <f t="shared" ref="BC507:BC570" si="257">L507/J507%</f>
        <v>0</v>
      </c>
      <c r="BD507" s="10">
        <f t="shared" ref="BD507:BD570" si="258">O507/M507%</f>
        <v>0</v>
      </c>
      <c r="BE507" s="10">
        <v>20.440000000000001</v>
      </c>
      <c r="BF507" s="10">
        <v>8.1999999999999993</v>
      </c>
      <c r="BG507" s="107">
        <v>46176</v>
      </c>
      <c r="BH507" s="107">
        <f t="shared" si="232"/>
        <v>46206</v>
      </c>
      <c r="BI507" s="23">
        <v>5</v>
      </c>
      <c r="BJ507" s="6"/>
      <c r="BK507" s="6"/>
      <c r="BL507" s="6">
        <f>VLOOKUP(A507,[2]Sheet1!$D$2:$H$933,5,0)</f>
        <v>0</v>
      </c>
      <c r="BM507" s="6" t="s">
        <v>3828</v>
      </c>
      <c r="BN507" s="6" t="s">
        <v>3829</v>
      </c>
      <c r="BO507" s="6" t="s">
        <v>3820</v>
      </c>
      <c r="BP507" s="6" t="s">
        <v>3821</v>
      </c>
      <c r="BQ507" s="6" t="s">
        <v>3830</v>
      </c>
      <c r="BR507" t="s">
        <v>3823</v>
      </c>
      <c r="BS507" t="s">
        <v>3824</v>
      </c>
      <c r="BT507" t="s">
        <v>3825</v>
      </c>
      <c r="BU507" t="s">
        <v>3826</v>
      </c>
      <c r="BV507" t="s">
        <v>3827</v>
      </c>
      <c r="BW507" t="s">
        <v>3835</v>
      </c>
      <c r="BX507">
        <v>0</v>
      </c>
      <c r="BY507" t="s">
        <v>3869</v>
      </c>
      <c r="BZ507" t="s">
        <v>3860</v>
      </c>
    </row>
    <row r="508" spans="1:78" x14ac:dyDescent="0.25">
      <c r="A508" s="48" t="s">
        <v>2112</v>
      </c>
      <c r="B508" s="48" t="s">
        <v>181</v>
      </c>
      <c r="C508" s="48" t="s">
        <v>2110</v>
      </c>
      <c r="D508" s="49" t="s">
        <v>2111</v>
      </c>
      <c r="E508" s="48" t="s">
        <v>2113</v>
      </c>
      <c r="F508" s="50">
        <v>44967</v>
      </c>
      <c r="G508" s="50" t="s">
        <v>77</v>
      </c>
      <c r="H508" s="50" t="s">
        <v>87</v>
      </c>
      <c r="I508" s="49" t="s">
        <v>78</v>
      </c>
      <c r="J508" s="51">
        <v>405.8</v>
      </c>
      <c r="K508" s="51">
        <v>405.8</v>
      </c>
      <c r="L508" s="51">
        <f t="shared" si="234"/>
        <v>0</v>
      </c>
      <c r="M508" s="51">
        <v>178.68</v>
      </c>
      <c r="N508" s="51">
        <v>178.68</v>
      </c>
      <c r="O508" s="51">
        <f t="shared" si="235"/>
        <v>0</v>
      </c>
      <c r="P508" s="52">
        <v>22553.809758501724</v>
      </c>
      <c r="Q508" s="52">
        <v>51221.938661293934</v>
      </c>
      <c r="R508" s="52">
        <v>40000</v>
      </c>
      <c r="S508" s="52">
        <v>9152336</v>
      </c>
      <c r="T508" s="52">
        <v>1098280</v>
      </c>
      <c r="U508" s="53">
        <f t="shared" si="236"/>
        <v>0.11999996503624867</v>
      </c>
      <c r="V508" s="54">
        <f t="shared" si="233"/>
        <v>0</v>
      </c>
      <c r="W508" s="51">
        <f t="shared" si="237"/>
        <v>0</v>
      </c>
      <c r="X508" s="51"/>
      <c r="Y508" s="51"/>
      <c r="Z508" s="52">
        <f t="shared" si="238"/>
        <v>9152336</v>
      </c>
      <c r="AA508" s="56">
        <v>2090578</v>
      </c>
      <c r="AB508" s="56">
        <v>250869</v>
      </c>
      <c r="AC508" s="52">
        <f t="shared" si="239"/>
        <v>7061758</v>
      </c>
      <c r="AD508" s="51">
        <f t="shared" si="240"/>
        <v>300</v>
      </c>
      <c r="AE508" s="55">
        <v>53604</v>
      </c>
      <c r="AF508" s="57">
        <v>9648</v>
      </c>
      <c r="AG508" s="55">
        <f t="shared" si="241"/>
        <v>0</v>
      </c>
      <c r="AH508" s="55">
        <f t="shared" si="242"/>
        <v>0</v>
      </c>
      <c r="AI508" s="55">
        <f t="shared" si="243"/>
        <v>53604</v>
      </c>
      <c r="AJ508" s="55">
        <f t="shared" si="244"/>
        <v>9649</v>
      </c>
      <c r="AK508" s="51">
        <v>53604</v>
      </c>
      <c r="AL508" s="55">
        <f t="shared" si="245"/>
        <v>53604</v>
      </c>
      <c r="AM508" s="15">
        <f t="shared" si="246"/>
        <v>7115362</v>
      </c>
      <c r="AN508" s="15">
        <f t="shared" si="247"/>
        <v>857060</v>
      </c>
      <c r="AO508" s="55">
        <f t="shared" si="252"/>
        <v>911588</v>
      </c>
      <c r="AP508" s="58">
        <f t="shared" si="248"/>
        <v>8026950</v>
      </c>
      <c r="AQ508" s="55">
        <v>6801738</v>
      </c>
      <c r="AR508" s="15">
        <v>924</v>
      </c>
      <c r="AS508" s="18">
        <f t="shared" si="253"/>
        <v>1225212</v>
      </c>
      <c r="AT508" s="60">
        <v>0</v>
      </c>
      <c r="AU508" s="49">
        <v>8800</v>
      </c>
      <c r="AV508" s="54">
        <f t="shared" si="254"/>
        <v>1572384</v>
      </c>
      <c r="AW508" s="59">
        <f t="shared" si="255"/>
        <v>7115362</v>
      </c>
      <c r="AX508" s="55">
        <f t="shared" si="249"/>
        <v>7116000</v>
      </c>
      <c r="AY508" s="61">
        <v>0.05</v>
      </c>
      <c r="AZ508" s="54">
        <f t="shared" si="250"/>
        <v>355800</v>
      </c>
      <c r="BA508" s="55">
        <f t="shared" si="251"/>
        <v>355800</v>
      </c>
      <c r="BB508" s="62">
        <f t="shared" si="256"/>
        <v>1581012</v>
      </c>
      <c r="BC508" s="51">
        <f t="shared" si="257"/>
        <v>0</v>
      </c>
      <c r="BD508" s="51">
        <f t="shared" si="258"/>
        <v>0</v>
      </c>
      <c r="BE508" s="51">
        <v>37.700000000000003</v>
      </c>
      <c r="BF508" s="51">
        <v>16.600000000000001</v>
      </c>
      <c r="BG508" s="107">
        <v>46176</v>
      </c>
      <c r="BH508" s="109">
        <f t="shared" si="232"/>
        <v>46206</v>
      </c>
      <c r="BI508" s="63">
        <v>5</v>
      </c>
      <c r="BJ508" s="24" t="s">
        <v>350</v>
      </c>
      <c r="BK508" s="6"/>
      <c r="BL508" s="6">
        <f>VLOOKUP(A508,[2]Sheet1!$D$2:$H$933,5,0)</f>
        <v>0</v>
      </c>
      <c r="BM508" s="6" t="s">
        <v>3828</v>
      </c>
      <c r="BN508" s="6" t="s">
        <v>3829</v>
      </c>
      <c r="BO508" s="6" t="s">
        <v>3820</v>
      </c>
      <c r="BP508" s="6" t="s">
        <v>3821</v>
      </c>
      <c r="BQ508" s="6" t="s">
        <v>3830</v>
      </c>
      <c r="BR508" t="s">
        <v>3823</v>
      </c>
      <c r="BS508" t="s">
        <v>3824</v>
      </c>
      <c r="BT508" t="s">
        <v>3825</v>
      </c>
      <c r="BU508" t="s">
        <v>3826</v>
      </c>
      <c r="BV508" t="s">
        <v>3827</v>
      </c>
      <c r="BW508" t="s">
        <v>3835</v>
      </c>
      <c r="BX508">
        <v>0</v>
      </c>
      <c r="BY508" t="s">
        <v>3861</v>
      </c>
      <c r="BZ508" t="s">
        <v>3863</v>
      </c>
    </row>
    <row r="509" spans="1:78" x14ac:dyDescent="0.25">
      <c r="A509" s="7" t="s">
        <v>2116</v>
      </c>
      <c r="B509" s="7" t="s">
        <v>181</v>
      </c>
      <c r="C509" s="7" t="s">
        <v>2114</v>
      </c>
      <c r="D509" s="8" t="s">
        <v>2115</v>
      </c>
      <c r="E509" s="7" t="s">
        <v>2117</v>
      </c>
      <c r="F509" s="9">
        <v>45006</v>
      </c>
      <c r="G509" s="9" t="s">
        <v>527</v>
      </c>
      <c r="H509" s="9" t="s">
        <v>92</v>
      </c>
      <c r="I509" s="8" t="s">
        <v>67</v>
      </c>
      <c r="J509" s="10">
        <v>240.4</v>
      </c>
      <c r="K509" s="10">
        <v>240.4</v>
      </c>
      <c r="L509" s="10">
        <f t="shared" si="234"/>
        <v>0</v>
      </c>
      <c r="M509" s="10">
        <v>85.57</v>
      </c>
      <c r="N509" s="10">
        <v>85.57</v>
      </c>
      <c r="O509" s="10">
        <f t="shared" si="235"/>
        <v>0</v>
      </c>
      <c r="P509" s="11">
        <v>17700</v>
      </c>
      <c r="Q509" s="11">
        <v>49726.305948346388</v>
      </c>
      <c r="R509" s="11">
        <v>28000</v>
      </c>
      <c r="S509" s="11">
        <v>4255080</v>
      </c>
      <c r="T509" s="11">
        <v>510610</v>
      </c>
      <c r="U509" s="12">
        <f t="shared" si="236"/>
        <v>0.1200000940052831</v>
      </c>
      <c r="V509" s="13">
        <f t="shared" si="233"/>
        <v>0</v>
      </c>
      <c r="W509" s="10">
        <f t="shared" si="237"/>
        <v>0</v>
      </c>
      <c r="X509" s="10"/>
      <c r="Y509" s="10"/>
      <c r="Z509" s="11">
        <f t="shared" si="238"/>
        <v>4255080</v>
      </c>
      <c r="AA509" s="14"/>
      <c r="AB509" s="14"/>
      <c r="AC509" s="11">
        <f t="shared" si="239"/>
        <v>4255080</v>
      </c>
      <c r="AD509" s="10">
        <f t="shared" si="240"/>
        <v>300</v>
      </c>
      <c r="AE509" s="15">
        <v>25671</v>
      </c>
      <c r="AF509" s="16">
        <v>4620</v>
      </c>
      <c r="AG509" s="15">
        <f t="shared" si="241"/>
        <v>0</v>
      </c>
      <c r="AH509" s="15">
        <f t="shared" si="242"/>
        <v>0</v>
      </c>
      <c r="AI509" s="15">
        <f t="shared" si="243"/>
        <v>25670.999999999996</v>
      </c>
      <c r="AJ509" s="15">
        <f t="shared" si="244"/>
        <v>4621</v>
      </c>
      <c r="AK509" s="10">
        <v>25671</v>
      </c>
      <c r="AL509" s="15">
        <f t="shared" si="245"/>
        <v>25670.999999999996</v>
      </c>
      <c r="AM509" s="15">
        <f t="shared" si="246"/>
        <v>4280751</v>
      </c>
      <c r="AN509" s="15">
        <f t="shared" si="247"/>
        <v>515231</v>
      </c>
      <c r="AO509" s="15">
        <f t="shared" si="252"/>
        <v>553931</v>
      </c>
      <c r="AP509" s="17">
        <f t="shared" si="248"/>
        <v>4834682</v>
      </c>
      <c r="AQ509" s="15">
        <v>1667992</v>
      </c>
      <c r="AR509" s="15">
        <v>13029</v>
      </c>
      <c r="AS509" s="18">
        <f t="shared" si="253"/>
        <v>3166690</v>
      </c>
      <c r="AT509" s="19">
        <v>0</v>
      </c>
      <c r="AU509" s="8">
        <v>8800</v>
      </c>
      <c r="AV509" s="13">
        <f t="shared" si="254"/>
        <v>753015.99999999988</v>
      </c>
      <c r="AW509" s="18">
        <f t="shared" si="255"/>
        <v>4280751</v>
      </c>
      <c r="AX509" s="15">
        <f t="shared" si="249"/>
        <v>4281000</v>
      </c>
      <c r="AY509" s="20">
        <v>0.05</v>
      </c>
      <c r="AZ509" s="13">
        <f t="shared" si="250"/>
        <v>214050</v>
      </c>
      <c r="BA509" s="15">
        <f t="shared" si="251"/>
        <v>214100</v>
      </c>
      <c r="BB509" s="21">
        <f t="shared" si="256"/>
        <v>3380790</v>
      </c>
      <c r="BC509" s="10">
        <f t="shared" si="257"/>
        <v>0</v>
      </c>
      <c r="BD509" s="10">
        <f t="shared" si="258"/>
        <v>0</v>
      </c>
      <c r="BE509" s="10">
        <v>22.33</v>
      </c>
      <c r="BF509" s="10">
        <v>7.95</v>
      </c>
      <c r="BG509" s="107">
        <v>46176</v>
      </c>
      <c r="BH509" s="107">
        <f t="shared" si="232"/>
        <v>46206</v>
      </c>
      <c r="BI509" s="23">
        <v>5</v>
      </c>
      <c r="BJ509" s="6"/>
      <c r="BK509" s="6"/>
      <c r="BL509" s="6">
        <f>VLOOKUP(A509,[2]Sheet1!$D$2:$H$933,5,0)</f>
        <v>0</v>
      </c>
      <c r="BM509" s="6" t="s">
        <v>3828</v>
      </c>
      <c r="BN509" s="6" t="s">
        <v>3829</v>
      </c>
      <c r="BO509" s="6" t="s">
        <v>3820</v>
      </c>
      <c r="BP509" s="6" t="s">
        <v>3821</v>
      </c>
      <c r="BQ509" s="6" t="s">
        <v>3830</v>
      </c>
      <c r="BR509" t="s">
        <v>3823</v>
      </c>
      <c r="BS509" t="s">
        <v>3824</v>
      </c>
      <c r="BT509" t="s">
        <v>3825</v>
      </c>
      <c r="BU509" t="s">
        <v>3826</v>
      </c>
      <c r="BV509" t="s">
        <v>3827</v>
      </c>
      <c r="BW509" t="s">
        <v>3835</v>
      </c>
      <c r="BX509">
        <v>0</v>
      </c>
      <c r="BY509" t="s">
        <v>3859</v>
      </c>
      <c r="BZ509" t="s">
        <v>3871</v>
      </c>
    </row>
    <row r="510" spans="1:78" x14ac:dyDescent="0.25">
      <c r="A510" s="7" t="s">
        <v>2120</v>
      </c>
      <c r="B510" s="7" t="s">
        <v>181</v>
      </c>
      <c r="C510" s="7" t="s">
        <v>2118</v>
      </c>
      <c r="D510" s="8" t="s">
        <v>2119</v>
      </c>
      <c r="E510" s="7" t="s">
        <v>2121</v>
      </c>
      <c r="F510" s="9">
        <v>44902</v>
      </c>
      <c r="G510" s="9" t="s">
        <v>404</v>
      </c>
      <c r="H510" s="9" t="s">
        <v>72</v>
      </c>
      <c r="I510" s="8" t="s">
        <v>78</v>
      </c>
      <c r="J510" s="10">
        <v>705.04</v>
      </c>
      <c r="K510" s="10">
        <v>705.04</v>
      </c>
      <c r="L510" s="10">
        <f t="shared" si="234"/>
        <v>0</v>
      </c>
      <c r="M510" s="10">
        <v>305.7</v>
      </c>
      <c r="N510" s="10">
        <v>305.7</v>
      </c>
      <c r="O510" s="10">
        <f t="shared" si="235"/>
        <v>0</v>
      </c>
      <c r="P510" s="11">
        <v>13612.538295699536</v>
      </c>
      <c r="Q510" s="11">
        <v>31394.779195289502</v>
      </c>
      <c r="R510" s="11">
        <v>20000</v>
      </c>
      <c r="S510" s="11">
        <v>9597384</v>
      </c>
      <c r="T510" s="11">
        <v>1151688</v>
      </c>
      <c r="U510" s="12">
        <f t="shared" si="236"/>
        <v>0.12000020005451485</v>
      </c>
      <c r="V510" s="13">
        <f t="shared" si="233"/>
        <v>0</v>
      </c>
      <c r="W510" s="10">
        <f t="shared" si="237"/>
        <v>0</v>
      </c>
      <c r="X510" s="10"/>
      <c r="Y510" s="10"/>
      <c r="Z510" s="11">
        <f t="shared" si="238"/>
        <v>9597384</v>
      </c>
      <c r="AA510" s="14"/>
      <c r="AB510" s="14"/>
      <c r="AC510" s="11">
        <f t="shared" si="239"/>
        <v>9597384</v>
      </c>
      <c r="AD510" s="10">
        <f t="shared" si="240"/>
        <v>300</v>
      </c>
      <c r="AE510" s="15">
        <v>91710</v>
      </c>
      <c r="AF510" s="16">
        <v>16508</v>
      </c>
      <c r="AG510" s="15">
        <f t="shared" si="241"/>
        <v>0</v>
      </c>
      <c r="AH510" s="15">
        <f t="shared" si="242"/>
        <v>0</v>
      </c>
      <c r="AI510" s="15">
        <f t="shared" si="243"/>
        <v>91710</v>
      </c>
      <c r="AJ510" s="15">
        <f t="shared" si="244"/>
        <v>16508</v>
      </c>
      <c r="AK510" s="10">
        <v>91710</v>
      </c>
      <c r="AL510" s="15">
        <f t="shared" si="245"/>
        <v>91710</v>
      </c>
      <c r="AM510" s="15">
        <f t="shared" si="246"/>
        <v>9689094</v>
      </c>
      <c r="AN510" s="15">
        <f t="shared" si="247"/>
        <v>1168196</v>
      </c>
      <c r="AO510" s="15">
        <f t="shared" si="252"/>
        <v>1269518</v>
      </c>
      <c r="AP510" s="17">
        <f t="shared" si="248"/>
        <v>10958612</v>
      </c>
      <c r="AQ510" s="15">
        <v>8635091</v>
      </c>
      <c r="AR510" s="15">
        <v>9612</v>
      </c>
      <c r="AS510" s="18">
        <f t="shared" si="253"/>
        <v>2323521</v>
      </c>
      <c r="AT510" s="19">
        <v>0</v>
      </c>
      <c r="AU510" s="8">
        <v>8800</v>
      </c>
      <c r="AV510" s="13">
        <f t="shared" si="254"/>
        <v>2690160</v>
      </c>
      <c r="AW510" s="18">
        <f t="shared" si="255"/>
        <v>9689094</v>
      </c>
      <c r="AX510" s="15">
        <f t="shared" si="249"/>
        <v>9690000</v>
      </c>
      <c r="AY510" s="20">
        <v>0.06</v>
      </c>
      <c r="AZ510" s="13">
        <f t="shared" si="250"/>
        <v>581400</v>
      </c>
      <c r="BA510" s="15">
        <f t="shared" si="251"/>
        <v>581400</v>
      </c>
      <c r="BB510" s="21">
        <f t="shared" si="256"/>
        <v>2904921</v>
      </c>
      <c r="BC510" s="10">
        <f t="shared" si="257"/>
        <v>0</v>
      </c>
      <c r="BD510" s="10">
        <f t="shared" si="258"/>
        <v>0</v>
      </c>
      <c r="BE510" s="10">
        <v>65.5</v>
      </c>
      <c r="BF510" s="10">
        <v>28.4</v>
      </c>
      <c r="BG510" s="107">
        <v>46176</v>
      </c>
      <c r="BH510" s="107">
        <f t="shared" si="232"/>
        <v>46206</v>
      </c>
      <c r="BI510" s="23">
        <v>6</v>
      </c>
      <c r="BJ510" s="6"/>
      <c r="BK510" s="6"/>
      <c r="BL510" s="6">
        <f>VLOOKUP(A510,[2]Sheet1!$D$2:$H$933,5,0)</f>
        <v>0</v>
      </c>
      <c r="BM510" s="6" t="s">
        <v>3828</v>
      </c>
      <c r="BN510" s="6" t="s">
        <v>3829</v>
      </c>
      <c r="BO510" s="6" t="s">
        <v>3820</v>
      </c>
      <c r="BP510" s="6" t="s">
        <v>3821</v>
      </c>
      <c r="BQ510" s="6" t="s">
        <v>3830</v>
      </c>
      <c r="BR510" t="s">
        <v>3823</v>
      </c>
      <c r="BS510" t="s">
        <v>3824</v>
      </c>
      <c r="BT510" t="s">
        <v>3825</v>
      </c>
      <c r="BU510" t="s">
        <v>3826</v>
      </c>
      <c r="BV510" t="s">
        <v>3827</v>
      </c>
      <c r="BW510" t="s">
        <v>3835</v>
      </c>
      <c r="BX510">
        <v>0</v>
      </c>
      <c r="BY510" t="s">
        <v>3869</v>
      </c>
      <c r="BZ510" t="s">
        <v>3863</v>
      </c>
    </row>
    <row r="511" spans="1:78" x14ac:dyDescent="0.25">
      <c r="A511" s="48" t="s">
        <v>2124</v>
      </c>
      <c r="B511" s="48" t="s">
        <v>181</v>
      </c>
      <c r="C511" s="48" t="s">
        <v>2122</v>
      </c>
      <c r="D511" s="49" t="s">
        <v>2123</v>
      </c>
      <c r="E511" s="48" t="s">
        <v>2125</v>
      </c>
      <c r="F511" s="50">
        <v>44904</v>
      </c>
      <c r="G511" s="50" t="s">
        <v>404</v>
      </c>
      <c r="H511" s="50" t="s">
        <v>66</v>
      </c>
      <c r="I511" s="49" t="s">
        <v>78</v>
      </c>
      <c r="J511" s="51">
        <v>536.69000000000005</v>
      </c>
      <c r="K511" s="51">
        <v>536.69000000000005</v>
      </c>
      <c r="L511" s="51">
        <f t="shared" si="234"/>
        <v>0</v>
      </c>
      <c r="M511" s="51">
        <v>242.19</v>
      </c>
      <c r="N511" s="51">
        <v>242.19</v>
      </c>
      <c r="O511" s="51">
        <f t="shared" si="235"/>
        <v>0</v>
      </c>
      <c r="P511" s="52">
        <v>20510.000186327299</v>
      </c>
      <c r="Q511" s="52">
        <v>45449.902968743547</v>
      </c>
      <c r="R511" s="52">
        <v>22000</v>
      </c>
      <c r="S511" s="52">
        <v>11007512</v>
      </c>
      <c r="T511" s="52">
        <v>1320900</v>
      </c>
      <c r="U511" s="53">
        <f t="shared" si="236"/>
        <v>0.11999986918024709</v>
      </c>
      <c r="V511" s="54">
        <f t="shared" si="233"/>
        <v>0</v>
      </c>
      <c r="W511" s="51">
        <f t="shared" si="237"/>
        <v>0</v>
      </c>
      <c r="X511" s="51"/>
      <c r="Y511" s="51"/>
      <c r="Z511" s="52">
        <f t="shared" si="238"/>
        <v>11007512</v>
      </c>
      <c r="AA511" s="56">
        <v>3852629</v>
      </c>
      <c r="AB511" s="56">
        <v>462315</v>
      </c>
      <c r="AC511" s="52">
        <f t="shared" si="239"/>
        <v>7154883</v>
      </c>
      <c r="AD511" s="51">
        <f t="shared" si="240"/>
        <v>300</v>
      </c>
      <c r="AE511" s="55">
        <v>72657</v>
      </c>
      <c r="AF511" s="57">
        <v>13078</v>
      </c>
      <c r="AG511" s="55">
        <f t="shared" si="241"/>
        <v>0</v>
      </c>
      <c r="AH511" s="55">
        <f t="shared" si="242"/>
        <v>0</v>
      </c>
      <c r="AI511" s="55">
        <f t="shared" si="243"/>
        <v>72657</v>
      </c>
      <c r="AJ511" s="55">
        <f t="shared" si="244"/>
        <v>13079</v>
      </c>
      <c r="AK511" s="51">
        <v>72657</v>
      </c>
      <c r="AL511" s="55">
        <f t="shared" si="245"/>
        <v>72657</v>
      </c>
      <c r="AM511" s="15">
        <f t="shared" si="246"/>
        <v>7227540</v>
      </c>
      <c r="AN511" s="15">
        <f t="shared" si="247"/>
        <v>871664</v>
      </c>
      <c r="AO511" s="55">
        <f t="shared" si="252"/>
        <v>953194</v>
      </c>
      <c r="AP511" s="58">
        <f t="shared" si="248"/>
        <v>8180734</v>
      </c>
      <c r="AQ511" s="55">
        <v>7397043.6400000006</v>
      </c>
      <c r="AR511" s="15">
        <v>8873</v>
      </c>
      <c r="AS511" s="18">
        <f t="shared" si="253"/>
        <v>783690</v>
      </c>
      <c r="AT511" s="60">
        <v>0</v>
      </c>
      <c r="AU511" s="49">
        <v>8800</v>
      </c>
      <c r="AV511" s="54">
        <f t="shared" si="254"/>
        <v>2131272</v>
      </c>
      <c r="AW511" s="59">
        <f t="shared" si="255"/>
        <v>7227540</v>
      </c>
      <c r="AX511" s="55">
        <f t="shared" si="249"/>
        <v>7228000</v>
      </c>
      <c r="AY511" s="61">
        <v>0.06</v>
      </c>
      <c r="AZ511" s="54">
        <f t="shared" si="250"/>
        <v>433680</v>
      </c>
      <c r="BA511" s="55">
        <f t="shared" si="251"/>
        <v>433700</v>
      </c>
      <c r="BB511" s="62">
        <f t="shared" si="256"/>
        <v>1217390</v>
      </c>
      <c r="BC511" s="51">
        <f t="shared" si="257"/>
        <v>0</v>
      </c>
      <c r="BD511" s="51">
        <f t="shared" si="258"/>
        <v>0</v>
      </c>
      <c r="BE511" s="51">
        <v>49.86</v>
      </c>
      <c r="BF511" s="51">
        <v>22.5</v>
      </c>
      <c r="BG511" s="107">
        <v>46176</v>
      </c>
      <c r="BH511" s="109">
        <f t="shared" si="232"/>
        <v>46206</v>
      </c>
      <c r="BI511" s="63">
        <v>6</v>
      </c>
      <c r="BJ511" s="24" t="s">
        <v>350</v>
      </c>
      <c r="BK511" s="6"/>
      <c r="BL511" s="6">
        <f>VLOOKUP(A511,[2]Sheet1!$D$2:$H$933,5,0)</f>
        <v>0</v>
      </c>
      <c r="BM511" s="6" t="s">
        <v>3828</v>
      </c>
      <c r="BN511" s="6" t="s">
        <v>3829</v>
      </c>
      <c r="BO511" s="6" t="s">
        <v>3820</v>
      </c>
      <c r="BP511" s="6" t="s">
        <v>3821</v>
      </c>
      <c r="BQ511" s="6" t="s">
        <v>3830</v>
      </c>
      <c r="BR511" t="s">
        <v>3823</v>
      </c>
      <c r="BS511" t="s">
        <v>3824</v>
      </c>
      <c r="BT511" t="s">
        <v>3825</v>
      </c>
      <c r="BU511" t="s">
        <v>3826</v>
      </c>
      <c r="BV511" t="s">
        <v>3827</v>
      </c>
      <c r="BW511" t="s">
        <v>3835</v>
      </c>
      <c r="BX511">
        <v>0</v>
      </c>
      <c r="BY511" t="s">
        <v>3864</v>
      </c>
      <c r="BZ511" t="s">
        <v>3863</v>
      </c>
    </row>
    <row r="512" spans="1:78" x14ac:dyDescent="0.25">
      <c r="A512" s="7" t="s">
        <v>2128</v>
      </c>
      <c r="B512" s="7" t="s">
        <v>181</v>
      </c>
      <c r="C512" s="7" t="s">
        <v>2126</v>
      </c>
      <c r="D512" s="8" t="s">
        <v>2127</v>
      </c>
      <c r="E512" s="7" t="s">
        <v>2129</v>
      </c>
      <c r="F512" s="9">
        <v>44871</v>
      </c>
      <c r="G512" s="9" t="s">
        <v>527</v>
      </c>
      <c r="H512" s="9" t="s">
        <v>72</v>
      </c>
      <c r="I512" s="8" t="s">
        <v>635</v>
      </c>
      <c r="J512" s="10">
        <v>796.25</v>
      </c>
      <c r="K512" s="10">
        <v>796.25</v>
      </c>
      <c r="L512" s="10">
        <f t="shared" si="234"/>
        <v>0</v>
      </c>
      <c r="M512" s="10">
        <v>120.56</v>
      </c>
      <c r="N512" s="10">
        <v>120.56</v>
      </c>
      <c r="O512" s="10">
        <f t="shared" si="235"/>
        <v>0</v>
      </c>
      <c r="P512" s="11">
        <v>11871.000313971743</v>
      </c>
      <c r="Q512" s="11">
        <v>78403.151957531518</v>
      </c>
      <c r="R512" s="11">
        <v>20000</v>
      </c>
      <c r="S512" s="11">
        <v>9452284</v>
      </c>
      <c r="T512" s="11">
        <v>1134276</v>
      </c>
      <c r="U512" s="12">
        <f t="shared" si="236"/>
        <v>0.12000020312550913</v>
      </c>
      <c r="V512" s="13">
        <f t="shared" si="233"/>
        <v>0</v>
      </c>
      <c r="W512" s="10">
        <f t="shared" si="237"/>
        <v>0</v>
      </c>
      <c r="X512" s="10"/>
      <c r="Y512" s="10"/>
      <c r="Z512" s="11">
        <f t="shared" si="238"/>
        <v>9452284</v>
      </c>
      <c r="AA512" s="14">
        <v>936476</v>
      </c>
      <c r="AB512" s="14">
        <v>112378</v>
      </c>
      <c r="AC512" s="11">
        <f t="shared" si="239"/>
        <v>8515808</v>
      </c>
      <c r="AD512" s="10">
        <f t="shared" si="240"/>
        <v>300</v>
      </c>
      <c r="AE512" s="15">
        <v>36168</v>
      </c>
      <c r="AF512" s="16">
        <v>6510</v>
      </c>
      <c r="AG512" s="15">
        <f t="shared" si="241"/>
        <v>0</v>
      </c>
      <c r="AH512" s="15">
        <f t="shared" si="242"/>
        <v>0</v>
      </c>
      <c r="AI512" s="15">
        <f t="shared" si="243"/>
        <v>36168</v>
      </c>
      <c r="AJ512" s="15">
        <f t="shared" si="244"/>
        <v>6511</v>
      </c>
      <c r="AK512" s="10">
        <v>36168</v>
      </c>
      <c r="AL512" s="15">
        <f t="shared" si="245"/>
        <v>36168</v>
      </c>
      <c r="AM512" s="15">
        <f t="shared" si="246"/>
        <v>8551976</v>
      </c>
      <c r="AN512" s="15">
        <f t="shared" si="247"/>
        <v>1028409</v>
      </c>
      <c r="AO512" s="15">
        <f t="shared" si="252"/>
        <v>1073562</v>
      </c>
      <c r="AP512" s="17">
        <f t="shared" si="248"/>
        <v>9625538</v>
      </c>
      <c r="AQ512" s="15">
        <v>8425489</v>
      </c>
      <c r="AR512" s="15">
        <v>8985</v>
      </c>
      <c r="AS512" s="18">
        <f t="shared" si="253"/>
        <v>1200049</v>
      </c>
      <c r="AT512" s="19">
        <v>0</v>
      </c>
      <c r="AU512" s="8">
        <v>8800</v>
      </c>
      <c r="AV512" s="13">
        <f t="shared" si="254"/>
        <v>1060928</v>
      </c>
      <c r="AW512" s="18">
        <f t="shared" si="255"/>
        <v>8551976</v>
      </c>
      <c r="AX512" s="15">
        <f t="shared" si="249"/>
        <v>8552000</v>
      </c>
      <c r="AY512" s="20">
        <v>5.67E-2</v>
      </c>
      <c r="AZ512" s="13">
        <f t="shared" si="250"/>
        <v>484898.4</v>
      </c>
      <c r="BA512" s="15">
        <f t="shared" si="251"/>
        <v>484900</v>
      </c>
      <c r="BB512" s="21">
        <f t="shared" si="256"/>
        <v>1684949</v>
      </c>
      <c r="BC512" s="10">
        <f t="shared" si="257"/>
        <v>0</v>
      </c>
      <c r="BD512" s="10">
        <f t="shared" si="258"/>
        <v>0</v>
      </c>
      <c r="BE512" s="10">
        <v>73.97</v>
      </c>
      <c r="BF512" s="10">
        <v>11.2</v>
      </c>
      <c r="BG512" s="107">
        <v>46176</v>
      </c>
      <c r="BH512" s="107">
        <f t="shared" si="232"/>
        <v>46206</v>
      </c>
      <c r="BI512" s="23">
        <v>5.67</v>
      </c>
      <c r="BJ512" s="6"/>
      <c r="BK512" s="6"/>
      <c r="BL512" s="6">
        <f>VLOOKUP(A512,[2]Sheet1!$D$2:$H$933,5,0)</f>
        <v>0</v>
      </c>
      <c r="BM512" s="6" t="s">
        <v>3828</v>
      </c>
      <c r="BN512" s="6" t="s">
        <v>3829</v>
      </c>
      <c r="BO512" s="6" t="s">
        <v>3820</v>
      </c>
      <c r="BP512" s="6" t="s">
        <v>3821</v>
      </c>
      <c r="BQ512" s="6" t="s">
        <v>3830</v>
      </c>
      <c r="BR512" t="s">
        <v>3823</v>
      </c>
      <c r="BS512" t="s">
        <v>3824</v>
      </c>
      <c r="BT512" t="s">
        <v>3825</v>
      </c>
      <c r="BU512" t="s">
        <v>3826</v>
      </c>
      <c r="BV512" t="s">
        <v>3827</v>
      </c>
      <c r="BW512" t="s">
        <v>3835</v>
      </c>
      <c r="BX512">
        <v>0</v>
      </c>
      <c r="BY512" t="s">
        <v>3862</v>
      </c>
      <c r="BZ512" t="s">
        <v>3871</v>
      </c>
    </row>
    <row r="513" spans="1:78" x14ac:dyDescent="0.25">
      <c r="A513" s="7" t="s">
        <v>2132</v>
      </c>
      <c r="B513" s="7" t="s">
        <v>181</v>
      </c>
      <c r="C513" s="7" t="s">
        <v>2130</v>
      </c>
      <c r="D513" s="8" t="s">
        <v>2131</v>
      </c>
      <c r="E513" s="7" t="s">
        <v>2133</v>
      </c>
      <c r="F513" s="9">
        <v>44944</v>
      </c>
      <c r="G513" s="9" t="s">
        <v>717</v>
      </c>
      <c r="H513" s="9" t="s">
        <v>66</v>
      </c>
      <c r="I513" s="8" t="s">
        <v>78</v>
      </c>
      <c r="J513" s="10">
        <v>764.24</v>
      </c>
      <c r="K513" s="10">
        <v>764.24</v>
      </c>
      <c r="L513" s="10">
        <f t="shared" si="234"/>
        <v>0</v>
      </c>
      <c r="M513" s="10">
        <v>352.52</v>
      </c>
      <c r="N513" s="10">
        <v>352.52</v>
      </c>
      <c r="O513" s="10">
        <f t="shared" si="235"/>
        <v>0</v>
      </c>
      <c r="P513" s="11">
        <v>10257.000418716634</v>
      </c>
      <c r="Q513" s="11">
        <v>22236.497220015888</v>
      </c>
      <c r="R513" s="11">
        <v>22000</v>
      </c>
      <c r="S513" s="11">
        <v>7838810</v>
      </c>
      <c r="T513" s="11">
        <v>940658</v>
      </c>
      <c r="U513" s="12">
        <f t="shared" si="236"/>
        <v>0.12000010205630701</v>
      </c>
      <c r="V513" s="13">
        <f t="shared" si="233"/>
        <v>0</v>
      </c>
      <c r="W513" s="10">
        <f t="shared" si="237"/>
        <v>0</v>
      </c>
      <c r="X513" s="10"/>
      <c r="Y513" s="10"/>
      <c r="Z513" s="11">
        <f t="shared" si="238"/>
        <v>7838810</v>
      </c>
      <c r="AA513" s="14"/>
      <c r="AB513" s="14"/>
      <c r="AC513" s="11">
        <f t="shared" si="239"/>
        <v>7838810</v>
      </c>
      <c r="AD513" s="10">
        <f t="shared" si="240"/>
        <v>300</v>
      </c>
      <c r="AE513" s="15">
        <v>105756</v>
      </c>
      <c r="AF513" s="16">
        <v>19036</v>
      </c>
      <c r="AG513" s="15">
        <f t="shared" si="241"/>
        <v>0</v>
      </c>
      <c r="AH513" s="15">
        <f t="shared" si="242"/>
        <v>0</v>
      </c>
      <c r="AI513" s="15">
        <f t="shared" si="243"/>
        <v>105756</v>
      </c>
      <c r="AJ513" s="15">
        <f t="shared" si="244"/>
        <v>19037</v>
      </c>
      <c r="AK513" s="10">
        <v>105756</v>
      </c>
      <c r="AL513" s="15">
        <f t="shared" si="245"/>
        <v>105756</v>
      </c>
      <c r="AM513" s="15">
        <f t="shared" si="246"/>
        <v>7944566</v>
      </c>
      <c r="AN513" s="15">
        <f t="shared" si="247"/>
        <v>959695</v>
      </c>
      <c r="AO513" s="15">
        <f t="shared" si="252"/>
        <v>1079047</v>
      </c>
      <c r="AP513" s="17">
        <f t="shared" si="248"/>
        <v>9023613</v>
      </c>
      <c r="AQ513" s="15">
        <v>5132766</v>
      </c>
      <c r="AR513" s="15">
        <v>13596</v>
      </c>
      <c r="AS513" s="18">
        <f t="shared" si="253"/>
        <v>3890847</v>
      </c>
      <c r="AT513" s="19">
        <v>0</v>
      </c>
      <c r="AU513" s="8">
        <v>8800</v>
      </c>
      <c r="AV513" s="13">
        <f t="shared" si="254"/>
        <v>3102176</v>
      </c>
      <c r="AW513" s="18">
        <f t="shared" si="255"/>
        <v>7944566</v>
      </c>
      <c r="AX513" s="15">
        <f t="shared" si="249"/>
        <v>7945000</v>
      </c>
      <c r="AY513" s="20">
        <v>0.06</v>
      </c>
      <c r="AZ513" s="13">
        <f t="shared" si="250"/>
        <v>476700</v>
      </c>
      <c r="BA513" s="15">
        <f t="shared" si="251"/>
        <v>476700</v>
      </c>
      <c r="BB513" s="21">
        <f t="shared" si="256"/>
        <v>4367547</v>
      </c>
      <c r="BC513" s="10">
        <f t="shared" si="257"/>
        <v>0</v>
      </c>
      <c r="BD513" s="10">
        <f t="shared" si="258"/>
        <v>0</v>
      </c>
      <c r="BE513" s="10">
        <v>71</v>
      </c>
      <c r="BF513" s="10">
        <v>32.75</v>
      </c>
      <c r="BG513" s="107">
        <v>46176</v>
      </c>
      <c r="BH513" s="107">
        <f t="shared" si="232"/>
        <v>46206</v>
      </c>
      <c r="BI513" s="23">
        <v>6</v>
      </c>
      <c r="BJ513" s="91"/>
      <c r="BK513" s="6"/>
      <c r="BL513" s="6">
        <f>VLOOKUP(A513,[2]Sheet1!$D$2:$H$933,5,0)</f>
        <v>0</v>
      </c>
      <c r="BM513" s="6" t="s">
        <v>3828</v>
      </c>
      <c r="BN513" s="6" t="s">
        <v>3829</v>
      </c>
      <c r="BO513" s="6" t="s">
        <v>3820</v>
      </c>
      <c r="BP513" s="6" t="s">
        <v>3821</v>
      </c>
      <c r="BQ513" s="6" t="s">
        <v>3830</v>
      </c>
      <c r="BR513" t="s">
        <v>3823</v>
      </c>
      <c r="BS513" t="s">
        <v>3824</v>
      </c>
      <c r="BT513" t="s">
        <v>3825</v>
      </c>
      <c r="BU513" t="s">
        <v>3826</v>
      </c>
      <c r="BV513" t="s">
        <v>3827</v>
      </c>
      <c r="BW513" t="s">
        <v>3835</v>
      </c>
      <c r="BX513" s="101">
        <v>1268253.915950933</v>
      </c>
      <c r="BY513" t="s">
        <v>3868</v>
      </c>
      <c r="BZ513" t="s">
        <v>3872</v>
      </c>
    </row>
    <row r="514" spans="1:78" x14ac:dyDescent="0.25">
      <c r="A514" s="7" t="s">
        <v>2136</v>
      </c>
      <c r="B514" s="7" t="s">
        <v>181</v>
      </c>
      <c r="C514" s="7" t="s">
        <v>2134</v>
      </c>
      <c r="D514" s="8" t="s">
        <v>2135</v>
      </c>
      <c r="E514" s="7" t="s">
        <v>2137</v>
      </c>
      <c r="F514" s="9">
        <v>44944</v>
      </c>
      <c r="G514" s="9" t="s">
        <v>717</v>
      </c>
      <c r="H514" s="9" t="s">
        <v>66</v>
      </c>
      <c r="I514" s="8" t="s">
        <v>78</v>
      </c>
      <c r="J514" s="10">
        <v>764.24</v>
      </c>
      <c r="K514" s="10">
        <v>764.24</v>
      </c>
      <c r="L514" s="10">
        <f t="shared" si="234"/>
        <v>0</v>
      </c>
      <c r="M514" s="10">
        <v>352.52</v>
      </c>
      <c r="N514" s="10">
        <v>352.52</v>
      </c>
      <c r="O514" s="10">
        <f t="shared" si="235"/>
        <v>0</v>
      </c>
      <c r="P514" s="11">
        <v>10257.000418716634</v>
      </c>
      <c r="Q514" s="11">
        <v>22236.497220015888</v>
      </c>
      <c r="R514" s="11">
        <v>22000</v>
      </c>
      <c r="S514" s="11">
        <v>7838810</v>
      </c>
      <c r="T514" s="11">
        <v>940658</v>
      </c>
      <c r="U514" s="12">
        <f t="shared" si="236"/>
        <v>0.12000010205630701</v>
      </c>
      <c r="V514" s="13">
        <f t="shared" si="233"/>
        <v>0</v>
      </c>
      <c r="W514" s="10">
        <f t="shared" si="237"/>
        <v>0</v>
      </c>
      <c r="X514" s="10"/>
      <c r="Y514" s="10"/>
      <c r="Z514" s="11">
        <f t="shared" si="238"/>
        <v>7838810</v>
      </c>
      <c r="AA514" s="14"/>
      <c r="AB514" s="14"/>
      <c r="AC514" s="11">
        <f t="shared" si="239"/>
        <v>7838810</v>
      </c>
      <c r="AD514" s="10">
        <f t="shared" si="240"/>
        <v>300</v>
      </c>
      <c r="AE514" s="15">
        <v>105756</v>
      </c>
      <c r="AF514" s="16">
        <v>19036</v>
      </c>
      <c r="AG514" s="15">
        <f t="shared" si="241"/>
        <v>0</v>
      </c>
      <c r="AH514" s="15">
        <f t="shared" si="242"/>
        <v>0</v>
      </c>
      <c r="AI514" s="15">
        <f t="shared" si="243"/>
        <v>105756</v>
      </c>
      <c r="AJ514" s="15">
        <f t="shared" si="244"/>
        <v>19037</v>
      </c>
      <c r="AK514" s="10">
        <v>105756</v>
      </c>
      <c r="AL514" s="15">
        <f t="shared" si="245"/>
        <v>105756</v>
      </c>
      <c r="AM514" s="15">
        <f t="shared" si="246"/>
        <v>7944566</v>
      </c>
      <c r="AN514" s="15">
        <f t="shared" si="247"/>
        <v>959695</v>
      </c>
      <c r="AO514" s="15">
        <f t="shared" si="252"/>
        <v>1079214</v>
      </c>
      <c r="AP514" s="17">
        <f t="shared" si="248"/>
        <v>9023780</v>
      </c>
      <c r="AQ514" s="15">
        <v>5132766</v>
      </c>
      <c r="AR514" s="15">
        <v>13763</v>
      </c>
      <c r="AS514" s="18">
        <f t="shared" si="253"/>
        <v>3891014</v>
      </c>
      <c r="AT514" s="19">
        <v>0</v>
      </c>
      <c r="AU514" s="8">
        <v>8800</v>
      </c>
      <c r="AV514" s="13">
        <f t="shared" si="254"/>
        <v>3102176</v>
      </c>
      <c r="AW514" s="18">
        <f t="shared" si="255"/>
        <v>7944566</v>
      </c>
      <c r="AX514" s="15">
        <f t="shared" si="249"/>
        <v>7945000</v>
      </c>
      <c r="AY514" s="20">
        <v>0.05</v>
      </c>
      <c r="AZ514" s="13">
        <f t="shared" si="250"/>
        <v>397250</v>
      </c>
      <c r="BA514" s="15">
        <f t="shared" si="251"/>
        <v>397300</v>
      </c>
      <c r="BB514" s="21">
        <f t="shared" si="256"/>
        <v>4288314</v>
      </c>
      <c r="BC514" s="10">
        <f t="shared" si="257"/>
        <v>0</v>
      </c>
      <c r="BD514" s="10">
        <f t="shared" si="258"/>
        <v>0</v>
      </c>
      <c r="BE514" s="10">
        <v>71</v>
      </c>
      <c r="BF514" s="10">
        <v>32.75</v>
      </c>
      <c r="BG514" s="107">
        <v>46176</v>
      </c>
      <c r="BH514" s="107">
        <f t="shared" si="232"/>
        <v>46206</v>
      </c>
      <c r="BI514" s="23">
        <v>5</v>
      </c>
      <c r="BJ514" s="6"/>
      <c r="BK514" s="6"/>
      <c r="BL514" s="6">
        <f>VLOOKUP(A514,[2]Sheet1!$D$2:$H$933,5,0)</f>
        <v>0</v>
      </c>
      <c r="BM514" s="6" t="s">
        <v>3828</v>
      </c>
      <c r="BN514" s="6" t="s">
        <v>3829</v>
      </c>
      <c r="BO514" s="6" t="s">
        <v>3820</v>
      </c>
      <c r="BP514" s="6" t="s">
        <v>3821</v>
      </c>
      <c r="BQ514" s="6" t="s">
        <v>3830</v>
      </c>
      <c r="BR514" t="s">
        <v>3823</v>
      </c>
      <c r="BS514" t="s">
        <v>3824</v>
      </c>
      <c r="BT514" t="s">
        <v>3825</v>
      </c>
      <c r="BU514" t="s">
        <v>3826</v>
      </c>
      <c r="BV514" t="s">
        <v>3827</v>
      </c>
      <c r="BW514" t="s">
        <v>3835</v>
      </c>
      <c r="BX514" s="101">
        <v>1268253.915950933</v>
      </c>
      <c r="BY514" t="s">
        <v>3868</v>
      </c>
      <c r="BZ514" t="s">
        <v>3872</v>
      </c>
    </row>
    <row r="515" spans="1:78" x14ac:dyDescent="0.25">
      <c r="A515" s="7" t="s">
        <v>2140</v>
      </c>
      <c r="B515" s="7" t="s">
        <v>181</v>
      </c>
      <c r="C515" s="7" t="s">
        <v>2138</v>
      </c>
      <c r="D515" s="8" t="s">
        <v>2139</v>
      </c>
      <c r="E515" s="7" t="s">
        <v>2141</v>
      </c>
      <c r="F515" s="9">
        <v>44908</v>
      </c>
      <c r="G515" s="9" t="s">
        <v>404</v>
      </c>
      <c r="H515" s="9" t="s">
        <v>72</v>
      </c>
      <c r="I515" s="8" t="s">
        <v>78</v>
      </c>
      <c r="J515" s="10">
        <v>652.29999999999995</v>
      </c>
      <c r="K515" s="10">
        <v>652.29999999999995</v>
      </c>
      <c r="L515" s="10">
        <f t="shared" si="234"/>
        <v>0</v>
      </c>
      <c r="M515" s="10">
        <v>293.86</v>
      </c>
      <c r="N515" s="10">
        <v>293.86</v>
      </c>
      <c r="O515" s="10">
        <f t="shared" si="235"/>
        <v>0</v>
      </c>
      <c r="P515" s="11">
        <v>11196.999846696306</v>
      </c>
      <c r="Q515" s="11">
        <v>24854.702919757707</v>
      </c>
      <c r="R515" s="11">
        <v>20000</v>
      </c>
      <c r="S515" s="11">
        <v>7303803</v>
      </c>
      <c r="T515" s="11">
        <v>876458</v>
      </c>
      <c r="U515" s="12">
        <f t="shared" si="236"/>
        <v>0.12000022454055784</v>
      </c>
      <c r="V515" s="13">
        <f t="shared" si="233"/>
        <v>0</v>
      </c>
      <c r="W515" s="10">
        <f t="shared" si="237"/>
        <v>0</v>
      </c>
      <c r="X515" s="10"/>
      <c r="Y515" s="10"/>
      <c r="Z515" s="11">
        <f t="shared" si="238"/>
        <v>7303803</v>
      </c>
      <c r="AA515" s="14"/>
      <c r="AB515" s="14"/>
      <c r="AC515" s="11">
        <f t="shared" si="239"/>
        <v>7303803</v>
      </c>
      <c r="AD515" s="10">
        <f t="shared" si="240"/>
        <v>300</v>
      </c>
      <c r="AE515" s="15">
        <v>88158</v>
      </c>
      <c r="AF515" s="16">
        <v>15868</v>
      </c>
      <c r="AG515" s="15">
        <f t="shared" si="241"/>
        <v>0</v>
      </c>
      <c r="AH515" s="15">
        <f t="shared" si="242"/>
        <v>0</v>
      </c>
      <c r="AI515" s="15">
        <f t="shared" si="243"/>
        <v>88158</v>
      </c>
      <c r="AJ515" s="15">
        <f t="shared" si="244"/>
        <v>15869</v>
      </c>
      <c r="AK515" s="10">
        <v>88158</v>
      </c>
      <c r="AL515" s="15">
        <f t="shared" si="245"/>
        <v>88158</v>
      </c>
      <c r="AM515" s="15">
        <f t="shared" si="246"/>
        <v>7391961</v>
      </c>
      <c r="AN515" s="15">
        <f t="shared" si="247"/>
        <v>892327</v>
      </c>
      <c r="AO515" s="15">
        <f t="shared" si="252"/>
        <v>989767</v>
      </c>
      <c r="AP515" s="17">
        <f t="shared" si="248"/>
        <v>8381728</v>
      </c>
      <c r="AQ515" s="15">
        <v>7298651</v>
      </c>
      <c r="AR515" s="15">
        <v>9282</v>
      </c>
      <c r="AS515" s="18">
        <f t="shared" si="253"/>
        <v>1083077</v>
      </c>
      <c r="AT515" s="19">
        <v>0</v>
      </c>
      <c r="AU515" s="8">
        <v>8800</v>
      </c>
      <c r="AV515" s="13">
        <f t="shared" si="254"/>
        <v>2585968</v>
      </c>
      <c r="AW515" s="18">
        <f t="shared" si="255"/>
        <v>7391961</v>
      </c>
      <c r="AX515" s="15">
        <f t="shared" si="249"/>
        <v>7392000</v>
      </c>
      <c r="AY515" s="20">
        <v>0.06</v>
      </c>
      <c r="AZ515" s="13">
        <f t="shared" si="250"/>
        <v>443520</v>
      </c>
      <c r="BA515" s="15">
        <f t="shared" si="251"/>
        <v>443600</v>
      </c>
      <c r="BB515" s="21">
        <f t="shared" si="256"/>
        <v>1526677</v>
      </c>
      <c r="BC515" s="10">
        <f t="shared" si="257"/>
        <v>0</v>
      </c>
      <c r="BD515" s="10">
        <f t="shared" si="258"/>
        <v>0</v>
      </c>
      <c r="BE515" s="10">
        <v>60.6</v>
      </c>
      <c r="BF515" s="10">
        <v>27.3</v>
      </c>
      <c r="BG515" s="107">
        <v>46176</v>
      </c>
      <c r="BH515" s="107">
        <f t="shared" si="232"/>
        <v>46206</v>
      </c>
      <c r="BI515" s="23">
        <v>6</v>
      </c>
      <c r="BJ515" s="6"/>
      <c r="BK515" s="6"/>
      <c r="BL515" s="6">
        <f>VLOOKUP(A515,[2]Sheet1!$D$2:$H$933,5,0)</f>
        <v>0</v>
      </c>
      <c r="BM515" s="6" t="s">
        <v>3828</v>
      </c>
      <c r="BN515" s="6" t="s">
        <v>3829</v>
      </c>
      <c r="BO515" s="6" t="s">
        <v>3820</v>
      </c>
      <c r="BP515" s="6" t="s">
        <v>3821</v>
      </c>
      <c r="BQ515" s="6" t="s">
        <v>3830</v>
      </c>
      <c r="BR515" t="s">
        <v>3823</v>
      </c>
      <c r="BS515" t="s">
        <v>3824</v>
      </c>
      <c r="BT515" t="s">
        <v>3825</v>
      </c>
      <c r="BU515" t="s">
        <v>3826</v>
      </c>
      <c r="BV515" t="s">
        <v>3827</v>
      </c>
      <c r="BW515" t="s">
        <v>3835</v>
      </c>
      <c r="BX515">
        <v>0</v>
      </c>
      <c r="BY515" t="s">
        <v>3868</v>
      </c>
      <c r="BZ515" t="s">
        <v>3863</v>
      </c>
    </row>
    <row r="516" spans="1:78" x14ac:dyDescent="0.25">
      <c r="A516" s="48" t="s">
        <v>2144</v>
      </c>
      <c r="B516" s="48" t="s">
        <v>181</v>
      </c>
      <c r="C516" s="48" t="s">
        <v>2142</v>
      </c>
      <c r="D516" s="49" t="s">
        <v>2143</v>
      </c>
      <c r="E516" s="48" t="s">
        <v>2145</v>
      </c>
      <c r="F516" s="50">
        <v>44981</v>
      </c>
      <c r="G516" s="50" t="s">
        <v>717</v>
      </c>
      <c r="H516" s="50" t="s">
        <v>66</v>
      </c>
      <c r="I516" s="49" t="s">
        <v>78</v>
      </c>
      <c r="J516" s="51">
        <v>596.33000000000004</v>
      </c>
      <c r="K516" s="51">
        <v>674</v>
      </c>
      <c r="L516" s="51">
        <f t="shared" si="234"/>
        <v>77.669999999999959</v>
      </c>
      <c r="M516" s="51">
        <v>266.95</v>
      </c>
      <c r="N516" s="51">
        <v>302</v>
      </c>
      <c r="O516" s="51">
        <f t="shared" si="235"/>
        <v>35.050000000000011</v>
      </c>
      <c r="P516" s="52">
        <v>15999.999999999998</v>
      </c>
      <c r="Q516" s="52">
        <v>35741.824311668854</v>
      </c>
      <c r="R516" s="52">
        <v>22000</v>
      </c>
      <c r="S516" s="52">
        <v>9541280</v>
      </c>
      <c r="T516" s="52">
        <v>1144954</v>
      </c>
      <c r="U516" s="53">
        <f t="shared" si="236"/>
        <v>0.12000004192309627</v>
      </c>
      <c r="V516" s="13">
        <f>L516*R516</f>
        <v>1708739.9999999991</v>
      </c>
      <c r="W516" s="51">
        <f t="shared" si="237"/>
        <v>205048.87163567141</v>
      </c>
      <c r="X516" s="55"/>
      <c r="Y516" s="55"/>
      <c r="Z516" s="52">
        <f t="shared" si="238"/>
        <v>11250020</v>
      </c>
      <c r="AA516" s="56">
        <v>2444582</v>
      </c>
      <c r="AB516" s="56">
        <v>293350</v>
      </c>
      <c r="AC516" s="52">
        <f t="shared" si="239"/>
        <v>8805438</v>
      </c>
      <c r="AD516" s="51">
        <f t="shared" si="240"/>
        <v>300</v>
      </c>
      <c r="AE516" s="55">
        <v>80085</v>
      </c>
      <c r="AF516" s="57">
        <v>14416</v>
      </c>
      <c r="AG516" s="55">
        <f t="shared" si="241"/>
        <v>10515.000000000004</v>
      </c>
      <c r="AH516" s="55">
        <f t="shared" si="242"/>
        <v>1892.7000000000005</v>
      </c>
      <c r="AI516" s="55">
        <f t="shared" si="243"/>
        <v>90600</v>
      </c>
      <c r="AJ516" s="55">
        <f t="shared" si="244"/>
        <v>16308</v>
      </c>
      <c r="AK516" s="51">
        <v>80085</v>
      </c>
      <c r="AL516" s="55">
        <f t="shared" si="245"/>
        <v>90600</v>
      </c>
      <c r="AM516" s="15">
        <f t="shared" si="246"/>
        <v>8896038</v>
      </c>
      <c r="AN516" s="15">
        <f t="shared" si="247"/>
        <v>1072961</v>
      </c>
      <c r="AO516" s="55">
        <f t="shared" si="252"/>
        <v>1163745</v>
      </c>
      <c r="AP516" s="58">
        <f t="shared" si="248"/>
        <v>10059783</v>
      </c>
      <c r="AQ516" s="55">
        <v>6842774</v>
      </c>
      <c r="AR516" s="15">
        <v>184</v>
      </c>
      <c r="AS516" s="18">
        <f t="shared" si="253"/>
        <v>3217009</v>
      </c>
      <c r="AT516" s="60">
        <v>0</v>
      </c>
      <c r="AU516" s="49">
        <v>8800</v>
      </c>
      <c r="AV516" s="54">
        <f t="shared" si="254"/>
        <v>2657600</v>
      </c>
      <c r="AW516" s="59">
        <f t="shared" si="255"/>
        <v>8896038</v>
      </c>
      <c r="AX516" s="55">
        <f t="shared" si="249"/>
        <v>8897000</v>
      </c>
      <c r="AY516" s="61">
        <v>0.05</v>
      </c>
      <c r="AZ516" s="54">
        <f t="shared" si="250"/>
        <v>444850</v>
      </c>
      <c r="BA516" s="55">
        <f t="shared" si="251"/>
        <v>444900</v>
      </c>
      <c r="BB516" s="62">
        <f t="shared" si="256"/>
        <v>3661909</v>
      </c>
      <c r="BC516" s="51">
        <f t="shared" si="257"/>
        <v>13.024667549846553</v>
      </c>
      <c r="BD516" s="51">
        <f t="shared" si="258"/>
        <v>13.129799587937821</v>
      </c>
      <c r="BE516" s="51">
        <v>62.62</v>
      </c>
      <c r="BF516" s="51">
        <v>28.06</v>
      </c>
      <c r="BG516" s="107">
        <v>46176</v>
      </c>
      <c r="BH516" s="109">
        <f t="shared" si="232"/>
        <v>46206</v>
      </c>
      <c r="BI516" s="63">
        <v>5</v>
      </c>
      <c r="BJ516" s="24" t="s">
        <v>350</v>
      </c>
      <c r="BK516" s="6"/>
      <c r="BL516" s="6">
        <f>VLOOKUP(A516,[2]Sheet1!$D$2:$H$933,5,0)</f>
        <v>0</v>
      </c>
      <c r="BM516" s="6" t="s">
        <v>3828</v>
      </c>
      <c r="BN516" s="6" t="s">
        <v>3829</v>
      </c>
      <c r="BO516" s="6" t="s">
        <v>3820</v>
      </c>
      <c r="BP516" s="6" t="s">
        <v>3821</v>
      </c>
      <c r="BQ516" s="6" t="s">
        <v>3830</v>
      </c>
      <c r="BR516" t="s">
        <v>3823</v>
      </c>
      <c r="BS516" t="s">
        <v>3824</v>
      </c>
      <c r="BT516" t="s">
        <v>3825</v>
      </c>
      <c r="BU516" t="s">
        <v>3826</v>
      </c>
      <c r="BV516" t="s">
        <v>3827</v>
      </c>
      <c r="BW516" t="s">
        <v>3835</v>
      </c>
      <c r="BX516">
        <v>0</v>
      </c>
      <c r="BY516" t="s">
        <v>3866</v>
      </c>
      <c r="BZ516" t="s">
        <v>3872</v>
      </c>
    </row>
    <row r="517" spans="1:78" x14ac:dyDescent="0.25">
      <c r="A517" s="7" t="s">
        <v>2148</v>
      </c>
      <c r="B517" s="7" t="s">
        <v>181</v>
      </c>
      <c r="C517" s="7" t="s">
        <v>2146</v>
      </c>
      <c r="D517" s="8" t="s">
        <v>2147</v>
      </c>
      <c r="E517" s="7" t="s">
        <v>2149</v>
      </c>
      <c r="F517" s="9">
        <v>44861</v>
      </c>
      <c r="G517" s="9" t="s">
        <v>527</v>
      </c>
      <c r="H517" s="9" t="s">
        <v>87</v>
      </c>
      <c r="I517" s="8" t="s">
        <v>67</v>
      </c>
      <c r="J517" s="10">
        <v>224.85</v>
      </c>
      <c r="K517" s="10">
        <v>224.85</v>
      </c>
      <c r="L517" s="10">
        <f t="shared" si="234"/>
        <v>0</v>
      </c>
      <c r="M517" s="10">
        <v>89.34</v>
      </c>
      <c r="N517" s="10">
        <v>89.34</v>
      </c>
      <c r="O517" s="10">
        <f t="shared" si="235"/>
        <v>0</v>
      </c>
      <c r="P517" s="11">
        <v>31050.002223704694</v>
      </c>
      <c r="Q517" s="11">
        <v>78146.328632191624</v>
      </c>
      <c r="R517" s="11">
        <v>40000</v>
      </c>
      <c r="S517" s="11">
        <v>6981593</v>
      </c>
      <c r="T517" s="11">
        <v>837792</v>
      </c>
      <c r="U517" s="12">
        <f t="shared" si="236"/>
        <v>0.12000012031638052</v>
      </c>
      <c r="V517" s="13">
        <f>L517*P517</f>
        <v>0</v>
      </c>
      <c r="W517" s="10">
        <f t="shared" si="237"/>
        <v>0</v>
      </c>
      <c r="X517" s="10"/>
      <c r="Y517" s="10"/>
      <c r="Z517" s="11">
        <f t="shared" si="238"/>
        <v>6981593</v>
      </c>
      <c r="AA517" s="14">
        <v>1880376</v>
      </c>
      <c r="AB517" s="14">
        <v>225646</v>
      </c>
      <c r="AC517" s="11">
        <f t="shared" si="239"/>
        <v>5101217</v>
      </c>
      <c r="AD517" s="10">
        <f t="shared" si="240"/>
        <v>300</v>
      </c>
      <c r="AE517" s="15">
        <v>26802</v>
      </c>
      <c r="AF517" s="16">
        <v>4824</v>
      </c>
      <c r="AG517" s="15">
        <f t="shared" si="241"/>
        <v>0</v>
      </c>
      <c r="AH517" s="15">
        <f t="shared" si="242"/>
        <v>0</v>
      </c>
      <c r="AI517" s="15">
        <f t="shared" si="243"/>
        <v>26802</v>
      </c>
      <c r="AJ517" s="15">
        <f t="shared" si="244"/>
        <v>4825</v>
      </c>
      <c r="AK517" s="10">
        <v>26802</v>
      </c>
      <c r="AL517" s="15">
        <f t="shared" si="245"/>
        <v>26802</v>
      </c>
      <c r="AM517" s="15">
        <f t="shared" si="246"/>
        <v>5128019</v>
      </c>
      <c r="AN517" s="15">
        <f t="shared" si="247"/>
        <v>616971</v>
      </c>
      <c r="AO517" s="15">
        <f t="shared" si="252"/>
        <v>653082</v>
      </c>
      <c r="AP517" s="17">
        <f t="shared" si="248"/>
        <v>5781101</v>
      </c>
      <c r="AQ517" s="15">
        <v>4877631</v>
      </c>
      <c r="AR517" s="15">
        <v>9309</v>
      </c>
      <c r="AS517" s="18">
        <f t="shared" si="253"/>
        <v>903470</v>
      </c>
      <c r="AT517" s="19">
        <v>0</v>
      </c>
      <c r="AU517" s="8">
        <v>8800</v>
      </c>
      <c r="AV517" s="13">
        <f t="shared" si="254"/>
        <v>786192</v>
      </c>
      <c r="AW517" s="18">
        <f t="shared" si="255"/>
        <v>5128019</v>
      </c>
      <c r="AX517" s="15">
        <f t="shared" si="249"/>
        <v>5129000</v>
      </c>
      <c r="AY517" s="20">
        <v>7.0000000000000007E-2</v>
      </c>
      <c r="AZ517" s="13">
        <f t="shared" si="250"/>
        <v>359030.00000000006</v>
      </c>
      <c r="BA517" s="15">
        <f t="shared" si="251"/>
        <v>359100</v>
      </c>
      <c r="BB517" s="21">
        <f t="shared" si="256"/>
        <v>1262570</v>
      </c>
      <c r="BC517" s="10">
        <f t="shared" si="257"/>
        <v>0</v>
      </c>
      <c r="BD517" s="10">
        <f t="shared" si="258"/>
        <v>0</v>
      </c>
      <c r="BE517" s="10">
        <v>20.89</v>
      </c>
      <c r="BF517" s="10">
        <v>8.3000000000000007</v>
      </c>
      <c r="BG517" s="107">
        <v>46176</v>
      </c>
      <c r="BH517" s="107">
        <f t="shared" si="232"/>
        <v>46206</v>
      </c>
      <c r="BI517" s="23">
        <v>7</v>
      </c>
      <c r="BJ517" s="6"/>
      <c r="BK517" s="6"/>
      <c r="BL517" s="6">
        <f>VLOOKUP(A517,[2]Sheet1!$D$2:$H$933,5,0)</f>
        <v>0</v>
      </c>
      <c r="BM517" s="6" t="s">
        <v>3828</v>
      </c>
      <c r="BN517" s="6" t="s">
        <v>3829</v>
      </c>
      <c r="BO517" s="6" t="s">
        <v>3820</v>
      </c>
      <c r="BP517" s="6" t="s">
        <v>3821</v>
      </c>
      <c r="BQ517" s="6" t="s">
        <v>3830</v>
      </c>
      <c r="BR517" t="s">
        <v>3823</v>
      </c>
      <c r="BS517" t="s">
        <v>3824</v>
      </c>
      <c r="BT517" t="s">
        <v>3825</v>
      </c>
      <c r="BU517" t="s">
        <v>3826</v>
      </c>
      <c r="BV517" t="s">
        <v>3827</v>
      </c>
      <c r="BW517" t="s">
        <v>3835</v>
      </c>
      <c r="BX517">
        <v>0</v>
      </c>
      <c r="BY517" t="s">
        <v>3867</v>
      </c>
      <c r="BZ517" t="s">
        <v>3871</v>
      </c>
    </row>
    <row r="518" spans="1:78" x14ac:dyDescent="0.25">
      <c r="A518" s="7" t="s">
        <v>2152</v>
      </c>
      <c r="B518" s="7" t="s">
        <v>181</v>
      </c>
      <c r="C518" s="7" t="s">
        <v>2150</v>
      </c>
      <c r="D518" s="8" t="s">
        <v>2151</v>
      </c>
      <c r="E518" s="7" t="s">
        <v>2153</v>
      </c>
      <c r="F518" s="9">
        <v>44896</v>
      </c>
      <c r="G518" s="9" t="s">
        <v>717</v>
      </c>
      <c r="H518" s="9" t="s">
        <v>66</v>
      </c>
      <c r="I518" s="8" t="s">
        <v>78</v>
      </c>
      <c r="J518" s="10">
        <v>540.35</v>
      </c>
      <c r="K518" s="10">
        <v>606</v>
      </c>
      <c r="L518" s="10">
        <f t="shared" si="234"/>
        <v>65.649999999999977</v>
      </c>
      <c r="M518" s="10">
        <v>231.43</v>
      </c>
      <c r="N518" s="10">
        <v>266</v>
      </c>
      <c r="O518" s="10">
        <f t="shared" si="235"/>
        <v>34.569999999999993</v>
      </c>
      <c r="P518" s="11">
        <v>16655.998889608585</v>
      </c>
      <c r="Q518" s="11">
        <v>38888.946981808753</v>
      </c>
      <c r="R518" s="11">
        <v>22000</v>
      </c>
      <c r="S518" s="11">
        <v>9000069</v>
      </c>
      <c r="T518" s="11">
        <v>1080008</v>
      </c>
      <c r="U518" s="12">
        <f t="shared" si="236"/>
        <v>0.11999996888912741</v>
      </c>
      <c r="V518" s="13">
        <f>L518*R518</f>
        <v>1444299.9999999995</v>
      </c>
      <c r="W518" s="10">
        <f t="shared" si="237"/>
        <v>173315.95506656665</v>
      </c>
      <c r="X518" s="15"/>
      <c r="Y518" s="15"/>
      <c r="Z518" s="11">
        <f t="shared" si="238"/>
        <v>10444369</v>
      </c>
      <c r="AA518" s="14"/>
      <c r="AB518" s="14"/>
      <c r="AC518" s="11">
        <f t="shared" si="239"/>
        <v>10444369</v>
      </c>
      <c r="AD518" s="10">
        <f t="shared" si="240"/>
        <v>300</v>
      </c>
      <c r="AE518" s="15">
        <v>69429</v>
      </c>
      <c r="AF518" s="16">
        <v>12498</v>
      </c>
      <c r="AG518" s="15">
        <f t="shared" si="241"/>
        <v>10370.999999999998</v>
      </c>
      <c r="AH518" s="15">
        <f t="shared" si="242"/>
        <v>1866.7799999999995</v>
      </c>
      <c r="AI518" s="15">
        <f t="shared" si="243"/>
        <v>79800</v>
      </c>
      <c r="AJ518" s="15">
        <f t="shared" si="244"/>
        <v>14364</v>
      </c>
      <c r="AK518" s="10">
        <v>69429</v>
      </c>
      <c r="AL518" s="15">
        <f t="shared" si="245"/>
        <v>79800</v>
      </c>
      <c r="AM518" s="15">
        <f t="shared" si="246"/>
        <v>10524169</v>
      </c>
      <c r="AN518" s="15">
        <f t="shared" si="247"/>
        <v>1267688</v>
      </c>
      <c r="AO518" s="15">
        <f t="shared" si="252"/>
        <v>1356763</v>
      </c>
      <c r="AP518" s="17">
        <f t="shared" si="248"/>
        <v>11880932</v>
      </c>
      <c r="AQ518" s="15">
        <v>9076081</v>
      </c>
      <c r="AR518" s="15">
        <v>9275</v>
      </c>
      <c r="AS518" s="18">
        <f t="shared" si="253"/>
        <v>2804851</v>
      </c>
      <c r="AT518" s="19">
        <v>0</v>
      </c>
      <c r="AU518" s="8">
        <v>8800</v>
      </c>
      <c r="AV518" s="13">
        <f t="shared" si="254"/>
        <v>2340800</v>
      </c>
      <c r="AW518" s="18">
        <f t="shared" si="255"/>
        <v>10524169</v>
      </c>
      <c r="AX518" s="15">
        <f t="shared" si="249"/>
        <v>10525000</v>
      </c>
      <c r="AY518" s="20">
        <v>0.05</v>
      </c>
      <c r="AZ518" s="13">
        <f t="shared" si="250"/>
        <v>526250</v>
      </c>
      <c r="BA518" s="15">
        <f t="shared" si="251"/>
        <v>526300</v>
      </c>
      <c r="BB518" s="21">
        <f t="shared" si="256"/>
        <v>3331151</v>
      </c>
      <c r="BC518" s="10">
        <f t="shared" si="257"/>
        <v>12.149532710280369</v>
      </c>
      <c r="BD518" s="10">
        <f t="shared" si="258"/>
        <v>14.937562113814108</v>
      </c>
      <c r="BE518" s="10">
        <v>56.3</v>
      </c>
      <c r="BF518" s="10">
        <v>24.71</v>
      </c>
      <c r="BG518" s="107">
        <v>46176</v>
      </c>
      <c r="BH518" s="107">
        <f t="shared" si="232"/>
        <v>46206</v>
      </c>
      <c r="BI518" s="23">
        <v>5</v>
      </c>
      <c r="BJ518" s="6"/>
      <c r="BK518" s="6"/>
      <c r="BL518" s="6">
        <f>VLOOKUP(A518,[2]Sheet1!$D$2:$H$933,5,0)</f>
        <v>0</v>
      </c>
      <c r="BM518" s="6" t="s">
        <v>3828</v>
      </c>
      <c r="BN518" s="6" t="s">
        <v>3829</v>
      </c>
      <c r="BO518" s="6" t="s">
        <v>3820</v>
      </c>
      <c r="BP518" s="6" t="s">
        <v>3821</v>
      </c>
      <c r="BQ518" s="6" t="s">
        <v>3830</v>
      </c>
      <c r="BR518" t="s">
        <v>3823</v>
      </c>
      <c r="BS518" t="s">
        <v>3824</v>
      </c>
      <c r="BT518" t="s">
        <v>3825</v>
      </c>
      <c r="BU518" t="s">
        <v>3826</v>
      </c>
      <c r="BV518" t="s">
        <v>3827</v>
      </c>
      <c r="BW518" t="s">
        <v>3835</v>
      </c>
      <c r="BX518">
        <v>0</v>
      </c>
      <c r="BY518" t="s">
        <v>3866</v>
      </c>
      <c r="BZ518" t="s">
        <v>3872</v>
      </c>
    </row>
    <row r="519" spans="1:78" x14ac:dyDescent="0.25">
      <c r="A519" s="7" t="s">
        <v>2156</v>
      </c>
      <c r="B519" s="7" t="s">
        <v>181</v>
      </c>
      <c r="C519" s="7" t="s">
        <v>2154</v>
      </c>
      <c r="D519" s="8" t="s">
        <v>2155</v>
      </c>
      <c r="E519" s="7" t="s">
        <v>2157</v>
      </c>
      <c r="F519" s="9">
        <v>44903</v>
      </c>
      <c r="G519" s="9" t="s">
        <v>527</v>
      </c>
      <c r="H519" s="9" t="s">
        <v>190</v>
      </c>
      <c r="I519" s="8" t="s">
        <v>78</v>
      </c>
      <c r="J519" s="10">
        <v>2502.41</v>
      </c>
      <c r="K519" s="10">
        <v>2502.41</v>
      </c>
      <c r="L519" s="10">
        <f t="shared" si="234"/>
        <v>0</v>
      </c>
      <c r="M519" s="10">
        <v>1181.8900000000001</v>
      </c>
      <c r="N519" s="10">
        <v>1181.8900000000001</v>
      </c>
      <c r="O519" s="10">
        <f t="shared" si="235"/>
        <v>0</v>
      </c>
      <c r="P519" s="11">
        <v>19554.999780211878</v>
      </c>
      <c r="Q519" s="11">
        <v>41403.706774742146</v>
      </c>
      <c r="R519" s="11">
        <v>60000</v>
      </c>
      <c r="S519" s="11">
        <v>48934627</v>
      </c>
      <c r="T519" s="11">
        <v>5872156</v>
      </c>
      <c r="U519" s="12">
        <f t="shared" si="236"/>
        <v>0.12000001553092456</v>
      </c>
      <c r="V519" s="13">
        <f t="shared" ref="V519:V547" si="259">L519*P519</f>
        <v>0</v>
      </c>
      <c r="W519" s="10">
        <f t="shared" si="237"/>
        <v>0</v>
      </c>
      <c r="X519" s="10"/>
      <c r="Y519" s="10"/>
      <c r="Z519" s="11">
        <f t="shared" si="238"/>
        <v>48934627</v>
      </c>
      <c r="AA519" s="14">
        <v>9921443</v>
      </c>
      <c r="AB519" s="14">
        <v>1190574</v>
      </c>
      <c r="AC519" s="11">
        <f t="shared" si="239"/>
        <v>39013184</v>
      </c>
      <c r="AD519" s="10">
        <f t="shared" si="240"/>
        <v>300</v>
      </c>
      <c r="AE519" s="15">
        <v>354567</v>
      </c>
      <c r="AF519" s="16">
        <v>63822</v>
      </c>
      <c r="AG519" s="15">
        <f t="shared" si="241"/>
        <v>0</v>
      </c>
      <c r="AH519" s="15">
        <f t="shared" si="242"/>
        <v>0</v>
      </c>
      <c r="AI519" s="15">
        <f t="shared" si="243"/>
        <v>354567.00000000006</v>
      </c>
      <c r="AJ519" s="15">
        <f t="shared" si="244"/>
        <v>63823</v>
      </c>
      <c r="AK519" s="10">
        <v>354567</v>
      </c>
      <c r="AL519" s="15">
        <f t="shared" si="245"/>
        <v>354567.00000000006</v>
      </c>
      <c r="AM519" s="15">
        <f t="shared" si="246"/>
        <v>39367751</v>
      </c>
      <c r="AN519" s="15">
        <f t="shared" si="247"/>
        <v>4745405</v>
      </c>
      <c r="AO519" s="15">
        <f t="shared" si="252"/>
        <v>5109296</v>
      </c>
      <c r="AP519" s="17">
        <f t="shared" si="248"/>
        <v>44477047</v>
      </c>
      <c r="AQ519" s="15">
        <v>38230001</v>
      </c>
      <c r="AR519" s="15">
        <v>9324</v>
      </c>
      <c r="AS519" s="18">
        <f t="shared" si="253"/>
        <v>6247046</v>
      </c>
      <c r="AT519" s="19">
        <v>0</v>
      </c>
      <c r="AU519" s="8">
        <v>8800</v>
      </c>
      <c r="AV519" s="13">
        <f t="shared" si="254"/>
        <v>10400632</v>
      </c>
      <c r="AW519" s="18">
        <f t="shared" si="255"/>
        <v>39367751</v>
      </c>
      <c r="AX519" s="15">
        <f t="shared" si="249"/>
        <v>39368000</v>
      </c>
      <c r="AY519" s="20">
        <v>7.0000000000000007E-2</v>
      </c>
      <c r="AZ519" s="13">
        <f t="shared" si="250"/>
        <v>2755760.0000000005</v>
      </c>
      <c r="BA519" s="15">
        <f t="shared" si="251"/>
        <v>2755800</v>
      </c>
      <c r="BB519" s="21">
        <f t="shared" si="256"/>
        <v>9002846</v>
      </c>
      <c r="BC519" s="10">
        <f t="shared" si="257"/>
        <v>0</v>
      </c>
      <c r="BD519" s="10">
        <f t="shared" si="258"/>
        <v>0</v>
      </c>
      <c r="BE519" s="10">
        <v>232.48</v>
      </c>
      <c r="BF519" s="10">
        <v>109.8</v>
      </c>
      <c r="BG519" s="107">
        <v>46176</v>
      </c>
      <c r="BH519" s="107">
        <f t="shared" si="232"/>
        <v>46206</v>
      </c>
      <c r="BI519" s="23">
        <v>7</v>
      </c>
      <c r="BJ519" s="6"/>
      <c r="BK519" s="6"/>
      <c r="BL519" s="6">
        <f>VLOOKUP(A519,[2]Sheet1!$D$2:$H$933,5,0)</f>
        <v>0</v>
      </c>
      <c r="BM519" s="6" t="s">
        <v>3828</v>
      </c>
      <c r="BN519" s="6" t="s">
        <v>3829</v>
      </c>
      <c r="BO519" s="6" t="s">
        <v>3820</v>
      </c>
      <c r="BP519" s="6" t="s">
        <v>3821</v>
      </c>
      <c r="BQ519" s="6" t="s">
        <v>3830</v>
      </c>
      <c r="BR519" t="s">
        <v>3823</v>
      </c>
      <c r="BS519" t="s">
        <v>3824</v>
      </c>
      <c r="BT519" t="s">
        <v>3825</v>
      </c>
      <c r="BU519" t="s">
        <v>3826</v>
      </c>
      <c r="BV519" t="s">
        <v>3827</v>
      </c>
      <c r="BW519" t="s">
        <v>3835</v>
      </c>
      <c r="BX519">
        <v>0</v>
      </c>
      <c r="BY519" t="s">
        <v>3869</v>
      </c>
      <c r="BZ519" t="s">
        <v>3871</v>
      </c>
    </row>
    <row r="520" spans="1:78" x14ac:dyDescent="0.25">
      <c r="A520" s="7" t="s">
        <v>2160</v>
      </c>
      <c r="B520" s="7" t="s">
        <v>181</v>
      </c>
      <c r="C520" s="7" t="s">
        <v>2158</v>
      </c>
      <c r="D520" s="8" t="s">
        <v>2159</v>
      </c>
      <c r="E520" s="7" t="s">
        <v>2161</v>
      </c>
      <c r="F520" s="9">
        <v>44953</v>
      </c>
      <c r="G520" s="9" t="s">
        <v>717</v>
      </c>
      <c r="H520" s="9" t="s">
        <v>87</v>
      </c>
      <c r="I520" s="8" t="s">
        <v>78</v>
      </c>
      <c r="J520" s="10">
        <v>475.77</v>
      </c>
      <c r="K520" s="10">
        <v>475.77</v>
      </c>
      <c r="L520" s="10">
        <f t="shared" si="234"/>
        <v>0</v>
      </c>
      <c r="M520" s="10">
        <v>207.75</v>
      </c>
      <c r="N520" s="10">
        <v>207.75</v>
      </c>
      <c r="O520" s="10">
        <f t="shared" si="235"/>
        <v>0</v>
      </c>
      <c r="P520" s="11">
        <v>24249.998949072033</v>
      </c>
      <c r="Q520" s="11">
        <v>55535.123947051747</v>
      </c>
      <c r="R520" s="11">
        <v>40000</v>
      </c>
      <c r="S520" s="11">
        <v>11537422</v>
      </c>
      <c r="T520" s="11">
        <v>1384492</v>
      </c>
      <c r="U520" s="12">
        <f t="shared" si="236"/>
        <v>0.12000011787728662</v>
      </c>
      <c r="V520" s="13">
        <f t="shared" si="259"/>
        <v>0</v>
      </c>
      <c r="W520" s="10">
        <f t="shared" si="237"/>
        <v>0</v>
      </c>
      <c r="X520" s="10"/>
      <c r="Y520" s="10"/>
      <c r="Z520" s="11">
        <f t="shared" si="238"/>
        <v>11537422</v>
      </c>
      <c r="AA520" s="14"/>
      <c r="AB520" s="14"/>
      <c r="AC520" s="11">
        <f t="shared" si="239"/>
        <v>11537422</v>
      </c>
      <c r="AD520" s="10">
        <f t="shared" si="240"/>
        <v>300</v>
      </c>
      <c r="AE520" s="15">
        <v>62325</v>
      </c>
      <c r="AF520" s="16">
        <v>11218</v>
      </c>
      <c r="AG520" s="15">
        <f t="shared" si="241"/>
        <v>0</v>
      </c>
      <c r="AH520" s="15">
        <f t="shared" si="242"/>
        <v>0</v>
      </c>
      <c r="AI520" s="15">
        <f t="shared" si="243"/>
        <v>62325</v>
      </c>
      <c r="AJ520" s="15">
        <f t="shared" si="244"/>
        <v>11219</v>
      </c>
      <c r="AK520" s="10">
        <v>62325</v>
      </c>
      <c r="AL520" s="15">
        <f t="shared" si="245"/>
        <v>62325</v>
      </c>
      <c r="AM520" s="15">
        <f t="shared" si="246"/>
        <v>11599747</v>
      </c>
      <c r="AN520" s="15">
        <f t="shared" si="247"/>
        <v>1395711</v>
      </c>
      <c r="AO520" s="15">
        <f t="shared" si="252"/>
        <v>1468928.92</v>
      </c>
      <c r="AP520" s="17">
        <f t="shared" si="248"/>
        <v>13068675.92</v>
      </c>
      <c r="AQ520" s="15">
        <v>10636544.32</v>
      </c>
      <c r="AR520" s="15">
        <v>10892.92</v>
      </c>
      <c r="AS520" s="18">
        <f t="shared" si="253"/>
        <v>2432132</v>
      </c>
      <c r="AT520" s="19">
        <v>0</v>
      </c>
      <c r="AU520" s="8">
        <v>8800</v>
      </c>
      <c r="AV520" s="13">
        <f t="shared" si="254"/>
        <v>1828200</v>
      </c>
      <c r="AW520" s="18">
        <f t="shared" si="255"/>
        <v>11599747</v>
      </c>
      <c r="AX520" s="15">
        <f t="shared" si="249"/>
        <v>11600000</v>
      </c>
      <c r="AY520" s="20">
        <v>0.06</v>
      </c>
      <c r="AZ520" s="13">
        <f t="shared" si="250"/>
        <v>696000</v>
      </c>
      <c r="BA520" s="15">
        <f t="shared" si="251"/>
        <v>696000</v>
      </c>
      <c r="BB520" s="21">
        <f t="shared" si="256"/>
        <v>3128132</v>
      </c>
      <c r="BC520" s="10">
        <f t="shared" si="257"/>
        <v>0</v>
      </c>
      <c r="BD520" s="10">
        <f t="shared" si="258"/>
        <v>0</v>
      </c>
      <c r="BE520" s="10">
        <v>44.2</v>
      </c>
      <c r="BF520" s="10">
        <v>19.3</v>
      </c>
      <c r="BG520" s="107">
        <v>46176</v>
      </c>
      <c r="BH520" s="107">
        <f t="shared" si="232"/>
        <v>46206</v>
      </c>
      <c r="BI520" s="23">
        <v>6</v>
      </c>
      <c r="BJ520" s="6"/>
      <c r="BK520" s="6"/>
      <c r="BL520" s="6">
        <f>VLOOKUP(A520,[2]Sheet1!$D$2:$H$933,5,0)</f>
        <v>0</v>
      </c>
      <c r="BM520" s="6" t="s">
        <v>3828</v>
      </c>
      <c r="BN520" s="6" t="s">
        <v>3829</v>
      </c>
      <c r="BO520" s="6" t="s">
        <v>3820</v>
      </c>
      <c r="BP520" s="6" t="s">
        <v>3821</v>
      </c>
      <c r="BQ520" s="6" t="s">
        <v>3830</v>
      </c>
      <c r="BR520" t="s">
        <v>3823</v>
      </c>
      <c r="BS520" t="s">
        <v>3824</v>
      </c>
      <c r="BT520" t="s">
        <v>3825</v>
      </c>
      <c r="BU520" t="s">
        <v>3826</v>
      </c>
      <c r="BV520" t="s">
        <v>3827</v>
      </c>
      <c r="BW520" t="s">
        <v>3835</v>
      </c>
      <c r="BX520">
        <v>0</v>
      </c>
      <c r="BY520" t="s">
        <v>3861</v>
      </c>
      <c r="BZ520" t="s">
        <v>3872</v>
      </c>
    </row>
    <row r="521" spans="1:78" x14ac:dyDescent="0.25">
      <c r="A521" s="7" t="s">
        <v>2164</v>
      </c>
      <c r="B521" s="7" t="s">
        <v>181</v>
      </c>
      <c r="C521" s="7" t="s">
        <v>2162</v>
      </c>
      <c r="D521" s="8" t="s">
        <v>2163</v>
      </c>
      <c r="E521" s="7" t="s">
        <v>2165</v>
      </c>
      <c r="F521" s="9">
        <v>45352</v>
      </c>
      <c r="G521" s="9" t="s">
        <v>363</v>
      </c>
      <c r="H521" s="9" t="s">
        <v>87</v>
      </c>
      <c r="I521" s="8" t="s">
        <v>67</v>
      </c>
      <c r="J521" s="10">
        <v>340.38</v>
      </c>
      <c r="K521" s="10">
        <v>340.38</v>
      </c>
      <c r="L521" s="10">
        <f t="shared" si="234"/>
        <v>0</v>
      </c>
      <c r="M521" s="10">
        <v>135.63</v>
      </c>
      <c r="N521" s="10">
        <v>135.63</v>
      </c>
      <c r="O521" s="10">
        <f t="shared" si="235"/>
        <v>0</v>
      </c>
      <c r="P521" s="11">
        <v>10000</v>
      </c>
      <c r="Q521" s="11">
        <v>25096.217650962179</v>
      </c>
      <c r="R521" s="11">
        <v>40000</v>
      </c>
      <c r="S521" s="11">
        <v>3403800</v>
      </c>
      <c r="T521" s="11">
        <v>408456</v>
      </c>
      <c r="U521" s="12">
        <f t="shared" si="236"/>
        <v>0.12</v>
      </c>
      <c r="V521" s="13">
        <f t="shared" si="259"/>
        <v>0</v>
      </c>
      <c r="W521" s="10">
        <f t="shared" si="237"/>
        <v>0</v>
      </c>
      <c r="X521" s="10"/>
      <c r="Y521" s="10"/>
      <c r="Z521" s="11">
        <f t="shared" si="238"/>
        <v>3403800</v>
      </c>
      <c r="AA521" s="14"/>
      <c r="AB521" s="14"/>
      <c r="AC521" s="11">
        <f t="shared" si="239"/>
        <v>3403800</v>
      </c>
      <c r="AD521" s="10">
        <f t="shared" si="240"/>
        <v>300</v>
      </c>
      <c r="AE521" s="15">
        <v>40689</v>
      </c>
      <c r="AF521" s="16">
        <v>7324</v>
      </c>
      <c r="AG521" s="15">
        <f t="shared" si="241"/>
        <v>0</v>
      </c>
      <c r="AH521" s="15">
        <f t="shared" si="242"/>
        <v>0</v>
      </c>
      <c r="AI521" s="15">
        <f t="shared" si="243"/>
        <v>40689</v>
      </c>
      <c r="AJ521" s="15">
        <f t="shared" si="244"/>
        <v>7325</v>
      </c>
      <c r="AK521" s="10">
        <v>40689</v>
      </c>
      <c r="AL521" s="15">
        <f t="shared" si="245"/>
        <v>40689</v>
      </c>
      <c r="AM521" s="15">
        <f t="shared" si="246"/>
        <v>3444489</v>
      </c>
      <c r="AN521" s="15">
        <f t="shared" si="247"/>
        <v>415781</v>
      </c>
      <c r="AO521" s="15">
        <f t="shared" si="252"/>
        <v>470543</v>
      </c>
      <c r="AP521" s="17">
        <f t="shared" si="248"/>
        <v>3915032</v>
      </c>
      <c r="AQ521" s="15">
        <v>600000</v>
      </c>
      <c r="AR521" s="15">
        <v>14073</v>
      </c>
      <c r="AS521" s="18">
        <f t="shared" si="253"/>
        <v>3315032</v>
      </c>
      <c r="AT521" s="19">
        <v>0</v>
      </c>
      <c r="AU521" s="8">
        <v>8800</v>
      </c>
      <c r="AV521" s="13">
        <f t="shared" si="254"/>
        <v>1193544</v>
      </c>
      <c r="AW521" s="18">
        <f t="shared" si="255"/>
        <v>3444489</v>
      </c>
      <c r="AX521" s="15">
        <f t="shared" si="249"/>
        <v>3445000</v>
      </c>
      <c r="AY521" s="20">
        <v>7.0000000000000007E-2</v>
      </c>
      <c r="AZ521" s="13">
        <f t="shared" si="250"/>
        <v>241150.00000000003</v>
      </c>
      <c r="BA521" s="15">
        <f t="shared" si="251"/>
        <v>241200</v>
      </c>
      <c r="BB521" s="21">
        <f t="shared" si="256"/>
        <v>3556232</v>
      </c>
      <c r="BC521" s="10">
        <f t="shared" si="257"/>
        <v>0</v>
      </c>
      <c r="BD521" s="10">
        <f t="shared" si="258"/>
        <v>0</v>
      </c>
      <c r="BE521" s="10">
        <v>31.62</v>
      </c>
      <c r="BF521" s="10">
        <v>12.6</v>
      </c>
      <c r="BG521" s="107">
        <v>46176</v>
      </c>
      <c r="BH521" s="107">
        <f t="shared" si="232"/>
        <v>46206</v>
      </c>
      <c r="BI521" s="23">
        <v>7</v>
      </c>
      <c r="BJ521" s="6"/>
      <c r="BK521" s="6"/>
      <c r="BL521" s="6">
        <f>VLOOKUP(A521,[2]Sheet1!$D$2:$H$933,5,0)</f>
        <v>0</v>
      </c>
      <c r="BM521" s="6" t="s">
        <v>3828</v>
      </c>
      <c r="BN521" s="6" t="s">
        <v>3829</v>
      </c>
      <c r="BO521" s="6" t="s">
        <v>3820</v>
      </c>
      <c r="BP521" s="6" t="s">
        <v>3821</v>
      </c>
      <c r="BQ521" s="6" t="s">
        <v>3830</v>
      </c>
      <c r="BR521" t="s">
        <v>3823</v>
      </c>
      <c r="BS521" t="s">
        <v>3824</v>
      </c>
      <c r="BT521" t="s">
        <v>3825</v>
      </c>
      <c r="BU521" t="s">
        <v>3826</v>
      </c>
      <c r="BV521" t="s">
        <v>3827</v>
      </c>
      <c r="BW521" t="s">
        <v>3835</v>
      </c>
      <c r="BX521">
        <v>0</v>
      </c>
      <c r="BY521" t="s">
        <v>3868</v>
      </c>
      <c r="BZ521" t="s">
        <v>3860</v>
      </c>
    </row>
    <row r="522" spans="1:78" x14ac:dyDescent="0.25">
      <c r="A522" s="7" t="s">
        <v>2168</v>
      </c>
      <c r="B522" s="7" t="s">
        <v>181</v>
      </c>
      <c r="C522" s="7" t="s">
        <v>2166</v>
      </c>
      <c r="D522" s="8" t="s">
        <v>2167</v>
      </c>
      <c r="E522" s="7" t="s">
        <v>2169</v>
      </c>
      <c r="F522" s="9">
        <v>44922</v>
      </c>
      <c r="G522" s="9" t="s">
        <v>717</v>
      </c>
      <c r="H522" s="9" t="s">
        <v>92</v>
      </c>
      <c r="I522" s="8" t="s">
        <v>78</v>
      </c>
      <c r="J522" s="10">
        <v>764.24</v>
      </c>
      <c r="K522" s="10">
        <v>764.24</v>
      </c>
      <c r="L522" s="10">
        <f t="shared" si="234"/>
        <v>0</v>
      </c>
      <c r="M522" s="10">
        <v>352.52</v>
      </c>
      <c r="N522" s="10">
        <v>352.52</v>
      </c>
      <c r="O522" s="10">
        <f t="shared" si="235"/>
        <v>0</v>
      </c>
      <c r="P522" s="11">
        <v>14949.000314037476</v>
      </c>
      <c r="Q522" s="11">
        <v>32408.442074208557</v>
      </c>
      <c r="R522" s="11">
        <v>28000</v>
      </c>
      <c r="S522" s="11">
        <v>11424624</v>
      </c>
      <c r="T522" s="11">
        <v>1370956</v>
      </c>
      <c r="U522" s="12">
        <f t="shared" si="236"/>
        <v>0.1200000980338609</v>
      </c>
      <c r="V522" s="13">
        <f t="shared" si="259"/>
        <v>0</v>
      </c>
      <c r="W522" s="10">
        <f t="shared" si="237"/>
        <v>0</v>
      </c>
      <c r="X522" s="10"/>
      <c r="Y522" s="10"/>
      <c r="Z522" s="11">
        <f t="shared" si="238"/>
        <v>11424624</v>
      </c>
      <c r="AA522" s="14">
        <v>895814</v>
      </c>
      <c r="AB522" s="14">
        <v>107498</v>
      </c>
      <c r="AC522" s="11">
        <f t="shared" si="239"/>
        <v>10528810</v>
      </c>
      <c r="AD522" s="10">
        <f t="shared" si="240"/>
        <v>300</v>
      </c>
      <c r="AE522" s="15">
        <v>105756</v>
      </c>
      <c r="AF522" s="16">
        <v>19036</v>
      </c>
      <c r="AG522" s="15">
        <f t="shared" si="241"/>
        <v>0</v>
      </c>
      <c r="AH522" s="15">
        <f t="shared" si="242"/>
        <v>0</v>
      </c>
      <c r="AI522" s="15">
        <f t="shared" si="243"/>
        <v>105756</v>
      </c>
      <c r="AJ522" s="15">
        <f t="shared" si="244"/>
        <v>19037</v>
      </c>
      <c r="AK522" s="10">
        <v>105756</v>
      </c>
      <c r="AL522" s="15">
        <f t="shared" si="245"/>
        <v>105756</v>
      </c>
      <c r="AM522" s="15">
        <f t="shared" si="246"/>
        <v>10634566</v>
      </c>
      <c r="AN522" s="15">
        <f t="shared" si="247"/>
        <v>1282495</v>
      </c>
      <c r="AO522" s="15">
        <f t="shared" si="252"/>
        <v>1397653</v>
      </c>
      <c r="AP522" s="17">
        <f t="shared" si="248"/>
        <v>12032219</v>
      </c>
      <c r="AQ522" s="15">
        <v>10522112</v>
      </c>
      <c r="AR522" s="15">
        <v>9402</v>
      </c>
      <c r="AS522" s="18">
        <f t="shared" si="253"/>
        <v>1510107</v>
      </c>
      <c r="AT522" s="19">
        <v>0</v>
      </c>
      <c r="AU522" s="8">
        <v>8800</v>
      </c>
      <c r="AV522" s="13">
        <f t="shared" si="254"/>
        <v>3102176</v>
      </c>
      <c r="AW522" s="18">
        <f t="shared" si="255"/>
        <v>10634566</v>
      </c>
      <c r="AX522" s="15">
        <f t="shared" si="249"/>
        <v>10635000</v>
      </c>
      <c r="AY522" s="20">
        <v>7.0000000000000007E-2</v>
      </c>
      <c r="AZ522" s="13">
        <f t="shared" si="250"/>
        <v>744450.00000000012</v>
      </c>
      <c r="BA522" s="15">
        <f t="shared" si="251"/>
        <v>744500</v>
      </c>
      <c r="BB522" s="21">
        <f t="shared" si="256"/>
        <v>2254607</v>
      </c>
      <c r="BC522" s="10">
        <f t="shared" si="257"/>
        <v>0</v>
      </c>
      <c r="BD522" s="10">
        <f t="shared" si="258"/>
        <v>0</v>
      </c>
      <c r="BE522" s="10">
        <v>71</v>
      </c>
      <c r="BF522" s="10">
        <v>32.75</v>
      </c>
      <c r="BG522" s="107">
        <v>46176</v>
      </c>
      <c r="BH522" s="107">
        <f t="shared" si="232"/>
        <v>46206</v>
      </c>
      <c r="BI522" s="23">
        <v>7</v>
      </c>
      <c r="BJ522" s="6"/>
      <c r="BK522" s="6"/>
      <c r="BL522" s="6">
        <f>VLOOKUP(A522,[2]Sheet1!$D$2:$H$933,5,0)</f>
        <v>0</v>
      </c>
      <c r="BM522" s="6" t="s">
        <v>3828</v>
      </c>
      <c r="BN522" s="6" t="s">
        <v>3829</v>
      </c>
      <c r="BO522" s="6" t="s">
        <v>3820</v>
      </c>
      <c r="BP522" s="6" t="s">
        <v>3821</v>
      </c>
      <c r="BQ522" s="6" t="s">
        <v>3830</v>
      </c>
      <c r="BR522" t="s">
        <v>3823</v>
      </c>
      <c r="BS522" t="s">
        <v>3824</v>
      </c>
      <c r="BT522" t="s">
        <v>3825</v>
      </c>
      <c r="BU522" t="s">
        <v>3826</v>
      </c>
      <c r="BV522" t="s">
        <v>3827</v>
      </c>
      <c r="BW522" t="s">
        <v>3835</v>
      </c>
      <c r="BX522">
        <v>0</v>
      </c>
      <c r="BY522" t="s">
        <v>3864</v>
      </c>
      <c r="BZ522" t="s">
        <v>3872</v>
      </c>
    </row>
    <row r="523" spans="1:78" x14ac:dyDescent="0.25">
      <c r="A523" s="7" t="s">
        <v>2172</v>
      </c>
      <c r="B523" s="7" t="s">
        <v>181</v>
      </c>
      <c r="C523" s="7" t="s">
        <v>2170</v>
      </c>
      <c r="D523" s="8" t="s">
        <v>2171</v>
      </c>
      <c r="E523" s="7" t="s">
        <v>2173</v>
      </c>
      <c r="F523" s="9">
        <v>44895</v>
      </c>
      <c r="G523" s="9" t="s">
        <v>65</v>
      </c>
      <c r="H523" s="9" t="s">
        <v>92</v>
      </c>
      <c r="I523" s="8" t="s">
        <v>78</v>
      </c>
      <c r="J523" s="10">
        <v>301.39</v>
      </c>
      <c r="K523" s="10">
        <v>262.36</v>
      </c>
      <c r="L523" s="10">
        <f t="shared" si="234"/>
        <v>-39.029999999999973</v>
      </c>
      <c r="M523" s="10">
        <v>122.92</v>
      </c>
      <c r="N523" s="10">
        <v>107</v>
      </c>
      <c r="O523" s="10">
        <f t="shared" si="235"/>
        <v>-15.920000000000002</v>
      </c>
      <c r="P523" s="11">
        <v>23920.000663592025</v>
      </c>
      <c r="Q523" s="11">
        <v>58649.926781646602</v>
      </c>
      <c r="R523" s="11">
        <v>28000</v>
      </c>
      <c r="S523" s="11">
        <v>7209249</v>
      </c>
      <c r="T523" s="11">
        <v>865108</v>
      </c>
      <c r="U523" s="12">
        <f t="shared" si="236"/>
        <v>0.11999973922387755</v>
      </c>
      <c r="V523" s="13">
        <f t="shared" si="259"/>
        <v>-933597.62589999614</v>
      </c>
      <c r="W523" s="10">
        <f t="shared" si="237"/>
        <v>-112031.47164803073</v>
      </c>
      <c r="X523" s="15"/>
      <c r="Y523" s="15"/>
      <c r="Z523" s="11">
        <f t="shared" si="238"/>
        <v>6275651.3741000034</v>
      </c>
      <c r="AA523" s="14"/>
      <c r="AB523" s="14"/>
      <c r="AC523" s="11">
        <f t="shared" si="239"/>
        <v>6275651.3741000034</v>
      </c>
      <c r="AD523" s="10">
        <f t="shared" si="240"/>
        <v>300</v>
      </c>
      <c r="AE523" s="15">
        <v>36876</v>
      </c>
      <c r="AF523" s="16">
        <v>6638</v>
      </c>
      <c r="AG523" s="15">
        <f t="shared" si="241"/>
        <v>-4776.0000000000009</v>
      </c>
      <c r="AH523" s="15">
        <f t="shared" si="242"/>
        <v>-859.68000000000018</v>
      </c>
      <c r="AI523" s="15">
        <f t="shared" si="243"/>
        <v>32100</v>
      </c>
      <c r="AJ523" s="15">
        <f t="shared" si="244"/>
        <v>5778</v>
      </c>
      <c r="AK523" s="10">
        <v>36876</v>
      </c>
      <c r="AL523" s="15">
        <f t="shared" si="245"/>
        <v>32100</v>
      </c>
      <c r="AM523" s="15">
        <f t="shared" si="246"/>
        <v>6307751</v>
      </c>
      <c r="AN523" s="15">
        <f t="shared" si="247"/>
        <v>758855</v>
      </c>
      <c r="AO523" s="15">
        <f t="shared" si="252"/>
        <v>805724</v>
      </c>
      <c r="AP523" s="17">
        <f t="shared" si="248"/>
        <v>7113475</v>
      </c>
      <c r="AQ523" s="15">
        <v>4037179</v>
      </c>
      <c r="AR523" s="15">
        <v>14769</v>
      </c>
      <c r="AS523" s="18">
        <f t="shared" si="253"/>
        <v>3076296</v>
      </c>
      <c r="AT523" s="19">
        <v>0</v>
      </c>
      <c r="AU523" s="8">
        <v>8800</v>
      </c>
      <c r="AV523" s="13">
        <f t="shared" si="254"/>
        <v>941600</v>
      </c>
      <c r="AW523" s="18">
        <f t="shared" si="255"/>
        <v>6307751</v>
      </c>
      <c r="AX523" s="15">
        <f t="shared" si="249"/>
        <v>6308000</v>
      </c>
      <c r="AY523" s="20">
        <v>0.06</v>
      </c>
      <c r="AZ523" s="13">
        <f t="shared" si="250"/>
        <v>378480</v>
      </c>
      <c r="BA523" s="15">
        <f t="shared" si="251"/>
        <v>378500</v>
      </c>
      <c r="BB523" s="21">
        <f t="shared" si="256"/>
        <v>3454796</v>
      </c>
      <c r="BC523" s="10">
        <f t="shared" si="257"/>
        <v>-12.949998341019931</v>
      </c>
      <c r="BD523" s="10">
        <f t="shared" si="258"/>
        <v>-12.951513179303612</v>
      </c>
      <c r="BE523" s="10">
        <v>24.37</v>
      </c>
      <c r="BF523" s="10">
        <v>9.94</v>
      </c>
      <c r="BG523" s="107">
        <v>46176</v>
      </c>
      <c r="BH523" s="107">
        <f t="shared" si="232"/>
        <v>46206</v>
      </c>
      <c r="BI523" s="23">
        <v>6</v>
      </c>
      <c r="BJ523" s="6"/>
      <c r="BK523" s="6"/>
      <c r="BL523" s="6">
        <f>VLOOKUP(A523,[2]Sheet1!$D$2:$H$933,5,0)</f>
        <v>0</v>
      </c>
      <c r="BM523" s="6" t="s">
        <v>3828</v>
      </c>
      <c r="BN523" s="6" t="s">
        <v>3829</v>
      </c>
      <c r="BO523" s="6" t="s">
        <v>3820</v>
      </c>
      <c r="BP523" s="6" t="s">
        <v>3821</v>
      </c>
      <c r="BQ523" s="6" t="s">
        <v>3830</v>
      </c>
      <c r="BR523" t="s">
        <v>3823</v>
      </c>
      <c r="BS523" t="s">
        <v>3824</v>
      </c>
      <c r="BT523" t="s">
        <v>3825</v>
      </c>
      <c r="BU523" t="s">
        <v>3826</v>
      </c>
      <c r="BV523" t="s">
        <v>3827</v>
      </c>
      <c r="BW523" t="s">
        <v>3835</v>
      </c>
      <c r="BX523">
        <v>0</v>
      </c>
      <c r="BY523" t="s">
        <v>3864</v>
      </c>
      <c r="BZ523" t="s">
        <v>3860</v>
      </c>
    </row>
    <row r="524" spans="1:78" x14ac:dyDescent="0.25">
      <c r="A524" s="48" t="s">
        <v>2176</v>
      </c>
      <c r="B524" s="48" t="s">
        <v>181</v>
      </c>
      <c r="C524" s="48" t="s">
        <v>2174</v>
      </c>
      <c r="D524" s="49" t="s">
        <v>2175</v>
      </c>
      <c r="E524" s="48" t="s">
        <v>2177</v>
      </c>
      <c r="F524" s="50">
        <v>45008</v>
      </c>
      <c r="G524" s="50" t="s">
        <v>527</v>
      </c>
      <c r="H524" s="50" t="s">
        <v>92</v>
      </c>
      <c r="I524" s="49" t="s">
        <v>67</v>
      </c>
      <c r="J524" s="51">
        <v>430.56</v>
      </c>
      <c r="K524" s="51">
        <v>430.56</v>
      </c>
      <c r="L524" s="51">
        <f t="shared" si="234"/>
        <v>0</v>
      </c>
      <c r="M524" s="51">
        <v>166.84</v>
      </c>
      <c r="N524" s="51">
        <v>166.84</v>
      </c>
      <c r="O524" s="51">
        <f t="shared" si="235"/>
        <v>0</v>
      </c>
      <c r="P524" s="52">
        <v>8767.5027870680042</v>
      </c>
      <c r="Q524" s="52">
        <v>22626.084871733397</v>
      </c>
      <c r="R524" s="52">
        <v>28000</v>
      </c>
      <c r="S524" s="52">
        <v>3774936</v>
      </c>
      <c r="T524" s="52">
        <v>452992</v>
      </c>
      <c r="U524" s="53">
        <f t="shared" si="236"/>
        <v>0.11999991523035093</v>
      </c>
      <c r="V524" s="54">
        <f t="shared" si="259"/>
        <v>0</v>
      </c>
      <c r="W524" s="51">
        <f t="shared" si="237"/>
        <v>0</v>
      </c>
      <c r="X524" s="51"/>
      <c r="Y524" s="51"/>
      <c r="Z524" s="52">
        <f t="shared" si="238"/>
        <v>3774936</v>
      </c>
      <c r="AA524" s="56">
        <v>1321228</v>
      </c>
      <c r="AB524" s="56">
        <v>158547</v>
      </c>
      <c r="AC524" s="52">
        <f t="shared" si="239"/>
        <v>2453708</v>
      </c>
      <c r="AD524" s="51">
        <f t="shared" si="240"/>
        <v>300</v>
      </c>
      <c r="AE524" s="55">
        <v>50052</v>
      </c>
      <c r="AF524" s="57">
        <v>9010</v>
      </c>
      <c r="AG524" s="55">
        <f t="shared" si="241"/>
        <v>0</v>
      </c>
      <c r="AH524" s="55">
        <f t="shared" si="242"/>
        <v>0</v>
      </c>
      <c r="AI524" s="55">
        <f t="shared" si="243"/>
        <v>50052</v>
      </c>
      <c r="AJ524" s="55">
        <f t="shared" si="244"/>
        <v>9010</v>
      </c>
      <c r="AK524" s="51">
        <v>50052</v>
      </c>
      <c r="AL524" s="55">
        <f t="shared" si="245"/>
        <v>50052</v>
      </c>
      <c r="AM524" s="15">
        <f t="shared" si="246"/>
        <v>2503760</v>
      </c>
      <c r="AN524" s="15">
        <f t="shared" si="247"/>
        <v>303455</v>
      </c>
      <c r="AO524" s="55">
        <f t="shared" si="252"/>
        <v>360381.88</v>
      </c>
      <c r="AP524" s="58">
        <f t="shared" si="248"/>
        <v>2864141.88</v>
      </c>
      <c r="AQ524" s="55">
        <v>918476.83</v>
      </c>
      <c r="AR524" s="15">
        <v>6874.88</v>
      </c>
      <c r="AS524" s="18">
        <f t="shared" si="253"/>
        <v>1945665</v>
      </c>
      <c r="AT524" s="60">
        <v>0</v>
      </c>
      <c r="AU524" s="49">
        <v>8800</v>
      </c>
      <c r="AV524" s="54">
        <f t="shared" si="254"/>
        <v>1468192</v>
      </c>
      <c r="AW524" s="59">
        <f t="shared" si="255"/>
        <v>2503760</v>
      </c>
      <c r="AX524" s="55">
        <f t="shared" si="249"/>
        <v>2504000</v>
      </c>
      <c r="AY524" s="61">
        <v>0.05</v>
      </c>
      <c r="AZ524" s="54">
        <f t="shared" si="250"/>
        <v>125200</v>
      </c>
      <c r="BA524" s="55">
        <f t="shared" si="251"/>
        <v>125200</v>
      </c>
      <c r="BB524" s="62">
        <f t="shared" si="256"/>
        <v>2070865</v>
      </c>
      <c r="BC524" s="51">
        <f t="shared" si="257"/>
        <v>0</v>
      </c>
      <c r="BD524" s="51">
        <f t="shared" si="258"/>
        <v>0</v>
      </c>
      <c r="BE524" s="51">
        <v>40</v>
      </c>
      <c r="BF524" s="51">
        <v>15.5</v>
      </c>
      <c r="BG524" s="107">
        <v>46176</v>
      </c>
      <c r="BH524" s="109">
        <f t="shared" si="232"/>
        <v>46206</v>
      </c>
      <c r="BI524" s="63">
        <v>5</v>
      </c>
      <c r="BJ524" s="24" t="s">
        <v>350</v>
      </c>
      <c r="BK524" s="6"/>
      <c r="BL524" s="6">
        <f>VLOOKUP(A524,[2]Sheet1!$D$2:$H$933,5,0)</f>
        <v>0</v>
      </c>
      <c r="BM524" s="6" t="s">
        <v>3828</v>
      </c>
      <c r="BN524" s="6" t="s">
        <v>3829</v>
      </c>
      <c r="BO524" s="6" t="s">
        <v>3820</v>
      </c>
      <c r="BP524" s="6" t="s">
        <v>3821</v>
      </c>
      <c r="BQ524" s="6" t="s">
        <v>3830</v>
      </c>
      <c r="BR524" t="s">
        <v>3823</v>
      </c>
      <c r="BS524" t="s">
        <v>3824</v>
      </c>
      <c r="BT524" t="s">
        <v>3825</v>
      </c>
      <c r="BU524" t="s">
        <v>3826</v>
      </c>
      <c r="BV524" t="s">
        <v>3827</v>
      </c>
      <c r="BW524" t="s">
        <v>3835</v>
      </c>
      <c r="BX524">
        <v>0</v>
      </c>
      <c r="BY524" t="s">
        <v>3866</v>
      </c>
      <c r="BZ524" t="s">
        <v>3871</v>
      </c>
    </row>
    <row r="525" spans="1:78" x14ac:dyDescent="0.25">
      <c r="A525" s="7" t="s">
        <v>2180</v>
      </c>
      <c r="B525" s="7" t="s">
        <v>181</v>
      </c>
      <c r="C525" s="7" t="s">
        <v>2178</v>
      </c>
      <c r="D525" s="8" t="s">
        <v>2179</v>
      </c>
      <c r="E525" s="7" t="s">
        <v>2181</v>
      </c>
      <c r="F525" s="9">
        <v>45075</v>
      </c>
      <c r="G525" s="9" t="s">
        <v>363</v>
      </c>
      <c r="H525" s="9" t="s">
        <v>87</v>
      </c>
      <c r="I525" s="8" t="s">
        <v>67</v>
      </c>
      <c r="J525" s="10">
        <v>220.06</v>
      </c>
      <c r="K525" s="10">
        <v>220.06</v>
      </c>
      <c r="L525" s="10">
        <f t="shared" si="234"/>
        <v>0</v>
      </c>
      <c r="M525" s="10">
        <v>88.26</v>
      </c>
      <c r="N525" s="10">
        <v>88.26</v>
      </c>
      <c r="O525" s="10">
        <f t="shared" si="235"/>
        <v>0</v>
      </c>
      <c r="P525" s="11">
        <v>15455.998364082523</v>
      </c>
      <c r="Q525" s="11">
        <v>38536.675730795374</v>
      </c>
      <c r="R525" s="11">
        <v>40000</v>
      </c>
      <c r="S525" s="11">
        <v>3401247</v>
      </c>
      <c r="T525" s="11">
        <v>408148</v>
      </c>
      <c r="U525" s="12">
        <f t="shared" si="236"/>
        <v>0.119999517823904</v>
      </c>
      <c r="V525" s="13">
        <f t="shared" si="259"/>
        <v>0</v>
      </c>
      <c r="W525" s="10">
        <f t="shared" si="237"/>
        <v>0</v>
      </c>
      <c r="X525" s="10"/>
      <c r="Y525" s="10"/>
      <c r="Z525" s="11">
        <f t="shared" si="238"/>
        <v>3401247</v>
      </c>
      <c r="AA525" s="14"/>
      <c r="AB525" s="14"/>
      <c r="AC525" s="11">
        <f t="shared" si="239"/>
        <v>3401247</v>
      </c>
      <c r="AD525" s="10">
        <f t="shared" si="240"/>
        <v>300</v>
      </c>
      <c r="AE525" s="15">
        <v>26478</v>
      </c>
      <c r="AF525" s="16">
        <v>4766</v>
      </c>
      <c r="AG525" s="15">
        <f t="shared" si="241"/>
        <v>0</v>
      </c>
      <c r="AH525" s="15">
        <f t="shared" si="242"/>
        <v>0</v>
      </c>
      <c r="AI525" s="15">
        <f t="shared" si="243"/>
        <v>26478</v>
      </c>
      <c r="AJ525" s="15">
        <f t="shared" si="244"/>
        <v>4767</v>
      </c>
      <c r="AK525" s="10">
        <v>26478</v>
      </c>
      <c r="AL525" s="15">
        <f t="shared" si="245"/>
        <v>26478</v>
      </c>
      <c r="AM525" s="15">
        <f t="shared" si="246"/>
        <v>3427725</v>
      </c>
      <c r="AN525" s="15">
        <f t="shared" si="247"/>
        <v>412915</v>
      </c>
      <c r="AO525" s="15">
        <f t="shared" si="252"/>
        <v>453652</v>
      </c>
      <c r="AP525" s="17">
        <f t="shared" si="248"/>
        <v>3881377</v>
      </c>
      <c r="AQ525" s="15">
        <v>560000</v>
      </c>
      <c r="AR525" s="15">
        <v>14259</v>
      </c>
      <c r="AS525" s="18">
        <f t="shared" si="253"/>
        <v>3321377</v>
      </c>
      <c r="AT525" s="19">
        <v>0</v>
      </c>
      <c r="AU525" s="8">
        <v>8800</v>
      </c>
      <c r="AV525" s="13">
        <f t="shared" si="254"/>
        <v>776688</v>
      </c>
      <c r="AW525" s="18">
        <f t="shared" si="255"/>
        <v>3427725</v>
      </c>
      <c r="AX525" s="15">
        <f t="shared" si="249"/>
        <v>3428000</v>
      </c>
      <c r="AY525" s="20">
        <v>0.05</v>
      </c>
      <c r="AZ525" s="13">
        <f t="shared" si="250"/>
        <v>171400</v>
      </c>
      <c r="BA525" s="15">
        <f t="shared" si="251"/>
        <v>171400</v>
      </c>
      <c r="BB525" s="21">
        <f t="shared" si="256"/>
        <v>3492777</v>
      </c>
      <c r="BC525" s="10">
        <f t="shared" si="257"/>
        <v>0</v>
      </c>
      <c r="BD525" s="10">
        <f t="shared" si="258"/>
        <v>0</v>
      </c>
      <c r="BE525" s="10">
        <v>20.440000000000001</v>
      </c>
      <c r="BF525" s="10">
        <v>8.1999999999999993</v>
      </c>
      <c r="BG525" s="107">
        <v>46176</v>
      </c>
      <c r="BH525" s="107">
        <f t="shared" si="232"/>
        <v>46206</v>
      </c>
      <c r="BI525" s="23">
        <v>5</v>
      </c>
      <c r="BJ525" s="6"/>
      <c r="BK525" s="6"/>
      <c r="BL525" s="6">
        <f>VLOOKUP(A525,[2]Sheet1!$D$2:$H$933,5,0)</f>
        <v>0</v>
      </c>
      <c r="BM525" s="6" t="s">
        <v>3828</v>
      </c>
      <c r="BN525" s="6" t="s">
        <v>3829</v>
      </c>
      <c r="BO525" s="6" t="s">
        <v>3820</v>
      </c>
      <c r="BP525" s="6" t="s">
        <v>3821</v>
      </c>
      <c r="BQ525" s="6" t="s">
        <v>3830</v>
      </c>
      <c r="BR525" t="s">
        <v>3823</v>
      </c>
      <c r="BS525" t="s">
        <v>3824</v>
      </c>
      <c r="BT525" t="s">
        <v>3825</v>
      </c>
      <c r="BU525" t="s">
        <v>3826</v>
      </c>
      <c r="BV525" t="s">
        <v>3827</v>
      </c>
      <c r="BW525" t="s">
        <v>3835</v>
      </c>
      <c r="BX525">
        <v>0</v>
      </c>
      <c r="BY525" t="s">
        <v>3861</v>
      </c>
      <c r="BZ525" t="s">
        <v>3860</v>
      </c>
    </row>
    <row r="526" spans="1:78" x14ac:dyDescent="0.25">
      <c r="A526" s="7" t="s">
        <v>2184</v>
      </c>
      <c r="B526" s="7" t="s">
        <v>181</v>
      </c>
      <c r="C526" s="7" t="s">
        <v>2182</v>
      </c>
      <c r="D526" s="8" t="s">
        <v>2183</v>
      </c>
      <c r="E526" s="7" t="s">
        <v>2185</v>
      </c>
      <c r="F526" s="9">
        <v>44863</v>
      </c>
      <c r="G526" s="9" t="s">
        <v>527</v>
      </c>
      <c r="H526" s="9" t="s">
        <v>66</v>
      </c>
      <c r="I526" s="8" t="s">
        <v>78</v>
      </c>
      <c r="J526" s="10">
        <v>644.76</v>
      </c>
      <c r="K526" s="10">
        <v>644.76</v>
      </c>
      <c r="L526" s="10">
        <f t="shared" si="234"/>
        <v>0</v>
      </c>
      <c r="M526" s="10">
        <v>301.39</v>
      </c>
      <c r="N526" s="10">
        <v>301.39</v>
      </c>
      <c r="O526" s="10">
        <f t="shared" si="235"/>
        <v>0</v>
      </c>
      <c r="P526" s="11">
        <v>7500</v>
      </c>
      <c r="Q526" s="11">
        <v>16044.659743189888</v>
      </c>
      <c r="R526" s="11">
        <v>22000</v>
      </c>
      <c r="S526" s="11">
        <v>4835700</v>
      </c>
      <c r="T526" s="11">
        <v>580284</v>
      </c>
      <c r="U526" s="12">
        <f t="shared" si="236"/>
        <v>0.12</v>
      </c>
      <c r="V526" s="13">
        <f t="shared" si="259"/>
        <v>0</v>
      </c>
      <c r="W526" s="10">
        <f t="shared" si="237"/>
        <v>0</v>
      </c>
      <c r="X526" s="10"/>
      <c r="Y526" s="10"/>
      <c r="Z526" s="11">
        <f t="shared" si="238"/>
        <v>4835700</v>
      </c>
      <c r="AA526" s="14"/>
      <c r="AB526" s="14"/>
      <c r="AC526" s="11">
        <f t="shared" si="239"/>
        <v>4835700</v>
      </c>
      <c r="AD526" s="10">
        <f t="shared" si="240"/>
        <v>300</v>
      </c>
      <c r="AE526" s="15">
        <v>90417</v>
      </c>
      <c r="AF526" s="16">
        <v>16276</v>
      </c>
      <c r="AG526" s="15">
        <f t="shared" si="241"/>
        <v>0</v>
      </c>
      <c r="AH526" s="15">
        <f t="shared" si="242"/>
        <v>0</v>
      </c>
      <c r="AI526" s="15">
        <f t="shared" si="243"/>
        <v>90417</v>
      </c>
      <c r="AJ526" s="15">
        <f t="shared" si="244"/>
        <v>16276</v>
      </c>
      <c r="AK526" s="10">
        <v>90417</v>
      </c>
      <c r="AL526" s="15">
        <f t="shared" si="245"/>
        <v>90417</v>
      </c>
      <c r="AM526" s="15">
        <f t="shared" si="246"/>
        <v>4926117</v>
      </c>
      <c r="AN526" s="15">
        <f t="shared" si="247"/>
        <v>596560</v>
      </c>
      <c r="AO526" s="15">
        <f t="shared" si="252"/>
        <v>698689</v>
      </c>
      <c r="AP526" s="17">
        <f t="shared" si="248"/>
        <v>5624806</v>
      </c>
      <c r="AQ526" s="15">
        <v>2707992</v>
      </c>
      <c r="AR526" s="15">
        <v>11712</v>
      </c>
      <c r="AS526" s="18">
        <f t="shared" si="253"/>
        <v>2916814</v>
      </c>
      <c r="AT526" s="19">
        <v>0</v>
      </c>
      <c r="AU526" s="8">
        <v>8800</v>
      </c>
      <c r="AV526" s="13">
        <f t="shared" si="254"/>
        <v>2652232</v>
      </c>
      <c r="AW526" s="18">
        <f t="shared" si="255"/>
        <v>4926117</v>
      </c>
      <c r="AX526" s="15">
        <f t="shared" si="249"/>
        <v>4927000</v>
      </c>
      <c r="AY526" s="20">
        <v>0.06</v>
      </c>
      <c r="AZ526" s="13">
        <f t="shared" si="250"/>
        <v>295620</v>
      </c>
      <c r="BA526" s="15">
        <f t="shared" si="251"/>
        <v>295700</v>
      </c>
      <c r="BB526" s="21">
        <f t="shared" si="256"/>
        <v>3212514</v>
      </c>
      <c r="BC526" s="10">
        <f t="shared" si="257"/>
        <v>0</v>
      </c>
      <c r="BD526" s="10">
        <f t="shared" si="258"/>
        <v>0</v>
      </c>
      <c r="BE526" s="10">
        <v>59.9</v>
      </c>
      <c r="BF526" s="10">
        <v>28</v>
      </c>
      <c r="BG526" s="107">
        <v>46176</v>
      </c>
      <c r="BH526" s="107">
        <f t="shared" si="232"/>
        <v>46206</v>
      </c>
      <c r="BI526" s="23">
        <v>6</v>
      </c>
      <c r="BJ526" s="6"/>
      <c r="BK526" s="6"/>
      <c r="BL526" s="6">
        <f>VLOOKUP(A526,[2]Sheet1!$D$2:$H$933,5,0)</f>
        <v>0</v>
      </c>
      <c r="BM526" s="6" t="s">
        <v>3828</v>
      </c>
      <c r="BN526" s="6" t="s">
        <v>3829</v>
      </c>
      <c r="BO526" s="6" t="s">
        <v>3820</v>
      </c>
      <c r="BP526" s="6" t="s">
        <v>3821</v>
      </c>
      <c r="BQ526" s="6" t="s">
        <v>3830</v>
      </c>
      <c r="BR526" t="s">
        <v>3823</v>
      </c>
      <c r="BS526" t="s">
        <v>3824</v>
      </c>
      <c r="BT526" t="s">
        <v>3825</v>
      </c>
      <c r="BU526" t="s">
        <v>3826</v>
      </c>
      <c r="BV526" t="s">
        <v>3827</v>
      </c>
      <c r="BW526" t="s">
        <v>3835</v>
      </c>
      <c r="BX526">
        <v>0</v>
      </c>
      <c r="BY526" t="s">
        <v>3859</v>
      </c>
      <c r="BZ526" t="s">
        <v>3871</v>
      </c>
    </row>
    <row r="527" spans="1:78" x14ac:dyDescent="0.25">
      <c r="A527" s="7" t="s">
        <v>2188</v>
      </c>
      <c r="B527" s="7" t="s">
        <v>181</v>
      </c>
      <c r="C527" s="7" t="s">
        <v>2186</v>
      </c>
      <c r="D527" s="8" t="s">
        <v>2187</v>
      </c>
      <c r="E527" s="7" t="s">
        <v>2189</v>
      </c>
      <c r="F527" s="9">
        <v>44896</v>
      </c>
      <c r="G527" s="9" t="s">
        <v>65</v>
      </c>
      <c r="H527" s="9" t="s">
        <v>92</v>
      </c>
      <c r="I527" s="8" t="s">
        <v>78</v>
      </c>
      <c r="J527" s="10">
        <v>163.83000000000001</v>
      </c>
      <c r="K527" s="10">
        <v>163.83000000000001</v>
      </c>
      <c r="L527" s="10">
        <f t="shared" si="234"/>
        <v>0</v>
      </c>
      <c r="M527" s="10">
        <v>67.38</v>
      </c>
      <c r="N527" s="10">
        <v>67.38</v>
      </c>
      <c r="O527" s="10">
        <f t="shared" si="235"/>
        <v>0</v>
      </c>
      <c r="P527" s="11">
        <v>22748.000976622108</v>
      </c>
      <c r="Q527" s="11">
        <v>55310.255268625711</v>
      </c>
      <c r="R527" s="11">
        <v>28000</v>
      </c>
      <c r="S527" s="11">
        <v>3726805</v>
      </c>
      <c r="T527" s="11">
        <v>447218</v>
      </c>
      <c r="U527" s="12">
        <f t="shared" si="236"/>
        <v>0.12000037565689646</v>
      </c>
      <c r="V527" s="13">
        <f t="shared" si="259"/>
        <v>0</v>
      </c>
      <c r="W527" s="10">
        <f t="shared" si="237"/>
        <v>0</v>
      </c>
      <c r="X527" s="10"/>
      <c r="Y527" s="10"/>
      <c r="Z527" s="11">
        <f t="shared" si="238"/>
        <v>3726805</v>
      </c>
      <c r="AA527" s="14"/>
      <c r="AB527" s="14"/>
      <c r="AC527" s="11">
        <f t="shared" si="239"/>
        <v>3726805</v>
      </c>
      <c r="AD527" s="10">
        <f t="shared" si="240"/>
        <v>300</v>
      </c>
      <c r="AE527" s="15">
        <v>20214</v>
      </c>
      <c r="AF527" s="16">
        <v>3638</v>
      </c>
      <c r="AG527" s="15">
        <f t="shared" si="241"/>
        <v>0</v>
      </c>
      <c r="AH527" s="15">
        <f t="shared" si="242"/>
        <v>0</v>
      </c>
      <c r="AI527" s="15">
        <f t="shared" si="243"/>
        <v>20214</v>
      </c>
      <c r="AJ527" s="15">
        <f t="shared" si="244"/>
        <v>3639</v>
      </c>
      <c r="AK527" s="10">
        <v>20214</v>
      </c>
      <c r="AL527" s="15">
        <f t="shared" si="245"/>
        <v>20214</v>
      </c>
      <c r="AM527" s="15">
        <f t="shared" si="246"/>
        <v>3747019</v>
      </c>
      <c r="AN527" s="15">
        <f t="shared" si="247"/>
        <v>450857</v>
      </c>
      <c r="AO527" s="15">
        <f t="shared" si="252"/>
        <v>481316.88</v>
      </c>
      <c r="AP527" s="17">
        <f t="shared" si="248"/>
        <v>4228335.88</v>
      </c>
      <c r="AQ527" s="15">
        <v>3400265.24</v>
      </c>
      <c r="AR527" s="15">
        <v>10245.879999999999</v>
      </c>
      <c r="AS527" s="18">
        <f t="shared" si="253"/>
        <v>828071</v>
      </c>
      <c r="AT527" s="19">
        <v>0</v>
      </c>
      <c r="AU527" s="8">
        <v>8800</v>
      </c>
      <c r="AV527" s="13">
        <f t="shared" si="254"/>
        <v>592944</v>
      </c>
      <c r="AW527" s="18">
        <f t="shared" si="255"/>
        <v>3747019</v>
      </c>
      <c r="AX527" s="15">
        <f t="shared" si="249"/>
        <v>3748000</v>
      </c>
      <c r="AY527" s="20">
        <v>0.06</v>
      </c>
      <c r="AZ527" s="13">
        <f t="shared" si="250"/>
        <v>224880</v>
      </c>
      <c r="BA527" s="15">
        <f t="shared" si="251"/>
        <v>224900</v>
      </c>
      <c r="BB527" s="21">
        <f t="shared" si="256"/>
        <v>1052971</v>
      </c>
      <c r="BC527" s="10">
        <f t="shared" si="257"/>
        <v>0</v>
      </c>
      <c r="BD527" s="10">
        <f t="shared" si="258"/>
        <v>0</v>
      </c>
      <c r="BE527" s="10">
        <v>15.22</v>
      </c>
      <c r="BF527" s="10">
        <v>6.26</v>
      </c>
      <c r="BG527" s="107">
        <v>46176</v>
      </c>
      <c r="BH527" s="107">
        <f t="shared" si="232"/>
        <v>46206</v>
      </c>
      <c r="BI527" s="23">
        <v>6</v>
      </c>
      <c r="BJ527" s="6"/>
      <c r="BK527" s="6"/>
      <c r="BL527" s="6">
        <f>VLOOKUP(A527,[2]Sheet1!$D$2:$H$933,5,0)</f>
        <v>0</v>
      </c>
      <c r="BM527" s="6" t="s">
        <v>3828</v>
      </c>
      <c r="BN527" s="6" t="s">
        <v>3829</v>
      </c>
      <c r="BO527" s="6" t="s">
        <v>3820</v>
      </c>
      <c r="BP527" s="6" t="s">
        <v>3821</v>
      </c>
      <c r="BQ527" s="6" t="s">
        <v>3830</v>
      </c>
      <c r="BR527" t="s">
        <v>3823</v>
      </c>
      <c r="BS527" t="s">
        <v>3824</v>
      </c>
      <c r="BT527" t="s">
        <v>3825</v>
      </c>
      <c r="BU527" t="s">
        <v>3826</v>
      </c>
      <c r="BV527" t="s">
        <v>3827</v>
      </c>
      <c r="BW527" t="s">
        <v>3835</v>
      </c>
      <c r="BX527">
        <v>0</v>
      </c>
      <c r="BY527" t="s">
        <v>3866</v>
      </c>
      <c r="BZ527" t="s">
        <v>3860</v>
      </c>
    </row>
    <row r="528" spans="1:78" x14ac:dyDescent="0.25">
      <c r="A528" s="7" t="s">
        <v>2192</v>
      </c>
      <c r="B528" s="7" t="s">
        <v>181</v>
      </c>
      <c r="C528" s="7" t="s">
        <v>2190</v>
      </c>
      <c r="D528" s="8" t="s">
        <v>2191</v>
      </c>
      <c r="E528" s="7" t="s">
        <v>2193</v>
      </c>
      <c r="F528" s="9">
        <v>44931</v>
      </c>
      <c r="G528" s="9" t="s">
        <v>65</v>
      </c>
      <c r="H528" s="9" t="s">
        <v>92</v>
      </c>
      <c r="I528" s="8" t="s">
        <v>78</v>
      </c>
      <c r="J528" s="10">
        <v>553.48</v>
      </c>
      <c r="K528" s="10">
        <v>553.48</v>
      </c>
      <c r="L528" s="10">
        <f t="shared" si="234"/>
        <v>0</v>
      </c>
      <c r="M528" s="10">
        <v>245.74</v>
      </c>
      <c r="N528" s="10">
        <v>245.74</v>
      </c>
      <c r="O528" s="10">
        <f t="shared" si="235"/>
        <v>0</v>
      </c>
      <c r="P528" s="11">
        <v>17524.559152995593</v>
      </c>
      <c r="Q528" s="11">
        <v>39470.550174981683</v>
      </c>
      <c r="R528" s="11">
        <v>28000</v>
      </c>
      <c r="S528" s="11">
        <v>9699493</v>
      </c>
      <c r="T528" s="11">
        <v>1163940</v>
      </c>
      <c r="U528" s="12">
        <f t="shared" si="236"/>
        <v>0.12000008660246468</v>
      </c>
      <c r="V528" s="13">
        <f t="shared" si="259"/>
        <v>0</v>
      </c>
      <c r="W528" s="10">
        <f t="shared" si="237"/>
        <v>0</v>
      </c>
      <c r="X528" s="10"/>
      <c r="Y528" s="10"/>
      <c r="Z528" s="11">
        <f t="shared" si="238"/>
        <v>9699493</v>
      </c>
      <c r="AA528" s="14"/>
      <c r="AB528" s="14"/>
      <c r="AC528" s="11">
        <f t="shared" si="239"/>
        <v>9699493</v>
      </c>
      <c r="AD528" s="10">
        <f t="shared" si="240"/>
        <v>300</v>
      </c>
      <c r="AE528" s="15">
        <v>73722</v>
      </c>
      <c r="AF528" s="16">
        <v>13270</v>
      </c>
      <c r="AG528" s="15">
        <f t="shared" si="241"/>
        <v>0</v>
      </c>
      <c r="AH528" s="15">
        <f t="shared" si="242"/>
        <v>0</v>
      </c>
      <c r="AI528" s="15">
        <f t="shared" si="243"/>
        <v>73722</v>
      </c>
      <c r="AJ528" s="15">
        <f t="shared" si="244"/>
        <v>13270</v>
      </c>
      <c r="AK528" s="10">
        <v>73722</v>
      </c>
      <c r="AL528" s="15">
        <f t="shared" si="245"/>
        <v>73722</v>
      </c>
      <c r="AM528" s="15">
        <f t="shared" si="246"/>
        <v>9773215</v>
      </c>
      <c r="AN528" s="15">
        <f t="shared" si="247"/>
        <v>1177210</v>
      </c>
      <c r="AO528" s="15">
        <f t="shared" si="252"/>
        <v>1265537</v>
      </c>
      <c r="AP528" s="17">
        <f t="shared" si="248"/>
        <v>11038752</v>
      </c>
      <c r="AQ528" s="15">
        <v>6839286</v>
      </c>
      <c r="AR528" s="15">
        <v>14605</v>
      </c>
      <c r="AS528" s="18">
        <f t="shared" si="253"/>
        <v>4199466</v>
      </c>
      <c r="AT528" s="19">
        <v>0</v>
      </c>
      <c r="AU528" s="8">
        <v>8800</v>
      </c>
      <c r="AV528" s="13">
        <f t="shared" si="254"/>
        <v>2162512</v>
      </c>
      <c r="AW528" s="18">
        <f t="shared" si="255"/>
        <v>9773215</v>
      </c>
      <c r="AX528" s="15">
        <f t="shared" si="249"/>
        <v>9774000</v>
      </c>
      <c r="AY528" s="20">
        <v>7.0000000000000007E-2</v>
      </c>
      <c r="AZ528" s="13">
        <f t="shared" si="250"/>
        <v>684180.00000000012</v>
      </c>
      <c r="BA528" s="15">
        <f t="shared" si="251"/>
        <v>684200</v>
      </c>
      <c r="BB528" s="21">
        <f t="shared" si="256"/>
        <v>4883666</v>
      </c>
      <c r="BC528" s="10">
        <f t="shared" si="257"/>
        <v>0</v>
      </c>
      <c r="BD528" s="10">
        <f t="shared" si="258"/>
        <v>0</v>
      </c>
      <c r="BE528" s="10">
        <v>51.42</v>
      </c>
      <c r="BF528" s="10">
        <v>22.83</v>
      </c>
      <c r="BG528" s="107">
        <v>46176</v>
      </c>
      <c r="BH528" s="107">
        <f t="shared" si="232"/>
        <v>46206</v>
      </c>
      <c r="BI528" s="23">
        <v>7</v>
      </c>
      <c r="BJ528" s="6"/>
      <c r="BK528" s="6"/>
      <c r="BL528" s="6">
        <f>VLOOKUP(A528,[2]Sheet1!$D$2:$H$933,5,0)</f>
        <v>0</v>
      </c>
      <c r="BM528" s="6" t="s">
        <v>3828</v>
      </c>
      <c r="BN528" s="6" t="s">
        <v>3829</v>
      </c>
      <c r="BO528" s="6" t="s">
        <v>3820</v>
      </c>
      <c r="BP528" s="6" t="s">
        <v>3821</v>
      </c>
      <c r="BQ528" s="6" t="s">
        <v>3830</v>
      </c>
      <c r="BR528" t="s">
        <v>3823</v>
      </c>
      <c r="BS528" t="s">
        <v>3824</v>
      </c>
      <c r="BT528" t="s">
        <v>3825</v>
      </c>
      <c r="BU528" t="s">
        <v>3826</v>
      </c>
      <c r="BV528" t="s">
        <v>3827</v>
      </c>
      <c r="BW528" t="s">
        <v>3835</v>
      </c>
      <c r="BX528">
        <v>0</v>
      </c>
      <c r="BY528" t="s">
        <v>3866</v>
      </c>
      <c r="BZ528" t="s">
        <v>3860</v>
      </c>
    </row>
    <row r="529" spans="1:78" x14ac:dyDescent="0.25">
      <c r="A529" s="7" t="s">
        <v>2196</v>
      </c>
      <c r="B529" s="7" t="s">
        <v>181</v>
      </c>
      <c r="C529" s="7" t="s">
        <v>2194</v>
      </c>
      <c r="D529" s="8" t="s">
        <v>2195</v>
      </c>
      <c r="E529" s="7" t="s">
        <v>2197</v>
      </c>
      <c r="F529" s="9">
        <v>44930</v>
      </c>
      <c r="G529" s="9" t="s">
        <v>404</v>
      </c>
      <c r="H529" s="9" t="s">
        <v>66</v>
      </c>
      <c r="I529" s="8" t="s">
        <v>78</v>
      </c>
      <c r="J529" s="10">
        <v>775.01</v>
      </c>
      <c r="K529" s="10">
        <v>775.01</v>
      </c>
      <c r="L529" s="10">
        <f t="shared" si="234"/>
        <v>0</v>
      </c>
      <c r="M529" s="10">
        <v>358.44</v>
      </c>
      <c r="N529" s="10">
        <v>358.44</v>
      </c>
      <c r="O529" s="10">
        <f t="shared" si="235"/>
        <v>0</v>
      </c>
      <c r="P529" s="11">
        <v>7700</v>
      </c>
      <c r="Q529" s="11">
        <v>16648.747349626159</v>
      </c>
      <c r="R529" s="11">
        <v>22000</v>
      </c>
      <c r="S529" s="11">
        <v>5967577</v>
      </c>
      <c r="T529" s="11">
        <v>716110</v>
      </c>
      <c r="U529" s="12">
        <f t="shared" si="236"/>
        <v>0.12000012735487116</v>
      </c>
      <c r="V529" s="13">
        <f t="shared" si="259"/>
        <v>0</v>
      </c>
      <c r="W529" s="10">
        <f t="shared" si="237"/>
        <v>0</v>
      </c>
      <c r="X529" s="10"/>
      <c r="Y529" s="10"/>
      <c r="Z529" s="11">
        <f t="shared" si="238"/>
        <v>5967577</v>
      </c>
      <c r="AA529" s="14">
        <v>2088648</v>
      </c>
      <c r="AB529" s="14">
        <v>250638</v>
      </c>
      <c r="AC529" s="11">
        <f t="shared" si="239"/>
        <v>3878929</v>
      </c>
      <c r="AD529" s="10">
        <f t="shared" si="240"/>
        <v>300</v>
      </c>
      <c r="AE529" s="15">
        <v>107532</v>
      </c>
      <c r="AF529" s="16">
        <v>19356</v>
      </c>
      <c r="AG529" s="15">
        <f t="shared" si="241"/>
        <v>0</v>
      </c>
      <c r="AH529" s="15">
        <f t="shared" si="242"/>
        <v>0</v>
      </c>
      <c r="AI529" s="15">
        <f t="shared" si="243"/>
        <v>107532</v>
      </c>
      <c r="AJ529" s="15">
        <f t="shared" si="244"/>
        <v>19356</v>
      </c>
      <c r="AK529" s="10">
        <v>107532</v>
      </c>
      <c r="AL529" s="15">
        <f t="shared" si="245"/>
        <v>107532</v>
      </c>
      <c r="AM529" s="15">
        <f t="shared" si="246"/>
        <v>3986461</v>
      </c>
      <c r="AN529" s="15">
        <f t="shared" si="247"/>
        <v>484828</v>
      </c>
      <c r="AO529" s="15">
        <f t="shared" si="252"/>
        <v>604599</v>
      </c>
      <c r="AP529" s="17">
        <f t="shared" si="248"/>
        <v>4591060</v>
      </c>
      <c r="AQ529" s="15">
        <v>1215097.58</v>
      </c>
      <c r="AR529" s="15">
        <v>12239</v>
      </c>
      <c r="AS529" s="18">
        <f t="shared" si="253"/>
        <v>3375962</v>
      </c>
      <c r="AT529" s="19">
        <v>0</v>
      </c>
      <c r="AU529" s="8">
        <v>8800</v>
      </c>
      <c r="AV529" s="13">
        <f t="shared" si="254"/>
        <v>3154272</v>
      </c>
      <c r="AW529" s="18">
        <f t="shared" si="255"/>
        <v>3986461</v>
      </c>
      <c r="AX529" s="15">
        <f t="shared" si="249"/>
        <v>3987000</v>
      </c>
      <c r="AY529" s="20">
        <v>0.05</v>
      </c>
      <c r="AZ529" s="13">
        <f t="shared" si="250"/>
        <v>199350</v>
      </c>
      <c r="BA529" s="15">
        <f t="shared" si="251"/>
        <v>199400</v>
      </c>
      <c r="BB529" s="21">
        <f t="shared" si="256"/>
        <v>3575362</v>
      </c>
      <c r="BC529" s="10">
        <f t="shared" si="257"/>
        <v>0</v>
      </c>
      <c r="BD529" s="10">
        <f t="shared" si="258"/>
        <v>0</v>
      </c>
      <c r="BE529" s="10">
        <v>72</v>
      </c>
      <c r="BF529" s="10">
        <v>33.299999999999997</v>
      </c>
      <c r="BG529" s="107">
        <v>46176</v>
      </c>
      <c r="BH529" s="107">
        <f t="shared" si="232"/>
        <v>46206</v>
      </c>
      <c r="BI529" s="23">
        <v>5</v>
      </c>
      <c r="BJ529" s="6"/>
      <c r="BK529" s="6"/>
      <c r="BL529" s="6">
        <f>VLOOKUP(A529,[2]Sheet1!$D$2:$H$933,5,0)</f>
        <v>0</v>
      </c>
      <c r="BM529" s="6" t="s">
        <v>3828</v>
      </c>
      <c r="BN529" s="6" t="s">
        <v>3829</v>
      </c>
      <c r="BO529" s="6" t="s">
        <v>3820</v>
      </c>
      <c r="BP529" s="6" t="s">
        <v>3821</v>
      </c>
      <c r="BQ529" s="6" t="s">
        <v>3830</v>
      </c>
      <c r="BR529" t="s">
        <v>3823</v>
      </c>
      <c r="BS529" t="s">
        <v>3824</v>
      </c>
      <c r="BT529" t="s">
        <v>3825</v>
      </c>
      <c r="BU529" t="s">
        <v>3826</v>
      </c>
      <c r="BV529" t="s">
        <v>3827</v>
      </c>
      <c r="BW529" t="s">
        <v>3835</v>
      </c>
      <c r="BX529">
        <v>0</v>
      </c>
      <c r="BY529" t="s">
        <v>3869</v>
      </c>
      <c r="BZ529" t="s">
        <v>3863</v>
      </c>
    </row>
    <row r="530" spans="1:78" x14ac:dyDescent="0.25">
      <c r="A530" s="7" t="s">
        <v>2200</v>
      </c>
      <c r="B530" s="7" t="s">
        <v>181</v>
      </c>
      <c r="C530" s="7" t="s">
        <v>2198</v>
      </c>
      <c r="D530" s="8" t="s">
        <v>2199</v>
      </c>
      <c r="E530" s="7" t="s">
        <v>2201</v>
      </c>
      <c r="F530" s="9">
        <v>44873</v>
      </c>
      <c r="G530" s="9" t="s">
        <v>65</v>
      </c>
      <c r="H530" s="9" t="s">
        <v>72</v>
      </c>
      <c r="I530" s="8" t="s">
        <v>78</v>
      </c>
      <c r="J530" s="10">
        <v>356.5</v>
      </c>
      <c r="K530" s="10">
        <v>356.5</v>
      </c>
      <c r="L530" s="10">
        <f t="shared" si="234"/>
        <v>0</v>
      </c>
      <c r="M530" s="10">
        <v>162.54</v>
      </c>
      <c r="N530" s="10">
        <v>162.54</v>
      </c>
      <c r="O530" s="10">
        <f t="shared" si="235"/>
        <v>0</v>
      </c>
      <c r="P530" s="11">
        <v>12620.998597475456</v>
      </c>
      <c r="Q530" s="11">
        <v>27681.715270087363</v>
      </c>
      <c r="R530" s="11">
        <v>20000</v>
      </c>
      <c r="S530" s="11">
        <v>4499386</v>
      </c>
      <c r="T530" s="11">
        <v>539926</v>
      </c>
      <c r="U530" s="12">
        <f t="shared" si="236"/>
        <v>0.11999992887918486</v>
      </c>
      <c r="V530" s="13">
        <f t="shared" si="259"/>
        <v>0</v>
      </c>
      <c r="W530" s="10">
        <f t="shared" si="237"/>
        <v>0</v>
      </c>
      <c r="X530" s="10"/>
      <c r="Y530" s="10"/>
      <c r="Z530" s="11">
        <f t="shared" si="238"/>
        <v>4499386</v>
      </c>
      <c r="AA530" s="14"/>
      <c r="AB530" s="14"/>
      <c r="AC530" s="11">
        <f t="shared" si="239"/>
        <v>4499386</v>
      </c>
      <c r="AD530" s="10">
        <f t="shared" si="240"/>
        <v>300</v>
      </c>
      <c r="AE530" s="15">
        <v>48762</v>
      </c>
      <c r="AF530" s="16">
        <v>8778</v>
      </c>
      <c r="AG530" s="15">
        <f t="shared" si="241"/>
        <v>0</v>
      </c>
      <c r="AH530" s="15">
        <f t="shared" si="242"/>
        <v>0</v>
      </c>
      <c r="AI530" s="15">
        <f t="shared" si="243"/>
        <v>48762</v>
      </c>
      <c r="AJ530" s="15">
        <f t="shared" si="244"/>
        <v>8778</v>
      </c>
      <c r="AK530" s="10">
        <v>48762</v>
      </c>
      <c r="AL530" s="15">
        <f t="shared" si="245"/>
        <v>48762</v>
      </c>
      <c r="AM530" s="15">
        <f t="shared" si="246"/>
        <v>4548148</v>
      </c>
      <c r="AN530" s="15">
        <f t="shared" si="247"/>
        <v>548704</v>
      </c>
      <c r="AO530" s="15">
        <f t="shared" si="252"/>
        <v>609711</v>
      </c>
      <c r="AP530" s="17">
        <f t="shared" si="248"/>
        <v>5157859</v>
      </c>
      <c r="AQ530" s="15">
        <v>2072000</v>
      </c>
      <c r="AR530" s="15">
        <v>12245</v>
      </c>
      <c r="AS530" s="18">
        <f t="shared" si="253"/>
        <v>3085859</v>
      </c>
      <c r="AT530" s="19">
        <v>0</v>
      </c>
      <c r="AU530" s="8">
        <v>8800</v>
      </c>
      <c r="AV530" s="13">
        <f t="shared" si="254"/>
        <v>1430352</v>
      </c>
      <c r="AW530" s="18">
        <f t="shared" si="255"/>
        <v>4548148</v>
      </c>
      <c r="AX530" s="15">
        <f t="shared" si="249"/>
        <v>4549000</v>
      </c>
      <c r="AY530" s="20">
        <v>7.0000000000000007E-2</v>
      </c>
      <c r="AZ530" s="13">
        <f t="shared" si="250"/>
        <v>318430.00000000006</v>
      </c>
      <c r="BA530" s="15">
        <f t="shared" si="251"/>
        <v>318500</v>
      </c>
      <c r="BB530" s="21">
        <f t="shared" si="256"/>
        <v>3404359</v>
      </c>
      <c r="BC530" s="10">
        <f t="shared" si="257"/>
        <v>0</v>
      </c>
      <c r="BD530" s="10">
        <f t="shared" si="258"/>
        <v>0</v>
      </c>
      <c r="BE530" s="10">
        <v>33.119999999999997</v>
      </c>
      <c r="BF530" s="10">
        <v>15.1</v>
      </c>
      <c r="BG530" s="107">
        <v>46176</v>
      </c>
      <c r="BH530" s="107">
        <f t="shared" si="232"/>
        <v>46206</v>
      </c>
      <c r="BI530" s="23">
        <v>7</v>
      </c>
      <c r="BJ530" s="6"/>
      <c r="BK530" s="6"/>
      <c r="BL530" s="6">
        <f>VLOOKUP(A530,[2]Sheet1!$D$2:$H$933,5,0)</f>
        <v>0</v>
      </c>
      <c r="BM530" s="6" t="s">
        <v>3828</v>
      </c>
      <c r="BN530" s="6" t="s">
        <v>3829</v>
      </c>
      <c r="BO530" s="6" t="s">
        <v>3820</v>
      </c>
      <c r="BP530" s="6" t="s">
        <v>3821</v>
      </c>
      <c r="BQ530" s="6" t="s">
        <v>3830</v>
      </c>
      <c r="BR530" t="s">
        <v>3823</v>
      </c>
      <c r="BS530" t="s">
        <v>3824</v>
      </c>
      <c r="BT530" t="s">
        <v>3825</v>
      </c>
      <c r="BU530" t="s">
        <v>3826</v>
      </c>
      <c r="BV530" t="s">
        <v>3827</v>
      </c>
      <c r="BW530" t="s">
        <v>3835</v>
      </c>
      <c r="BX530">
        <v>0</v>
      </c>
      <c r="BY530" t="s">
        <v>3861</v>
      </c>
      <c r="BZ530" t="s">
        <v>3860</v>
      </c>
    </row>
    <row r="531" spans="1:78" x14ac:dyDescent="0.25">
      <c r="A531" s="7" t="s">
        <v>2204</v>
      </c>
      <c r="B531" s="7" t="s">
        <v>181</v>
      </c>
      <c r="C531" s="7" t="s">
        <v>2202</v>
      </c>
      <c r="D531" s="8" t="s">
        <v>2203</v>
      </c>
      <c r="E531" s="7" t="s">
        <v>2205</v>
      </c>
      <c r="F531" s="9">
        <v>44915</v>
      </c>
      <c r="G531" s="9" t="s">
        <v>77</v>
      </c>
      <c r="H531" s="9" t="s">
        <v>92</v>
      </c>
      <c r="I531" s="8" t="s">
        <v>78</v>
      </c>
      <c r="J531" s="10">
        <v>344.45</v>
      </c>
      <c r="K531" s="10">
        <v>344.45</v>
      </c>
      <c r="L531" s="10">
        <f t="shared" si="234"/>
        <v>0</v>
      </c>
      <c r="M531" s="10">
        <v>147.47</v>
      </c>
      <c r="N531" s="10">
        <v>147.47</v>
      </c>
      <c r="O531" s="10">
        <f t="shared" si="235"/>
        <v>0</v>
      </c>
      <c r="P531" s="11">
        <v>18999.889679198724</v>
      </c>
      <c r="Q531" s="11">
        <v>44378.599037092288</v>
      </c>
      <c r="R531" s="11">
        <v>28000</v>
      </c>
      <c r="S531" s="11">
        <v>6544512</v>
      </c>
      <c r="T531" s="11">
        <v>785342</v>
      </c>
      <c r="U531" s="12">
        <f t="shared" si="236"/>
        <v>0.12000008556787733</v>
      </c>
      <c r="V531" s="13">
        <f t="shared" si="259"/>
        <v>0</v>
      </c>
      <c r="W531" s="10">
        <f t="shared" si="237"/>
        <v>0</v>
      </c>
      <c r="X531" s="10"/>
      <c r="Y531" s="10"/>
      <c r="Z531" s="11">
        <f t="shared" si="238"/>
        <v>6544512</v>
      </c>
      <c r="AA531" s="14">
        <v>2204641</v>
      </c>
      <c r="AB531" s="14">
        <v>264556</v>
      </c>
      <c r="AC531" s="11">
        <f t="shared" si="239"/>
        <v>4339871</v>
      </c>
      <c r="AD531" s="10">
        <f t="shared" si="240"/>
        <v>300</v>
      </c>
      <c r="AE531" s="15">
        <v>44241</v>
      </c>
      <c r="AF531" s="16">
        <v>7964</v>
      </c>
      <c r="AG531" s="15">
        <f t="shared" si="241"/>
        <v>0</v>
      </c>
      <c r="AH531" s="15">
        <f t="shared" si="242"/>
        <v>0</v>
      </c>
      <c r="AI531" s="15">
        <f t="shared" si="243"/>
        <v>44241</v>
      </c>
      <c r="AJ531" s="15">
        <f t="shared" si="244"/>
        <v>7964</v>
      </c>
      <c r="AK531" s="10">
        <v>44241</v>
      </c>
      <c r="AL531" s="15">
        <f t="shared" si="245"/>
        <v>44241</v>
      </c>
      <c r="AM531" s="15">
        <f t="shared" si="246"/>
        <v>4384112</v>
      </c>
      <c r="AN531" s="15">
        <f t="shared" si="247"/>
        <v>528750</v>
      </c>
      <c r="AO531" s="15">
        <f t="shared" si="252"/>
        <v>572991</v>
      </c>
      <c r="AP531" s="17">
        <f t="shared" si="248"/>
        <v>4957103</v>
      </c>
      <c r="AQ531" s="15">
        <v>3278767</v>
      </c>
      <c r="AR531" s="15">
        <v>0</v>
      </c>
      <c r="AS531" s="18">
        <f t="shared" si="253"/>
        <v>1678336</v>
      </c>
      <c r="AT531" s="19">
        <v>0</v>
      </c>
      <c r="AU531" s="8">
        <v>8800</v>
      </c>
      <c r="AV531" s="13">
        <f t="shared" si="254"/>
        <v>1297736</v>
      </c>
      <c r="AW531" s="18">
        <f t="shared" si="255"/>
        <v>4384112</v>
      </c>
      <c r="AX531" s="15">
        <f t="shared" si="249"/>
        <v>4385000</v>
      </c>
      <c r="AY531" s="20">
        <v>7.0000000000000007E-2</v>
      </c>
      <c r="AZ531" s="13">
        <f t="shared" si="250"/>
        <v>306950.00000000006</v>
      </c>
      <c r="BA531" s="15">
        <f t="shared" si="251"/>
        <v>307000</v>
      </c>
      <c r="BB531" s="21">
        <f t="shared" si="256"/>
        <v>1985336</v>
      </c>
      <c r="BC531" s="10">
        <f t="shared" si="257"/>
        <v>0</v>
      </c>
      <c r="BD531" s="10">
        <f t="shared" si="258"/>
        <v>0</v>
      </c>
      <c r="BE531" s="10">
        <v>32</v>
      </c>
      <c r="BF531" s="10">
        <v>13.7</v>
      </c>
      <c r="BG531" s="107">
        <v>46176</v>
      </c>
      <c r="BH531" s="107">
        <f t="shared" si="232"/>
        <v>46206</v>
      </c>
      <c r="BI531" s="23">
        <v>7</v>
      </c>
      <c r="BJ531" s="6"/>
      <c r="BK531" s="6"/>
      <c r="BL531" s="6">
        <f>VLOOKUP(A531,[2]Sheet1!$D$2:$H$933,5,0)</f>
        <v>0</v>
      </c>
      <c r="BM531" s="6" t="s">
        <v>3828</v>
      </c>
      <c r="BN531" s="6" t="s">
        <v>3829</v>
      </c>
      <c r="BO531" s="6" t="s">
        <v>3820</v>
      </c>
      <c r="BP531" s="6" t="s">
        <v>3821</v>
      </c>
      <c r="BQ531" s="6" t="s">
        <v>3830</v>
      </c>
      <c r="BR531" t="s">
        <v>3823</v>
      </c>
      <c r="BS531" t="s">
        <v>3824</v>
      </c>
      <c r="BT531" t="s">
        <v>3825</v>
      </c>
      <c r="BU531" t="s">
        <v>3826</v>
      </c>
      <c r="BV531" t="s">
        <v>3827</v>
      </c>
      <c r="BW531" t="s">
        <v>3835</v>
      </c>
      <c r="BX531">
        <v>0</v>
      </c>
      <c r="BY531" t="s">
        <v>3867</v>
      </c>
      <c r="BZ531" t="s">
        <v>3863</v>
      </c>
    </row>
    <row r="532" spans="1:78" x14ac:dyDescent="0.25">
      <c r="A532" s="7" t="s">
        <v>2208</v>
      </c>
      <c r="B532" s="7" t="s">
        <v>181</v>
      </c>
      <c r="C532" s="7" t="s">
        <v>2206</v>
      </c>
      <c r="D532" s="8" t="s">
        <v>2207</v>
      </c>
      <c r="E532" s="7" t="s">
        <v>2209</v>
      </c>
      <c r="F532" s="9">
        <v>44912</v>
      </c>
      <c r="G532" s="9" t="s">
        <v>65</v>
      </c>
      <c r="H532" s="9" t="s">
        <v>72</v>
      </c>
      <c r="I532" s="8" t="s">
        <v>78</v>
      </c>
      <c r="J532" s="10">
        <v>529.59</v>
      </c>
      <c r="K532" s="10">
        <v>529.59</v>
      </c>
      <c r="L532" s="10">
        <f t="shared" si="234"/>
        <v>0</v>
      </c>
      <c r="M532" s="10">
        <v>242.19</v>
      </c>
      <c r="N532" s="10">
        <v>242.19</v>
      </c>
      <c r="O532" s="10">
        <f t="shared" si="235"/>
        <v>0</v>
      </c>
      <c r="P532" s="11">
        <v>12490.258501859929</v>
      </c>
      <c r="Q532" s="11">
        <v>27312.093810644536</v>
      </c>
      <c r="R532" s="11">
        <v>20000</v>
      </c>
      <c r="S532" s="11">
        <v>6614716</v>
      </c>
      <c r="T532" s="11">
        <v>793766</v>
      </c>
      <c r="U532" s="12">
        <f t="shared" si="236"/>
        <v>0.12000001209424561</v>
      </c>
      <c r="V532" s="13">
        <f t="shared" si="259"/>
        <v>0</v>
      </c>
      <c r="W532" s="10">
        <f t="shared" si="237"/>
        <v>0</v>
      </c>
      <c r="X532" s="10"/>
      <c r="Y532" s="10"/>
      <c r="Z532" s="11">
        <f t="shared" si="238"/>
        <v>6614716</v>
      </c>
      <c r="AA532" s="14">
        <v>257712</v>
      </c>
      <c r="AB532" s="14">
        <v>30926</v>
      </c>
      <c r="AC532" s="11">
        <f t="shared" si="239"/>
        <v>6357004</v>
      </c>
      <c r="AD532" s="10">
        <f t="shared" si="240"/>
        <v>300</v>
      </c>
      <c r="AE532" s="15">
        <v>72657</v>
      </c>
      <c r="AF532" s="16">
        <v>13078</v>
      </c>
      <c r="AG532" s="15">
        <f t="shared" si="241"/>
        <v>0</v>
      </c>
      <c r="AH532" s="15">
        <f t="shared" si="242"/>
        <v>0</v>
      </c>
      <c r="AI532" s="15">
        <f t="shared" si="243"/>
        <v>72657</v>
      </c>
      <c r="AJ532" s="15">
        <f t="shared" si="244"/>
        <v>13079</v>
      </c>
      <c r="AK532" s="10">
        <v>72657</v>
      </c>
      <c r="AL532" s="15">
        <f t="shared" si="245"/>
        <v>72657</v>
      </c>
      <c r="AM532" s="15">
        <f t="shared" si="246"/>
        <v>6429661</v>
      </c>
      <c r="AN532" s="15">
        <f t="shared" si="247"/>
        <v>775919</v>
      </c>
      <c r="AO532" s="15">
        <f t="shared" si="252"/>
        <v>848709</v>
      </c>
      <c r="AP532" s="17">
        <f t="shared" si="248"/>
        <v>7278370</v>
      </c>
      <c r="AQ532" s="15">
        <v>6352250</v>
      </c>
      <c r="AR532" s="15">
        <v>133</v>
      </c>
      <c r="AS532" s="18">
        <f t="shared" si="253"/>
        <v>926120</v>
      </c>
      <c r="AT532" s="19">
        <v>0</v>
      </c>
      <c r="AU532" s="8">
        <v>8800</v>
      </c>
      <c r="AV532" s="13">
        <f t="shared" si="254"/>
        <v>2131272</v>
      </c>
      <c r="AW532" s="18">
        <f t="shared" si="255"/>
        <v>6429661</v>
      </c>
      <c r="AX532" s="15">
        <f t="shared" si="249"/>
        <v>6430000</v>
      </c>
      <c r="AY532" s="20">
        <v>0.05</v>
      </c>
      <c r="AZ532" s="13">
        <f t="shared" si="250"/>
        <v>321500</v>
      </c>
      <c r="BA532" s="15">
        <f t="shared" si="251"/>
        <v>321500</v>
      </c>
      <c r="BB532" s="21">
        <f t="shared" si="256"/>
        <v>1247620</v>
      </c>
      <c r="BC532" s="10">
        <f t="shared" si="257"/>
        <v>0</v>
      </c>
      <c r="BD532" s="10">
        <f t="shared" si="258"/>
        <v>0</v>
      </c>
      <c r="BE532" s="10">
        <v>49.2</v>
      </c>
      <c r="BF532" s="10">
        <v>22.5</v>
      </c>
      <c r="BG532" s="107">
        <v>46176</v>
      </c>
      <c r="BH532" s="107">
        <f t="shared" si="232"/>
        <v>46206</v>
      </c>
      <c r="BI532" s="23">
        <v>5</v>
      </c>
      <c r="BJ532" s="6"/>
      <c r="BK532" s="6"/>
      <c r="BL532" s="6">
        <f>VLOOKUP(A532,[2]Sheet1!$D$2:$H$933,5,0)</f>
        <v>0</v>
      </c>
      <c r="BM532" s="6" t="s">
        <v>3828</v>
      </c>
      <c r="BN532" s="6" t="s">
        <v>3829</v>
      </c>
      <c r="BO532" s="6" t="s">
        <v>3820</v>
      </c>
      <c r="BP532" s="6" t="s">
        <v>3821</v>
      </c>
      <c r="BQ532" s="6" t="s">
        <v>3830</v>
      </c>
      <c r="BR532" t="s">
        <v>3823</v>
      </c>
      <c r="BS532" t="s">
        <v>3824</v>
      </c>
      <c r="BT532" t="s">
        <v>3825</v>
      </c>
      <c r="BU532" t="s">
        <v>3826</v>
      </c>
      <c r="BV532" t="s">
        <v>3827</v>
      </c>
      <c r="BW532" t="s">
        <v>3835</v>
      </c>
      <c r="BX532">
        <v>0</v>
      </c>
      <c r="BY532" t="s">
        <v>3867</v>
      </c>
      <c r="BZ532" t="s">
        <v>3860</v>
      </c>
    </row>
    <row r="533" spans="1:78" x14ac:dyDescent="0.25">
      <c r="A533" s="7" t="s">
        <v>2212</v>
      </c>
      <c r="B533" s="7" t="s">
        <v>181</v>
      </c>
      <c r="C533" s="7" t="s">
        <v>2210</v>
      </c>
      <c r="D533" s="8" t="s">
        <v>2211</v>
      </c>
      <c r="E533" s="7" t="s">
        <v>2213</v>
      </c>
      <c r="F533" s="9">
        <v>45008</v>
      </c>
      <c r="G533" s="9" t="s">
        <v>717</v>
      </c>
      <c r="H533" s="9" t="s">
        <v>72</v>
      </c>
      <c r="I533" s="8" t="s">
        <v>78</v>
      </c>
      <c r="J533" s="10">
        <v>1064.3399999999999</v>
      </c>
      <c r="K533" s="10">
        <v>1064.3399999999999</v>
      </c>
      <c r="L533" s="10">
        <f t="shared" si="234"/>
        <v>0</v>
      </c>
      <c r="M533" s="10">
        <v>482.23</v>
      </c>
      <c r="N533" s="10">
        <v>482.23</v>
      </c>
      <c r="O533" s="10">
        <f t="shared" si="235"/>
        <v>0</v>
      </c>
      <c r="P533" s="11">
        <v>7491.0949508615677</v>
      </c>
      <c r="Q533" s="11">
        <v>16533.753603052486</v>
      </c>
      <c r="R533" s="11">
        <v>20000</v>
      </c>
      <c r="S533" s="11">
        <v>7973072</v>
      </c>
      <c r="T533" s="11">
        <v>956770</v>
      </c>
      <c r="U533" s="12">
        <f t="shared" si="236"/>
        <v>0.1200001705741526</v>
      </c>
      <c r="V533" s="13">
        <f t="shared" si="259"/>
        <v>0</v>
      </c>
      <c r="W533" s="10">
        <f t="shared" si="237"/>
        <v>0</v>
      </c>
      <c r="X533" s="10"/>
      <c r="Y533" s="10"/>
      <c r="Z533" s="11">
        <f t="shared" si="238"/>
        <v>7973072</v>
      </c>
      <c r="AA533" s="14"/>
      <c r="AB533" s="14"/>
      <c r="AC533" s="11">
        <f t="shared" si="239"/>
        <v>7973072</v>
      </c>
      <c r="AD533" s="10">
        <f t="shared" si="240"/>
        <v>300</v>
      </c>
      <c r="AE533" s="15">
        <v>144669</v>
      </c>
      <c r="AF533" s="16">
        <v>26040</v>
      </c>
      <c r="AG533" s="15">
        <f t="shared" si="241"/>
        <v>0</v>
      </c>
      <c r="AH533" s="15">
        <f t="shared" si="242"/>
        <v>0</v>
      </c>
      <c r="AI533" s="15">
        <f t="shared" si="243"/>
        <v>144669</v>
      </c>
      <c r="AJ533" s="15">
        <f t="shared" si="244"/>
        <v>26041</v>
      </c>
      <c r="AK533" s="10">
        <v>144669</v>
      </c>
      <c r="AL533" s="15">
        <f t="shared" si="245"/>
        <v>144669</v>
      </c>
      <c r="AM533" s="15">
        <f t="shared" si="246"/>
        <v>8117741</v>
      </c>
      <c r="AN533" s="15">
        <f t="shared" si="247"/>
        <v>982811</v>
      </c>
      <c r="AO533" s="15">
        <f t="shared" si="252"/>
        <v>1138821</v>
      </c>
      <c r="AP533" s="17">
        <f t="shared" si="248"/>
        <v>9256562</v>
      </c>
      <c r="AQ533" s="15">
        <v>7992395.9900000002</v>
      </c>
      <c r="AR533" s="15">
        <v>11341</v>
      </c>
      <c r="AS533" s="18">
        <f t="shared" si="253"/>
        <v>1264166</v>
      </c>
      <c r="AT533" s="19">
        <v>0</v>
      </c>
      <c r="AU533" s="8">
        <v>8800</v>
      </c>
      <c r="AV533" s="13">
        <f t="shared" si="254"/>
        <v>4243624</v>
      </c>
      <c r="AW533" s="18">
        <f t="shared" si="255"/>
        <v>8117741</v>
      </c>
      <c r="AX533" s="15">
        <f t="shared" si="249"/>
        <v>8118000</v>
      </c>
      <c r="AY533" s="20">
        <v>0.06</v>
      </c>
      <c r="AZ533" s="13">
        <f t="shared" si="250"/>
        <v>487080</v>
      </c>
      <c r="BA533" s="15">
        <f t="shared" si="251"/>
        <v>487100</v>
      </c>
      <c r="BB533" s="21">
        <f t="shared" si="256"/>
        <v>1751266</v>
      </c>
      <c r="BC533" s="10">
        <f t="shared" si="257"/>
        <v>0</v>
      </c>
      <c r="BD533" s="10">
        <f t="shared" si="258"/>
        <v>0</v>
      </c>
      <c r="BE533" s="10">
        <v>98.88</v>
      </c>
      <c r="BF533" s="10">
        <v>44.8</v>
      </c>
      <c r="BG533" s="107">
        <v>46176</v>
      </c>
      <c r="BH533" s="107">
        <f t="shared" si="232"/>
        <v>46206</v>
      </c>
      <c r="BI533" s="23">
        <v>6</v>
      </c>
      <c r="BJ533" s="6"/>
      <c r="BK533" s="6"/>
      <c r="BL533" s="6">
        <f>VLOOKUP(A533,[2]Sheet1!$D$2:$H$933,5,0)</f>
        <v>0</v>
      </c>
      <c r="BM533" s="6" t="s">
        <v>3828</v>
      </c>
      <c r="BN533" s="6" t="s">
        <v>3829</v>
      </c>
      <c r="BO533" s="6" t="s">
        <v>3820</v>
      </c>
      <c r="BP533" s="6" t="s">
        <v>3821</v>
      </c>
      <c r="BQ533" s="6" t="s">
        <v>3830</v>
      </c>
      <c r="BR533" t="s">
        <v>3823</v>
      </c>
      <c r="BS533" t="s">
        <v>3824</v>
      </c>
      <c r="BT533" t="s">
        <v>3825</v>
      </c>
      <c r="BU533" t="s">
        <v>3826</v>
      </c>
      <c r="BV533" t="s">
        <v>3827</v>
      </c>
      <c r="BW533" t="s">
        <v>3835</v>
      </c>
      <c r="BX533">
        <v>0</v>
      </c>
      <c r="BY533" t="s">
        <v>3859</v>
      </c>
      <c r="BZ533" t="s">
        <v>3872</v>
      </c>
    </row>
    <row r="534" spans="1:78" x14ac:dyDescent="0.25">
      <c r="A534" s="65" t="s">
        <v>2216</v>
      </c>
      <c r="B534" s="7" t="s">
        <v>181</v>
      </c>
      <c r="C534" s="7" t="s">
        <v>2214</v>
      </c>
      <c r="D534" s="8" t="s">
        <v>2215</v>
      </c>
      <c r="E534" s="7" t="s">
        <v>2217</v>
      </c>
      <c r="F534" s="9">
        <v>44991</v>
      </c>
      <c r="G534" s="9" t="s">
        <v>404</v>
      </c>
      <c r="H534" s="9" t="s">
        <v>87</v>
      </c>
      <c r="I534" s="8" t="s">
        <v>78</v>
      </c>
      <c r="J534" s="10">
        <v>489.76</v>
      </c>
      <c r="K534" s="10">
        <v>489.76</v>
      </c>
      <c r="L534" s="10">
        <f t="shared" si="234"/>
        <v>0</v>
      </c>
      <c r="M534" s="10">
        <v>215.06</v>
      </c>
      <c r="N534" s="10">
        <v>215.06</v>
      </c>
      <c r="O534" s="10">
        <f t="shared" si="235"/>
        <v>0</v>
      </c>
      <c r="P534" s="11">
        <v>20700</v>
      </c>
      <c r="Q534" s="11">
        <v>47140.481726029946</v>
      </c>
      <c r="R534" s="11">
        <v>40000</v>
      </c>
      <c r="S534" s="11">
        <v>10138032</v>
      </c>
      <c r="T534" s="11">
        <v>1216564</v>
      </c>
      <c r="U534" s="12">
        <f t="shared" si="236"/>
        <v>0.12000001578215574</v>
      </c>
      <c r="V534" s="13">
        <f t="shared" si="259"/>
        <v>0</v>
      </c>
      <c r="W534" s="10">
        <f t="shared" si="237"/>
        <v>0</v>
      </c>
      <c r="X534" s="10"/>
      <c r="Y534" s="10"/>
      <c r="Z534" s="11">
        <f t="shared" si="238"/>
        <v>10138032</v>
      </c>
      <c r="AA534" s="14"/>
      <c r="AB534" s="14"/>
      <c r="AC534" s="11">
        <f t="shared" si="239"/>
        <v>10138032</v>
      </c>
      <c r="AD534" s="10">
        <f t="shared" si="240"/>
        <v>300</v>
      </c>
      <c r="AE534" s="15">
        <v>64518</v>
      </c>
      <c r="AF534" s="16">
        <v>11614</v>
      </c>
      <c r="AG534" s="15">
        <f t="shared" si="241"/>
        <v>0</v>
      </c>
      <c r="AH534" s="15">
        <f t="shared" si="242"/>
        <v>0</v>
      </c>
      <c r="AI534" s="15">
        <f t="shared" si="243"/>
        <v>64518</v>
      </c>
      <c r="AJ534" s="15">
        <f t="shared" si="244"/>
        <v>11614</v>
      </c>
      <c r="AK534" s="10">
        <v>64518</v>
      </c>
      <c r="AL534" s="15">
        <f t="shared" si="245"/>
        <v>64518</v>
      </c>
      <c r="AM534" s="15">
        <f t="shared" si="246"/>
        <v>10202550</v>
      </c>
      <c r="AN534" s="15">
        <f t="shared" si="247"/>
        <v>1228178</v>
      </c>
      <c r="AO534" s="15">
        <f t="shared" si="252"/>
        <v>1302550.72</v>
      </c>
      <c r="AP534" s="17">
        <f t="shared" si="248"/>
        <v>11505100.720000001</v>
      </c>
      <c r="AQ534" s="15">
        <v>10219177.469999999</v>
      </c>
      <c r="AR534" s="15">
        <v>9854.7199999999993</v>
      </c>
      <c r="AS534" s="18">
        <f t="shared" si="253"/>
        <v>1285923</v>
      </c>
      <c r="AT534" s="19">
        <v>0</v>
      </c>
      <c r="AU534" s="8">
        <v>8800</v>
      </c>
      <c r="AV534" s="13">
        <f t="shared" si="254"/>
        <v>1892528</v>
      </c>
      <c r="AW534" s="18">
        <f t="shared" si="255"/>
        <v>10202550</v>
      </c>
      <c r="AX534" s="15">
        <f t="shared" si="249"/>
        <v>10203000</v>
      </c>
      <c r="AY534" s="20">
        <v>0.05</v>
      </c>
      <c r="AZ534" s="13">
        <f t="shared" si="250"/>
        <v>510150</v>
      </c>
      <c r="BA534" s="15">
        <f t="shared" si="251"/>
        <v>510200</v>
      </c>
      <c r="BB534" s="21">
        <f t="shared" si="256"/>
        <v>1796123</v>
      </c>
      <c r="BC534" s="10">
        <f t="shared" si="257"/>
        <v>0</v>
      </c>
      <c r="BD534" s="10">
        <f t="shared" si="258"/>
        <v>0</v>
      </c>
      <c r="BE534" s="10">
        <v>45.5</v>
      </c>
      <c r="BF534" s="10">
        <v>19.98</v>
      </c>
      <c r="BG534" s="107">
        <v>46176</v>
      </c>
      <c r="BH534" s="107">
        <f t="shared" si="232"/>
        <v>46206</v>
      </c>
      <c r="BI534" s="23">
        <v>5</v>
      </c>
      <c r="BJ534" s="6"/>
      <c r="BK534" s="6"/>
      <c r="BL534" s="6">
        <f>VLOOKUP(A534,[2]Sheet1!$D$2:$H$933,5,0)</f>
        <v>0</v>
      </c>
      <c r="BM534" s="6" t="s">
        <v>3828</v>
      </c>
      <c r="BN534" s="6" t="s">
        <v>3829</v>
      </c>
      <c r="BO534" s="6" t="s">
        <v>3820</v>
      </c>
      <c r="BP534" s="6" t="s">
        <v>3821</v>
      </c>
      <c r="BQ534" s="6" t="s">
        <v>3830</v>
      </c>
      <c r="BR534" t="s">
        <v>3823</v>
      </c>
      <c r="BS534" t="s">
        <v>3824</v>
      </c>
      <c r="BT534" t="s">
        <v>3825</v>
      </c>
      <c r="BU534" t="s">
        <v>3826</v>
      </c>
      <c r="BV534" t="s">
        <v>3827</v>
      </c>
      <c r="BW534" t="s">
        <v>3835</v>
      </c>
      <c r="BX534">
        <v>0</v>
      </c>
      <c r="BY534" t="s">
        <v>3869</v>
      </c>
      <c r="BZ534" t="s">
        <v>3863</v>
      </c>
    </row>
    <row r="535" spans="1:78" x14ac:dyDescent="0.25">
      <c r="A535" s="7" t="s">
        <v>2220</v>
      </c>
      <c r="B535" s="7" t="s">
        <v>181</v>
      </c>
      <c r="C535" s="7" t="s">
        <v>2218</v>
      </c>
      <c r="D535" s="8" t="s">
        <v>2219</v>
      </c>
      <c r="E535" s="7" t="s">
        <v>2221</v>
      </c>
      <c r="F535" s="9">
        <v>44907</v>
      </c>
      <c r="G535" s="9" t="s">
        <v>65</v>
      </c>
      <c r="H535" s="9" t="s">
        <v>72</v>
      </c>
      <c r="I535" s="8" t="s">
        <v>67</v>
      </c>
      <c r="J535" s="10">
        <v>424.58</v>
      </c>
      <c r="K535" s="10">
        <v>424.58</v>
      </c>
      <c r="L535" s="10">
        <f t="shared" si="234"/>
        <v>0</v>
      </c>
      <c r="M535" s="10">
        <v>174.92</v>
      </c>
      <c r="N535" s="10">
        <v>174.92</v>
      </c>
      <c r="O535" s="10">
        <f t="shared" si="235"/>
        <v>0</v>
      </c>
      <c r="P535" s="11">
        <v>12650</v>
      </c>
      <c r="Q535" s="11">
        <v>30705.105190944432</v>
      </c>
      <c r="R535" s="11">
        <v>20000</v>
      </c>
      <c r="S535" s="11">
        <v>5370937</v>
      </c>
      <c r="T535" s="11">
        <v>644514</v>
      </c>
      <c r="U535" s="12">
        <f t="shared" si="236"/>
        <v>0.12000029045211291</v>
      </c>
      <c r="V535" s="13">
        <f t="shared" si="259"/>
        <v>0</v>
      </c>
      <c r="W535" s="10">
        <f t="shared" si="237"/>
        <v>0</v>
      </c>
      <c r="X535" s="10"/>
      <c r="Y535" s="10"/>
      <c r="Z535" s="11">
        <f t="shared" si="238"/>
        <v>5370937</v>
      </c>
      <c r="AA535" s="14"/>
      <c r="AB535" s="14"/>
      <c r="AC535" s="11">
        <f t="shared" si="239"/>
        <v>5370937</v>
      </c>
      <c r="AD535" s="10">
        <f t="shared" si="240"/>
        <v>300</v>
      </c>
      <c r="AE535" s="15">
        <v>52476</v>
      </c>
      <c r="AF535" s="16">
        <v>9446</v>
      </c>
      <c r="AG535" s="15">
        <f t="shared" si="241"/>
        <v>0</v>
      </c>
      <c r="AH535" s="15">
        <f t="shared" si="242"/>
        <v>0</v>
      </c>
      <c r="AI535" s="15">
        <f t="shared" si="243"/>
        <v>52475.999999999993</v>
      </c>
      <c r="AJ535" s="15">
        <f t="shared" si="244"/>
        <v>9446</v>
      </c>
      <c r="AK535" s="10">
        <v>52476</v>
      </c>
      <c r="AL535" s="15">
        <f t="shared" si="245"/>
        <v>52475.999999999993</v>
      </c>
      <c r="AM535" s="15">
        <f t="shared" si="246"/>
        <v>5423413</v>
      </c>
      <c r="AN535" s="15">
        <f t="shared" si="247"/>
        <v>653960</v>
      </c>
      <c r="AO535" s="15">
        <f t="shared" si="252"/>
        <v>721387</v>
      </c>
      <c r="AP535" s="17">
        <f t="shared" si="248"/>
        <v>6144800</v>
      </c>
      <c r="AQ535" s="15">
        <v>2406181</v>
      </c>
      <c r="AR535" s="15">
        <v>14951</v>
      </c>
      <c r="AS535" s="18">
        <f t="shared" si="253"/>
        <v>3738619</v>
      </c>
      <c r="AT535" s="19">
        <v>0</v>
      </c>
      <c r="AU535" s="8">
        <v>8800</v>
      </c>
      <c r="AV535" s="13">
        <f t="shared" si="254"/>
        <v>1539296</v>
      </c>
      <c r="AW535" s="18">
        <f t="shared" si="255"/>
        <v>5423413</v>
      </c>
      <c r="AX535" s="15">
        <f t="shared" si="249"/>
        <v>5424000</v>
      </c>
      <c r="AY535" s="20">
        <v>0.06</v>
      </c>
      <c r="AZ535" s="13">
        <f t="shared" si="250"/>
        <v>325440</v>
      </c>
      <c r="BA535" s="15">
        <f t="shared" si="251"/>
        <v>325500</v>
      </c>
      <c r="BB535" s="21">
        <f t="shared" si="256"/>
        <v>4064119</v>
      </c>
      <c r="BC535" s="10">
        <f t="shared" si="257"/>
        <v>0</v>
      </c>
      <c r="BD535" s="10">
        <f t="shared" si="258"/>
        <v>0</v>
      </c>
      <c r="BE535" s="10">
        <v>39.44</v>
      </c>
      <c r="BF535" s="10">
        <v>16.25</v>
      </c>
      <c r="BG535" s="107">
        <v>46176</v>
      </c>
      <c r="BH535" s="107">
        <f t="shared" si="232"/>
        <v>46206</v>
      </c>
      <c r="BI535" s="23">
        <v>6</v>
      </c>
      <c r="BJ535" s="6"/>
      <c r="BK535" s="6"/>
      <c r="BL535" s="6">
        <f>VLOOKUP(A535,[2]Sheet1!$D$2:$H$933,5,0)</f>
        <v>0</v>
      </c>
      <c r="BM535" s="6" t="s">
        <v>3828</v>
      </c>
      <c r="BN535" s="6" t="s">
        <v>3829</v>
      </c>
      <c r="BO535" s="6" t="s">
        <v>3820</v>
      </c>
      <c r="BP535" s="6" t="s">
        <v>3821</v>
      </c>
      <c r="BQ535" s="6" t="s">
        <v>3830</v>
      </c>
      <c r="BR535" t="s">
        <v>3823</v>
      </c>
      <c r="BS535" t="s">
        <v>3824</v>
      </c>
      <c r="BT535" t="s">
        <v>3825</v>
      </c>
      <c r="BU535" t="s">
        <v>3826</v>
      </c>
      <c r="BV535" t="s">
        <v>3827</v>
      </c>
      <c r="BW535" t="s">
        <v>3835</v>
      </c>
      <c r="BX535">
        <v>0</v>
      </c>
      <c r="BY535" t="s">
        <v>3861</v>
      </c>
      <c r="BZ535" t="s">
        <v>3860</v>
      </c>
    </row>
    <row r="536" spans="1:78" x14ac:dyDescent="0.25">
      <c r="A536" s="7" t="s">
        <v>2224</v>
      </c>
      <c r="B536" s="7" t="s">
        <v>181</v>
      </c>
      <c r="C536" s="7" t="s">
        <v>2222</v>
      </c>
      <c r="D536" s="8" t="s">
        <v>2223</v>
      </c>
      <c r="E536" s="7" t="s">
        <v>1764</v>
      </c>
      <c r="F536" s="9">
        <v>45012</v>
      </c>
      <c r="G536" s="9" t="s">
        <v>404</v>
      </c>
      <c r="H536" s="9" t="s">
        <v>190</v>
      </c>
      <c r="I536" s="8" t="s">
        <v>78</v>
      </c>
      <c r="J536" s="10">
        <v>2050.11</v>
      </c>
      <c r="K536" s="10">
        <v>2050.11</v>
      </c>
      <c r="L536" s="10">
        <f t="shared" si="234"/>
        <v>0</v>
      </c>
      <c r="M536" s="10">
        <v>957.78</v>
      </c>
      <c r="N536" s="10">
        <v>957.78</v>
      </c>
      <c r="O536" s="10">
        <f t="shared" si="235"/>
        <v>0</v>
      </c>
      <c r="P536" s="11">
        <v>11719.689187409454</v>
      </c>
      <c r="Q536" s="11">
        <v>25085.773350873897</v>
      </c>
      <c r="R536" s="11">
        <v>60000</v>
      </c>
      <c r="S536" s="11">
        <v>24026652</v>
      </c>
      <c r="T536" s="11">
        <v>2883198</v>
      </c>
      <c r="U536" s="12">
        <f t="shared" si="236"/>
        <v>0.11999999001109268</v>
      </c>
      <c r="V536" s="13">
        <f t="shared" si="259"/>
        <v>0</v>
      </c>
      <c r="W536" s="10">
        <f t="shared" si="237"/>
        <v>0</v>
      </c>
      <c r="X536" s="10"/>
      <c r="Y536" s="10"/>
      <c r="Z536" s="11">
        <f t="shared" si="238"/>
        <v>24026652</v>
      </c>
      <c r="AA536" s="14"/>
      <c r="AB536" s="14"/>
      <c r="AC536" s="11">
        <f t="shared" si="239"/>
        <v>24026652</v>
      </c>
      <c r="AD536" s="10">
        <f t="shared" si="240"/>
        <v>300</v>
      </c>
      <c r="AE536" s="15">
        <v>287334</v>
      </c>
      <c r="AF536" s="16">
        <v>51720</v>
      </c>
      <c r="AG536" s="15">
        <f t="shared" si="241"/>
        <v>0</v>
      </c>
      <c r="AH536" s="15">
        <f t="shared" si="242"/>
        <v>0</v>
      </c>
      <c r="AI536" s="15">
        <f t="shared" si="243"/>
        <v>287334</v>
      </c>
      <c r="AJ536" s="15">
        <f t="shared" si="244"/>
        <v>51721</v>
      </c>
      <c r="AK536" s="10">
        <v>287334</v>
      </c>
      <c r="AL536" s="15">
        <f t="shared" si="245"/>
        <v>287334</v>
      </c>
      <c r="AM536" s="15">
        <f t="shared" si="246"/>
        <v>24313986</v>
      </c>
      <c r="AN536" s="15">
        <f t="shared" si="247"/>
        <v>2934919</v>
      </c>
      <c r="AO536" s="15">
        <f t="shared" si="252"/>
        <v>3232705</v>
      </c>
      <c r="AP536" s="17">
        <f t="shared" si="248"/>
        <v>27546691</v>
      </c>
      <c r="AQ536" s="15">
        <v>23979676</v>
      </c>
      <c r="AR536" s="15">
        <v>10452</v>
      </c>
      <c r="AS536" s="18">
        <f t="shared" si="253"/>
        <v>3567015</v>
      </c>
      <c r="AT536" s="19">
        <v>0</v>
      </c>
      <c r="AU536" s="8">
        <v>8800</v>
      </c>
      <c r="AV536" s="13">
        <f t="shared" si="254"/>
        <v>8428464</v>
      </c>
      <c r="AW536" s="18">
        <f t="shared" si="255"/>
        <v>24313986</v>
      </c>
      <c r="AX536" s="15">
        <f t="shared" si="249"/>
        <v>24314000</v>
      </c>
      <c r="AY536" s="20">
        <v>0.06</v>
      </c>
      <c r="AZ536" s="13">
        <f t="shared" si="250"/>
        <v>1458840</v>
      </c>
      <c r="BA536" s="15">
        <f t="shared" si="251"/>
        <v>1458900</v>
      </c>
      <c r="BB536" s="21">
        <f t="shared" si="256"/>
        <v>5025915</v>
      </c>
      <c r="BC536" s="10">
        <f t="shared" si="257"/>
        <v>0</v>
      </c>
      <c r="BD536" s="10">
        <f t="shared" si="258"/>
        <v>0</v>
      </c>
      <c r="BE536" s="10">
        <v>190.46</v>
      </c>
      <c r="BF536" s="10">
        <v>88.98</v>
      </c>
      <c r="BG536" s="107">
        <v>46176</v>
      </c>
      <c r="BH536" s="107">
        <f t="shared" si="232"/>
        <v>46206</v>
      </c>
      <c r="BI536" s="23">
        <v>6</v>
      </c>
      <c r="BJ536" s="6"/>
      <c r="BK536" s="6"/>
      <c r="BL536" s="6">
        <f>VLOOKUP(A536,[2]Sheet1!$D$2:$H$933,5,0)</f>
        <v>0</v>
      </c>
      <c r="BM536" s="6" t="s">
        <v>3828</v>
      </c>
      <c r="BN536" s="6" t="s">
        <v>3829</v>
      </c>
      <c r="BO536" s="6" t="s">
        <v>3820</v>
      </c>
      <c r="BP536" s="6" t="s">
        <v>3821</v>
      </c>
      <c r="BQ536" s="6" t="s">
        <v>3830</v>
      </c>
      <c r="BR536" t="s">
        <v>3823</v>
      </c>
      <c r="BS536" t="s">
        <v>3824</v>
      </c>
      <c r="BT536" t="s">
        <v>3825</v>
      </c>
      <c r="BU536" t="s">
        <v>3826</v>
      </c>
      <c r="BV536" t="s">
        <v>3827</v>
      </c>
      <c r="BW536" t="s">
        <v>3835</v>
      </c>
      <c r="BX536">
        <v>0</v>
      </c>
      <c r="BY536" t="s">
        <v>3865</v>
      </c>
      <c r="BZ536" t="s">
        <v>3863</v>
      </c>
    </row>
    <row r="537" spans="1:78" x14ac:dyDescent="0.25">
      <c r="A537" s="7" t="s">
        <v>2227</v>
      </c>
      <c r="B537" s="7" t="s">
        <v>181</v>
      </c>
      <c r="C537" s="7" t="s">
        <v>2225</v>
      </c>
      <c r="D537" s="8" t="s">
        <v>2226</v>
      </c>
      <c r="E537" s="7" t="s">
        <v>2228</v>
      </c>
      <c r="F537" s="9">
        <v>44896</v>
      </c>
      <c r="G537" s="9" t="s">
        <v>527</v>
      </c>
      <c r="H537" s="9" t="s">
        <v>66</v>
      </c>
      <c r="I537" s="8" t="s">
        <v>67</v>
      </c>
      <c r="J537" s="10">
        <v>224.85</v>
      </c>
      <c r="K537" s="10">
        <v>224.85</v>
      </c>
      <c r="L537" s="10">
        <f t="shared" si="234"/>
        <v>0</v>
      </c>
      <c r="M537" s="10">
        <v>89.34</v>
      </c>
      <c r="N537" s="10">
        <v>89.34</v>
      </c>
      <c r="O537" s="10">
        <f t="shared" si="235"/>
        <v>0</v>
      </c>
      <c r="P537" s="11">
        <v>22150.002223704694</v>
      </c>
      <c r="Q537" s="11">
        <v>55746.899485113048</v>
      </c>
      <c r="R537" s="11">
        <v>22000</v>
      </c>
      <c r="S537" s="11">
        <v>4980428</v>
      </c>
      <c r="T537" s="11">
        <v>597654</v>
      </c>
      <c r="U537" s="12">
        <f t="shared" si="236"/>
        <v>0.12000053007492528</v>
      </c>
      <c r="V537" s="13">
        <f t="shared" si="259"/>
        <v>0</v>
      </c>
      <c r="W537" s="10">
        <f t="shared" si="237"/>
        <v>0</v>
      </c>
      <c r="X537" s="10"/>
      <c r="Y537" s="10"/>
      <c r="Z537" s="11">
        <f t="shared" si="238"/>
        <v>4980428</v>
      </c>
      <c r="AA537" s="14"/>
      <c r="AB537" s="14"/>
      <c r="AC537" s="11">
        <f t="shared" si="239"/>
        <v>4980428</v>
      </c>
      <c r="AD537" s="10">
        <f t="shared" si="240"/>
        <v>300</v>
      </c>
      <c r="AE537" s="15">
        <v>26802</v>
      </c>
      <c r="AF537" s="16">
        <v>4824</v>
      </c>
      <c r="AG537" s="15">
        <f t="shared" si="241"/>
        <v>0</v>
      </c>
      <c r="AH537" s="15">
        <f t="shared" si="242"/>
        <v>0</v>
      </c>
      <c r="AI537" s="15">
        <f t="shared" si="243"/>
        <v>26802</v>
      </c>
      <c r="AJ537" s="15">
        <f t="shared" si="244"/>
        <v>4825</v>
      </c>
      <c r="AK537" s="10">
        <v>26802</v>
      </c>
      <c r="AL537" s="15">
        <f t="shared" si="245"/>
        <v>26802</v>
      </c>
      <c r="AM537" s="15">
        <f t="shared" si="246"/>
        <v>5007230</v>
      </c>
      <c r="AN537" s="15">
        <f t="shared" si="247"/>
        <v>602479</v>
      </c>
      <c r="AO537" s="15">
        <f t="shared" si="252"/>
        <v>635610</v>
      </c>
      <c r="AP537" s="17">
        <f t="shared" si="248"/>
        <v>5642840</v>
      </c>
      <c r="AQ537" s="15">
        <v>2231250</v>
      </c>
      <c r="AR537" s="15">
        <v>6329</v>
      </c>
      <c r="AS537" s="18">
        <f t="shared" si="253"/>
        <v>3411590</v>
      </c>
      <c r="AT537" s="19">
        <v>0</v>
      </c>
      <c r="AU537" s="8">
        <v>8800</v>
      </c>
      <c r="AV537" s="13">
        <f t="shared" si="254"/>
        <v>786192</v>
      </c>
      <c r="AW537" s="18">
        <f t="shared" si="255"/>
        <v>5007230</v>
      </c>
      <c r="AX537" s="15">
        <f t="shared" si="249"/>
        <v>5008000</v>
      </c>
      <c r="AY537" s="20">
        <v>0.06</v>
      </c>
      <c r="AZ537" s="13">
        <f t="shared" si="250"/>
        <v>300480</v>
      </c>
      <c r="BA537" s="15">
        <f t="shared" si="251"/>
        <v>300500</v>
      </c>
      <c r="BB537" s="21">
        <f t="shared" si="256"/>
        <v>3712090</v>
      </c>
      <c r="BC537" s="10">
        <f t="shared" si="257"/>
        <v>0</v>
      </c>
      <c r="BD537" s="10">
        <f t="shared" si="258"/>
        <v>0</v>
      </c>
      <c r="BE537" s="10">
        <v>20.89</v>
      </c>
      <c r="BF537" s="10">
        <v>8.3000000000000007</v>
      </c>
      <c r="BG537" s="107">
        <v>46176</v>
      </c>
      <c r="BH537" s="107">
        <f t="shared" si="232"/>
        <v>46206</v>
      </c>
      <c r="BI537" s="23">
        <v>6</v>
      </c>
      <c r="BJ537" s="6"/>
      <c r="BK537" s="6"/>
      <c r="BL537" s="6">
        <f>VLOOKUP(A537,[2]Sheet1!$D$2:$H$933,5,0)</f>
        <v>0</v>
      </c>
      <c r="BM537" s="6" t="s">
        <v>3828</v>
      </c>
      <c r="BN537" s="6" t="s">
        <v>3829</v>
      </c>
      <c r="BO537" s="6" t="s">
        <v>3820</v>
      </c>
      <c r="BP537" s="6" t="s">
        <v>3821</v>
      </c>
      <c r="BQ537" s="6" t="s">
        <v>3830</v>
      </c>
      <c r="BR537" t="s">
        <v>3823</v>
      </c>
      <c r="BS537" t="s">
        <v>3824</v>
      </c>
      <c r="BT537" t="s">
        <v>3825</v>
      </c>
      <c r="BU537" t="s">
        <v>3826</v>
      </c>
      <c r="BV537" t="s">
        <v>3827</v>
      </c>
      <c r="BW537" t="s">
        <v>3835</v>
      </c>
      <c r="BX537">
        <v>0</v>
      </c>
      <c r="BY537" t="s">
        <v>3859</v>
      </c>
      <c r="BZ537" t="s">
        <v>3871</v>
      </c>
    </row>
    <row r="538" spans="1:78" x14ac:dyDescent="0.25">
      <c r="A538" s="7" t="s">
        <v>2231</v>
      </c>
      <c r="B538" s="7" t="s">
        <v>181</v>
      </c>
      <c r="C538" s="7" t="s">
        <v>2229</v>
      </c>
      <c r="D538" s="8" t="s">
        <v>2230</v>
      </c>
      <c r="E538" s="7" t="s">
        <v>2232</v>
      </c>
      <c r="F538" s="9">
        <v>45041</v>
      </c>
      <c r="G538" s="9" t="s">
        <v>363</v>
      </c>
      <c r="H538" s="9" t="s">
        <v>87</v>
      </c>
      <c r="I538" s="8" t="s">
        <v>67</v>
      </c>
      <c r="J538" s="10">
        <v>315.27</v>
      </c>
      <c r="K538" s="10">
        <v>315.27</v>
      </c>
      <c r="L538" s="10">
        <f t="shared" si="234"/>
        <v>0</v>
      </c>
      <c r="M538" s="10">
        <v>117.33</v>
      </c>
      <c r="N538" s="10">
        <v>117.33</v>
      </c>
      <c r="O538" s="10">
        <f t="shared" si="235"/>
        <v>0</v>
      </c>
      <c r="P538" s="11">
        <v>16087.499603514449</v>
      </c>
      <c r="Q538" s="11">
        <v>43227.699650558257</v>
      </c>
      <c r="R538" s="11">
        <v>40000</v>
      </c>
      <c r="S538" s="11">
        <v>5071906</v>
      </c>
      <c r="T538" s="11">
        <v>608628</v>
      </c>
      <c r="U538" s="12">
        <f t="shared" si="236"/>
        <v>0.1199998580415331</v>
      </c>
      <c r="V538" s="13">
        <f t="shared" si="259"/>
        <v>0</v>
      </c>
      <c r="W538" s="10">
        <f t="shared" si="237"/>
        <v>0</v>
      </c>
      <c r="X538" s="10"/>
      <c r="Y538" s="10"/>
      <c r="Z538" s="11">
        <f t="shared" si="238"/>
        <v>5071906</v>
      </c>
      <c r="AA538" s="14"/>
      <c r="AB538" s="14"/>
      <c r="AC538" s="11">
        <f t="shared" si="239"/>
        <v>5071906</v>
      </c>
      <c r="AD538" s="10">
        <f t="shared" si="240"/>
        <v>300</v>
      </c>
      <c r="AE538" s="15">
        <v>35199</v>
      </c>
      <c r="AF538" s="16">
        <v>6336</v>
      </c>
      <c r="AG538" s="15">
        <f t="shared" si="241"/>
        <v>0</v>
      </c>
      <c r="AH538" s="15">
        <f t="shared" si="242"/>
        <v>0</v>
      </c>
      <c r="AI538" s="15">
        <f t="shared" si="243"/>
        <v>35199</v>
      </c>
      <c r="AJ538" s="15">
        <f t="shared" si="244"/>
        <v>6336</v>
      </c>
      <c r="AK538" s="10">
        <v>35199</v>
      </c>
      <c r="AL538" s="15">
        <f t="shared" si="245"/>
        <v>35199</v>
      </c>
      <c r="AM538" s="15">
        <f t="shared" si="246"/>
        <v>5107105</v>
      </c>
      <c r="AN538" s="15">
        <f t="shared" si="247"/>
        <v>614964</v>
      </c>
      <c r="AO538" s="15">
        <f t="shared" si="252"/>
        <v>663798.24</v>
      </c>
      <c r="AP538" s="17">
        <f t="shared" si="248"/>
        <v>5770903.2400000002</v>
      </c>
      <c r="AQ538" s="15">
        <v>3096263.5</v>
      </c>
      <c r="AR538" s="15">
        <v>13635.24</v>
      </c>
      <c r="AS538" s="18">
        <f t="shared" si="253"/>
        <v>2674640</v>
      </c>
      <c r="AT538" s="19">
        <v>0</v>
      </c>
      <c r="AU538" s="8">
        <v>8800</v>
      </c>
      <c r="AV538" s="13">
        <f t="shared" si="254"/>
        <v>1032504</v>
      </c>
      <c r="AW538" s="18">
        <f t="shared" si="255"/>
        <v>5107105</v>
      </c>
      <c r="AX538" s="15">
        <f t="shared" si="249"/>
        <v>5108000</v>
      </c>
      <c r="AY538" s="20">
        <v>0.05</v>
      </c>
      <c r="AZ538" s="13">
        <f t="shared" si="250"/>
        <v>255400</v>
      </c>
      <c r="BA538" s="15">
        <f t="shared" si="251"/>
        <v>255400</v>
      </c>
      <c r="BB538" s="21">
        <f t="shared" si="256"/>
        <v>2930040</v>
      </c>
      <c r="BC538" s="10">
        <f t="shared" si="257"/>
        <v>0</v>
      </c>
      <c r="BD538" s="10">
        <f t="shared" si="258"/>
        <v>0</v>
      </c>
      <c r="BE538" s="10">
        <v>29.29</v>
      </c>
      <c r="BF538" s="10">
        <v>10.9</v>
      </c>
      <c r="BG538" s="107">
        <v>46176</v>
      </c>
      <c r="BH538" s="107">
        <f t="shared" si="232"/>
        <v>46206</v>
      </c>
      <c r="BI538" s="23">
        <v>5</v>
      </c>
      <c r="BJ538" s="6"/>
      <c r="BK538" s="6"/>
      <c r="BL538" s="6">
        <f>VLOOKUP(A538,[2]Sheet1!$D$2:$H$933,5,0)</f>
        <v>0</v>
      </c>
      <c r="BM538" s="6" t="s">
        <v>3828</v>
      </c>
      <c r="BN538" s="6" t="s">
        <v>3829</v>
      </c>
      <c r="BO538" s="6" t="s">
        <v>3820</v>
      </c>
      <c r="BP538" s="6" t="s">
        <v>3821</v>
      </c>
      <c r="BQ538" s="6" t="s">
        <v>3830</v>
      </c>
      <c r="BR538" t="s">
        <v>3823</v>
      </c>
      <c r="BS538" t="s">
        <v>3824</v>
      </c>
      <c r="BT538" t="s">
        <v>3825</v>
      </c>
      <c r="BU538" t="s">
        <v>3826</v>
      </c>
      <c r="BV538" t="s">
        <v>3827</v>
      </c>
      <c r="BW538" t="s">
        <v>3835</v>
      </c>
      <c r="BX538">
        <v>0</v>
      </c>
      <c r="BY538" t="s">
        <v>3859</v>
      </c>
      <c r="BZ538" t="s">
        <v>3860</v>
      </c>
    </row>
    <row r="539" spans="1:78" x14ac:dyDescent="0.25">
      <c r="A539" s="7" t="s">
        <v>2235</v>
      </c>
      <c r="B539" s="7" t="s">
        <v>181</v>
      </c>
      <c r="C539" s="7" t="s">
        <v>2233</v>
      </c>
      <c r="D539" s="8" t="s">
        <v>2234</v>
      </c>
      <c r="E539" s="7" t="s">
        <v>2236</v>
      </c>
      <c r="F539" s="9">
        <v>44883</v>
      </c>
      <c r="G539" s="9" t="s">
        <v>404</v>
      </c>
      <c r="H539" s="9" t="s">
        <v>66</v>
      </c>
      <c r="I539" s="8" t="s">
        <v>78</v>
      </c>
      <c r="J539" s="10">
        <v>514.73</v>
      </c>
      <c r="K539" s="10">
        <v>514.73</v>
      </c>
      <c r="L539" s="10">
        <f t="shared" si="234"/>
        <v>0</v>
      </c>
      <c r="M539" s="10">
        <v>238.42</v>
      </c>
      <c r="N539" s="10">
        <v>238.42</v>
      </c>
      <c r="O539" s="10">
        <f t="shared" si="235"/>
        <v>0</v>
      </c>
      <c r="P539" s="11">
        <v>16073.999961144676</v>
      </c>
      <c r="Q539" s="11">
        <v>34702.499790286049</v>
      </c>
      <c r="R539" s="11">
        <v>22000</v>
      </c>
      <c r="S539" s="11">
        <v>8273770</v>
      </c>
      <c r="T539" s="11">
        <v>992852</v>
      </c>
      <c r="U539" s="12">
        <f t="shared" si="236"/>
        <v>0.11999995165444531</v>
      </c>
      <c r="V539" s="13">
        <f t="shared" si="259"/>
        <v>0</v>
      </c>
      <c r="W539" s="10">
        <f t="shared" si="237"/>
        <v>0</v>
      </c>
      <c r="X539" s="10"/>
      <c r="Y539" s="10"/>
      <c r="Z539" s="11">
        <f t="shared" si="238"/>
        <v>8273770</v>
      </c>
      <c r="AA539" s="14"/>
      <c r="AB539" s="14"/>
      <c r="AC539" s="11">
        <f t="shared" si="239"/>
        <v>8273770</v>
      </c>
      <c r="AD539" s="10">
        <f t="shared" si="240"/>
        <v>300</v>
      </c>
      <c r="AE539" s="15">
        <v>71526</v>
      </c>
      <c r="AF539" s="16">
        <v>12874</v>
      </c>
      <c r="AG539" s="15">
        <f t="shared" si="241"/>
        <v>0</v>
      </c>
      <c r="AH539" s="15">
        <f t="shared" si="242"/>
        <v>0</v>
      </c>
      <c r="AI539" s="15">
        <f t="shared" si="243"/>
        <v>71526</v>
      </c>
      <c r="AJ539" s="15">
        <f t="shared" si="244"/>
        <v>12875</v>
      </c>
      <c r="AK539" s="10">
        <v>71526</v>
      </c>
      <c r="AL539" s="15">
        <f t="shared" si="245"/>
        <v>71526</v>
      </c>
      <c r="AM539" s="15">
        <f t="shared" si="246"/>
        <v>8345296</v>
      </c>
      <c r="AN539" s="15">
        <f t="shared" si="247"/>
        <v>1005727</v>
      </c>
      <c r="AO539" s="15">
        <f t="shared" si="252"/>
        <v>1089188</v>
      </c>
      <c r="AP539" s="17">
        <f t="shared" si="248"/>
        <v>9434484</v>
      </c>
      <c r="AQ539" s="15">
        <v>6840794</v>
      </c>
      <c r="AR539" s="15">
        <v>11935</v>
      </c>
      <c r="AS539" s="18">
        <f t="shared" si="253"/>
        <v>2593690</v>
      </c>
      <c r="AT539" s="19">
        <v>0</v>
      </c>
      <c r="AU539" s="8">
        <v>8800</v>
      </c>
      <c r="AV539" s="13">
        <f t="shared" si="254"/>
        <v>2098096</v>
      </c>
      <c r="AW539" s="18">
        <f t="shared" si="255"/>
        <v>8345296</v>
      </c>
      <c r="AX539" s="15">
        <f t="shared" si="249"/>
        <v>8346000</v>
      </c>
      <c r="AY539" s="20">
        <v>7.0000000000000007E-2</v>
      </c>
      <c r="AZ539" s="13">
        <f t="shared" si="250"/>
        <v>584220</v>
      </c>
      <c r="BA539" s="15">
        <f t="shared" si="251"/>
        <v>584300</v>
      </c>
      <c r="BB539" s="21">
        <f t="shared" si="256"/>
        <v>3177990</v>
      </c>
      <c r="BC539" s="10">
        <f t="shared" si="257"/>
        <v>0</v>
      </c>
      <c r="BD539" s="10">
        <f t="shared" si="258"/>
        <v>0</v>
      </c>
      <c r="BE539" s="10">
        <v>47.82</v>
      </c>
      <c r="BF539" s="10">
        <v>22.15</v>
      </c>
      <c r="BG539" s="107">
        <v>46176</v>
      </c>
      <c r="BH539" s="107">
        <f t="shared" si="232"/>
        <v>46206</v>
      </c>
      <c r="BI539" s="23">
        <v>7</v>
      </c>
      <c r="BJ539" s="6"/>
      <c r="BK539" s="6"/>
      <c r="BL539" s="6">
        <f>VLOOKUP(A539,[2]Sheet1!$D$2:$H$933,5,0)</f>
        <v>0</v>
      </c>
      <c r="BM539" s="6" t="s">
        <v>3828</v>
      </c>
      <c r="BN539" s="6" t="s">
        <v>3829</v>
      </c>
      <c r="BO539" s="6" t="s">
        <v>3820</v>
      </c>
      <c r="BP539" s="6" t="s">
        <v>3821</v>
      </c>
      <c r="BQ539" s="6" t="s">
        <v>3830</v>
      </c>
      <c r="BR539" t="s">
        <v>3823</v>
      </c>
      <c r="BS539" t="s">
        <v>3824</v>
      </c>
      <c r="BT539" t="s">
        <v>3825</v>
      </c>
      <c r="BU539" t="s">
        <v>3826</v>
      </c>
      <c r="BV539" t="s">
        <v>3827</v>
      </c>
      <c r="BW539" t="s">
        <v>3835</v>
      </c>
      <c r="BX539">
        <v>0</v>
      </c>
      <c r="BY539" t="s">
        <v>3859</v>
      </c>
      <c r="BZ539" t="s">
        <v>3863</v>
      </c>
    </row>
    <row r="540" spans="1:78" x14ac:dyDescent="0.25">
      <c r="A540" s="7" t="s">
        <v>2239</v>
      </c>
      <c r="B540" s="7" t="s">
        <v>181</v>
      </c>
      <c r="C540" s="7" t="s">
        <v>2237</v>
      </c>
      <c r="D540" s="8" t="s">
        <v>2238</v>
      </c>
      <c r="E540" s="7" t="s">
        <v>1623</v>
      </c>
      <c r="F540" s="9">
        <v>44922</v>
      </c>
      <c r="G540" s="9" t="s">
        <v>65</v>
      </c>
      <c r="H540" s="9" t="s">
        <v>66</v>
      </c>
      <c r="I540" s="8" t="s">
        <v>67</v>
      </c>
      <c r="J540" s="10">
        <v>297.56</v>
      </c>
      <c r="K540" s="10">
        <v>297.56</v>
      </c>
      <c r="L540" s="10">
        <f t="shared" si="234"/>
        <v>0</v>
      </c>
      <c r="M540" s="10">
        <v>115.71</v>
      </c>
      <c r="N540" s="10">
        <v>115.71</v>
      </c>
      <c r="O540" s="10">
        <f t="shared" si="235"/>
        <v>0</v>
      </c>
      <c r="P540" s="11">
        <v>15750</v>
      </c>
      <c r="Q540" s="11">
        <v>40502.722323049005</v>
      </c>
      <c r="R540" s="11">
        <v>22000</v>
      </c>
      <c r="S540" s="11">
        <v>4686570</v>
      </c>
      <c r="T540" s="11">
        <v>562388</v>
      </c>
      <c r="U540" s="12">
        <f t="shared" si="236"/>
        <v>0.11999991464973317</v>
      </c>
      <c r="V540" s="13">
        <f t="shared" si="259"/>
        <v>0</v>
      </c>
      <c r="W540" s="10">
        <f t="shared" si="237"/>
        <v>0</v>
      </c>
      <c r="X540" s="10"/>
      <c r="Y540" s="10"/>
      <c r="Z540" s="11">
        <f t="shared" si="238"/>
        <v>4686570</v>
      </c>
      <c r="AA540" s="14"/>
      <c r="AB540" s="14"/>
      <c r="AC540" s="11">
        <f t="shared" si="239"/>
        <v>4686570</v>
      </c>
      <c r="AD540" s="10">
        <f t="shared" si="240"/>
        <v>300</v>
      </c>
      <c r="AE540" s="15">
        <v>34713</v>
      </c>
      <c r="AF540" s="16">
        <v>6248</v>
      </c>
      <c r="AG540" s="15">
        <f t="shared" si="241"/>
        <v>0</v>
      </c>
      <c r="AH540" s="15">
        <f t="shared" si="242"/>
        <v>0</v>
      </c>
      <c r="AI540" s="15">
        <f t="shared" si="243"/>
        <v>34713</v>
      </c>
      <c r="AJ540" s="15">
        <f t="shared" si="244"/>
        <v>6249</v>
      </c>
      <c r="AK540" s="10">
        <v>34713</v>
      </c>
      <c r="AL540" s="15">
        <f t="shared" si="245"/>
        <v>34713</v>
      </c>
      <c r="AM540" s="15">
        <f t="shared" si="246"/>
        <v>4721283</v>
      </c>
      <c r="AN540" s="15">
        <f t="shared" si="247"/>
        <v>568637</v>
      </c>
      <c r="AO540" s="15">
        <f t="shared" si="252"/>
        <v>616072</v>
      </c>
      <c r="AP540" s="17">
        <f t="shared" si="248"/>
        <v>5337355</v>
      </c>
      <c r="AQ540" s="15">
        <v>3086701</v>
      </c>
      <c r="AR540" s="15">
        <v>12722</v>
      </c>
      <c r="AS540" s="18">
        <f t="shared" si="253"/>
        <v>2250654</v>
      </c>
      <c r="AT540" s="19">
        <v>0</v>
      </c>
      <c r="AU540" s="8">
        <v>8800</v>
      </c>
      <c r="AV540" s="13">
        <f t="shared" si="254"/>
        <v>1018248</v>
      </c>
      <c r="AW540" s="18">
        <f t="shared" si="255"/>
        <v>4721283</v>
      </c>
      <c r="AX540" s="15">
        <f t="shared" si="249"/>
        <v>4722000</v>
      </c>
      <c r="AY540" s="20">
        <v>7.0000000000000007E-2</v>
      </c>
      <c r="AZ540" s="13">
        <f t="shared" si="250"/>
        <v>330540.00000000006</v>
      </c>
      <c r="BA540" s="15">
        <f t="shared" si="251"/>
        <v>330600</v>
      </c>
      <c r="BB540" s="21">
        <f t="shared" si="256"/>
        <v>2581254</v>
      </c>
      <c r="BC540" s="10">
        <f t="shared" si="257"/>
        <v>0</v>
      </c>
      <c r="BD540" s="10">
        <f t="shared" si="258"/>
        <v>0</v>
      </c>
      <c r="BE540" s="10">
        <v>27.64</v>
      </c>
      <c r="BF540" s="10">
        <v>10.75</v>
      </c>
      <c r="BG540" s="107">
        <v>46176</v>
      </c>
      <c r="BH540" s="107">
        <f t="shared" si="232"/>
        <v>46206</v>
      </c>
      <c r="BI540" s="23">
        <v>7</v>
      </c>
      <c r="BJ540" s="6"/>
      <c r="BK540" s="6"/>
      <c r="BL540" s="6">
        <f>VLOOKUP(A540,[2]Sheet1!$D$2:$H$933,5,0)</f>
        <v>0</v>
      </c>
      <c r="BM540" s="6" t="s">
        <v>3828</v>
      </c>
      <c r="BN540" s="6" t="s">
        <v>3829</v>
      </c>
      <c r="BO540" s="6" t="s">
        <v>3820</v>
      </c>
      <c r="BP540" s="6" t="s">
        <v>3821</v>
      </c>
      <c r="BQ540" s="6" t="s">
        <v>3830</v>
      </c>
      <c r="BR540" t="s">
        <v>3823</v>
      </c>
      <c r="BS540" t="s">
        <v>3824</v>
      </c>
      <c r="BT540" t="s">
        <v>3825</v>
      </c>
      <c r="BU540" t="s">
        <v>3826</v>
      </c>
      <c r="BV540" t="s">
        <v>3827</v>
      </c>
      <c r="BW540" t="s">
        <v>3835</v>
      </c>
      <c r="BX540">
        <v>0</v>
      </c>
      <c r="BY540" t="s">
        <v>3859</v>
      </c>
      <c r="BZ540" t="s">
        <v>3860</v>
      </c>
    </row>
    <row r="541" spans="1:78" x14ac:dyDescent="0.25">
      <c r="A541" s="7" t="s">
        <v>2242</v>
      </c>
      <c r="B541" s="7" t="s">
        <v>181</v>
      </c>
      <c r="C541" s="7" t="s">
        <v>2240</v>
      </c>
      <c r="D541" s="8" t="s">
        <v>2241</v>
      </c>
      <c r="E541" s="7" t="s">
        <v>2243</v>
      </c>
      <c r="F541" s="9">
        <v>45000</v>
      </c>
      <c r="G541" s="9" t="s">
        <v>363</v>
      </c>
      <c r="H541" s="9" t="s">
        <v>87</v>
      </c>
      <c r="I541" s="8" t="s">
        <v>67</v>
      </c>
      <c r="J541" s="10">
        <v>344.45</v>
      </c>
      <c r="K541" s="10">
        <v>344.45</v>
      </c>
      <c r="L541" s="10">
        <f t="shared" si="234"/>
        <v>0</v>
      </c>
      <c r="M541" s="10">
        <v>137.24</v>
      </c>
      <c r="N541" s="10">
        <v>137.24</v>
      </c>
      <c r="O541" s="10">
        <f t="shared" si="235"/>
        <v>0</v>
      </c>
      <c r="P541" s="11">
        <v>12451.998838728408</v>
      </c>
      <c r="Q541" s="11">
        <v>31252.484698338674</v>
      </c>
      <c r="R541" s="11">
        <v>40000</v>
      </c>
      <c r="S541" s="11">
        <v>4289091</v>
      </c>
      <c r="T541" s="11">
        <v>514692</v>
      </c>
      <c r="U541" s="12">
        <f t="shared" si="236"/>
        <v>0.12000025180160552</v>
      </c>
      <c r="V541" s="13">
        <f t="shared" si="259"/>
        <v>0</v>
      </c>
      <c r="W541" s="10">
        <f t="shared" si="237"/>
        <v>0</v>
      </c>
      <c r="X541" s="10"/>
      <c r="Y541" s="10"/>
      <c r="Z541" s="11">
        <f t="shared" si="238"/>
        <v>4289091</v>
      </c>
      <c r="AA541" s="14"/>
      <c r="AB541" s="14"/>
      <c r="AC541" s="11">
        <f t="shared" si="239"/>
        <v>4289091</v>
      </c>
      <c r="AD541" s="10">
        <f t="shared" si="240"/>
        <v>300</v>
      </c>
      <c r="AE541" s="15">
        <v>41172</v>
      </c>
      <c r="AF541" s="16">
        <v>7410</v>
      </c>
      <c r="AG541" s="15">
        <f t="shared" si="241"/>
        <v>0</v>
      </c>
      <c r="AH541" s="15">
        <f t="shared" si="242"/>
        <v>0</v>
      </c>
      <c r="AI541" s="15">
        <f t="shared" si="243"/>
        <v>41172</v>
      </c>
      <c r="AJ541" s="15">
        <f t="shared" si="244"/>
        <v>7411</v>
      </c>
      <c r="AK541" s="10">
        <v>41172</v>
      </c>
      <c r="AL541" s="15">
        <f t="shared" si="245"/>
        <v>41172</v>
      </c>
      <c r="AM541" s="15">
        <f t="shared" si="246"/>
        <v>4330263</v>
      </c>
      <c r="AN541" s="15">
        <f t="shared" si="247"/>
        <v>522103</v>
      </c>
      <c r="AO541" s="15">
        <f t="shared" si="252"/>
        <v>578030</v>
      </c>
      <c r="AP541" s="17">
        <f t="shared" si="248"/>
        <v>4908293</v>
      </c>
      <c r="AQ541" s="15">
        <v>1400000</v>
      </c>
      <c r="AR541" s="15">
        <v>14755</v>
      </c>
      <c r="AS541" s="18">
        <f t="shared" si="253"/>
        <v>3508293</v>
      </c>
      <c r="AT541" s="19">
        <v>0</v>
      </c>
      <c r="AU541" s="8">
        <v>8800</v>
      </c>
      <c r="AV541" s="13">
        <f t="shared" si="254"/>
        <v>1207712</v>
      </c>
      <c r="AW541" s="18">
        <f t="shared" si="255"/>
        <v>4330263</v>
      </c>
      <c r="AX541" s="15">
        <f t="shared" si="249"/>
        <v>4331000</v>
      </c>
      <c r="AY541" s="20">
        <v>0.05</v>
      </c>
      <c r="AZ541" s="13">
        <f t="shared" si="250"/>
        <v>216550</v>
      </c>
      <c r="BA541" s="15">
        <f t="shared" si="251"/>
        <v>216600</v>
      </c>
      <c r="BB541" s="21">
        <f t="shared" si="256"/>
        <v>3724893</v>
      </c>
      <c r="BC541" s="10">
        <f t="shared" si="257"/>
        <v>0</v>
      </c>
      <c r="BD541" s="10">
        <f t="shared" si="258"/>
        <v>0</v>
      </c>
      <c r="BE541" s="10">
        <v>32</v>
      </c>
      <c r="BF541" s="10">
        <v>12.75</v>
      </c>
      <c r="BG541" s="107">
        <v>46176</v>
      </c>
      <c r="BH541" s="107">
        <f t="shared" si="232"/>
        <v>46206</v>
      </c>
      <c r="BI541" s="23">
        <v>5</v>
      </c>
      <c r="BJ541" s="6"/>
      <c r="BK541" s="6"/>
      <c r="BL541" s="6">
        <f>VLOOKUP(A541,[2]Sheet1!$D$2:$H$933,5,0)</f>
        <v>0</v>
      </c>
      <c r="BM541" s="6" t="s">
        <v>3828</v>
      </c>
      <c r="BN541" s="6" t="s">
        <v>3829</v>
      </c>
      <c r="BO541" s="6" t="s">
        <v>3820</v>
      </c>
      <c r="BP541" s="6" t="s">
        <v>3821</v>
      </c>
      <c r="BQ541" s="6" t="s">
        <v>3830</v>
      </c>
      <c r="BR541" t="s">
        <v>3823</v>
      </c>
      <c r="BS541" t="s">
        <v>3824</v>
      </c>
      <c r="BT541" t="s">
        <v>3825</v>
      </c>
      <c r="BU541" t="s">
        <v>3826</v>
      </c>
      <c r="BV541" t="s">
        <v>3827</v>
      </c>
      <c r="BW541" t="s">
        <v>3835</v>
      </c>
      <c r="BX541">
        <v>0</v>
      </c>
      <c r="BY541" t="s">
        <v>3861</v>
      </c>
      <c r="BZ541" t="s">
        <v>3860</v>
      </c>
    </row>
    <row r="542" spans="1:78" x14ac:dyDescent="0.25">
      <c r="A542" s="7" t="s">
        <v>2246</v>
      </c>
      <c r="B542" s="7" t="s">
        <v>181</v>
      </c>
      <c r="C542" s="7" t="s">
        <v>2244</v>
      </c>
      <c r="D542" s="8" t="s">
        <v>2245</v>
      </c>
      <c r="E542" s="7" t="s">
        <v>1874</v>
      </c>
      <c r="F542" s="9">
        <v>44900</v>
      </c>
      <c r="G542" s="9" t="s">
        <v>527</v>
      </c>
      <c r="H542" s="9" t="s">
        <v>66</v>
      </c>
      <c r="I542" s="8" t="s">
        <v>78</v>
      </c>
      <c r="J542" s="10">
        <v>775.01</v>
      </c>
      <c r="K542" s="10">
        <v>775.01</v>
      </c>
      <c r="L542" s="10">
        <f t="shared" si="234"/>
        <v>0</v>
      </c>
      <c r="M542" s="10">
        <v>358.44</v>
      </c>
      <c r="N542" s="10">
        <v>358.44</v>
      </c>
      <c r="O542" s="10">
        <f t="shared" si="235"/>
        <v>0</v>
      </c>
      <c r="P542" s="11">
        <v>16190.000129030594</v>
      </c>
      <c r="Q542" s="11">
        <v>35005.613212811069</v>
      </c>
      <c r="R542" s="11">
        <v>22000</v>
      </c>
      <c r="S542" s="11">
        <v>12547412</v>
      </c>
      <c r="T542" s="11">
        <v>1505688</v>
      </c>
      <c r="U542" s="12">
        <f t="shared" si="236"/>
        <v>0.11999988523529792</v>
      </c>
      <c r="V542" s="13">
        <f t="shared" si="259"/>
        <v>0</v>
      </c>
      <c r="W542" s="10">
        <f t="shared" si="237"/>
        <v>0</v>
      </c>
      <c r="X542" s="10"/>
      <c r="Y542" s="10"/>
      <c r="Z542" s="11">
        <f t="shared" si="238"/>
        <v>12547412</v>
      </c>
      <c r="AA542" s="14"/>
      <c r="AB542" s="14"/>
      <c r="AC542" s="11">
        <f t="shared" si="239"/>
        <v>12547412</v>
      </c>
      <c r="AD542" s="10">
        <f t="shared" si="240"/>
        <v>300</v>
      </c>
      <c r="AE542" s="15">
        <v>107532</v>
      </c>
      <c r="AF542" s="16">
        <v>19356</v>
      </c>
      <c r="AG542" s="15">
        <f t="shared" si="241"/>
        <v>0</v>
      </c>
      <c r="AH542" s="15">
        <f t="shared" si="242"/>
        <v>0</v>
      </c>
      <c r="AI542" s="15">
        <f t="shared" si="243"/>
        <v>107532</v>
      </c>
      <c r="AJ542" s="15">
        <f t="shared" si="244"/>
        <v>19356</v>
      </c>
      <c r="AK542" s="10">
        <v>107532</v>
      </c>
      <c r="AL542" s="15">
        <f t="shared" si="245"/>
        <v>107532</v>
      </c>
      <c r="AM542" s="15">
        <f t="shared" si="246"/>
        <v>12654944</v>
      </c>
      <c r="AN542" s="15">
        <f t="shared" si="247"/>
        <v>1525044</v>
      </c>
      <c r="AO542" s="15">
        <f t="shared" si="252"/>
        <v>1643567</v>
      </c>
      <c r="AP542" s="17">
        <f t="shared" si="248"/>
        <v>14298511</v>
      </c>
      <c r="AQ542" s="15">
        <v>12628970</v>
      </c>
      <c r="AR542" s="15">
        <v>10991</v>
      </c>
      <c r="AS542" s="18">
        <f t="shared" si="253"/>
        <v>1669541</v>
      </c>
      <c r="AT542" s="19">
        <v>0</v>
      </c>
      <c r="AU542" s="8">
        <v>8800</v>
      </c>
      <c r="AV542" s="13">
        <f t="shared" si="254"/>
        <v>3154272</v>
      </c>
      <c r="AW542" s="18">
        <f t="shared" si="255"/>
        <v>12654944</v>
      </c>
      <c r="AX542" s="15">
        <f t="shared" si="249"/>
        <v>12655000</v>
      </c>
      <c r="AY542" s="20">
        <v>7.0000000000000007E-2</v>
      </c>
      <c r="AZ542" s="13">
        <f t="shared" si="250"/>
        <v>885850.00000000012</v>
      </c>
      <c r="BA542" s="15">
        <f t="shared" si="251"/>
        <v>885900</v>
      </c>
      <c r="BB542" s="21">
        <f t="shared" si="256"/>
        <v>2555441</v>
      </c>
      <c r="BC542" s="10">
        <f t="shared" si="257"/>
        <v>0</v>
      </c>
      <c r="BD542" s="10">
        <f t="shared" si="258"/>
        <v>0</v>
      </c>
      <c r="BE542" s="10">
        <v>72</v>
      </c>
      <c r="BF542" s="10">
        <v>33.299999999999997</v>
      </c>
      <c r="BG542" s="107">
        <v>46176</v>
      </c>
      <c r="BH542" s="107">
        <f t="shared" si="232"/>
        <v>46206</v>
      </c>
      <c r="BI542" s="23">
        <v>7</v>
      </c>
      <c r="BJ542" s="6"/>
      <c r="BK542" s="6"/>
      <c r="BL542" s="6">
        <f>VLOOKUP(A542,[2]Sheet1!$D$2:$H$933,5,0)</f>
        <v>0</v>
      </c>
      <c r="BM542" s="6" t="s">
        <v>3828</v>
      </c>
      <c r="BN542" s="6" t="s">
        <v>3829</v>
      </c>
      <c r="BO542" s="6" t="s">
        <v>3820</v>
      </c>
      <c r="BP542" s="6" t="s">
        <v>3821</v>
      </c>
      <c r="BQ542" s="6" t="s">
        <v>3830</v>
      </c>
      <c r="BR542" t="s">
        <v>3823</v>
      </c>
      <c r="BS542" t="s">
        <v>3824</v>
      </c>
      <c r="BT542" t="s">
        <v>3825</v>
      </c>
      <c r="BU542" t="s">
        <v>3826</v>
      </c>
      <c r="BV542" t="s">
        <v>3827</v>
      </c>
      <c r="BW542" t="s">
        <v>3835</v>
      </c>
      <c r="BX542">
        <v>0</v>
      </c>
      <c r="BY542" t="s">
        <v>3869</v>
      </c>
      <c r="BZ542" t="s">
        <v>3871</v>
      </c>
    </row>
    <row r="543" spans="1:78" x14ac:dyDescent="0.25">
      <c r="A543" s="7" t="s">
        <v>2249</v>
      </c>
      <c r="B543" s="7" t="s">
        <v>181</v>
      </c>
      <c r="C543" s="7" t="s">
        <v>2247</v>
      </c>
      <c r="D543" s="8" t="s">
        <v>2248</v>
      </c>
      <c r="E543" s="7" t="s">
        <v>1874</v>
      </c>
      <c r="F543" s="9">
        <v>44900</v>
      </c>
      <c r="G543" s="9" t="s">
        <v>527</v>
      </c>
      <c r="H543" s="9" t="s">
        <v>66</v>
      </c>
      <c r="I543" s="8" t="s">
        <v>78</v>
      </c>
      <c r="J543" s="10">
        <v>775.01</v>
      </c>
      <c r="K543" s="10">
        <v>775.01</v>
      </c>
      <c r="L543" s="10">
        <f t="shared" si="234"/>
        <v>0</v>
      </c>
      <c r="M543" s="10">
        <v>358.44</v>
      </c>
      <c r="N543" s="10">
        <v>358.44</v>
      </c>
      <c r="O543" s="10">
        <f t="shared" si="235"/>
        <v>0</v>
      </c>
      <c r="P543" s="11">
        <v>16190.000129030594</v>
      </c>
      <c r="Q543" s="11">
        <v>35005.613212811069</v>
      </c>
      <c r="R543" s="11">
        <v>22000</v>
      </c>
      <c r="S543" s="11">
        <v>12547412</v>
      </c>
      <c r="T543" s="11">
        <v>1505688</v>
      </c>
      <c r="U543" s="12">
        <f t="shared" si="236"/>
        <v>0.11999988523529792</v>
      </c>
      <c r="V543" s="13">
        <f t="shared" si="259"/>
        <v>0</v>
      </c>
      <c r="W543" s="10">
        <f t="shared" si="237"/>
        <v>0</v>
      </c>
      <c r="X543" s="10"/>
      <c r="Y543" s="10"/>
      <c r="Z543" s="11">
        <f t="shared" si="238"/>
        <v>12547412</v>
      </c>
      <c r="AA543" s="14"/>
      <c r="AB543" s="14"/>
      <c r="AC543" s="11">
        <f t="shared" si="239"/>
        <v>12547412</v>
      </c>
      <c r="AD543" s="10">
        <f t="shared" si="240"/>
        <v>300</v>
      </c>
      <c r="AE543" s="15">
        <v>107532</v>
      </c>
      <c r="AF543" s="16">
        <v>19356</v>
      </c>
      <c r="AG543" s="15">
        <f t="shared" si="241"/>
        <v>0</v>
      </c>
      <c r="AH543" s="15">
        <f t="shared" si="242"/>
        <v>0</v>
      </c>
      <c r="AI543" s="15">
        <f t="shared" si="243"/>
        <v>107532</v>
      </c>
      <c r="AJ543" s="15">
        <f t="shared" si="244"/>
        <v>19356</v>
      </c>
      <c r="AK543" s="10">
        <v>107532</v>
      </c>
      <c r="AL543" s="15">
        <f t="shared" si="245"/>
        <v>107532</v>
      </c>
      <c r="AM543" s="15">
        <f t="shared" si="246"/>
        <v>12654944</v>
      </c>
      <c r="AN543" s="15">
        <f t="shared" si="247"/>
        <v>1525044</v>
      </c>
      <c r="AO543" s="15">
        <f t="shared" si="252"/>
        <v>1643588</v>
      </c>
      <c r="AP543" s="17">
        <f t="shared" si="248"/>
        <v>14298532</v>
      </c>
      <c r="AQ543" s="15">
        <v>12628970</v>
      </c>
      <c r="AR543" s="15">
        <v>11012</v>
      </c>
      <c r="AS543" s="18">
        <f t="shared" si="253"/>
        <v>1669562</v>
      </c>
      <c r="AT543" s="19">
        <v>0</v>
      </c>
      <c r="AU543" s="8">
        <v>8800</v>
      </c>
      <c r="AV543" s="13">
        <f t="shared" si="254"/>
        <v>3154272</v>
      </c>
      <c r="AW543" s="18">
        <f t="shared" si="255"/>
        <v>12654944</v>
      </c>
      <c r="AX543" s="15">
        <f t="shared" si="249"/>
        <v>12655000</v>
      </c>
      <c r="AY543" s="20">
        <v>7.0000000000000007E-2</v>
      </c>
      <c r="AZ543" s="13">
        <f t="shared" si="250"/>
        <v>885850.00000000012</v>
      </c>
      <c r="BA543" s="15">
        <f t="shared" si="251"/>
        <v>885900</v>
      </c>
      <c r="BB543" s="21">
        <f t="shared" si="256"/>
        <v>2555462</v>
      </c>
      <c r="BC543" s="10">
        <f t="shared" si="257"/>
        <v>0</v>
      </c>
      <c r="BD543" s="10">
        <f t="shared" si="258"/>
        <v>0</v>
      </c>
      <c r="BE543" s="10">
        <v>72</v>
      </c>
      <c r="BF543" s="10">
        <v>33.299999999999997</v>
      </c>
      <c r="BG543" s="107">
        <v>46176</v>
      </c>
      <c r="BH543" s="107">
        <f t="shared" si="232"/>
        <v>46206</v>
      </c>
      <c r="BI543" s="23">
        <v>7</v>
      </c>
      <c r="BJ543" s="6"/>
      <c r="BK543" s="6"/>
      <c r="BL543" s="6">
        <f>VLOOKUP(A543,[2]Sheet1!$D$2:$H$933,5,0)</f>
        <v>0</v>
      </c>
      <c r="BM543" s="6" t="s">
        <v>3828</v>
      </c>
      <c r="BN543" s="6" t="s">
        <v>3829</v>
      </c>
      <c r="BO543" s="6" t="s">
        <v>3820</v>
      </c>
      <c r="BP543" s="6" t="s">
        <v>3821</v>
      </c>
      <c r="BQ543" s="6" t="s">
        <v>3830</v>
      </c>
      <c r="BR543" t="s">
        <v>3823</v>
      </c>
      <c r="BS543" t="s">
        <v>3824</v>
      </c>
      <c r="BT543" t="s">
        <v>3825</v>
      </c>
      <c r="BU543" t="s">
        <v>3826</v>
      </c>
      <c r="BV543" t="s">
        <v>3827</v>
      </c>
      <c r="BW543" t="s">
        <v>3835</v>
      </c>
      <c r="BX543">
        <v>0</v>
      </c>
      <c r="BY543" t="s">
        <v>3869</v>
      </c>
      <c r="BZ543" t="s">
        <v>3871</v>
      </c>
    </row>
    <row r="544" spans="1:78" x14ac:dyDescent="0.25">
      <c r="A544" s="7" t="s">
        <v>2252</v>
      </c>
      <c r="B544" s="7" t="s">
        <v>181</v>
      </c>
      <c r="C544" s="7" t="s">
        <v>2250</v>
      </c>
      <c r="D544" s="8" t="s">
        <v>2251</v>
      </c>
      <c r="E544" s="7" t="s">
        <v>2253</v>
      </c>
      <c r="F544" s="9">
        <v>44900</v>
      </c>
      <c r="G544" s="9" t="s">
        <v>527</v>
      </c>
      <c r="H544" s="9" t="s">
        <v>72</v>
      </c>
      <c r="I544" s="8" t="s">
        <v>78</v>
      </c>
      <c r="J544" s="10">
        <v>652.29999999999995</v>
      </c>
      <c r="K544" s="10">
        <v>652.29999999999995</v>
      </c>
      <c r="L544" s="10">
        <f t="shared" si="234"/>
        <v>0</v>
      </c>
      <c r="M544" s="10">
        <v>293.86</v>
      </c>
      <c r="N544" s="10">
        <v>293.86</v>
      </c>
      <c r="O544" s="10">
        <f t="shared" si="235"/>
        <v>0</v>
      </c>
      <c r="P544" s="11">
        <v>12110</v>
      </c>
      <c r="Q544" s="11">
        <v>26881.348261076702</v>
      </c>
      <c r="R544" s="11">
        <v>20000</v>
      </c>
      <c r="S544" s="11">
        <v>7899353</v>
      </c>
      <c r="T544" s="11">
        <v>947924</v>
      </c>
      <c r="U544" s="12">
        <f t="shared" si="236"/>
        <v>0.12000020761193986</v>
      </c>
      <c r="V544" s="13">
        <f t="shared" si="259"/>
        <v>0</v>
      </c>
      <c r="W544" s="10">
        <f t="shared" si="237"/>
        <v>0</v>
      </c>
      <c r="X544" s="10"/>
      <c r="Y544" s="10"/>
      <c r="Z544" s="11">
        <f t="shared" si="238"/>
        <v>7899353</v>
      </c>
      <c r="AA544" s="14"/>
      <c r="AB544" s="14"/>
      <c r="AC544" s="11">
        <f t="shared" si="239"/>
        <v>7899353</v>
      </c>
      <c r="AD544" s="10">
        <f t="shared" si="240"/>
        <v>300</v>
      </c>
      <c r="AE544" s="15">
        <v>88158</v>
      </c>
      <c r="AF544" s="16">
        <v>15868</v>
      </c>
      <c r="AG544" s="15">
        <f t="shared" si="241"/>
        <v>0</v>
      </c>
      <c r="AH544" s="15">
        <f t="shared" si="242"/>
        <v>0</v>
      </c>
      <c r="AI544" s="15">
        <f t="shared" si="243"/>
        <v>88158</v>
      </c>
      <c r="AJ544" s="15">
        <f t="shared" si="244"/>
        <v>15869</v>
      </c>
      <c r="AK544" s="10">
        <v>88158</v>
      </c>
      <c r="AL544" s="15">
        <f t="shared" si="245"/>
        <v>88158</v>
      </c>
      <c r="AM544" s="15">
        <f t="shared" si="246"/>
        <v>7987511</v>
      </c>
      <c r="AN544" s="15">
        <f t="shared" si="247"/>
        <v>963793</v>
      </c>
      <c r="AO544" s="15">
        <f t="shared" si="252"/>
        <v>1067052</v>
      </c>
      <c r="AP544" s="17">
        <f t="shared" si="248"/>
        <v>9054563</v>
      </c>
      <c r="AQ544" s="15">
        <v>5491693</v>
      </c>
      <c r="AR544" s="15">
        <v>15101</v>
      </c>
      <c r="AS544" s="18">
        <f t="shared" si="253"/>
        <v>3562870</v>
      </c>
      <c r="AT544" s="19">
        <v>0</v>
      </c>
      <c r="AU544" s="8">
        <v>8800</v>
      </c>
      <c r="AV544" s="13">
        <f t="shared" si="254"/>
        <v>2585968</v>
      </c>
      <c r="AW544" s="18">
        <f t="shared" si="255"/>
        <v>7987511</v>
      </c>
      <c r="AX544" s="15">
        <f t="shared" si="249"/>
        <v>7988000</v>
      </c>
      <c r="AY544" s="20">
        <v>7.0000000000000007E-2</v>
      </c>
      <c r="AZ544" s="13">
        <f t="shared" si="250"/>
        <v>559160</v>
      </c>
      <c r="BA544" s="15">
        <f t="shared" si="251"/>
        <v>559200</v>
      </c>
      <c r="BB544" s="21">
        <f t="shared" si="256"/>
        <v>4122070</v>
      </c>
      <c r="BC544" s="10">
        <f t="shared" si="257"/>
        <v>0</v>
      </c>
      <c r="BD544" s="10">
        <f t="shared" si="258"/>
        <v>0</v>
      </c>
      <c r="BE544" s="10">
        <v>60.6</v>
      </c>
      <c r="BF544" s="10">
        <v>27.3</v>
      </c>
      <c r="BG544" s="107">
        <v>46176</v>
      </c>
      <c r="BH544" s="107">
        <f t="shared" si="232"/>
        <v>46206</v>
      </c>
      <c r="BI544" s="23">
        <v>7</v>
      </c>
      <c r="BJ544" s="6"/>
      <c r="BK544" s="6"/>
      <c r="BL544" s="6">
        <f>VLOOKUP(A544,[2]Sheet1!$D$2:$H$933,5,0)</f>
        <v>0</v>
      </c>
      <c r="BM544" s="6" t="s">
        <v>3828</v>
      </c>
      <c r="BN544" s="6" t="s">
        <v>3829</v>
      </c>
      <c r="BO544" s="6" t="s">
        <v>3820</v>
      </c>
      <c r="BP544" s="6" t="s">
        <v>3821</v>
      </c>
      <c r="BQ544" s="6" t="s">
        <v>3830</v>
      </c>
      <c r="BR544" t="s">
        <v>3823</v>
      </c>
      <c r="BS544" t="s">
        <v>3824</v>
      </c>
      <c r="BT544" t="s">
        <v>3825</v>
      </c>
      <c r="BU544" t="s">
        <v>3826</v>
      </c>
      <c r="BV544" t="s">
        <v>3827</v>
      </c>
      <c r="BW544" t="s">
        <v>3835</v>
      </c>
      <c r="BX544">
        <v>0</v>
      </c>
      <c r="BY544" t="s">
        <v>3869</v>
      </c>
      <c r="BZ544" t="s">
        <v>3871</v>
      </c>
    </row>
    <row r="545" spans="1:78" x14ac:dyDescent="0.25">
      <c r="A545" s="7" t="s">
        <v>2256</v>
      </c>
      <c r="B545" s="7" t="s">
        <v>181</v>
      </c>
      <c r="C545" s="7" t="s">
        <v>2254</v>
      </c>
      <c r="D545" s="8" t="s">
        <v>2255</v>
      </c>
      <c r="E545" s="7" t="s">
        <v>2257</v>
      </c>
      <c r="F545" s="9">
        <v>44901</v>
      </c>
      <c r="G545" s="9" t="s">
        <v>527</v>
      </c>
      <c r="H545" s="9" t="s">
        <v>87</v>
      </c>
      <c r="I545" s="8" t="s">
        <v>67</v>
      </c>
      <c r="J545" s="10">
        <v>224.85</v>
      </c>
      <c r="K545" s="10">
        <v>224.85</v>
      </c>
      <c r="L545" s="10">
        <f t="shared" si="234"/>
        <v>0</v>
      </c>
      <c r="M545" s="10">
        <v>89.34</v>
      </c>
      <c r="N545" s="10">
        <v>89.34</v>
      </c>
      <c r="O545" s="10">
        <f t="shared" si="235"/>
        <v>0</v>
      </c>
      <c r="P545" s="11">
        <v>20604.998888147653</v>
      </c>
      <c r="Q545" s="11">
        <v>51858.450861875979</v>
      </c>
      <c r="R545" s="11">
        <v>40000</v>
      </c>
      <c r="S545" s="11">
        <v>4633034</v>
      </c>
      <c r="T545" s="11">
        <v>555966</v>
      </c>
      <c r="U545" s="12">
        <f t="shared" si="236"/>
        <v>0.12000041441526223</v>
      </c>
      <c r="V545" s="13">
        <f t="shared" si="259"/>
        <v>0</v>
      </c>
      <c r="W545" s="10">
        <f t="shared" si="237"/>
        <v>0</v>
      </c>
      <c r="X545" s="10"/>
      <c r="Y545" s="10"/>
      <c r="Z545" s="11">
        <f t="shared" si="238"/>
        <v>4633034</v>
      </c>
      <c r="AA545" s="14">
        <v>593474</v>
      </c>
      <c r="AB545" s="14">
        <v>71216</v>
      </c>
      <c r="AC545" s="11">
        <f t="shared" si="239"/>
        <v>4039560</v>
      </c>
      <c r="AD545" s="10">
        <f t="shared" si="240"/>
        <v>300</v>
      </c>
      <c r="AE545" s="15">
        <v>26802</v>
      </c>
      <c r="AF545" s="16">
        <v>4824</v>
      </c>
      <c r="AG545" s="15">
        <f t="shared" si="241"/>
        <v>0</v>
      </c>
      <c r="AH545" s="15">
        <f t="shared" si="242"/>
        <v>0</v>
      </c>
      <c r="AI545" s="15">
        <f t="shared" si="243"/>
        <v>26802</v>
      </c>
      <c r="AJ545" s="15">
        <f t="shared" si="244"/>
        <v>4825</v>
      </c>
      <c r="AK545" s="10">
        <v>26802</v>
      </c>
      <c r="AL545" s="15">
        <f t="shared" si="245"/>
        <v>26802</v>
      </c>
      <c r="AM545" s="15">
        <f t="shared" si="246"/>
        <v>4066362</v>
      </c>
      <c r="AN545" s="15">
        <f t="shared" si="247"/>
        <v>489575</v>
      </c>
      <c r="AO545" s="15">
        <f t="shared" si="252"/>
        <v>525277</v>
      </c>
      <c r="AP545" s="17">
        <f t="shared" si="248"/>
        <v>4591639</v>
      </c>
      <c r="AQ545" s="15">
        <v>3340720</v>
      </c>
      <c r="AR545" s="15">
        <v>8900</v>
      </c>
      <c r="AS545" s="18">
        <f t="shared" si="253"/>
        <v>1250919</v>
      </c>
      <c r="AT545" s="19">
        <v>0</v>
      </c>
      <c r="AU545" s="8">
        <v>8800</v>
      </c>
      <c r="AV545" s="13">
        <f t="shared" si="254"/>
        <v>786192</v>
      </c>
      <c r="AW545" s="18">
        <f t="shared" si="255"/>
        <v>4066362</v>
      </c>
      <c r="AX545" s="15">
        <f t="shared" si="249"/>
        <v>4067000</v>
      </c>
      <c r="AY545" s="20">
        <v>0.05</v>
      </c>
      <c r="AZ545" s="13">
        <f t="shared" si="250"/>
        <v>203350</v>
      </c>
      <c r="BA545" s="15">
        <f t="shared" si="251"/>
        <v>203400</v>
      </c>
      <c r="BB545" s="21">
        <f t="shared" si="256"/>
        <v>1454319</v>
      </c>
      <c r="BC545" s="10">
        <f t="shared" si="257"/>
        <v>0</v>
      </c>
      <c r="BD545" s="10">
        <f t="shared" si="258"/>
        <v>0</v>
      </c>
      <c r="BE545" s="10">
        <v>20.89</v>
      </c>
      <c r="BF545" s="10">
        <v>8.3000000000000007</v>
      </c>
      <c r="BG545" s="107">
        <v>46176</v>
      </c>
      <c r="BH545" s="107">
        <f t="shared" si="232"/>
        <v>46206</v>
      </c>
      <c r="BI545" s="23">
        <v>5</v>
      </c>
      <c r="BJ545" s="6"/>
      <c r="BK545" s="6"/>
      <c r="BL545" s="6">
        <f>VLOOKUP(A545,[2]Sheet1!$D$2:$H$933,5,0)</f>
        <v>0</v>
      </c>
      <c r="BM545" s="6" t="s">
        <v>3828</v>
      </c>
      <c r="BN545" s="6" t="s">
        <v>3829</v>
      </c>
      <c r="BO545" s="6" t="s">
        <v>3820</v>
      </c>
      <c r="BP545" s="6" t="s">
        <v>3821</v>
      </c>
      <c r="BQ545" s="6" t="s">
        <v>3830</v>
      </c>
      <c r="BR545" t="s">
        <v>3823</v>
      </c>
      <c r="BS545" t="s">
        <v>3824</v>
      </c>
      <c r="BT545" t="s">
        <v>3825</v>
      </c>
      <c r="BU545" t="s">
        <v>3826</v>
      </c>
      <c r="BV545" t="s">
        <v>3827</v>
      </c>
      <c r="BW545" t="s">
        <v>3835</v>
      </c>
      <c r="BX545">
        <v>0</v>
      </c>
      <c r="BY545" t="s">
        <v>3867</v>
      </c>
      <c r="BZ545" t="s">
        <v>3871</v>
      </c>
    </row>
    <row r="546" spans="1:78" x14ac:dyDescent="0.25">
      <c r="A546" s="7" t="s">
        <v>2260</v>
      </c>
      <c r="B546" s="7" t="s">
        <v>181</v>
      </c>
      <c r="C546" s="7" t="s">
        <v>2258</v>
      </c>
      <c r="D546" s="8" t="s">
        <v>2259</v>
      </c>
      <c r="E546" s="7" t="s">
        <v>2261</v>
      </c>
      <c r="F546" s="9">
        <v>44866</v>
      </c>
      <c r="G546" s="9" t="s">
        <v>527</v>
      </c>
      <c r="H546" s="9" t="s">
        <v>72</v>
      </c>
      <c r="I546" s="8" t="s">
        <v>78</v>
      </c>
      <c r="J546" s="10">
        <v>953.69</v>
      </c>
      <c r="K546" s="10">
        <v>953.69</v>
      </c>
      <c r="L546" s="10">
        <f t="shared" si="234"/>
        <v>0</v>
      </c>
      <c r="M546" s="10">
        <v>432.17</v>
      </c>
      <c r="N546" s="10">
        <v>432.17</v>
      </c>
      <c r="O546" s="10">
        <f t="shared" si="235"/>
        <v>0</v>
      </c>
      <c r="P546" s="11">
        <v>7999.9999999999991</v>
      </c>
      <c r="Q546" s="11">
        <v>17653.978758358979</v>
      </c>
      <c r="R546" s="11">
        <v>20000</v>
      </c>
      <c r="S546" s="11">
        <v>7629520</v>
      </c>
      <c r="T546" s="11">
        <v>915544</v>
      </c>
      <c r="U546" s="12">
        <f t="shared" si="236"/>
        <v>0.1200002097117512</v>
      </c>
      <c r="V546" s="13">
        <f t="shared" si="259"/>
        <v>0</v>
      </c>
      <c r="W546" s="10">
        <f t="shared" si="237"/>
        <v>0</v>
      </c>
      <c r="X546" s="10"/>
      <c r="Y546" s="10"/>
      <c r="Z546" s="11">
        <f t="shared" si="238"/>
        <v>7629520</v>
      </c>
      <c r="AA546" s="14"/>
      <c r="AB546" s="14"/>
      <c r="AC546" s="11">
        <f t="shared" si="239"/>
        <v>7629520</v>
      </c>
      <c r="AD546" s="10">
        <f t="shared" si="240"/>
        <v>300</v>
      </c>
      <c r="AE546" s="15">
        <v>129651</v>
      </c>
      <c r="AF546" s="16">
        <v>23338</v>
      </c>
      <c r="AG546" s="15">
        <f t="shared" si="241"/>
        <v>0</v>
      </c>
      <c r="AH546" s="15">
        <f t="shared" si="242"/>
        <v>0</v>
      </c>
      <c r="AI546" s="15">
        <f t="shared" si="243"/>
        <v>129651</v>
      </c>
      <c r="AJ546" s="15">
        <f t="shared" si="244"/>
        <v>23338</v>
      </c>
      <c r="AK546" s="10">
        <v>129651</v>
      </c>
      <c r="AL546" s="15">
        <f t="shared" si="245"/>
        <v>129651</v>
      </c>
      <c r="AM546" s="15">
        <f t="shared" si="246"/>
        <v>7759171</v>
      </c>
      <c r="AN546" s="15">
        <f t="shared" si="247"/>
        <v>938882</v>
      </c>
      <c r="AO546" s="15">
        <f t="shared" si="252"/>
        <v>1079975</v>
      </c>
      <c r="AP546" s="17">
        <f t="shared" si="248"/>
        <v>8839146</v>
      </c>
      <c r="AQ546" s="15">
        <v>7621893</v>
      </c>
      <c r="AR546" s="15">
        <v>11442</v>
      </c>
      <c r="AS546" s="18">
        <f t="shared" si="253"/>
        <v>1217253</v>
      </c>
      <c r="AT546" s="19">
        <v>0</v>
      </c>
      <c r="AU546" s="8">
        <v>8800</v>
      </c>
      <c r="AV546" s="13">
        <f t="shared" si="254"/>
        <v>3803096</v>
      </c>
      <c r="AW546" s="18">
        <f t="shared" si="255"/>
        <v>7759171</v>
      </c>
      <c r="AX546" s="15">
        <f t="shared" si="249"/>
        <v>7760000</v>
      </c>
      <c r="AY546" s="20">
        <v>0.06</v>
      </c>
      <c r="AZ546" s="13">
        <f t="shared" si="250"/>
        <v>465600</v>
      </c>
      <c r="BA546" s="15">
        <f t="shared" si="251"/>
        <v>465600</v>
      </c>
      <c r="BB546" s="21">
        <f t="shared" si="256"/>
        <v>1682853</v>
      </c>
      <c r="BC546" s="10">
        <f t="shared" si="257"/>
        <v>0</v>
      </c>
      <c r="BD546" s="10">
        <f t="shared" si="258"/>
        <v>0</v>
      </c>
      <c r="BE546" s="10">
        <v>88.6</v>
      </c>
      <c r="BF546" s="10">
        <v>40.15</v>
      </c>
      <c r="BG546" s="107">
        <v>46176</v>
      </c>
      <c r="BH546" s="107">
        <f t="shared" si="232"/>
        <v>46206</v>
      </c>
      <c r="BI546" s="23">
        <v>6</v>
      </c>
      <c r="BJ546" s="6"/>
      <c r="BK546" s="6"/>
      <c r="BL546" s="6">
        <f>VLOOKUP(A546,[2]Sheet1!$D$2:$H$933,5,0)</f>
        <v>0</v>
      </c>
      <c r="BM546" s="6" t="s">
        <v>3828</v>
      </c>
      <c r="BN546" s="6" t="s">
        <v>3829</v>
      </c>
      <c r="BO546" s="6" t="s">
        <v>3820</v>
      </c>
      <c r="BP546" s="6" t="s">
        <v>3821</v>
      </c>
      <c r="BQ546" s="6" t="s">
        <v>3830</v>
      </c>
      <c r="BR546" t="s">
        <v>3823</v>
      </c>
      <c r="BS546" t="s">
        <v>3824</v>
      </c>
      <c r="BT546" t="s">
        <v>3825</v>
      </c>
      <c r="BU546" t="s">
        <v>3826</v>
      </c>
      <c r="BV546" t="s">
        <v>3827</v>
      </c>
      <c r="BW546" t="s">
        <v>3835</v>
      </c>
      <c r="BX546" s="101">
        <v>904922.10815999995</v>
      </c>
      <c r="BY546" t="s">
        <v>3861</v>
      </c>
      <c r="BZ546" t="s">
        <v>3871</v>
      </c>
    </row>
    <row r="547" spans="1:78" x14ac:dyDescent="0.25">
      <c r="A547" s="7" t="s">
        <v>2264</v>
      </c>
      <c r="B547" s="7" t="s">
        <v>181</v>
      </c>
      <c r="C547" s="7" t="s">
        <v>2262</v>
      </c>
      <c r="D547" s="8" t="s">
        <v>2263</v>
      </c>
      <c r="E547" s="7" t="s">
        <v>818</v>
      </c>
      <c r="F547" s="9">
        <v>44899</v>
      </c>
      <c r="G547" s="9" t="s">
        <v>527</v>
      </c>
      <c r="H547" s="9" t="s">
        <v>66</v>
      </c>
      <c r="I547" s="8" t="s">
        <v>67</v>
      </c>
      <c r="J547" s="10">
        <v>281.06</v>
      </c>
      <c r="K547" s="10">
        <v>281.06</v>
      </c>
      <c r="L547" s="10">
        <f t="shared" si="234"/>
        <v>0</v>
      </c>
      <c r="M547" s="10">
        <v>114.1</v>
      </c>
      <c r="N547" s="10">
        <v>114.1</v>
      </c>
      <c r="O547" s="10">
        <f t="shared" si="235"/>
        <v>0</v>
      </c>
      <c r="P547" s="11">
        <v>22179.00092506938</v>
      </c>
      <c r="Q547" s="11">
        <v>54633.0411919369</v>
      </c>
      <c r="R547" s="11">
        <v>22000</v>
      </c>
      <c r="S547" s="11">
        <v>6233630</v>
      </c>
      <c r="T547" s="11">
        <v>748036</v>
      </c>
      <c r="U547" s="12">
        <f t="shared" si="236"/>
        <v>0.12000006416806901</v>
      </c>
      <c r="V547" s="13">
        <f t="shared" si="259"/>
        <v>0</v>
      </c>
      <c r="W547" s="10">
        <f t="shared" si="237"/>
        <v>0</v>
      </c>
      <c r="X547" s="10"/>
      <c r="Y547" s="10"/>
      <c r="Z547" s="11">
        <f t="shared" si="238"/>
        <v>6233630</v>
      </c>
      <c r="AA547" s="14"/>
      <c r="AB547" s="14"/>
      <c r="AC547" s="11">
        <f t="shared" si="239"/>
        <v>6233630</v>
      </c>
      <c r="AD547" s="10">
        <f t="shared" si="240"/>
        <v>300</v>
      </c>
      <c r="AE547" s="15">
        <v>34230</v>
      </c>
      <c r="AF547" s="16">
        <v>6162</v>
      </c>
      <c r="AG547" s="15">
        <f t="shared" si="241"/>
        <v>0</v>
      </c>
      <c r="AH547" s="15">
        <f t="shared" si="242"/>
        <v>0</v>
      </c>
      <c r="AI547" s="15">
        <f t="shared" si="243"/>
        <v>34230</v>
      </c>
      <c r="AJ547" s="15">
        <f t="shared" si="244"/>
        <v>6162</v>
      </c>
      <c r="AK547" s="10">
        <v>34230</v>
      </c>
      <c r="AL547" s="15">
        <f t="shared" si="245"/>
        <v>34230</v>
      </c>
      <c r="AM547" s="15">
        <f t="shared" si="246"/>
        <v>6267860</v>
      </c>
      <c r="AN547" s="15">
        <f t="shared" si="247"/>
        <v>754198</v>
      </c>
      <c r="AO547" s="15">
        <f t="shared" si="252"/>
        <v>802555</v>
      </c>
      <c r="AP547" s="17">
        <f t="shared" si="248"/>
        <v>7070415</v>
      </c>
      <c r="AQ547" s="15">
        <v>3490833</v>
      </c>
      <c r="AR547" s="15">
        <v>14127</v>
      </c>
      <c r="AS547" s="18">
        <f t="shared" si="253"/>
        <v>3579582</v>
      </c>
      <c r="AT547" s="19">
        <v>0</v>
      </c>
      <c r="AU547" s="8">
        <v>8800</v>
      </c>
      <c r="AV547" s="13">
        <f t="shared" si="254"/>
        <v>1004080</v>
      </c>
      <c r="AW547" s="18">
        <f t="shared" si="255"/>
        <v>6267860</v>
      </c>
      <c r="AX547" s="15">
        <f t="shared" si="249"/>
        <v>6268000</v>
      </c>
      <c r="AY547" s="20">
        <v>0.06</v>
      </c>
      <c r="AZ547" s="13">
        <f t="shared" si="250"/>
        <v>376080</v>
      </c>
      <c r="BA547" s="15">
        <f t="shared" si="251"/>
        <v>376100</v>
      </c>
      <c r="BB547" s="21">
        <f t="shared" si="256"/>
        <v>3955682</v>
      </c>
      <c r="BC547" s="10">
        <f t="shared" si="257"/>
        <v>0</v>
      </c>
      <c r="BD547" s="10">
        <f t="shared" si="258"/>
        <v>0</v>
      </c>
      <c r="BE547" s="10">
        <v>26.11</v>
      </c>
      <c r="BF547" s="10">
        <v>10.6</v>
      </c>
      <c r="BG547" s="107">
        <v>46176</v>
      </c>
      <c r="BH547" s="107">
        <f t="shared" si="232"/>
        <v>46206</v>
      </c>
      <c r="BI547" s="23">
        <v>6</v>
      </c>
      <c r="BJ547" s="6"/>
      <c r="BK547" s="6"/>
      <c r="BL547" s="6">
        <f>VLOOKUP(A547,[2]Sheet1!$D$2:$H$933,5,0)</f>
        <v>0</v>
      </c>
      <c r="BM547" s="6" t="s">
        <v>3828</v>
      </c>
      <c r="BN547" s="6" t="s">
        <v>3829</v>
      </c>
      <c r="BO547" s="6" t="s">
        <v>3820</v>
      </c>
      <c r="BP547" s="6" t="s">
        <v>3821</v>
      </c>
      <c r="BQ547" s="6" t="s">
        <v>3830</v>
      </c>
      <c r="BR547" t="s">
        <v>3823</v>
      </c>
      <c r="BS547" t="s">
        <v>3824</v>
      </c>
      <c r="BT547" t="s">
        <v>3825</v>
      </c>
      <c r="BU547" t="s">
        <v>3826</v>
      </c>
      <c r="BV547" t="s">
        <v>3827</v>
      </c>
      <c r="BW547" t="s">
        <v>3835</v>
      </c>
      <c r="BX547">
        <v>0</v>
      </c>
      <c r="BY547" t="s">
        <v>3861</v>
      </c>
      <c r="BZ547" t="s">
        <v>3871</v>
      </c>
    </row>
    <row r="548" spans="1:78" x14ac:dyDescent="0.25">
      <c r="A548" s="7" t="s">
        <v>2267</v>
      </c>
      <c r="B548" s="7" t="s">
        <v>181</v>
      </c>
      <c r="C548" s="7" t="s">
        <v>2265</v>
      </c>
      <c r="D548" s="8" t="s">
        <v>2266</v>
      </c>
      <c r="E548" s="7" t="s">
        <v>2268</v>
      </c>
      <c r="F548" s="9">
        <v>44995</v>
      </c>
      <c r="G548" s="9" t="s">
        <v>717</v>
      </c>
      <c r="H548" s="9" t="s">
        <v>66</v>
      </c>
      <c r="I548" s="8" t="s">
        <v>78</v>
      </c>
      <c r="J548" s="10">
        <v>596.33000000000004</v>
      </c>
      <c r="K548" s="10">
        <v>679</v>
      </c>
      <c r="L548" s="10">
        <f t="shared" si="234"/>
        <v>82.669999999999959</v>
      </c>
      <c r="M548" s="10">
        <v>266.95</v>
      </c>
      <c r="N548" s="10">
        <v>305</v>
      </c>
      <c r="O548" s="10">
        <f t="shared" si="235"/>
        <v>38.050000000000011</v>
      </c>
      <c r="P548" s="11">
        <v>13150.000838461925</v>
      </c>
      <c r="Q548" s="11">
        <v>29375.313729162765</v>
      </c>
      <c r="R548" s="11">
        <v>22000</v>
      </c>
      <c r="S548" s="11">
        <v>7841740</v>
      </c>
      <c r="T548" s="11">
        <v>941008</v>
      </c>
      <c r="U548" s="12">
        <f t="shared" si="236"/>
        <v>0.11999989798182546</v>
      </c>
      <c r="V548" s="13">
        <f>L548*R548</f>
        <v>1818739.9999999991</v>
      </c>
      <c r="W548" s="10">
        <f t="shared" si="237"/>
        <v>218248.61445546514</v>
      </c>
      <c r="X548" s="15"/>
      <c r="Y548" s="15"/>
      <c r="Z548" s="11">
        <f t="shared" si="238"/>
        <v>9660480</v>
      </c>
      <c r="AA548" s="14"/>
      <c r="AB548" s="14"/>
      <c r="AC548" s="11">
        <f t="shared" si="239"/>
        <v>9660480</v>
      </c>
      <c r="AD548" s="10">
        <f t="shared" si="240"/>
        <v>300</v>
      </c>
      <c r="AE548" s="15">
        <v>80085</v>
      </c>
      <c r="AF548" s="16">
        <v>14416</v>
      </c>
      <c r="AG548" s="15">
        <f t="shared" si="241"/>
        <v>11415.000000000004</v>
      </c>
      <c r="AH548" s="15">
        <f t="shared" si="242"/>
        <v>2054.7000000000007</v>
      </c>
      <c r="AI548" s="15">
        <f t="shared" si="243"/>
        <v>91500</v>
      </c>
      <c r="AJ548" s="15">
        <f t="shared" si="244"/>
        <v>16470</v>
      </c>
      <c r="AK548" s="10">
        <v>80085</v>
      </c>
      <c r="AL548" s="15">
        <f t="shared" si="245"/>
        <v>91500</v>
      </c>
      <c r="AM548" s="15">
        <f t="shared" si="246"/>
        <v>9751980</v>
      </c>
      <c r="AN548" s="15">
        <f t="shared" si="247"/>
        <v>1175727</v>
      </c>
      <c r="AO548" s="15">
        <f t="shared" si="252"/>
        <v>1278711.96</v>
      </c>
      <c r="AP548" s="17">
        <f t="shared" si="248"/>
        <v>11030691.960000001</v>
      </c>
      <c r="AQ548" s="15">
        <v>7855982.5099999998</v>
      </c>
      <c r="AR548" s="15">
        <v>11484.96</v>
      </c>
      <c r="AS548" s="18">
        <f t="shared" si="253"/>
        <v>3174709</v>
      </c>
      <c r="AT548" s="19">
        <v>0</v>
      </c>
      <c r="AU548" s="8">
        <v>8800</v>
      </c>
      <c r="AV548" s="13">
        <f t="shared" si="254"/>
        <v>2684000</v>
      </c>
      <c r="AW548" s="18">
        <f t="shared" si="255"/>
        <v>9751980</v>
      </c>
      <c r="AX548" s="15">
        <f t="shared" si="249"/>
        <v>9752000</v>
      </c>
      <c r="AY548" s="20">
        <v>0.05</v>
      </c>
      <c r="AZ548" s="13">
        <f t="shared" si="250"/>
        <v>487600</v>
      </c>
      <c r="BA548" s="15">
        <f t="shared" si="251"/>
        <v>487600</v>
      </c>
      <c r="BB548" s="21">
        <f t="shared" si="256"/>
        <v>3662309</v>
      </c>
      <c r="BC548" s="10">
        <f t="shared" si="257"/>
        <v>13.863129475290519</v>
      </c>
      <c r="BD548" s="10">
        <f t="shared" si="258"/>
        <v>14.253605544109389</v>
      </c>
      <c r="BE548" s="10">
        <v>63.08</v>
      </c>
      <c r="BF548" s="10">
        <v>28.34</v>
      </c>
      <c r="BG548" s="107">
        <v>46176</v>
      </c>
      <c r="BH548" s="107">
        <f t="shared" si="232"/>
        <v>46206</v>
      </c>
      <c r="BI548" s="23">
        <v>5</v>
      </c>
      <c r="BJ548" s="6"/>
      <c r="BK548" s="6"/>
      <c r="BL548" s="6">
        <f>VLOOKUP(A548,[2]Sheet1!$D$2:$H$933,5,0)</f>
        <v>0</v>
      </c>
      <c r="BM548" s="6" t="s">
        <v>3828</v>
      </c>
      <c r="BN548" s="6" t="s">
        <v>3829</v>
      </c>
      <c r="BO548" s="6" t="s">
        <v>3820</v>
      </c>
      <c r="BP548" s="6" t="s">
        <v>3821</v>
      </c>
      <c r="BQ548" s="6" t="s">
        <v>3830</v>
      </c>
      <c r="BR548" t="s">
        <v>3823</v>
      </c>
      <c r="BS548" t="s">
        <v>3824</v>
      </c>
      <c r="BT548" t="s">
        <v>3825</v>
      </c>
      <c r="BU548" t="s">
        <v>3826</v>
      </c>
      <c r="BV548" t="s">
        <v>3827</v>
      </c>
      <c r="BW548" t="s">
        <v>3835</v>
      </c>
      <c r="BX548">
        <v>0</v>
      </c>
      <c r="BY548" t="s">
        <v>3866</v>
      </c>
      <c r="BZ548" t="s">
        <v>3872</v>
      </c>
    </row>
    <row r="549" spans="1:78" x14ac:dyDescent="0.25">
      <c r="A549" s="7" t="s">
        <v>2271</v>
      </c>
      <c r="B549" s="7" t="s">
        <v>181</v>
      </c>
      <c r="C549" s="7" t="s">
        <v>2269</v>
      </c>
      <c r="D549" s="8" t="s">
        <v>2270</v>
      </c>
      <c r="E549" s="7" t="s">
        <v>663</v>
      </c>
      <c r="F549" s="9">
        <v>44902</v>
      </c>
      <c r="G549" s="9" t="s">
        <v>717</v>
      </c>
      <c r="H549" s="9" t="s">
        <v>92</v>
      </c>
      <c r="I549" s="8" t="s">
        <v>78</v>
      </c>
      <c r="J549" s="10">
        <v>775.01</v>
      </c>
      <c r="K549" s="10">
        <v>775.01</v>
      </c>
      <c r="L549" s="10">
        <f t="shared" si="234"/>
        <v>0</v>
      </c>
      <c r="M549" s="10">
        <v>353.6</v>
      </c>
      <c r="N549" s="10">
        <v>353.6</v>
      </c>
      <c r="O549" s="10">
        <f t="shared" si="235"/>
        <v>0</v>
      </c>
      <c r="P549" s="11">
        <v>17108.999883872468</v>
      </c>
      <c r="Q549" s="11">
        <v>37498.998868778275</v>
      </c>
      <c r="R549" s="11">
        <v>28000</v>
      </c>
      <c r="S549" s="11">
        <v>13259646</v>
      </c>
      <c r="T549" s="11">
        <v>1591158</v>
      </c>
      <c r="U549" s="12">
        <f t="shared" si="236"/>
        <v>0.12000003620006144</v>
      </c>
      <c r="V549" s="13">
        <f t="shared" ref="V549:V560" si="260">L549*P549</f>
        <v>0</v>
      </c>
      <c r="W549" s="10">
        <f t="shared" si="237"/>
        <v>0</v>
      </c>
      <c r="X549" s="10"/>
      <c r="Y549" s="10"/>
      <c r="Z549" s="11">
        <f t="shared" si="238"/>
        <v>13259646</v>
      </c>
      <c r="AA549" s="14"/>
      <c r="AB549" s="14"/>
      <c r="AC549" s="11">
        <f t="shared" si="239"/>
        <v>13259646</v>
      </c>
      <c r="AD549" s="10">
        <f t="shared" si="240"/>
        <v>300</v>
      </c>
      <c r="AE549" s="15">
        <v>106080</v>
      </c>
      <c r="AF549" s="16">
        <v>19094</v>
      </c>
      <c r="AG549" s="15">
        <f t="shared" si="241"/>
        <v>0</v>
      </c>
      <c r="AH549" s="15">
        <f t="shared" si="242"/>
        <v>0</v>
      </c>
      <c r="AI549" s="15">
        <f t="shared" si="243"/>
        <v>106080</v>
      </c>
      <c r="AJ549" s="15">
        <f t="shared" si="244"/>
        <v>19095</v>
      </c>
      <c r="AK549" s="10">
        <v>106080</v>
      </c>
      <c r="AL549" s="15">
        <f t="shared" si="245"/>
        <v>106080</v>
      </c>
      <c r="AM549" s="15">
        <f t="shared" si="246"/>
        <v>13365726</v>
      </c>
      <c r="AN549" s="15">
        <f t="shared" si="247"/>
        <v>1610253</v>
      </c>
      <c r="AO549" s="15">
        <f t="shared" si="252"/>
        <v>1733468</v>
      </c>
      <c r="AP549" s="17">
        <f t="shared" si="248"/>
        <v>15099194</v>
      </c>
      <c r="AQ549" s="15">
        <v>9918597</v>
      </c>
      <c r="AR549" s="15">
        <v>17135</v>
      </c>
      <c r="AS549" s="18">
        <f t="shared" si="253"/>
        <v>5180597</v>
      </c>
      <c r="AT549" s="19">
        <v>0</v>
      </c>
      <c r="AU549" s="8">
        <v>8800</v>
      </c>
      <c r="AV549" s="13">
        <f t="shared" si="254"/>
        <v>3111680</v>
      </c>
      <c r="AW549" s="18">
        <f t="shared" si="255"/>
        <v>13365726</v>
      </c>
      <c r="AX549" s="15">
        <f t="shared" si="249"/>
        <v>13366000</v>
      </c>
      <c r="AY549" s="20">
        <v>0.06</v>
      </c>
      <c r="AZ549" s="13">
        <f t="shared" si="250"/>
        <v>801960</v>
      </c>
      <c r="BA549" s="15">
        <f t="shared" si="251"/>
        <v>802000</v>
      </c>
      <c r="BB549" s="21">
        <f t="shared" si="256"/>
        <v>5982597</v>
      </c>
      <c r="BC549" s="10">
        <f t="shared" si="257"/>
        <v>0</v>
      </c>
      <c r="BD549" s="10">
        <f t="shared" si="258"/>
        <v>0</v>
      </c>
      <c r="BE549" s="10">
        <v>72</v>
      </c>
      <c r="BF549" s="10">
        <v>32.85</v>
      </c>
      <c r="BG549" s="107">
        <v>46176</v>
      </c>
      <c r="BH549" s="107">
        <f t="shared" si="232"/>
        <v>46206</v>
      </c>
      <c r="BI549" s="23">
        <v>6</v>
      </c>
      <c r="BJ549" s="6"/>
      <c r="BK549" s="6"/>
      <c r="BL549" s="6">
        <f>VLOOKUP(A549,[2]Sheet1!$D$2:$H$933,5,0)</f>
        <v>0</v>
      </c>
      <c r="BM549" s="6" t="s">
        <v>3828</v>
      </c>
      <c r="BN549" s="6" t="s">
        <v>3829</v>
      </c>
      <c r="BO549" s="6" t="s">
        <v>3820</v>
      </c>
      <c r="BP549" s="6" t="s">
        <v>3821</v>
      </c>
      <c r="BQ549" s="6" t="s">
        <v>3830</v>
      </c>
      <c r="BR549" t="s">
        <v>3823</v>
      </c>
      <c r="BS549" t="s">
        <v>3824</v>
      </c>
      <c r="BT549" t="s">
        <v>3825</v>
      </c>
      <c r="BU549" t="s">
        <v>3826</v>
      </c>
      <c r="BV549" t="s">
        <v>3827</v>
      </c>
      <c r="BW549" t="s">
        <v>3835</v>
      </c>
      <c r="BX549" s="101">
        <v>5057531.4896288002</v>
      </c>
      <c r="BY549" t="s">
        <v>3869</v>
      </c>
      <c r="BZ549" t="s">
        <v>3872</v>
      </c>
    </row>
    <row r="550" spans="1:78" x14ac:dyDescent="0.25">
      <c r="A550" s="7" t="s">
        <v>2274</v>
      </c>
      <c r="B550" s="7" t="s">
        <v>181</v>
      </c>
      <c r="C550" s="7" t="s">
        <v>2272</v>
      </c>
      <c r="D550" s="8" t="s">
        <v>2273</v>
      </c>
      <c r="E550" s="7" t="s">
        <v>2275</v>
      </c>
      <c r="F550" s="9">
        <v>44996</v>
      </c>
      <c r="G550" s="9" t="s">
        <v>527</v>
      </c>
      <c r="H550" s="9" t="s">
        <v>92</v>
      </c>
      <c r="I550" s="8" t="s">
        <v>67</v>
      </c>
      <c r="J550" s="10">
        <v>310.95999999999998</v>
      </c>
      <c r="K550" s="10">
        <v>310.95999999999998</v>
      </c>
      <c r="L550" s="10">
        <f t="shared" si="234"/>
        <v>0</v>
      </c>
      <c r="M550" s="10">
        <v>122.71</v>
      </c>
      <c r="N550" s="10">
        <v>122.71</v>
      </c>
      <c r="O550" s="10">
        <f t="shared" si="235"/>
        <v>0</v>
      </c>
      <c r="P550" s="11">
        <v>14446.999614098277</v>
      </c>
      <c r="Q550" s="11">
        <v>36610.211066742726</v>
      </c>
      <c r="R550" s="11">
        <v>28000</v>
      </c>
      <c r="S550" s="11">
        <v>4492439</v>
      </c>
      <c r="T550" s="11">
        <v>539094</v>
      </c>
      <c r="U550" s="12">
        <f t="shared" si="236"/>
        <v>0.12000029382702804</v>
      </c>
      <c r="V550" s="13">
        <f t="shared" si="260"/>
        <v>0</v>
      </c>
      <c r="W550" s="10">
        <f t="shared" si="237"/>
        <v>0</v>
      </c>
      <c r="X550" s="10"/>
      <c r="Y550" s="10"/>
      <c r="Z550" s="11">
        <f t="shared" si="238"/>
        <v>4492439</v>
      </c>
      <c r="AA550" s="14"/>
      <c r="AB550" s="14"/>
      <c r="AC550" s="11">
        <f t="shared" si="239"/>
        <v>4492439</v>
      </c>
      <c r="AD550" s="10">
        <f t="shared" si="240"/>
        <v>300</v>
      </c>
      <c r="AE550" s="15">
        <v>36813</v>
      </c>
      <c r="AF550" s="16">
        <v>6626</v>
      </c>
      <c r="AG550" s="15">
        <f t="shared" si="241"/>
        <v>0</v>
      </c>
      <c r="AH550" s="15">
        <f t="shared" si="242"/>
        <v>0</v>
      </c>
      <c r="AI550" s="15">
        <f t="shared" si="243"/>
        <v>36813</v>
      </c>
      <c r="AJ550" s="15">
        <f t="shared" si="244"/>
        <v>6627</v>
      </c>
      <c r="AK550" s="10">
        <v>36813</v>
      </c>
      <c r="AL550" s="15">
        <f t="shared" si="245"/>
        <v>36813</v>
      </c>
      <c r="AM550" s="15">
        <f t="shared" si="246"/>
        <v>4529252</v>
      </c>
      <c r="AN550" s="15">
        <f t="shared" si="247"/>
        <v>545721</v>
      </c>
      <c r="AO550" s="15">
        <f t="shared" si="252"/>
        <v>599548.48</v>
      </c>
      <c r="AP550" s="17">
        <f t="shared" si="248"/>
        <v>5128800.4800000004</v>
      </c>
      <c r="AQ550" s="15">
        <v>1174284.28</v>
      </c>
      <c r="AR550" s="15">
        <v>17014.48</v>
      </c>
      <c r="AS550" s="18">
        <f t="shared" si="253"/>
        <v>3954516</v>
      </c>
      <c r="AT550" s="19">
        <v>0</v>
      </c>
      <c r="AU550" s="8">
        <v>8800</v>
      </c>
      <c r="AV550" s="13">
        <f t="shared" si="254"/>
        <v>1079848</v>
      </c>
      <c r="AW550" s="18">
        <f t="shared" si="255"/>
        <v>4529252</v>
      </c>
      <c r="AX550" s="15">
        <f t="shared" si="249"/>
        <v>4530000</v>
      </c>
      <c r="AY550" s="20">
        <v>0.05</v>
      </c>
      <c r="AZ550" s="13">
        <f t="shared" si="250"/>
        <v>226500</v>
      </c>
      <c r="BA550" s="15">
        <f t="shared" si="251"/>
        <v>226500</v>
      </c>
      <c r="BB550" s="21">
        <f t="shared" si="256"/>
        <v>4181016</v>
      </c>
      <c r="BC550" s="10">
        <f t="shared" si="257"/>
        <v>0</v>
      </c>
      <c r="BD550" s="10">
        <f t="shared" si="258"/>
        <v>0</v>
      </c>
      <c r="BE550" s="10">
        <v>28.89</v>
      </c>
      <c r="BF550" s="10">
        <v>11.4</v>
      </c>
      <c r="BG550" s="107">
        <v>46176</v>
      </c>
      <c r="BH550" s="107">
        <f t="shared" si="232"/>
        <v>46206</v>
      </c>
      <c r="BI550" s="23">
        <v>5</v>
      </c>
      <c r="BJ550" s="6"/>
      <c r="BK550" s="6"/>
      <c r="BL550" s="6">
        <f>VLOOKUP(A550,[2]Sheet1!$D$2:$H$933,5,0)</f>
        <v>0</v>
      </c>
      <c r="BM550" s="6" t="s">
        <v>3828</v>
      </c>
      <c r="BN550" s="6" t="s">
        <v>3829</v>
      </c>
      <c r="BO550" s="6" t="s">
        <v>3820</v>
      </c>
      <c r="BP550" s="6" t="s">
        <v>3821</v>
      </c>
      <c r="BQ550" s="6" t="s">
        <v>3830</v>
      </c>
      <c r="BR550" t="s">
        <v>3823</v>
      </c>
      <c r="BS550" t="s">
        <v>3824</v>
      </c>
      <c r="BT550" t="s">
        <v>3825</v>
      </c>
      <c r="BU550" t="s">
        <v>3826</v>
      </c>
      <c r="BV550" t="s">
        <v>3827</v>
      </c>
      <c r="BW550" t="s">
        <v>3835</v>
      </c>
      <c r="BX550">
        <v>0</v>
      </c>
      <c r="BY550" t="s">
        <v>3859</v>
      </c>
      <c r="BZ550" t="s">
        <v>3871</v>
      </c>
    </row>
    <row r="551" spans="1:78" x14ac:dyDescent="0.25">
      <c r="A551" s="7" t="s">
        <v>2278</v>
      </c>
      <c r="B551" s="7" t="s">
        <v>181</v>
      </c>
      <c r="C551" s="7" t="s">
        <v>2276</v>
      </c>
      <c r="D551" s="8" t="s">
        <v>2277</v>
      </c>
      <c r="E551" s="7" t="s">
        <v>2279</v>
      </c>
      <c r="F551" s="9">
        <v>44952</v>
      </c>
      <c r="G551" s="9" t="s">
        <v>404</v>
      </c>
      <c r="H551" s="9" t="s">
        <v>92</v>
      </c>
      <c r="I551" s="8" t="s">
        <v>78</v>
      </c>
      <c r="J551" s="10">
        <v>789</v>
      </c>
      <c r="K551" s="10">
        <v>789</v>
      </c>
      <c r="L551" s="10">
        <f t="shared" si="234"/>
        <v>0</v>
      </c>
      <c r="M551" s="10">
        <v>367.05</v>
      </c>
      <c r="N551" s="10">
        <v>367.05</v>
      </c>
      <c r="O551" s="10">
        <f t="shared" si="235"/>
        <v>0</v>
      </c>
      <c r="P551" s="11">
        <v>18250</v>
      </c>
      <c r="Q551" s="11">
        <v>39229.668982427458</v>
      </c>
      <c r="R551" s="11">
        <v>28000</v>
      </c>
      <c r="S551" s="11">
        <v>14399250</v>
      </c>
      <c r="T551" s="11">
        <v>1727912</v>
      </c>
      <c r="U551" s="12">
        <f t="shared" si="236"/>
        <v>0.12000013889612306</v>
      </c>
      <c r="V551" s="13">
        <f t="shared" si="260"/>
        <v>0</v>
      </c>
      <c r="W551" s="10">
        <f t="shared" si="237"/>
        <v>0</v>
      </c>
      <c r="X551" s="10"/>
      <c r="Y551" s="10"/>
      <c r="Z551" s="11">
        <f t="shared" si="238"/>
        <v>14399250</v>
      </c>
      <c r="AA551" s="14"/>
      <c r="AB551" s="14"/>
      <c r="AC551" s="11">
        <f t="shared" si="239"/>
        <v>14399250</v>
      </c>
      <c r="AD551" s="10">
        <f t="shared" si="240"/>
        <v>300</v>
      </c>
      <c r="AE551" s="15">
        <v>110115</v>
      </c>
      <c r="AF551" s="16">
        <v>19820</v>
      </c>
      <c r="AG551" s="15">
        <f t="shared" si="241"/>
        <v>0</v>
      </c>
      <c r="AH551" s="15">
        <f t="shared" si="242"/>
        <v>0</v>
      </c>
      <c r="AI551" s="15">
        <f t="shared" si="243"/>
        <v>110115</v>
      </c>
      <c r="AJ551" s="15">
        <f t="shared" si="244"/>
        <v>19821</v>
      </c>
      <c r="AK551" s="10">
        <v>110115</v>
      </c>
      <c r="AL551" s="15">
        <f t="shared" si="245"/>
        <v>110115</v>
      </c>
      <c r="AM551" s="15">
        <f t="shared" si="246"/>
        <v>14509365</v>
      </c>
      <c r="AN551" s="15">
        <f t="shared" si="247"/>
        <v>1747733</v>
      </c>
      <c r="AO551" s="15">
        <f t="shared" si="252"/>
        <v>1869321.72</v>
      </c>
      <c r="AP551" s="17">
        <f t="shared" si="248"/>
        <v>16378686.720000001</v>
      </c>
      <c r="AQ551" s="15">
        <v>14514448.25</v>
      </c>
      <c r="AR551" s="15">
        <v>11473.72</v>
      </c>
      <c r="AS551" s="18">
        <f t="shared" si="253"/>
        <v>1864238</v>
      </c>
      <c r="AT551" s="19">
        <v>0</v>
      </c>
      <c r="AU551" s="8">
        <v>8800</v>
      </c>
      <c r="AV551" s="13">
        <f t="shared" si="254"/>
        <v>3230040</v>
      </c>
      <c r="AW551" s="18">
        <f t="shared" si="255"/>
        <v>14509365</v>
      </c>
      <c r="AX551" s="15">
        <f t="shared" si="249"/>
        <v>14510000</v>
      </c>
      <c r="AY551" s="20">
        <v>0.05</v>
      </c>
      <c r="AZ551" s="13">
        <f t="shared" si="250"/>
        <v>725500</v>
      </c>
      <c r="BA551" s="15">
        <f t="shared" si="251"/>
        <v>725500</v>
      </c>
      <c r="BB551" s="21">
        <f t="shared" si="256"/>
        <v>2589738</v>
      </c>
      <c r="BC551" s="10">
        <f t="shared" si="257"/>
        <v>0</v>
      </c>
      <c r="BD551" s="10">
        <f t="shared" si="258"/>
        <v>0</v>
      </c>
      <c r="BE551" s="10">
        <v>73.3</v>
      </c>
      <c r="BF551" s="10">
        <v>34.1</v>
      </c>
      <c r="BG551" s="107">
        <v>46176</v>
      </c>
      <c r="BH551" s="107">
        <f t="shared" si="232"/>
        <v>46206</v>
      </c>
      <c r="BI551" s="23">
        <v>5</v>
      </c>
      <c r="BJ551" s="6"/>
      <c r="BK551" s="6"/>
      <c r="BL551" s="6">
        <f>VLOOKUP(A551,[2]Sheet1!$D$2:$H$933,5,0)</f>
        <v>0</v>
      </c>
      <c r="BM551" s="6" t="s">
        <v>3828</v>
      </c>
      <c r="BN551" s="6" t="s">
        <v>3829</v>
      </c>
      <c r="BO551" s="6" t="s">
        <v>3820</v>
      </c>
      <c r="BP551" s="6" t="s">
        <v>3821</v>
      </c>
      <c r="BQ551" s="6" t="s">
        <v>3830</v>
      </c>
      <c r="BR551" t="s">
        <v>3823</v>
      </c>
      <c r="BS551" t="s">
        <v>3824</v>
      </c>
      <c r="BT551" t="s">
        <v>3825</v>
      </c>
      <c r="BU551" t="s">
        <v>3826</v>
      </c>
      <c r="BV551" t="s">
        <v>3827</v>
      </c>
      <c r="BW551" t="s">
        <v>3835</v>
      </c>
      <c r="BX551">
        <v>0</v>
      </c>
      <c r="BY551" t="s">
        <v>3864</v>
      </c>
      <c r="BZ551" t="s">
        <v>3863</v>
      </c>
    </row>
    <row r="552" spans="1:78" x14ac:dyDescent="0.25">
      <c r="A552" s="7" t="s">
        <v>2282</v>
      </c>
      <c r="B552" s="7" t="s">
        <v>181</v>
      </c>
      <c r="C552" s="7" t="s">
        <v>2280</v>
      </c>
      <c r="D552" s="8" t="s">
        <v>2281</v>
      </c>
      <c r="E552" s="7" t="s">
        <v>2283</v>
      </c>
      <c r="F552" s="9">
        <v>44897</v>
      </c>
      <c r="G552" s="9" t="s">
        <v>404</v>
      </c>
      <c r="H552" s="9" t="s">
        <v>66</v>
      </c>
      <c r="I552" s="8" t="s">
        <v>78</v>
      </c>
      <c r="J552" s="10">
        <v>678.78</v>
      </c>
      <c r="K552" s="10">
        <v>678.78</v>
      </c>
      <c r="L552" s="10">
        <f t="shared" si="234"/>
        <v>0</v>
      </c>
      <c r="M552" s="10">
        <v>310</v>
      </c>
      <c r="N552" s="10">
        <v>310</v>
      </c>
      <c r="O552" s="10">
        <f t="shared" si="235"/>
        <v>0</v>
      </c>
      <c r="P552" s="11">
        <v>11150</v>
      </c>
      <c r="Q552" s="11">
        <v>24414.183870967743</v>
      </c>
      <c r="R552" s="11">
        <v>22000</v>
      </c>
      <c r="S552" s="11">
        <v>7568397</v>
      </c>
      <c r="T552" s="11">
        <v>908208</v>
      </c>
      <c r="U552" s="12">
        <f t="shared" si="236"/>
        <v>0.12000004756621514</v>
      </c>
      <c r="V552" s="13">
        <f t="shared" si="260"/>
        <v>0</v>
      </c>
      <c r="W552" s="10">
        <f t="shared" si="237"/>
        <v>0</v>
      </c>
      <c r="X552" s="10"/>
      <c r="Y552" s="10"/>
      <c r="Z552" s="11">
        <f t="shared" si="238"/>
        <v>7568397</v>
      </c>
      <c r="AA552" s="14">
        <v>1380037</v>
      </c>
      <c r="AB552" s="14">
        <v>165605</v>
      </c>
      <c r="AC552" s="11">
        <f t="shared" si="239"/>
        <v>6188360</v>
      </c>
      <c r="AD552" s="10">
        <f t="shared" si="240"/>
        <v>300</v>
      </c>
      <c r="AE552" s="15">
        <v>93000</v>
      </c>
      <c r="AF552" s="16">
        <v>16740</v>
      </c>
      <c r="AG552" s="15">
        <f t="shared" si="241"/>
        <v>0</v>
      </c>
      <c r="AH552" s="15">
        <f t="shared" si="242"/>
        <v>0</v>
      </c>
      <c r="AI552" s="15">
        <f t="shared" si="243"/>
        <v>93000</v>
      </c>
      <c r="AJ552" s="15">
        <f t="shared" si="244"/>
        <v>16740</v>
      </c>
      <c r="AK552" s="10">
        <v>93000</v>
      </c>
      <c r="AL552" s="15">
        <f t="shared" si="245"/>
        <v>93000</v>
      </c>
      <c r="AM552" s="15">
        <f t="shared" si="246"/>
        <v>6281360</v>
      </c>
      <c r="AN552" s="15">
        <f t="shared" si="247"/>
        <v>759343</v>
      </c>
      <c r="AO552" s="15">
        <f t="shared" si="252"/>
        <v>859075</v>
      </c>
      <c r="AP552" s="17">
        <f t="shared" si="248"/>
        <v>7140435</v>
      </c>
      <c r="AQ552" s="15">
        <v>4729293</v>
      </c>
      <c r="AR552" s="15">
        <v>6732</v>
      </c>
      <c r="AS552" s="18">
        <f t="shared" si="253"/>
        <v>2411142</v>
      </c>
      <c r="AT552" s="19">
        <v>0</v>
      </c>
      <c r="AU552" s="8">
        <v>8800</v>
      </c>
      <c r="AV552" s="13">
        <f t="shared" si="254"/>
        <v>2728000</v>
      </c>
      <c r="AW552" s="18">
        <f t="shared" si="255"/>
        <v>6281360</v>
      </c>
      <c r="AX552" s="15">
        <f t="shared" si="249"/>
        <v>6282000</v>
      </c>
      <c r="AY552" s="20">
        <v>7.0000000000000007E-2</v>
      </c>
      <c r="AZ552" s="13">
        <f t="shared" si="250"/>
        <v>439740.00000000006</v>
      </c>
      <c r="BA552" s="15">
        <f t="shared" si="251"/>
        <v>439800</v>
      </c>
      <c r="BB552" s="21">
        <f t="shared" si="256"/>
        <v>2850942</v>
      </c>
      <c r="BC552" s="10">
        <f t="shared" si="257"/>
        <v>0</v>
      </c>
      <c r="BD552" s="10">
        <f t="shared" si="258"/>
        <v>0</v>
      </c>
      <c r="BE552" s="10">
        <v>63.06</v>
      </c>
      <c r="BF552" s="10">
        <v>28.8</v>
      </c>
      <c r="BG552" s="107">
        <v>46176</v>
      </c>
      <c r="BH552" s="107">
        <f t="shared" si="232"/>
        <v>46206</v>
      </c>
      <c r="BI552" s="23">
        <v>7</v>
      </c>
      <c r="BJ552" s="6"/>
      <c r="BK552" s="6"/>
      <c r="BL552" s="6">
        <f>VLOOKUP(A552,[2]Sheet1!$D$2:$H$933,5,0)</f>
        <v>0</v>
      </c>
      <c r="BM552" s="6" t="s">
        <v>3828</v>
      </c>
      <c r="BN552" s="6" t="s">
        <v>3829</v>
      </c>
      <c r="BO552" s="6" t="s">
        <v>3820</v>
      </c>
      <c r="BP552" s="6" t="s">
        <v>3821</v>
      </c>
      <c r="BQ552" s="6" t="s">
        <v>3830</v>
      </c>
      <c r="BR552" t="s">
        <v>3823</v>
      </c>
      <c r="BS552" t="s">
        <v>3824</v>
      </c>
      <c r="BT552" t="s">
        <v>3825</v>
      </c>
      <c r="BU552" t="s">
        <v>3826</v>
      </c>
      <c r="BV552" t="s">
        <v>3827</v>
      </c>
      <c r="BW552" t="s">
        <v>3835</v>
      </c>
      <c r="BX552">
        <v>0</v>
      </c>
      <c r="BY552" t="s">
        <v>3859</v>
      </c>
      <c r="BZ552" t="s">
        <v>3863</v>
      </c>
    </row>
    <row r="553" spans="1:78" x14ac:dyDescent="0.25">
      <c r="A553" s="7" t="s">
        <v>2286</v>
      </c>
      <c r="B553" s="7" t="s">
        <v>181</v>
      </c>
      <c r="C553" s="7" t="s">
        <v>2284</v>
      </c>
      <c r="D553" s="8" t="s">
        <v>2285</v>
      </c>
      <c r="E553" s="7" t="s">
        <v>2287</v>
      </c>
      <c r="F553" s="9">
        <v>44996</v>
      </c>
      <c r="G553" s="9" t="s">
        <v>77</v>
      </c>
      <c r="H553" s="9" t="s">
        <v>72</v>
      </c>
      <c r="I553" s="8" t="s">
        <v>78</v>
      </c>
      <c r="J553" s="10">
        <v>1216.33</v>
      </c>
      <c r="K553" s="10">
        <v>1216.33</v>
      </c>
      <c r="L553" s="10">
        <f t="shared" si="234"/>
        <v>0</v>
      </c>
      <c r="M553" s="10">
        <v>558.65</v>
      </c>
      <c r="N553" s="10">
        <v>565</v>
      </c>
      <c r="O553" s="10">
        <f t="shared" si="235"/>
        <v>6.3500000000000227</v>
      </c>
      <c r="P553" s="11">
        <v>9000</v>
      </c>
      <c r="Q553" s="11">
        <v>19595.3996240938</v>
      </c>
      <c r="R553" s="11">
        <v>20000</v>
      </c>
      <c r="S553" s="11">
        <v>10946970</v>
      </c>
      <c r="T553" s="11">
        <v>1313638</v>
      </c>
      <c r="U553" s="12">
        <f t="shared" si="236"/>
        <v>0.1200001461591655</v>
      </c>
      <c r="V553" s="13">
        <f t="shared" si="260"/>
        <v>0</v>
      </c>
      <c r="W553" s="10">
        <f t="shared" si="237"/>
        <v>0</v>
      </c>
      <c r="X553" s="10"/>
      <c r="Y553" s="10"/>
      <c r="Z553" s="11">
        <f t="shared" si="238"/>
        <v>10946970</v>
      </c>
      <c r="AA553" s="14"/>
      <c r="AB553" s="14"/>
      <c r="AC553" s="11">
        <f t="shared" si="239"/>
        <v>10946970</v>
      </c>
      <c r="AD553" s="10">
        <f t="shared" si="240"/>
        <v>300</v>
      </c>
      <c r="AE553" s="15">
        <v>167595</v>
      </c>
      <c r="AF553" s="16">
        <v>30168</v>
      </c>
      <c r="AG553" s="15">
        <f t="shared" si="241"/>
        <v>1905.0000000000068</v>
      </c>
      <c r="AH553" s="15">
        <f t="shared" si="242"/>
        <v>342.90000000000123</v>
      </c>
      <c r="AI553" s="15">
        <f t="shared" si="243"/>
        <v>169500</v>
      </c>
      <c r="AJ553" s="15">
        <f t="shared" si="244"/>
        <v>30510</v>
      </c>
      <c r="AK553" s="10">
        <v>167595</v>
      </c>
      <c r="AL553" s="15">
        <f t="shared" si="245"/>
        <v>169500</v>
      </c>
      <c r="AM553" s="15">
        <f t="shared" si="246"/>
        <v>11116470</v>
      </c>
      <c r="AN553" s="15">
        <f t="shared" si="247"/>
        <v>1344148</v>
      </c>
      <c r="AO553" s="15">
        <f t="shared" si="252"/>
        <v>1513723.84</v>
      </c>
      <c r="AP553" s="17">
        <f t="shared" si="248"/>
        <v>12630193.84</v>
      </c>
      <c r="AQ553" s="15">
        <v>10974338</v>
      </c>
      <c r="AR553" s="15">
        <v>75.84</v>
      </c>
      <c r="AS553" s="18">
        <f t="shared" si="253"/>
        <v>1655856</v>
      </c>
      <c r="AT553" s="19">
        <v>0</v>
      </c>
      <c r="AU553" s="8">
        <v>8800</v>
      </c>
      <c r="AV553" s="13">
        <f t="shared" si="254"/>
        <v>4972000</v>
      </c>
      <c r="AW553" s="18">
        <f t="shared" si="255"/>
        <v>11116470</v>
      </c>
      <c r="AX553" s="15">
        <f t="shared" si="249"/>
        <v>11117000</v>
      </c>
      <c r="AY553" s="20">
        <v>0.06</v>
      </c>
      <c r="AZ553" s="13">
        <f t="shared" si="250"/>
        <v>667020</v>
      </c>
      <c r="BA553" s="15">
        <f t="shared" si="251"/>
        <v>667100</v>
      </c>
      <c r="BB553" s="21">
        <f t="shared" si="256"/>
        <v>2322956</v>
      </c>
      <c r="BC553" s="10">
        <f t="shared" si="257"/>
        <v>0</v>
      </c>
      <c r="BD553" s="10">
        <f t="shared" si="258"/>
        <v>1.1366687550344621</v>
      </c>
      <c r="BE553" s="10">
        <v>113</v>
      </c>
      <c r="BF553" s="10">
        <v>52.49</v>
      </c>
      <c r="BG553" s="107">
        <v>46176</v>
      </c>
      <c r="BH553" s="107">
        <f t="shared" ref="BH553:BH616" si="261">BG553+30</f>
        <v>46206</v>
      </c>
      <c r="BI553" s="23">
        <v>6</v>
      </c>
      <c r="BJ553" s="6"/>
      <c r="BK553" s="6"/>
      <c r="BL553" s="6">
        <f>VLOOKUP(A553,[2]Sheet1!$D$2:$H$933,5,0)</f>
        <v>0</v>
      </c>
      <c r="BM553" s="6" t="s">
        <v>3828</v>
      </c>
      <c r="BN553" s="6" t="s">
        <v>3829</v>
      </c>
      <c r="BO553" s="6" t="s">
        <v>3820</v>
      </c>
      <c r="BP553" s="6" t="s">
        <v>3821</v>
      </c>
      <c r="BQ553" s="6" t="s">
        <v>3830</v>
      </c>
      <c r="BR553" t="s">
        <v>3823</v>
      </c>
      <c r="BS553" t="s">
        <v>3824</v>
      </c>
      <c r="BT553" t="s">
        <v>3825</v>
      </c>
      <c r="BU553" t="s">
        <v>3826</v>
      </c>
      <c r="BV553" t="s">
        <v>3827</v>
      </c>
      <c r="BW553" t="s">
        <v>3835</v>
      </c>
      <c r="BX553">
        <v>0</v>
      </c>
      <c r="BY553" t="s">
        <v>3861</v>
      </c>
      <c r="BZ553" t="s">
        <v>3863</v>
      </c>
    </row>
    <row r="554" spans="1:78" x14ac:dyDescent="0.25">
      <c r="A554" s="7" t="s">
        <v>2290</v>
      </c>
      <c r="B554" s="7" t="s">
        <v>181</v>
      </c>
      <c r="C554" s="7" t="s">
        <v>2288</v>
      </c>
      <c r="D554" s="8" t="s">
        <v>2289</v>
      </c>
      <c r="E554" s="7" t="s">
        <v>2291</v>
      </c>
      <c r="F554" s="9">
        <v>44921</v>
      </c>
      <c r="G554" s="9" t="s">
        <v>65</v>
      </c>
      <c r="H554" s="9" t="s">
        <v>66</v>
      </c>
      <c r="I554" s="8" t="s">
        <v>67</v>
      </c>
      <c r="J554" s="10">
        <v>424.58</v>
      </c>
      <c r="K554" s="10">
        <v>424.58</v>
      </c>
      <c r="L554" s="10">
        <f t="shared" si="234"/>
        <v>0</v>
      </c>
      <c r="M554" s="10">
        <v>174.92</v>
      </c>
      <c r="N554" s="10">
        <v>174.92</v>
      </c>
      <c r="O554" s="10">
        <f t="shared" si="235"/>
        <v>0</v>
      </c>
      <c r="P554" s="11">
        <v>18682.811248763486</v>
      </c>
      <c r="Q554" s="11">
        <v>45348.433569631838</v>
      </c>
      <c r="R554" s="11">
        <v>22000</v>
      </c>
      <c r="S554" s="11">
        <v>7932348</v>
      </c>
      <c r="T554" s="11">
        <v>951882</v>
      </c>
      <c r="U554" s="12">
        <f t="shared" si="236"/>
        <v>0.12000003025585868</v>
      </c>
      <c r="V554" s="13">
        <f t="shared" si="260"/>
        <v>0</v>
      </c>
      <c r="W554" s="10">
        <f t="shared" si="237"/>
        <v>0</v>
      </c>
      <c r="X554" s="10"/>
      <c r="Y554" s="10"/>
      <c r="Z554" s="11">
        <f t="shared" si="238"/>
        <v>7932348</v>
      </c>
      <c r="AA554" s="14"/>
      <c r="AB554" s="14"/>
      <c r="AC554" s="11">
        <f t="shared" si="239"/>
        <v>7932348</v>
      </c>
      <c r="AD554" s="10">
        <f t="shared" si="240"/>
        <v>300</v>
      </c>
      <c r="AE554" s="15">
        <v>52476</v>
      </c>
      <c r="AF554" s="16">
        <v>9446</v>
      </c>
      <c r="AG554" s="15">
        <f t="shared" si="241"/>
        <v>0</v>
      </c>
      <c r="AH554" s="15">
        <f t="shared" si="242"/>
        <v>0</v>
      </c>
      <c r="AI554" s="15">
        <f t="shared" si="243"/>
        <v>52475.999999999993</v>
      </c>
      <c r="AJ554" s="15">
        <f t="shared" si="244"/>
        <v>9446</v>
      </c>
      <c r="AK554" s="10">
        <v>52476</v>
      </c>
      <c r="AL554" s="15">
        <f t="shared" si="245"/>
        <v>52475.999999999993</v>
      </c>
      <c r="AM554" s="15">
        <f t="shared" si="246"/>
        <v>7984824</v>
      </c>
      <c r="AN554" s="15">
        <f t="shared" si="247"/>
        <v>961328</v>
      </c>
      <c r="AO554" s="15">
        <f t="shared" si="252"/>
        <v>1014159</v>
      </c>
      <c r="AP554" s="17">
        <f t="shared" si="248"/>
        <v>8998983</v>
      </c>
      <c r="AQ554" s="15">
        <f>4500888+3423528</f>
        <v>7924416</v>
      </c>
      <c r="AR554" s="15">
        <v>355</v>
      </c>
      <c r="AS554" s="18">
        <f t="shared" si="253"/>
        <v>1074567</v>
      </c>
      <c r="AT554" s="19">
        <v>0</v>
      </c>
      <c r="AU554" s="8">
        <v>8800</v>
      </c>
      <c r="AV554" s="13">
        <f t="shared" si="254"/>
        <v>1539296</v>
      </c>
      <c r="AW554" s="18">
        <f t="shared" si="255"/>
        <v>7984824</v>
      </c>
      <c r="AX554" s="15">
        <f t="shared" si="249"/>
        <v>7985000</v>
      </c>
      <c r="AY554" s="20">
        <v>7.0000000000000007E-2</v>
      </c>
      <c r="AZ554" s="13">
        <f t="shared" si="250"/>
        <v>558950</v>
      </c>
      <c r="BA554" s="15">
        <f t="shared" si="251"/>
        <v>559000</v>
      </c>
      <c r="BB554" s="21">
        <f t="shared" si="256"/>
        <v>1633567</v>
      </c>
      <c r="BC554" s="10">
        <f t="shared" si="257"/>
        <v>0</v>
      </c>
      <c r="BD554" s="10">
        <f t="shared" si="258"/>
        <v>0</v>
      </c>
      <c r="BE554" s="10">
        <v>39.44</v>
      </c>
      <c r="BF554" s="10">
        <v>16.25</v>
      </c>
      <c r="BG554" s="107">
        <v>46176</v>
      </c>
      <c r="BH554" s="107">
        <f t="shared" si="261"/>
        <v>46206</v>
      </c>
      <c r="BI554" s="23">
        <v>7</v>
      </c>
      <c r="BJ554" s="6"/>
      <c r="BK554" s="6"/>
      <c r="BL554" s="6">
        <f>VLOOKUP(A554,[2]Sheet1!$D$2:$H$933,5,0)</f>
        <v>0</v>
      </c>
      <c r="BM554" s="6" t="s">
        <v>3828</v>
      </c>
      <c r="BN554" s="6" t="s">
        <v>3829</v>
      </c>
      <c r="BO554" s="6" t="s">
        <v>3820</v>
      </c>
      <c r="BP554" s="6" t="s">
        <v>3821</v>
      </c>
      <c r="BQ554" s="6" t="s">
        <v>3830</v>
      </c>
      <c r="BR554" t="s">
        <v>3823</v>
      </c>
      <c r="BS554" t="s">
        <v>3824</v>
      </c>
      <c r="BT554" t="s">
        <v>3825</v>
      </c>
      <c r="BU554" t="s">
        <v>3826</v>
      </c>
      <c r="BV554" t="s">
        <v>3827</v>
      </c>
      <c r="BW554" t="s">
        <v>3835</v>
      </c>
      <c r="BX554">
        <v>0</v>
      </c>
      <c r="BY554" t="s">
        <v>3868</v>
      </c>
      <c r="BZ554" t="s">
        <v>3860</v>
      </c>
    </row>
    <row r="555" spans="1:78" x14ac:dyDescent="0.25">
      <c r="A555" s="7" t="s">
        <v>2294</v>
      </c>
      <c r="B555" s="7" t="s">
        <v>181</v>
      </c>
      <c r="C555" s="7" t="s">
        <v>2292</v>
      </c>
      <c r="D555" s="8" t="s">
        <v>2293</v>
      </c>
      <c r="E555" s="7" t="s">
        <v>2295</v>
      </c>
      <c r="F555" s="9">
        <v>44922</v>
      </c>
      <c r="G555" s="9" t="s">
        <v>65</v>
      </c>
      <c r="H555" s="9" t="s">
        <v>66</v>
      </c>
      <c r="I555" s="8" t="s">
        <v>67</v>
      </c>
      <c r="J555" s="10">
        <v>424.58</v>
      </c>
      <c r="K555" s="10">
        <v>424.58</v>
      </c>
      <c r="L555" s="10">
        <f t="shared" si="234"/>
        <v>0</v>
      </c>
      <c r="M555" s="10">
        <v>174.92</v>
      </c>
      <c r="N555" s="10">
        <v>174.92</v>
      </c>
      <c r="O555" s="10">
        <f t="shared" si="235"/>
        <v>0</v>
      </c>
      <c r="P555" s="11">
        <v>18682.811248763486</v>
      </c>
      <c r="Q555" s="11">
        <v>45348.433569631838</v>
      </c>
      <c r="R555" s="11">
        <v>22000</v>
      </c>
      <c r="S555" s="11">
        <v>7932348</v>
      </c>
      <c r="T555" s="11">
        <v>951882</v>
      </c>
      <c r="U555" s="12">
        <f t="shared" si="236"/>
        <v>0.12000003025585868</v>
      </c>
      <c r="V555" s="13">
        <f t="shared" si="260"/>
        <v>0</v>
      </c>
      <c r="W555" s="10">
        <f t="shared" si="237"/>
        <v>0</v>
      </c>
      <c r="X555" s="10"/>
      <c r="Y555" s="10"/>
      <c r="Z555" s="11">
        <f t="shared" si="238"/>
        <v>7932348</v>
      </c>
      <c r="AA555" s="14"/>
      <c r="AB555" s="14"/>
      <c r="AC555" s="11">
        <f t="shared" si="239"/>
        <v>7932348</v>
      </c>
      <c r="AD555" s="10">
        <f t="shared" si="240"/>
        <v>300</v>
      </c>
      <c r="AE555" s="15">
        <v>52476</v>
      </c>
      <c r="AF555" s="16">
        <v>9446</v>
      </c>
      <c r="AG555" s="15">
        <f t="shared" si="241"/>
        <v>0</v>
      </c>
      <c r="AH555" s="15">
        <f t="shared" si="242"/>
        <v>0</v>
      </c>
      <c r="AI555" s="15">
        <f t="shared" si="243"/>
        <v>52475.999999999993</v>
      </c>
      <c r="AJ555" s="15">
        <f t="shared" si="244"/>
        <v>9446</v>
      </c>
      <c r="AK555" s="10">
        <v>52476</v>
      </c>
      <c r="AL555" s="15">
        <f t="shared" si="245"/>
        <v>52475.999999999993</v>
      </c>
      <c r="AM555" s="15">
        <f t="shared" si="246"/>
        <v>7984824</v>
      </c>
      <c r="AN555" s="15">
        <f t="shared" si="247"/>
        <v>961328</v>
      </c>
      <c r="AO555" s="15">
        <f t="shared" si="252"/>
        <v>1014159</v>
      </c>
      <c r="AP555" s="17">
        <f t="shared" si="248"/>
        <v>8998983</v>
      </c>
      <c r="AQ555" s="15">
        <v>4500888</v>
      </c>
      <c r="AR555" s="15">
        <v>355</v>
      </c>
      <c r="AS555" s="18">
        <f t="shared" si="253"/>
        <v>4498095</v>
      </c>
      <c r="AT555" s="19">
        <v>0</v>
      </c>
      <c r="AU555" s="8">
        <v>8800</v>
      </c>
      <c r="AV555" s="13">
        <f t="shared" si="254"/>
        <v>1539296</v>
      </c>
      <c r="AW555" s="18">
        <f t="shared" si="255"/>
        <v>7984824</v>
      </c>
      <c r="AX555" s="15">
        <f t="shared" si="249"/>
        <v>7985000</v>
      </c>
      <c r="AY555" s="20">
        <v>0.05</v>
      </c>
      <c r="AZ555" s="13">
        <f t="shared" si="250"/>
        <v>399250</v>
      </c>
      <c r="BA555" s="15">
        <f t="shared" si="251"/>
        <v>399300</v>
      </c>
      <c r="BB555" s="21">
        <f t="shared" si="256"/>
        <v>4897395</v>
      </c>
      <c r="BC555" s="10">
        <f t="shared" si="257"/>
        <v>0</v>
      </c>
      <c r="BD555" s="10">
        <f t="shared" si="258"/>
        <v>0</v>
      </c>
      <c r="BE555" s="10">
        <v>39.44</v>
      </c>
      <c r="BF555" s="10">
        <v>16.25</v>
      </c>
      <c r="BG555" s="107">
        <v>46176</v>
      </c>
      <c r="BH555" s="107">
        <f t="shared" si="261"/>
        <v>46206</v>
      </c>
      <c r="BI555" s="23">
        <v>5</v>
      </c>
      <c r="BJ555" s="6"/>
      <c r="BK555" s="6"/>
      <c r="BL555" s="6">
        <f>VLOOKUP(A555,[2]Sheet1!$D$2:$H$933,5,0)</f>
        <v>0</v>
      </c>
      <c r="BM555" s="6" t="s">
        <v>3828</v>
      </c>
      <c r="BN555" s="6" t="s">
        <v>3829</v>
      </c>
      <c r="BO555" s="6" t="s">
        <v>3820</v>
      </c>
      <c r="BP555" s="6" t="s">
        <v>3821</v>
      </c>
      <c r="BQ555" s="6" t="s">
        <v>3830</v>
      </c>
      <c r="BR555" t="s">
        <v>3823</v>
      </c>
      <c r="BS555" t="s">
        <v>3824</v>
      </c>
      <c r="BT555" t="s">
        <v>3825</v>
      </c>
      <c r="BU555" t="s">
        <v>3826</v>
      </c>
      <c r="BV555" t="s">
        <v>3827</v>
      </c>
      <c r="BW555" t="s">
        <v>3835</v>
      </c>
      <c r="BX555">
        <v>0</v>
      </c>
      <c r="BY555" t="s">
        <v>3864</v>
      </c>
      <c r="BZ555" t="s">
        <v>3860</v>
      </c>
    </row>
    <row r="556" spans="1:78" x14ac:dyDescent="0.25">
      <c r="A556" s="7" t="s">
        <v>2298</v>
      </c>
      <c r="B556" s="7" t="s">
        <v>181</v>
      </c>
      <c r="C556" s="7" t="s">
        <v>2296</v>
      </c>
      <c r="D556" s="8" t="s">
        <v>2297</v>
      </c>
      <c r="E556" s="7" t="s">
        <v>2299</v>
      </c>
      <c r="F556" s="9">
        <v>44921</v>
      </c>
      <c r="G556" s="9" t="s">
        <v>65</v>
      </c>
      <c r="H556" s="9" t="s">
        <v>66</v>
      </c>
      <c r="I556" s="8" t="s">
        <v>67</v>
      </c>
      <c r="J556" s="10">
        <v>424.58</v>
      </c>
      <c r="K556" s="10">
        <v>424.58</v>
      </c>
      <c r="L556" s="10">
        <f t="shared" si="234"/>
        <v>0</v>
      </c>
      <c r="M556" s="10">
        <v>174.92</v>
      </c>
      <c r="N556" s="10">
        <v>174.92</v>
      </c>
      <c r="O556" s="10">
        <f t="shared" si="235"/>
        <v>0</v>
      </c>
      <c r="P556" s="11">
        <v>18682.811248763486</v>
      </c>
      <c r="Q556" s="11">
        <v>45348.433569631838</v>
      </c>
      <c r="R556" s="11">
        <v>22000</v>
      </c>
      <c r="S556" s="11">
        <v>7932348</v>
      </c>
      <c r="T556" s="11">
        <v>951882</v>
      </c>
      <c r="U556" s="12">
        <f t="shared" si="236"/>
        <v>0.12000003025585868</v>
      </c>
      <c r="V556" s="13">
        <f t="shared" si="260"/>
        <v>0</v>
      </c>
      <c r="W556" s="10">
        <f t="shared" si="237"/>
        <v>0</v>
      </c>
      <c r="X556" s="10"/>
      <c r="Y556" s="10"/>
      <c r="Z556" s="11">
        <f t="shared" si="238"/>
        <v>7932348</v>
      </c>
      <c r="AA556" s="14"/>
      <c r="AB556" s="14"/>
      <c r="AC556" s="11">
        <f t="shared" si="239"/>
        <v>7932348</v>
      </c>
      <c r="AD556" s="10">
        <f t="shared" si="240"/>
        <v>300</v>
      </c>
      <c r="AE556" s="15">
        <v>52476</v>
      </c>
      <c r="AF556" s="16">
        <v>9446</v>
      </c>
      <c r="AG556" s="15">
        <f t="shared" si="241"/>
        <v>0</v>
      </c>
      <c r="AH556" s="15">
        <f t="shared" si="242"/>
        <v>0</v>
      </c>
      <c r="AI556" s="15">
        <f t="shared" si="243"/>
        <v>52475.999999999993</v>
      </c>
      <c r="AJ556" s="15">
        <f t="shared" si="244"/>
        <v>9446</v>
      </c>
      <c r="AK556" s="10">
        <v>52476</v>
      </c>
      <c r="AL556" s="15">
        <f t="shared" si="245"/>
        <v>52475.999999999993</v>
      </c>
      <c r="AM556" s="15">
        <f t="shared" si="246"/>
        <v>7984824</v>
      </c>
      <c r="AN556" s="15">
        <f t="shared" si="247"/>
        <v>961328</v>
      </c>
      <c r="AO556" s="15">
        <f t="shared" si="252"/>
        <v>1030042.24</v>
      </c>
      <c r="AP556" s="17">
        <f t="shared" si="248"/>
        <v>9014866.2400000002</v>
      </c>
      <c r="AQ556" s="15">
        <v>4500888</v>
      </c>
      <c r="AR556" s="15">
        <v>16238.24</v>
      </c>
      <c r="AS556" s="18">
        <f t="shared" si="253"/>
        <v>4513978</v>
      </c>
      <c r="AT556" s="19">
        <v>0</v>
      </c>
      <c r="AU556" s="8">
        <v>8800</v>
      </c>
      <c r="AV556" s="13">
        <f t="shared" si="254"/>
        <v>1539296</v>
      </c>
      <c r="AW556" s="18">
        <f t="shared" si="255"/>
        <v>7984824</v>
      </c>
      <c r="AX556" s="15">
        <f t="shared" si="249"/>
        <v>7985000</v>
      </c>
      <c r="AY556" s="20">
        <v>0.05</v>
      </c>
      <c r="AZ556" s="13">
        <f t="shared" si="250"/>
        <v>399250</v>
      </c>
      <c r="BA556" s="15">
        <f t="shared" si="251"/>
        <v>399300</v>
      </c>
      <c r="BB556" s="21">
        <f t="shared" si="256"/>
        <v>4913278</v>
      </c>
      <c r="BC556" s="10">
        <f t="shared" si="257"/>
        <v>0</v>
      </c>
      <c r="BD556" s="10">
        <f t="shared" si="258"/>
        <v>0</v>
      </c>
      <c r="BE556" s="10">
        <v>39.44</v>
      </c>
      <c r="BF556" s="10">
        <v>16.25</v>
      </c>
      <c r="BG556" s="107">
        <v>46176</v>
      </c>
      <c r="BH556" s="107">
        <f t="shared" si="261"/>
        <v>46206</v>
      </c>
      <c r="BI556" s="23">
        <v>5</v>
      </c>
      <c r="BJ556" s="6"/>
      <c r="BK556" s="6"/>
      <c r="BL556" s="6">
        <f>VLOOKUP(A556,[2]Sheet1!$D$2:$H$933,5,0)</f>
        <v>0</v>
      </c>
      <c r="BM556" s="6" t="s">
        <v>3828</v>
      </c>
      <c r="BN556" s="6" t="s">
        <v>3829</v>
      </c>
      <c r="BO556" s="6" t="s">
        <v>3820</v>
      </c>
      <c r="BP556" s="6" t="s">
        <v>3821</v>
      </c>
      <c r="BQ556" s="6" t="s">
        <v>3830</v>
      </c>
      <c r="BR556" t="s">
        <v>3823</v>
      </c>
      <c r="BS556" t="s">
        <v>3824</v>
      </c>
      <c r="BT556" t="s">
        <v>3825</v>
      </c>
      <c r="BU556" t="s">
        <v>3826</v>
      </c>
      <c r="BV556" t="s">
        <v>3827</v>
      </c>
      <c r="BW556" t="s">
        <v>3835</v>
      </c>
      <c r="BX556">
        <v>0</v>
      </c>
      <c r="BY556" t="s">
        <v>3864</v>
      </c>
      <c r="BZ556" t="s">
        <v>3860</v>
      </c>
    </row>
    <row r="557" spans="1:78" x14ac:dyDescent="0.25">
      <c r="A557" s="7" t="s">
        <v>2302</v>
      </c>
      <c r="B557" s="7" t="s">
        <v>181</v>
      </c>
      <c r="C557" s="7" t="s">
        <v>2300</v>
      </c>
      <c r="D557" s="8" t="s">
        <v>2301</v>
      </c>
      <c r="E557" s="7" t="s">
        <v>2303</v>
      </c>
      <c r="F557" s="9">
        <v>45058</v>
      </c>
      <c r="G557" s="9" t="s">
        <v>363</v>
      </c>
      <c r="H557" s="9" t="s">
        <v>92</v>
      </c>
      <c r="I557" s="8" t="s">
        <v>78</v>
      </c>
      <c r="J557" s="10">
        <v>697.51</v>
      </c>
      <c r="K557" s="10">
        <v>697.51</v>
      </c>
      <c r="L557" s="10">
        <f t="shared" si="234"/>
        <v>0</v>
      </c>
      <c r="M557" s="10">
        <v>317.54000000000002</v>
      </c>
      <c r="N557" s="10">
        <v>317.54000000000002</v>
      </c>
      <c r="O557" s="10">
        <f t="shared" si="235"/>
        <v>0</v>
      </c>
      <c r="P557" s="11">
        <v>12081.640406589153</v>
      </c>
      <c r="Q557" s="11">
        <v>26538.593563015682</v>
      </c>
      <c r="R557" s="11">
        <v>28000</v>
      </c>
      <c r="S557" s="11">
        <v>8427065</v>
      </c>
      <c r="T557" s="11">
        <v>1011248</v>
      </c>
      <c r="U557" s="12">
        <f t="shared" si="236"/>
        <v>0.12000002373305534</v>
      </c>
      <c r="V557" s="13">
        <f t="shared" si="260"/>
        <v>0</v>
      </c>
      <c r="W557" s="10">
        <f t="shared" si="237"/>
        <v>0</v>
      </c>
      <c r="X557" s="10"/>
      <c r="Y557" s="10"/>
      <c r="Z557" s="11">
        <f t="shared" si="238"/>
        <v>8427065</v>
      </c>
      <c r="AA557" s="14"/>
      <c r="AB557" s="14"/>
      <c r="AC557" s="11">
        <f t="shared" si="239"/>
        <v>8427065</v>
      </c>
      <c r="AD557" s="10">
        <f t="shared" si="240"/>
        <v>300</v>
      </c>
      <c r="AE557" s="15">
        <v>95262</v>
      </c>
      <c r="AF557" s="16">
        <v>17148</v>
      </c>
      <c r="AG557" s="15">
        <f t="shared" si="241"/>
        <v>0</v>
      </c>
      <c r="AH557" s="15">
        <f t="shared" si="242"/>
        <v>0</v>
      </c>
      <c r="AI557" s="15">
        <f t="shared" si="243"/>
        <v>95262</v>
      </c>
      <c r="AJ557" s="15">
        <f t="shared" si="244"/>
        <v>17148</v>
      </c>
      <c r="AK557" s="10">
        <v>95262</v>
      </c>
      <c r="AL557" s="15">
        <f t="shared" si="245"/>
        <v>95262</v>
      </c>
      <c r="AM557" s="15">
        <f t="shared" si="246"/>
        <v>8522327</v>
      </c>
      <c r="AN557" s="15">
        <f t="shared" si="247"/>
        <v>1028396</v>
      </c>
      <c r="AO557" s="15">
        <f t="shared" si="252"/>
        <v>1140402</v>
      </c>
      <c r="AP557" s="17">
        <f t="shared" si="248"/>
        <v>9662729</v>
      </c>
      <c r="AQ557" s="15">
        <v>4919157.58</v>
      </c>
      <c r="AR557" s="15">
        <v>16744</v>
      </c>
      <c r="AS557" s="18">
        <f t="shared" si="253"/>
        <v>4743571</v>
      </c>
      <c r="AT557" s="19">
        <v>0</v>
      </c>
      <c r="AU557" s="8">
        <v>8800</v>
      </c>
      <c r="AV557" s="13">
        <f t="shared" si="254"/>
        <v>2794352</v>
      </c>
      <c r="AW557" s="18">
        <f t="shared" si="255"/>
        <v>8522327</v>
      </c>
      <c r="AX557" s="15">
        <f t="shared" si="249"/>
        <v>8523000</v>
      </c>
      <c r="AY557" s="20">
        <v>0.06</v>
      </c>
      <c r="AZ557" s="13">
        <f t="shared" si="250"/>
        <v>511380</v>
      </c>
      <c r="BA557" s="15">
        <f t="shared" si="251"/>
        <v>511400</v>
      </c>
      <c r="BB557" s="21">
        <f t="shared" si="256"/>
        <v>5254971</v>
      </c>
      <c r="BC557" s="10">
        <f t="shared" si="257"/>
        <v>0</v>
      </c>
      <c r="BD557" s="10">
        <f t="shared" si="258"/>
        <v>0</v>
      </c>
      <c r="BE557" s="10">
        <v>64.8</v>
      </c>
      <c r="BF557" s="10">
        <v>29.5</v>
      </c>
      <c r="BG557" s="107">
        <v>46176</v>
      </c>
      <c r="BH557" s="107">
        <f t="shared" si="261"/>
        <v>46206</v>
      </c>
      <c r="BI557" s="23">
        <v>6</v>
      </c>
      <c r="BJ557" s="6"/>
      <c r="BK557" s="6"/>
      <c r="BL557" s="6">
        <f>VLOOKUP(A557,[2]Sheet1!$D$2:$H$933,5,0)</f>
        <v>0</v>
      </c>
      <c r="BM557" s="6" t="s">
        <v>3828</v>
      </c>
      <c r="BN557" s="6" t="s">
        <v>3829</v>
      </c>
      <c r="BO557" s="6" t="s">
        <v>3820</v>
      </c>
      <c r="BP557" s="6" t="s">
        <v>3821</v>
      </c>
      <c r="BQ557" s="6" t="s">
        <v>3830</v>
      </c>
      <c r="BR557" t="s">
        <v>3823</v>
      </c>
      <c r="BS557" t="s">
        <v>3824</v>
      </c>
      <c r="BT557" t="s">
        <v>3825</v>
      </c>
      <c r="BU557" t="s">
        <v>3826</v>
      </c>
      <c r="BV557" t="s">
        <v>3827</v>
      </c>
      <c r="BW557" t="s">
        <v>3835</v>
      </c>
      <c r="BX557">
        <v>0</v>
      </c>
      <c r="BY557" t="s">
        <v>3861</v>
      </c>
      <c r="BZ557" t="s">
        <v>3860</v>
      </c>
    </row>
    <row r="558" spans="1:78" x14ac:dyDescent="0.25">
      <c r="A558" s="7" t="s">
        <v>2306</v>
      </c>
      <c r="B558" s="7" t="s">
        <v>181</v>
      </c>
      <c r="C558" s="7" t="s">
        <v>2304</v>
      </c>
      <c r="D558" s="8" t="s">
        <v>2305</v>
      </c>
      <c r="E558" s="7" t="s">
        <v>2307</v>
      </c>
      <c r="F558" s="9">
        <v>44990</v>
      </c>
      <c r="G558" s="9" t="s">
        <v>363</v>
      </c>
      <c r="H558" s="9" t="s">
        <v>87</v>
      </c>
      <c r="I558" s="8" t="s">
        <v>67</v>
      </c>
      <c r="J558" s="10">
        <v>220.06</v>
      </c>
      <c r="K558" s="10">
        <v>220.06</v>
      </c>
      <c r="L558" s="10">
        <f t="shared" si="234"/>
        <v>0</v>
      </c>
      <c r="M558" s="10">
        <v>88.26</v>
      </c>
      <c r="N558" s="10">
        <v>88.26</v>
      </c>
      <c r="O558" s="10">
        <f t="shared" si="235"/>
        <v>0</v>
      </c>
      <c r="P558" s="11">
        <v>29513.355448514041</v>
      </c>
      <c r="Q558" s="11">
        <v>73586.097892590071</v>
      </c>
      <c r="R558" s="11">
        <v>40000</v>
      </c>
      <c r="S558" s="11">
        <v>6494709</v>
      </c>
      <c r="T558" s="11">
        <v>779366</v>
      </c>
      <c r="U558" s="12">
        <f t="shared" si="236"/>
        <v>0.12000014165376771</v>
      </c>
      <c r="V558" s="13">
        <f t="shared" si="260"/>
        <v>0</v>
      </c>
      <c r="W558" s="10">
        <f t="shared" si="237"/>
        <v>0</v>
      </c>
      <c r="X558" s="10"/>
      <c r="Y558" s="10"/>
      <c r="Z558" s="11">
        <f t="shared" si="238"/>
        <v>6494709</v>
      </c>
      <c r="AA558" s="14"/>
      <c r="AB558" s="14"/>
      <c r="AC558" s="11">
        <f t="shared" si="239"/>
        <v>6494709</v>
      </c>
      <c r="AD558" s="10">
        <f t="shared" si="240"/>
        <v>300</v>
      </c>
      <c r="AE558" s="15">
        <v>26478</v>
      </c>
      <c r="AF558" s="16">
        <v>4766</v>
      </c>
      <c r="AG558" s="15">
        <f t="shared" si="241"/>
        <v>0</v>
      </c>
      <c r="AH558" s="15">
        <f t="shared" si="242"/>
        <v>0</v>
      </c>
      <c r="AI558" s="15">
        <f t="shared" si="243"/>
        <v>26478</v>
      </c>
      <c r="AJ558" s="15">
        <f t="shared" si="244"/>
        <v>4767</v>
      </c>
      <c r="AK558" s="10">
        <v>26478</v>
      </c>
      <c r="AL558" s="15">
        <f t="shared" si="245"/>
        <v>26478</v>
      </c>
      <c r="AM558" s="15">
        <f t="shared" si="246"/>
        <v>6521187</v>
      </c>
      <c r="AN558" s="15">
        <f t="shared" si="247"/>
        <v>784133</v>
      </c>
      <c r="AO558" s="15">
        <f t="shared" si="252"/>
        <v>823616.6</v>
      </c>
      <c r="AP558" s="17">
        <f t="shared" si="248"/>
        <v>7344803.5999999996</v>
      </c>
      <c r="AQ558" s="15">
        <f>6433961-3518924</f>
        <v>2915037</v>
      </c>
      <c r="AR558" s="15">
        <v>13005.6</v>
      </c>
      <c r="AS558" s="18">
        <f t="shared" si="253"/>
        <v>4429767</v>
      </c>
      <c r="AT558" s="19">
        <v>0</v>
      </c>
      <c r="AU558" s="8">
        <v>8800</v>
      </c>
      <c r="AV558" s="13">
        <f t="shared" si="254"/>
        <v>776688</v>
      </c>
      <c r="AW558" s="18">
        <f t="shared" si="255"/>
        <v>6521187</v>
      </c>
      <c r="AX558" s="15">
        <f t="shared" si="249"/>
        <v>6522000</v>
      </c>
      <c r="AY558" s="20">
        <v>0.05</v>
      </c>
      <c r="AZ558" s="13">
        <f t="shared" si="250"/>
        <v>326100</v>
      </c>
      <c r="BA558" s="15">
        <f t="shared" si="251"/>
        <v>326100</v>
      </c>
      <c r="BB558" s="21">
        <f t="shared" si="256"/>
        <v>4755867</v>
      </c>
      <c r="BC558" s="10">
        <f t="shared" si="257"/>
        <v>0</v>
      </c>
      <c r="BD558" s="10">
        <f t="shared" si="258"/>
        <v>0</v>
      </c>
      <c r="BE558" s="10">
        <v>20.440000000000001</v>
      </c>
      <c r="BF558" s="10">
        <v>8.1999999999999993</v>
      </c>
      <c r="BG558" s="107">
        <v>46176</v>
      </c>
      <c r="BH558" s="107">
        <f t="shared" si="261"/>
        <v>46206</v>
      </c>
      <c r="BI558" s="23">
        <v>5</v>
      </c>
      <c r="BJ558" s="6"/>
      <c r="BK558" s="6"/>
      <c r="BL558" s="6">
        <f>VLOOKUP(A558,[2]Sheet1!$D$2:$H$933,5,0)</f>
        <v>0</v>
      </c>
      <c r="BM558" s="6" t="s">
        <v>3828</v>
      </c>
      <c r="BN558" s="6" t="s">
        <v>3829</v>
      </c>
      <c r="BO558" s="6" t="s">
        <v>3820</v>
      </c>
      <c r="BP558" s="6" t="s">
        <v>3821</v>
      </c>
      <c r="BQ558" s="6" t="s">
        <v>3830</v>
      </c>
      <c r="BR558" t="s">
        <v>3823</v>
      </c>
      <c r="BS558" t="s">
        <v>3824</v>
      </c>
      <c r="BT558" t="s">
        <v>3825</v>
      </c>
      <c r="BU558" t="s">
        <v>3826</v>
      </c>
      <c r="BV558" t="s">
        <v>3827</v>
      </c>
      <c r="BW558" t="s">
        <v>3835</v>
      </c>
      <c r="BX558">
        <v>0</v>
      </c>
      <c r="BY558" t="s">
        <v>3868</v>
      </c>
      <c r="BZ558" t="s">
        <v>3860</v>
      </c>
    </row>
    <row r="559" spans="1:78" x14ac:dyDescent="0.25">
      <c r="A559" s="7" t="s">
        <v>2310</v>
      </c>
      <c r="B559" s="7" t="s">
        <v>181</v>
      </c>
      <c r="C559" s="7" t="s">
        <v>2308</v>
      </c>
      <c r="D559" s="8" t="s">
        <v>2309</v>
      </c>
      <c r="E559" s="7" t="s">
        <v>2307</v>
      </c>
      <c r="F559" s="9">
        <v>44990</v>
      </c>
      <c r="G559" s="9" t="s">
        <v>363</v>
      </c>
      <c r="H559" s="9" t="s">
        <v>87</v>
      </c>
      <c r="I559" s="8" t="s">
        <v>67</v>
      </c>
      <c r="J559" s="10">
        <v>220.06</v>
      </c>
      <c r="K559" s="10">
        <v>220.06</v>
      </c>
      <c r="L559" s="10">
        <f t="shared" si="234"/>
        <v>0</v>
      </c>
      <c r="M559" s="10">
        <v>88.26</v>
      </c>
      <c r="N559" s="10">
        <v>88.26</v>
      </c>
      <c r="O559" s="10">
        <f t="shared" si="235"/>
        <v>0</v>
      </c>
      <c r="P559" s="11">
        <v>29513.355448514041</v>
      </c>
      <c r="Q559" s="11">
        <v>73586.097892590071</v>
      </c>
      <c r="R559" s="11">
        <v>40000</v>
      </c>
      <c r="S559" s="11">
        <v>6494709</v>
      </c>
      <c r="T559" s="11">
        <v>779366</v>
      </c>
      <c r="U559" s="12">
        <f t="shared" si="236"/>
        <v>0.12000014165376771</v>
      </c>
      <c r="V559" s="13">
        <f t="shared" si="260"/>
        <v>0</v>
      </c>
      <c r="W559" s="10">
        <f t="shared" si="237"/>
        <v>0</v>
      </c>
      <c r="X559" s="10"/>
      <c r="Y559" s="10"/>
      <c r="Z559" s="11">
        <f t="shared" si="238"/>
        <v>6494709</v>
      </c>
      <c r="AA559" s="14"/>
      <c r="AB559" s="14"/>
      <c r="AC559" s="11">
        <f t="shared" si="239"/>
        <v>6494709</v>
      </c>
      <c r="AD559" s="10">
        <f t="shared" si="240"/>
        <v>300</v>
      </c>
      <c r="AE559" s="15">
        <v>26478</v>
      </c>
      <c r="AF559" s="16">
        <v>4766</v>
      </c>
      <c r="AG559" s="15">
        <f t="shared" si="241"/>
        <v>0</v>
      </c>
      <c r="AH559" s="15">
        <f t="shared" si="242"/>
        <v>0</v>
      </c>
      <c r="AI559" s="15">
        <f t="shared" si="243"/>
        <v>26478</v>
      </c>
      <c r="AJ559" s="15">
        <f t="shared" si="244"/>
        <v>4767</v>
      </c>
      <c r="AK559" s="10">
        <v>26478</v>
      </c>
      <c r="AL559" s="15">
        <f t="shared" si="245"/>
        <v>26478</v>
      </c>
      <c r="AM559" s="15">
        <f t="shared" si="246"/>
        <v>6521187</v>
      </c>
      <c r="AN559" s="15">
        <f t="shared" si="247"/>
        <v>784133</v>
      </c>
      <c r="AO559" s="15">
        <f t="shared" si="252"/>
        <v>823616.6</v>
      </c>
      <c r="AP559" s="17">
        <f t="shared" si="248"/>
        <v>7344803.5999999996</v>
      </c>
      <c r="AQ559" s="15">
        <f>2915037+3518924</f>
        <v>6433961</v>
      </c>
      <c r="AR559" s="15">
        <v>13005.6</v>
      </c>
      <c r="AS559" s="18">
        <f t="shared" si="253"/>
        <v>910843</v>
      </c>
      <c r="AT559" s="19">
        <v>0</v>
      </c>
      <c r="AU559" s="8">
        <v>8800</v>
      </c>
      <c r="AV559" s="13">
        <f t="shared" si="254"/>
        <v>776688</v>
      </c>
      <c r="AW559" s="18">
        <f t="shared" si="255"/>
        <v>6521187</v>
      </c>
      <c r="AX559" s="15">
        <f t="shared" si="249"/>
        <v>6522000</v>
      </c>
      <c r="AY559" s="20">
        <v>0.05</v>
      </c>
      <c r="AZ559" s="13">
        <f t="shared" si="250"/>
        <v>326100</v>
      </c>
      <c r="BA559" s="15">
        <f t="shared" si="251"/>
        <v>326100</v>
      </c>
      <c r="BB559" s="21">
        <f t="shared" si="256"/>
        <v>1236943</v>
      </c>
      <c r="BC559" s="10">
        <f t="shared" si="257"/>
        <v>0</v>
      </c>
      <c r="BD559" s="10">
        <f t="shared" si="258"/>
        <v>0</v>
      </c>
      <c r="BE559" s="10">
        <v>20.440000000000001</v>
      </c>
      <c r="BF559" s="10">
        <v>8.1999999999999993</v>
      </c>
      <c r="BG559" s="107">
        <v>46176</v>
      </c>
      <c r="BH559" s="107">
        <f t="shared" si="261"/>
        <v>46206</v>
      </c>
      <c r="BI559" s="23">
        <v>5</v>
      </c>
      <c r="BJ559" s="6"/>
      <c r="BK559" s="6"/>
      <c r="BL559" s="6">
        <f>VLOOKUP(A559,[2]Sheet1!$D$2:$H$933,5,0)</f>
        <v>0</v>
      </c>
      <c r="BM559" s="6" t="s">
        <v>3828</v>
      </c>
      <c r="BN559" s="6" t="s">
        <v>3829</v>
      </c>
      <c r="BO559" s="6" t="s">
        <v>3820</v>
      </c>
      <c r="BP559" s="6" t="s">
        <v>3821</v>
      </c>
      <c r="BQ559" s="6" t="s">
        <v>3830</v>
      </c>
      <c r="BR559" t="s">
        <v>3823</v>
      </c>
      <c r="BS559" t="s">
        <v>3824</v>
      </c>
      <c r="BT559" t="s">
        <v>3825</v>
      </c>
      <c r="BU559" t="s">
        <v>3826</v>
      </c>
      <c r="BV559" t="s">
        <v>3827</v>
      </c>
      <c r="BW559" t="s">
        <v>3835</v>
      </c>
      <c r="BX559">
        <v>0</v>
      </c>
      <c r="BY559" t="s">
        <v>3868</v>
      </c>
      <c r="BZ559" t="s">
        <v>3860</v>
      </c>
    </row>
    <row r="560" spans="1:78" x14ac:dyDescent="0.25">
      <c r="A560" s="7" t="s">
        <v>2313</v>
      </c>
      <c r="B560" s="7" t="s">
        <v>181</v>
      </c>
      <c r="C560" s="7" t="s">
        <v>2311</v>
      </c>
      <c r="D560" s="8" t="s">
        <v>2312</v>
      </c>
      <c r="E560" s="7" t="s">
        <v>2314</v>
      </c>
      <c r="F560" s="9">
        <v>44943</v>
      </c>
      <c r="G560" s="9" t="s">
        <v>527</v>
      </c>
      <c r="H560" s="9" t="s">
        <v>92</v>
      </c>
      <c r="I560" s="8" t="s">
        <v>67</v>
      </c>
      <c r="J560" s="10">
        <v>224.85</v>
      </c>
      <c r="K560" s="10">
        <v>224.85</v>
      </c>
      <c r="L560" s="10">
        <f t="shared" si="234"/>
        <v>0</v>
      </c>
      <c r="M560" s="10">
        <v>89.34</v>
      </c>
      <c r="N560" s="10">
        <v>89.34</v>
      </c>
      <c r="O560" s="10">
        <f t="shared" si="235"/>
        <v>0</v>
      </c>
      <c r="P560" s="11">
        <v>21969.001556593284</v>
      </c>
      <c r="Q560" s="11">
        <v>55291.358853816877</v>
      </c>
      <c r="R560" s="11">
        <v>28000</v>
      </c>
      <c r="S560" s="11">
        <v>4939730</v>
      </c>
      <c r="T560" s="11">
        <v>592768</v>
      </c>
      <c r="U560" s="12">
        <f t="shared" si="236"/>
        <v>0.12000008097608574</v>
      </c>
      <c r="V560" s="13">
        <f t="shared" si="260"/>
        <v>0</v>
      </c>
      <c r="W560" s="10">
        <f t="shared" si="237"/>
        <v>0</v>
      </c>
      <c r="X560" s="10"/>
      <c r="Y560" s="10"/>
      <c r="Z560" s="11">
        <f t="shared" si="238"/>
        <v>4939730</v>
      </c>
      <c r="AA560" s="14"/>
      <c r="AB560" s="14"/>
      <c r="AC560" s="11">
        <f t="shared" si="239"/>
        <v>4939730</v>
      </c>
      <c r="AD560" s="10">
        <f t="shared" si="240"/>
        <v>300</v>
      </c>
      <c r="AE560" s="15">
        <v>26802</v>
      </c>
      <c r="AF560" s="16">
        <v>4824</v>
      </c>
      <c r="AG560" s="15">
        <f t="shared" si="241"/>
        <v>0</v>
      </c>
      <c r="AH560" s="15">
        <f t="shared" si="242"/>
        <v>0</v>
      </c>
      <c r="AI560" s="15">
        <f t="shared" si="243"/>
        <v>26802</v>
      </c>
      <c r="AJ560" s="15">
        <f t="shared" si="244"/>
        <v>4825</v>
      </c>
      <c r="AK560" s="10">
        <v>26802</v>
      </c>
      <c r="AL560" s="15">
        <f t="shared" si="245"/>
        <v>26802</v>
      </c>
      <c r="AM560" s="15">
        <f t="shared" si="246"/>
        <v>4966532</v>
      </c>
      <c r="AN560" s="15">
        <f t="shared" si="247"/>
        <v>597593</v>
      </c>
      <c r="AO560" s="15">
        <f t="shared" si="252"/>
        <v>642160</v>
      </c>
      <c r="AP560" s="17">
        <f t="shared" si="248"/>
        <v>5608692</v>
      </c>
      <c r="AQ560" s="15">
        <v>1405408</v>
      </c>
      <c r="AR560" s="15">
        <v>17765</v>
      </c>
      <c r="AS560" s="18">
        <f t="shared" si="253"/>
        <v>4203284</v>
      </c>
      <c r="AT560" s="19">
        <v>0</v>
      </c>
      <c r="AU560" s="8">
        <v>8800</v>
      </c>
      <c r="AV560" s="13">
        <f t="shared" si="254"/>
        <v>786192</v>
      </c>
      <c r="AW560" s="18">
        <f t="shared" si="255"/>
        <v>4966532</v>
      </c>
      <c r="AX560" s="15">
        <f t="shared" si="249"/>
        <v>4967000</v>
      </c>
      <c r="AY560" s="20">
        <v>0.05</v>
      </c>
      <c r="AZ560" s="13">
        <f t="shared" si="250"/>
        <v>248350</v>
      </c>
      <c r="BA560" s="15">
        <f t="shared" si="251"/>
        <v>248400</v>
      </c>
      <c r="BB560" s="21">
        <f t="shared" si="256"/>
        <v>4451684</v>
      </c>
      <c r="BC560" s="10">
        <f t="shared" si="257"/>
        <v>0</v>
      </c>
      <c r="BD560" s="10">
        <f t="shared" si="258"/>
        <v>0</v>
      </c>
      <c r="BE560" s="10">
        <v>20.89</v>
      </c>
      <c r="BF560" s="10">
        <v>8.3000000000000007</v>
      </c>
      <c r="BG560" s="107">
        <v>46176</v>
      </c>
      <c r="BH560" s="107">
        <f t="shared" si="261"/>
        <v>46206</v>
      </c>
      <c r="BI560" s="23">
        <v>5</v>
      </c>
      <c r="BJ560" s="6"/>
      <c r="BK560" s="6" t="s">
        <v>2315</v>
      </c>
      <c r="BL560" s="6">
        <f>VLOOKUP(A560,[2]Sheet1!$D$2:$H$933,5,0)</f>
        <v>0</v>
      </c>
      <c r="BM560" s="6" t="s">
        <v>3828</v>
      </c>
      <c r="BN560" s="6" t="s">
        <v>3829</v>
      </c>
      <c r="BO560" s="6" t="s">
        <v>3820</v>
      </c>
      <c r="BP560" s="6" t="s">
        <v>3821</v>
      </c>
      <c r="BQ560" s="6" t="s">
        <v>3830</v>
      </c>
      <c r="BR560" t="s">
        <v>3823</v>
      </c>
      <c r="BS560" t="s">
        <v>3824</v>
      </c>
      <c r="BT560" t="s">
        <v>3825</v>
      </c>
      <c r="BU560" t="s">
        <v>3826</v>
      </c>
      <c r="BV560" t="s">
        <v>3827</v>
      </c>
      <c r="BW560" t="s">
        <v>3835</v>
      </c>
      <c r="BX560">
        <v>0</v>
      </c>
      <c r="BY560" t="s">
        <v>3865</v>
      </c>
      <c r="BZ560" t="s">
        <v>3871</v>
      </c>
    </row>
    <row r="561" spans="1:78" x14ac:dyDescent="0.25">
      <c r="A561" s="7" t="s">
        <v>2318</v>
      </c>
      <c r="B561" s="7" t="s">
        <v>181</v>
      </c>
      <c r="C561" s="7" t="s">
        <v>2316</v>
      </c>
      <c r="D561" s="8" t="s">
        <v>2317</v>
      </c>
      <c r="E561" s="7" t="s">
        <v>2319</v>
      </c>
      <c r="F561" s="9">
        <v>45323</v>
      </c>
      <c r="G561" s="9" t="s">
        <v>527</v>
      </c>
      <c r="H561" s="9" t="s">
        <v>87</v>
      </c>
      <c r="I561" s="8" t="s">
        <v>67</v>
      </c>
      <c r="J561" s="10">
        <v>397.07</v>
      </c>
      <c r="K561" s="10">
        <v>420.3</v>
      </c>
      <c r="L561" s="10">
        <f t="shared" si="234"/>
        <v>23.230000000000018</v>
      </c>
      <c r="M561" s="10">
        <v>158.22999999999999</v>
      </c>
      <c r="N561" s="10">
        <v>167.49</v>
      </c>
      <c r="O561" s="10">
        <f t="shared" si="235"/>
        <v>9.2600000000000193</v>
      </c>
      <c r="P561" s="11">
        <v>27614.901654620091</v>
      </c>
      <c r="Q561" s="11">
        <v>69298.167224925739</v>
      </c>
      <c r="R561" s="11">
        <v>40000</v>
      </c>
      <c r="S561" s="11">
        <v>10965049</v>
      </c>
      <c r="T561" s="11">
        <v>1315808</v>
      </c>
      <c r="U561" s="12">
        <f t="shared" si="236"/>
        <v>0.12000019334158926</v>
      </c>
      <c r="V561" s="13">
        <f>L561*R561</f>
        <v>929200.0000000007</v>
      </c>
      <c r="W561" s="10">
        <f t="shared" si="237"/>
        <v>111504.17965300483</v>
      </c>
      <c r="X561" s="15"/>
      <c r="Y561" s="15"/>
      <c r="Z561" s="11">
        <f t="shared" si="238"/>
        <v>11894249</v>
      </c>
      <c r="AA561" s="14"/>
      <c r="AB561" s="14"/>
      <c r="AC561" s="11">
        <f t="shared" si="239"/>
        <v>11894249</v>
      </c>
      <c r="AD561" s="10">
        <f t="shared" si="240"/>
        <v>300</v>
      </c>
      <c r="AE561" s="15">
        <v>47469</v>
      </c>
      <c r="AF561" s="16">
        <v>8544</v>
      </c>
      <c r="AG561" s="15">
        <f t="shared" si="241"/>
        <v>2778.0000000000059</v>
      </c>
      <c r="AH561" s="15">
        <f t="shared" si="242"/>
        <v>500.04000000000104</v>
      </c>
      <c r="AI561" s="15">
        <f t="shared" si="243"/>
        <v>50247</v>
      </c>
      <c r="AJ561" s="15">
        <f t="shared" si="244"/>
        <v>9045</v>
      </c>
      <c r="AK561" s="10">
        <v>47469</v>
      </c>
      <c r="AL561" s="15">
        <f t="shared" si="245"/>
        <v>50247</v>
      </c>
      <c r="AM561" s="15">
        <f t="shared" si="246"/>
        <v>11944496</v>
      </c>
      <c r="AN561" s="15">
        <f t="shared" si="247"/>
        <v>1436358</v>
      </c>
      <c r="AO561" s="15">
        <f t="shared" si="252"/>
        <v>1503440</v>
      </c>
      <c r="AP561" s="17">
        <f t="shared" si="248"/>
        <v>13447936</v>
      </c>
      <c r="AQ561" s="15">
        <v>8159999</v>
      </c>
      <c r="AR561" s="15">
        <v>16835</v>
      </c>
      <c r="AS561" s="18">
        <f t="shared" si="253"/>
        <v>5287937</v>
      </c>
      <c r="AT561" s="19">
        <v>0</v>
      </c>
      <c r="AU561" s="8">
        <v>8800</v>
      </c>
      <c r="AV561" s="13">
        <f t="shared" si="254"/>
        <v>1473912</v>
      </c>
      <c r="AW561" s="18">
        <f t="shared" si="255"/>
        <v>11944496</v>
      </c>
      <c r="AX561" s="15">
        <f t="shared" si="249"/>
        <v>11945000</v>
      </c>
      <c r="AY561" s="20">
        <v>0.05</v>
      </c>
      <c r="AZ561" s="13">
        <f t="shared" si="250"/>
        <v>597250</v>
      </c>
      <c r="BA561" s="15">
        <f t="shared" si="251"/>
        <v>597300</v>
      </c>
      <c r="BB561" s="21">
        <f t="shared" si="256"/>
        <v>5885237</v>
      </c>
      <c r="BC561" s="10">
        <f t="shared" si="257"/>
        <v>5.850353841891863</v>
      </c>
      <c r="BD561" s="10">
        <f t="shared" si="258"/>
        <v>5.8522404095304434</v>
      </c>
      <c r="BE561" s="10">
        <v>39.049999999999997</v>
      </c>
      <c r="BF561" s="10">
        <v>15.56</v>
      </c>
      <c r="BG561" s="107">
        <v>46176</v>
      </c>
      <c r="BH561" s="107">
        <f t="shared" si="261"/>
        <v>46206</v>
      </c>
      <c r="BI561" s="23">
        <v>5</v>
      </c>
      <c r="BJ561" s="6"/>
      <c r="BK561" s="6"/>
      <c r="BL561" s="6">
        <f>VLOOKUP(A561,[2]Sheet1!$D$2:$H$933,5,0)</f>
        <v>0</v>
      </c>
      <c r="BM561" s="6" t="s">
        <v>3828</v>
      </c>
      <c r="BN561" s="6" t="s">
        <v>3829</v>
      </c>
      <c r="BO561" s="6" t="s">
        <v>3820</v>
      </c>
      <c r="BP561" s="6" t="s">
        <v>3821</v>
      </c>
      <c r="BQ561" s="6" t="s">
        <v>3830</v>
      </c>
      <c r="BR561" t="s">
        <v>3823</v>
      </c>
      <c r="BS561" t="s">
        <v>3824</v>
      </c>
      <c r="BT561" t="s">
        <v>3825</v>
      </c>
      <c r="BU561" t="s">
        <v>3826</v>
      </c>
      <c r="BV561" t="s">
        <v>3827</v>
      </c>
      <c r="BW561" t="s">
        <v>3835</v>
      </c>
      <c r="BX561">
        <v>0</v>
      </c>
      <c r="BY561" t="s">
        <v>3865</v>
      </c>
      <c r="BZ561" t="s">
        <v>3871</v>
      </c>
    </row>
    <row r="562" spans="1:78" x14ac:dyDescent="0.25">
      <c r="A562" s="7" t="s">
        <v>2322</v>
      </c>
      <c r="B562" s="7" t="s">
        <v>181</v>
      </c>
      <c r="C562" s="7" t="s">
        <v>2320</v>
      </c>
      <c r="D562" s="8" t="s">
        <v>2321</v>
      </c>
      <c r="E562" s="7" t="s">
        <v>2323</v>
      </c>
      <c r="F562" s="9">
        <v>44896</v>
      </c>
      <c r="G562" s="9" t="s">
        <v>527</v>
      </c>
      <c r="H562" s="9" t="s">
        <v>72</v>
      </c>
      <c r="I562" s="8" t="s">
        <v>635</v>
      </c>
      <c r="J562" s="10">
        <v>796.25</v>
      </c>
      <c r="K562" s="10">
        <v>796.25</v>
      </c>
      <c r="L562" s="10">
        <f t="shared" si="234"/>
        <v>0</v>
      </c>
      <c r="M562" s="10">
        <v>120.56</v>
      </c>
      <c r="N562" s="10">
        <v>120.56</v>
      </c>
      <c r="O562" s="10">
        <f t="shared" si="235"/>
        <v>0</v>
      </c>
      <c r="P562" s="11">
        <v>9943.2502354788066</v>
      </c>
      <c r="Q562" s="11">
        <v>65671.142999336429</v>
      </c>
      <c r="R562" s="11">
        <v>20000</v>
      </c>
      <c r="S562" s="11">
        <v>7917313</v>
      </c>
      <c r="T562" s="11">
        <v>950078</v>
      </c>
      <c r="U562" s="12">
        <f t="shared" si="236"/>
        <v>0.12000005557441015</v>
      </c>
      <c r="V562" s="13">
        <f t="shared" ref="V562:V575" si="262">L562*P562</f>
        <v>0</v>
      </c>
      <c r="W562" s="10">
        <f t="shared" si="237"/>
        <v>0</v>
      </c>
      <c r="X562" s="10"/>
      <c r="Y562" s="10"/>
      <c r="Z562" s="11">
        <f t="shared" si="238"/>
        <v>7917313</v>
      </c>
      <c r="AA562" s="14"/>
      <c r="AB562" s="14"/>
      <c r="AC562" s="11">
        <f t="shared" si="239"/>
        <v>7917313</v>
      </c>
      <c r="AD562" s="10">
        <f t="shared" si="240"/>
        <v>300</v>
      </c>
      <c r="AE562" s="15">
        <v>36168</v>
      </c>
      <c r="AF562" s="16">
        <v>6510</v>
      </c>
      <c r="AG562" s="15">
        <f t="shared" si="241"/>
        <v>0</v>
      </c>
      <c r="AH562" s="15">
        <f t="shared" si="242"/>
        <v>0</v>
      </c>
      <c r="AI562" s="15">
        <f t="shared" si="243"/>
        <v>36168</v>
      </c>
      <c r="AJ562" s="15">
        <f t="shared" si="244"/>
        <v>6511</v>
      </c>
      <c r="AK562" s="10">
        <v>36168</v>
      </c>
      <c r="AL562" s="15">
        <f t="shared" si="245"/>
        <v>36168</v>
      </c>
      <c r="AM562" s="15">
        <f t="shared" si="246"/>
        <v>7953481</v>
      </c>
      <c r="AN562" s="15">
        <f t="shared" si="247"/>
        <v>956589</v>
      </c>
      <c r="AO562" s="15">
        <f t="shared" si="252"/>
        <v>1010322</v>
      </c>
      <c r="AP562" s="17">
        <f t="shared" si="248"/>
        <v>8963803</v>
      </c>
      <c r="AQ562" s="15">
        <v>4590000</v>
      </c>
      <c r="AR562" s="15">
        <v>17565</v>
      </c>
      <c r="AS562" s="18">
        <f t="shared" si="253"/>
        <v>4373803</v>
      </c>
      <c r="AT562" s="19">
        <v>0</v>
      </c>
      <c r="AU562" s="8">
        <v>8800</v>
      </c>
      <c r="AV562" s="13">
        <f t="shared" si="254"/>
        <v>1060928</v>
      </c>
      <c r="AW562" s="18">
        <f t="shared" si="255"/>
        <v>7953481</v>
      </c>
      <c r="AX562" s="15">
        <f t="shared" si="249"/>
        <v>7954000</v>
      </c>
      <c r="AY562" s="20">
        <v>0.05</v>
      </c>
      <c r="AZ562" s="13">
        <f t="shared" si="250"/>
        <v>397700</v>
      </c>
      <c r="BA562" s="15">
        <f t="shared" si="251"/>
        <v>397700</v>
      </c>
      <c r="BB562" s="21">
        <f t="shared" si="256"/>
        <v>4771503</v>
      </c>
      <c r="BC562" s="10">
        <f t="shared" si="257"/>
        <v>0</v>
      </c>
      <c r="BD562" s="10">
        <f t="shared" si="258"/>
        <v>0</v>
      </c>
      <c r="BE562" s="10">
        <v>73.97</v>
      </c>
      <c r="BF562" s="10">
        <v>11.2</v>
      </c>
      <c r="BG562" s="107">
        <v>46176</v>
      </c>
      <c r="BH562" s="107">
        <f t="shared" si="261"/>
        <v>46206</v>
      </c>
      <c r="BI562" s="23">
        <v>5</v>
      </c>
      <c r="BJ562" s="6"/>
      <c r="BK562" s="6"/>
      <c r="BL562" s="6">
        <f>VLOOKUP(A562,[2]Sheet1!$D$2:$H$933,5,0)</f>
        <v>0</v>
      </c>
      <c r="BM562" s="6" t="s">
        <v>3828</v>
      </c>
      <c r="BN562" s="6" t="s">
        <v>3829</v>
      </c>
      <c r="BO562" s="6" t="s">
        <v>3820</v>
      </c>
      <c r="BP562" s="6" t="s">
        <v>3821</v>
      </c>
      <c r="BQ562" s="6" t="s">
        <v>3830</v>
      </c>
      <c r="BR562" t="s">
        <v>3823</v>
      </c>
      <c r="BS562" t="s">
        <v>3824</v>
      </c>
      <c r="BT562" t="s">
        <v>3825</v>
      </c>
      <c r="BU562" t="s">
        <v>3826</v>
      </c>
      <c r="BV562" t="s">
        <v>3827</v>
      </c>
      <c r="BW562" t="s">
        <v>3835</v>
      </c>
      <c r="BX562">
        <v>0</v>
      </c>
      <c r="BY562" t="s">
        <v>3859</v>
      </c>
      <c r="BZ562" t="s">
        <v>3871</v>
      </c>
    </row>
    <row r="563" spans="1:78" x14ac:dyDescent="0.25">
      <c r="A563" s="7" t="s">
        <v>2326</v>
      </c>
      <c r="B563" s="7" t="s">
        <v>181</v>
      </c>
      <c r="C563" s="7" t="s">
        <v>2324</v>
      </c>
      <c r="D563" s="8" t="s">
        <v>2325</v>
      </c>
      <c r="E563" s="7" t="s">
        <v>2327</v>
      </c>
      <c r="F563" s="9">
        <v>45023</v>
      </c>
      <c r="G563" s="9" t="s">
        <v>527</v>
      </c>
      <c r="H563" s="9" t="s">
        <v>92</v>
      </c>
      <c r="I563" s="8" t="s">
        <v>67</v>
      </c>
      <c r="J563" s="10">
        <v>412.62</v>
      </c>
      <c r="K563" s="10">
        <v>412.62</v>
      </c>
      <c r="L563" s="10">
        <f t="shared" si="234"/>
        <v>0</v>
      </c>
      <c r="M563" s="10">
        <v>166.84</v>
      </c>
      <c r="N563" s="10">
        <v>166.84</v>
      </c>
      <c r="O563" s="10">
        <f t="shared" si="235"/>
        <v>0</v>
      </c>
      <c r="P563" s="11">
        <v>14814.999272938781</v>
      </c>
      <c r="Q563" s="11">
        <v>36639.684727883003</v>
      </c>
      <c r="R563" s="11">
        <v>28000</v>
      </c>
      <c r="S563" s="11">
        <v>6112965</v>
      </c>
      <c r="T563" s="11">
        <v>733556</v>
      </c>
      <c r="U563" s="12">
        <f t="shared" si="236"/>
        <v>0.12000003271734748</v>
      </c>
      <c r="V563" s="13">
        <f t="shared" si="262"/>
        <v>0</v>
      </c>
      <c r="W563" s="10">
        <f t="shared" si="237"/>
        <v>0</v>
      </c>
      <c r="X563" s="10"/>
      <c r="Y563" s="10"/>
      <c r="Z563" s="11">
        <f t="shared" si="238"/>
        <v>6112965</v>
      </c>
      <c r="AA563" s="14"/>
      <c r="AB563" s="14"/>
      <c r="AC563" s="11">
        <f t="shared" si="239"/>
        <v>6112965</v>
      </c>
      <c r="AD563" s="10">
        <f t="shared" si="240"/>
        <v>300</v>
      </c>
      <c r="AE563" s="15">
        <v>50052</v>
      </c>
      <c r="AF563" s="16">
        <v>9010</v>
      </c>
      <c r="AG563" s="15">
        <f t="shared" si="241"/>
        <v>0</v>
      </c>
      <c r="AH563" s="15">
        <f t="shared" si="242"/>
        <v>0</v>
      </c>
      <c r="AI563" s="15">
        <f t="shared" si="243"/>
        <v>50052</v>
      </c>
      <c r="AJ563" s="15">
        <f t="shared" si="244"/>
        <v>9010</v>
      </c>
      <c r="AK563" s="10">
        <v>50052</v>
      </c>
      <c r="AL563" s="15">
        <f t="shared" si="245"/>
        <v>50052</v>
      </c>
      <c r="AM563" s="15">
        <f t="shared" si="246"/>
        <v>6163017</v>
      </c>
      <c r="AN563" s="15">
        <f t="shared" si="247"/>
        <v>742566</v>
      </c>
      <c r="AO563" s="15">
        <f t="shared" si="252"/>
        <v>810538</v>
      </c>
      <c r="AP563" s="17">
        <f t="shared" si="248"/>
        <v>6973555</v>
      </c>
      <c r="AQ563" s="15">
        <v>2556800</v>
      </c>
      <c r="AR563" s="15">
        <v>17920</v>
      </c>
      <c r="AS563" s="18">
        <f t="shared" si="253"/>
        <v>4416755</v>
      </c>
      <c r="AT563" s="19">
        <v>0</v>
      </c>
      <c r="AU563" s="8">
        <v>8800</v>
      </c>
      <c r="AV563" s="13">
        <f t="shared" si="254"/>
        <v>1468192</v>
      </c>
      <c r="AW563" s="18">
        <f t="shared" si="255"/>
        <v>6163017</v>
      </c>
      <c r="AX563" s="15">
        <f t="shared" si="249"/>
        <v>6164000</v>
      </c>
      <c r="AY563" s="20">
        <v>0.06</v>
      </c>
      <c r="AZ563" s="13">
        <f t="shared" si="250"/>
        <v>369840</v>
      </c>
      <c r="BA563" s="15">
        <f t="shared" si="251"/>
        <v>369900</v>
      </c>
      <c r="BB563" s="21">
        <f t="shared" si="256"/>
        <v>4786655</v>
      </c>
      <c r="BC563" s="10">
        <f t="shared" si="257"/>
        <v>0</v>
      </c>
      <c r="BD563" s="10">
        <f t="shared" si="258"/>
        <v>0</v>
      </c>
      <c r="BE563" s="10">
        <v>38.33</v>
      </c>
      <c r="BF563" s="10">
        <v>15.5</v>
      </c>
      <c r="BG563" s="107">
        <v>46176</v>
      </c>
      <c r="BH563" s="107">
        <f t="shared" si="261"/>
        <v>46206</v>
      </c>
      <c r="BI563" s="23">
        <v>6</v>
      </c>
      <c r="BJ563" s="6"/>
      <c r="BK563" s="6"/>
      <c r="BL563" s="6">
        <f>VLOOKUP(A563,[2]Sheet1!$D$2:$H$933,5,0)</f>
        <v>0</v>
      </c>
      <c r="BM563" s="6" t="s">
        <v>3828</v>
      </c>
      <c r="BN563" s="6" t="s">
        <v>3829</v>
      </c>
      <c r="BO563" s="6" t="s">
        <v>3820</v>
      </c>
      <c r="BP563" s="6" t="s">
        <v>3821</v>
      </c>
      <c r="BQ563" s="6" t="s">
        <v>3830</v>
      </c>
      <c r="BR563" t="s">
        <v>3823</v>
      </c>
      <c r="BS563" t="s">
        <v>3824</v>
      </c>
      <c r="BT563" t="s">
        <v>3825</v>
      </c>
      <c r="BU563" t="s">
        <v>3826</v>
      </c>
      <c r="BV563" t="s">
        <v>3827</v>
      </c>
      <c r="BW563" t="s">
        <v>3835</v>
      </c>
      <c r="BX563">
        <v>0</v>
      </c>
      <c r="BY563" t="s">
        <v>3865</v>
      </c>
      <c r="BZ563" t="s">
        <v>3871</v>
      </c>
    </row>
    <row r="564" spans="1:78" x14ac:dyDescent="0.25">
      <c r="A564" s="7" t="s">
        <v>2330</v>
      </c>
      <c r="B564" s="7" t="s">
        <v>181</v>
      </c>
      <c r="C564" s="7" t="s">
        <v>2328</v>
      </c>
      <c r="D564" s="8" t="s">
        <v>2329</v>
      </c>
      <c r="E564" s="7" t="s">
        <v>2331</v>
      </c>
      <c r="F564" s="9">
        <v>44903</v>
      </c>
      <c r="G564" s="9" t="s">
        <v>527</v>
      </c>
      <c r="H564" s="9" t="s">
        <v>66</v>
      </c>
      <c r="I564" s="8" t="s">
        <v>78</v>
      </c>
      <c r="J564" s="10">
        <v>775.01</v>
      </c>
      <c r="K564" s="10">
        <v>775.01</v>
      </c>
      <c r="L564" s="10">
        <f t="shared" ref="L564:L627" si="263">K564-J564</f>
        <v>0</v>
      </c>
      <c r="M564" s="10">
        <v>363.82</v>
      </c>
      <c r="N564" s="10">
        <v>363.82</v>
      </c>
      <c r="O564" s="10">
        <f t="shared" ref="O564:O627" si="264">N564-M564</f>
        <v>0</v>
      </c>
      <c r="P564" s="11">
        <v>10461.000503219313</v>
      </c>
      <c r="Q564" s="11">
        <v>22284.041559012698</v>
      </c>
      <c r="R564" s="11">
        <v>22000</v>
      </c>
      <c r="S564" s="11">
        <v>8107380</v>
      </c>
      <c r="T564" s="11">
        <v>972886</v>
      </c>
      <c r="U564" s="12">
        <f t="shared" ref="U564:U627" si="265">T564/S564</f>
        <v>0.12000004933776387</v>
      </c>
      <c r="V564" s="13">
        <f t="shared" si="262"/>
        <v>0</v>
      </c>
      <c r="W564" s="10">
        <f t="shared" ref="W564:W627" si="266">V564*U564</f>
        <v>0</v>
      </c>
      <c r="X564" s="10"/>
      <c r="Y564" s="10"/>
      <c r="Z564" s="11">
        <f t="shared" ref="Z564:Z627" si="267">S564+V564+X564</f>
        <v>8107380</v>
      </c>
      <c r="AA564" s="14"/>
      <c r="AB564" s="14"/>
      <c r="AC564" s="11">
        <f t="shared" ref="AC564:AC627" si="268">Z564-AA564</f>
        <v>8107380</v>
      </c>
      <c r="AD564" s="10">
        <f t="shared" ref="AD564:AD627" si="269">AE564/M564</f>
        <v>300</v>
      </c>
      <c r="AE564" s="15">
        <v>109146</v>
      </c>
      <c r="AF564" s="16">
        <v>19646</v>
      </c>
      <c r="AG564" s="15">
        <f t="shared" ref="AG564:AG627" si="270">(AD564*O564)</f>
        <v>0</v>
      </c>
      <c r="AH564" s="15">
        <f t="shared" ref="AH564:AH627" si="271">AG564*18%</f>
        <v>0</v>
      </c>
      <c r="AI564" s="15">
        <f t="shared" ref="AI564:AI627" si="272">AD564*N564</f>
        <v>109146</v>
      </c>
      <c r="AJ564" s="15">
        <f t="shared" ref="AJ564:AJ627" si="273">ROUNDUP(AI564*18%,0)</f>
        <v>19647</v>
      </c>
      <c r="AK564" s="10">
        <v>109146</v>
      </c>
      <c r="AL564" s="15">
        <f t="shared" ref="AL564:AL627" si="274">N564*300</f>
        <v>109146</v>
      </c>
      <c r="AM564" s="15">
        <f t="shared" ref="AM564:AM627" si="275">ROUND(AI564+AC564,0)</f>
        <v>8216526</v>
      </c>
      <c r="AN564" s="15">
        <f t="shared" ref="AN564:AN627" si="276">ROUNDUP(AJ564+W564+T564+Y564-AB564,0)</f>
        <v>992533</v>
      </c>
      <c r="AO564" s="15">
        <f t="shared" si="252"/>
        <v>1116730</v>
      </c>
      <c r="AP564" s="17">
        <f t="shared" ref="AP564:AP627" si="277">AM564+AO564</f>
        <v>9333256</v>
      </c>
      <c r="AQ564" s="15">
        <v>6300000</v>
      </c>
      <c r="AR564" s="15">
        <v>15051</v>
      </c>
      <c r="AS564" s="18">
        <f t="shared" si="253"/>
        <v>3033256</v>
      </c>
      <c r="AT564" s="19">
        <v>0</v>
      </c>
      <c r="AU564" s="8">
        <v>8800</v>
      </c>
      <c r="AV564" s="13">
        <f t="shared" si="254"/>
        <v>3201616</v>
      </c>
      <c r="AW564" s="18">
        <f t="shared" si="255"/>
        <v>8216526</v>
      </c>
      <c r="AX564" s="15">
        <f t="shared" ref="AX564:AX627" si="278">CEILING((AW564),1000)</f>
        <v>8217000</v>
      </c>
      <c r="AY564" s="20">
        <v>0.06</v>
      </c>
      <c r="AZ564" s="13">
        <f t="shared" ref="AZ564:AZ627" si="279">AY564*AX564</f>
        <v>493020</v>
      </c>
      <c r="BA564" s="15">
        <f t="shared" ref="BA564:BA627" si="280">CEILING(AZ564,100)</f>
        <v>493100</v>
      </c>
      <c r="BB564" s="21">
        <f t="shared" si="256"/>
        <v>3526356</v>
      </c>
      <c r="BC564" s="10">
        <f t="shared" si="257"/>
        <v>0</v>
      </c>
      <c r="BD564" s="10">
        <f t="shared" si="258"/>
        <v>0</v>
      </c>
      <c r="BE564" s="10">
        <v>72</v>
      </c>
      <c r="BF564" s="10">
        <v>33.799999999999997</v>
      </c>
      <c r="BG564" s="107">
        <v>46176</v>
      </c>
      <c r="BH564" s="107">
        <f t="shared" si="261"/>
        <v>46206</v>
      </c>
      <c r="BI564" s="23">
        <v>6</v>
      </c>
      <c r="BJ564" s="6"/>
      <c r="BK564" s="6"/>
      <c r="BL564" s="6">
        <f>VLOOKUP(A564,[2]Sheet1!$D$2:$H$933,5,0)</f>
        <v>0</v>
      </c>
      <c r="BM564" s="6" t="s">
        <v>3828</v>
      </c>
      <c r="BN564" s="6" t="s">
        <v>3829</v>
      </c>
      <c r="BO564" s="6" t="s">
        <v>3820</v>
      </c>
      <c r="BP564" s="6" t="s">
        <v>3821</v>
      </c>
      <c r="BQ564" s="6" t="s">
        <v>3830</v>
      </c>
      <c r="BR564" t="s">
        <v>3823</v>
      </c>
      <c r="BS564" t="s">
        <v>3824</v>
      </c>
      <c r="BT564" t="s">
        <v>3825</v>
      </c>
      <c r="BU564" t="s">
        <v>3826</v>
      </c>
      <c r="BV564" t="s">
        <v>3827</v>
      </c>
      <c r="BW564" t="s">
        <v>3835</v>
      </c>
      <c r="BX564">
        <v>0</v>
      </c>
      <c r="BY564" t="s">
        <v>3868</v>
      </c>
      <c r="BZ564" t="s">
        <v>3871</v>
      </c>
    </row>
    <row r="565" spans="1:78" x14ac:dyDescent="0.25">
      <c r="A565" s="7" t="s">
        <v>2334</v>
      </c>
      <c r="B565" s="7" t="s">
        <v>181</v>
      </c>
      <c r="C565" s="7" t="s">
        <v>2332</v>
      </c>
      <c r="D565" s="8" t="s">
        <v>2333</v>
      </c>
      <c r="E565" s="7" t="s">
        <v>2331</v>
      </c>
      <c r="F565" s="9">
        <v>44903</v>
      </c>
      <c r="G565" s="9" t="s">
        <v>527</v>
      </c>
      <c r="H565" s="9" t="s">
        <v>66</v>
      </c>
      <c r="I565" s="8" t="s">
        <v>78</v>
      </c>
      <c r="J565" s="10">
        <v>775.01</v>
      </c>
      <c r="K565" s="10">
        <v>775.01</v>
      </c>
      <c r="L565" s="10">
        <f t="shared" si="263"/>
        <v>0</v>
      </c>
      <c r="M565" s="10">
        <v>363.82</v>
      </c>
      <c r="N565" s="10">
        <v>363.82</v>
      </c>
      <c r="O565" s="10">
        <f t="shared" si="264"/>
        <v>0</v>
      </c>
      <c r="P565" s="11">
        <v>10461.000503219313</v>
      </c>
      <c r="Q565" s="11">
        <v>22284.041559012698</v>
      </c>
      <c r="R565" s="11">
        <v>22000</v>
      </c>
      <c r="S565" s="11">
        <v>8107380</v>
      </c>
      <c r="T565" s="11">
        <v>972886</v>
      </c>
      <c r="U565" s="12">
        <f t="shared" si="265"/>
        <v>0.12000004933776387</v>
      </c>
      <c r="V565" s="13">
        <f t="shared" si="262"/>
        <v>0</v>
      </c>
      <c r="W565" s="10">
        <f t="shared" si="266"/>
        <v>0</v>
      </c>
      <c r="X565" s="10"/>
      <c r="Y565" s="10"/>
      <c r="Z565" s="11">
        <f t="shared" si="267"/>
        <v>8107380</v>
      </c>
      <c r="AA565" s="14"/>
      <c r="AB565" s="14"/>
      <c r="AC565" s="11">
        <f t="shared" si="268"/>
        <v>8107380</v>
      </c>
      <c r="AD565" s="10">
        <f t="shared" si="269"/>
        <v>300</v>
      </c>
      <c r="AE565" s="15">
        <v>109146</v>
      </c>
      <c r="AF565" s="16">
        <v>19646</v>
      </c>
      <c r="AG565" s="15">
        <f t="shared" si="270"/>
        <v>0</v>
      </c>
      <c r="AH565" s="15">
        <f t="shared" si="271"/>
        <v>0</v>
      </c>
      <c r="AI565" s="15">
        <f t="shared" si="272"/>
        <v>109146</v>
      </c>
      <c r="AJ565" s="15">
        <f t="shared" si="273"/>
        <v>19647</v>
      </c>
      <c r="AK565" s="10">
        <v>109146</v>
      </c>
      <c r="AL565" s="15">
        <f t="shared" si="274"/>
        <v>109146</v>
      </c>
      <c r="AM565" s="15">
        <f t="shared" si="275"/>
        <v>8216526</v>
      </c>
      <c r="AN565" s="15">
        <f t="shared" si="276"/>
        <v>992533</v>
      </c>
      <c r="AO565" s="15">
        <f t="shared" si="252"/>
        <v>1116730</v>
      </c>
      <c r="AP565" s="17">
        <f t="shared" si="277"/>
        <v>9333256</v>
      </c>
      <c r="AQ565" s="15">
        <v>6300000</v>
      </c>
      <c r="AR565" s="15">
        <v>15051</v>
      </c>
      <c r="AS565" s="18">
        <f t="shared" si="253"/>
        <v>3033256</v>
      </c>
      <c r="AT565" s="19">
        <v>0</v>
      </c>
      <c r="AU565" s="8">
        <v>8800</v>
      </c>
      <c r="AV565" s="13">
        <f t="shared" si="254"/>
        <v>3201616</v>
      </c>
      <c r="AW565" s="18">
        <f t="shared" si="255"/>
        <v>8216526</v>
      </c>
      <c r="AX565" s="15">
        <f t="shared" si="278"/>
        <v>8217000</v>
      </c>
      <c r="AY565" s="20">
        <v>0.06</v>
      </c>
      <c r="AZ565" s="13">
        <f t="shared" si="279"/>
        <v>493020</v>
      </c>
      <c r="BA565" s="15">
        <f t="shared" si="280"/>
        <v>493100</v>
      </c>
      <c r="BB565" s="21">
        <f t="shared" si="256"/>
        <v>3526356</v>
      </c>
      <c r="BC565" s="10">
        <f t="shared" si="257"/>
        <v>0</v>
      </c>
      <c r="BD565" s="10">
        <f t="shared" si="258"/>
        <v>0</v>
      </c>
      <c r="BE565" s="10">
        <v>72</v>
      </c>
      <c r="BF565" s="10">
        <v>33.799999999999997</v>
      </c>
      <c r="BG565" s="107">
        <v>46176</v>
      </c>
      <c r="BH565" s="107">
        <f t="shared" si="261"/>
        <v>46206</v>
      </c>
      <c r="BI565" s="23">
        <v>6</v>
      </c>
      <c r="BJ565" s="6"/>
      <c r="BK565" s="6"/>
      <c r="BL565" s="6">
        <f>VLOOKUP(A565,[2]Sheet1!$D$2:$H$933,5,0)</f>
        <v>0</v>
      </c>
      <c r="BM565" s="6" t="s">
        <v>3828</v>
      </c>
      <c r="BN565" s="6" t="s">
        <v>3829</v>
      </c>
      <c r="BO565" s="6" t="s">
        <v>3820</v>
      </c>
      <c r="BP565" s="6" t="s">
        <v>3821</v>
      </c>
      <c r="BQ565" s="6" t="s">
        <v>3830</v>
      </c>
      <c r="BR565" t="s">
        <v>3823</v>
      </c>
      <c r="BS565" t="s">
        <v>3824</v>
      </c>
      <c r="BT565" t="s">
        <v>3825</v>
      </c>
      <c r="BU565" t="s">
        <v>3826</v>
      </c>
      <c r="BV565" t="s">
        <v>3827</v>
      </c>
      <c r="BW565" t="s">
        <v>3835</v>
      </c>
      <c r="BX565">
        <v>0</v>
      </c>
      <c r="BY565" t="s">
        <v>3868</v>
      </c>
      <c r="BZ565" t="s">
        <v>3871</v>
      </c>
    </row>
    <row r="566" spans="1:78" x14ac:dyDescent="0.25">
      <c r="A566" s="7" t="s">
        <v>2337</v>
      </c>
      <c r="B566" s="7" t="s">
        <v>181</v>
      </c>
      <c r="C566" s="7" t="s">
        <v>2335</v>
      </c>
      <c r="D566" s="8" t="s">
        <v>2336</v>
      </c>
      <c r="E566" s="7" t="s">
        <v>2331</v>
      </c>
      <c r="F566" s="9">
        <v>44903</v>
      </c>
      <c r="G566" s="9" t="s">
        <v>527</v>
      </c>
      <c r="H566" s="9" t="s">
        <v>66</v>
      </c>
      <c r="I566" s="8" t="s">
        <v>78</v>
      </c>
      <c r="J566" s="10">
        <v>775.01</v>
      </c>
      <c r="K566" s="10">
        <v>775.01</v>
      </c>
      <c r="L566" s="10">
        <f t="shared" si="263"/>
        <v>0</v>
      </c>
      <c r="M566" s="10">
        <v>363.82</v>
      </c>
      <c r="N566" s="10">
        <v>363.82</v>
      </c>
      <c r="O566" s="10">
        <f t="shared" si="264"/>
        <v>0</v>
      </c>
      <c r="P566" s="11">
        <v>10461.000503219313</v>
      </c>
      <c r="Q566" s="11">
        <v>22284.041559012698</v>
      </c>
      <c r="R566" s="11">
        <v>22000</v>
      </c>
      <c r="S566" s="11">
        <v>8107380</v>
      </c>
      <c r="T566" s="11">
        <v>972886</v>
      </c>
      <c r="U566" s="12">
        <f t="shared" si="265"/>
        <v>0.12000004933776387</v>
      </c>
      <c r="V566" s="13">
        <f t="shared" si="262"/>
        <v>0</v>
      </c>
      <c r="W566" s="10">
        <f t="shared" si="266"/>
        <v>0</v>
      </c>
      <c r="X566" s="10"/>
      <c r="Y566" s="10"/>
      <c r="Z566" s="11">
        <f t="shared" si="267"/>
        <v>8107380</v>
      </c>
      <c r="AA566" s="14"/>
      <c r="AB566" s="14"/>
      <c r="AC566" s="11">
        <f t="shared" si="268"/>
        <v>8107380</v>
      </c>
      <c r="AD566" s="10">
        <f t="shared" si="269"/>
        <v>300</v>
      </c>
      <c r="AE566" s="15">
        <v>109146</v>
      </c>
      <c r="AF566" s="16">
        <v>19646</v>
      </c>
      <c r="AG566" s="15">
        <f t="shared" si="270"/>
        <v>0</v>
      </c>
      <c r="AH566" s="15">
        <f t="shared" si="271"/>
        <v>0</v>
      </c>
      <c r="AI566" s="15">
        <f t="shared" si="272"/>
        <v>109146</v>
      </c>
      <c r="AJ566" s="15">
        <f t="shared" si="273"/>
        <v>19647</v>
      </c>
      <c r="AK566" s="10">
        <v>109146</v>
      </c>
      <c r="AL566" s="15">
        <f t="shared" si="274"/>
        <v>109146</v>
      </c>
      <c r="AM566" s="15">
        <f t="shared" si="275"/>
        <v>8216526</v>
      </c>
      <c r="AN566" s="15">
        <f t="shared" si="276"/>
        <v>992533</v>
      </c>
      <c r="AO566" s="15">
        <f t="shared" si="252"/>
        <v>1116730</v>
      </c>
      <c r="AP566" s="17">
        <f t="shared" si="277"/>
        <v>9333256</v>
      </c>
      <c r="AQ566" s="15">
        <v>6300000</v>
      </c>
      <c r="AR566" s="15">
        <v>15051</v>
      </c>
      <c r="AS566" s="18">
        <f t="shared" si="253"/>
        <v>3033256</v>
      </c>
      <c r="AT566" s="19">
        <v>0</v>
      </c>
      <c r="AU566" s="8">
        <v>8800</v>
      </c>
      <c r="AV566" s="13">
        <f t="shared" si="254"/>
        <v>3201616</v>
      </c>
      <c r="AW566" s="18">
        <f t="shared" si="255"/>
        <v>8216526</v>
      </c>
      <c r="AX566" s="15">
        <f t="shared" si="278"/>
        <v>8217000</v>
      </c>
      <c r="AY566" s="20">
        <v>0.06</v>
      </c>
      <c r="AZ566" s="13">
        <f t="shared" si="279"/>
        <v>493020</v>
      </c>
      <c r="BA566" s="15">
        <f t="shared" si="280"/>
        <v>493100</v>
      </c>
      <c r="BB566" s="21">
        <f t="shared" si="256"/>
        <v>3526356</v>
      </c>
      <c r="BC566" s="10">
        <f t="shared" si="257"/>
        <v>0</v>
      </c>
      <c r="BD566" s="10">
        <f t="shared" si="258"/>
        <v>0</v>
      </c>
      <c r="BE566" s="10">
        <v>72</v>
      </c>
      <c r="BF566" s="10">
        <v>33.799999999999997</v>
      </c>
      <c r="BG566" s="107">
        <v>46176</v>
      </c>
      <c r="BH566" s="107">
        <f t="shared" si="261"/>
        <v>46206</v>
      </c>
      <c r="BI566" s="23">
        <v>6</v>
      </c>
      <c r="BJ566" s="6"/>
      <c r="BK566" s="6"/>
      <c r="BL566" s="6">
        <f>VLOOKUP(A566,[2]Sheet1!$D$2:$H$933,5,0)</f>
        <v>0</v>
      </c>
      <c r="BM566" s="6" t="s">
        <v>3828</v>
      </c>
      <c r="BN566" s="6" t="s">
        <v>3829</v>
      </c>
      <c r="BO566" s="6" t="s">
        <v>3820</v>
      </c>
      <c r="BP566" s="6" t="s">
        <v>3821</v>
      </c>
      <c r="BQ566" s="6" t="s">
        <v>3830</v>
      </c>
      <c r="BR566" t="s">
        <v>3823</v>
      </c>
      <c r="BS566" t="s">
        <v>3824</v>
      </c>
      <c r="BT566" t="s">
        <v>3825</v>
      </c>
      <c r="BU566" t="s">
        <v>3826</v>
      </c>
      <c r="BV566" t="s">
        <v>3827</v>
      </c>
      <c r="BW566" t="s">
        <v>3835</v>
      </c>
      <c r="BX566">
        <v>0</v>
      </c>
      <c r="BY566" t="s">
        <v>3868</v>
      </c>
      <c r="BZ566" t="s">
        <v>3871</v>
      </c>
    </row>
    <row r="567" spans="1:78" x14ac:dyDescent="0.25">
      <c r="A567" s="7" t="s">
        <v>2340</v>
      </c>
      <c r="B567" s="7" t="s">
        <v>181</v>
      </c>
      <c r="C567" s="7" t="s">
        <v>2338</v>
      </c>
      <c r="D567" s="8" t="s">
        <v>2339</v>
      </c>
      <c r="E567" s="7" t="s">
        <v>2341</v>
      </c>
      <c r="F567" s="9">
        <v>44853</v>
      </c>
      <c r="G567" s="9" t="s">
        <v>65</v>
      </c>
      <c r="H567" s="9" t="s">
        <v>72</v>
      </c>
      <c r="I567" s="8" t="s">
        <v>78</v>
      </c>
      <c r="J567" s="10">
        <v>424.53</v>
      </c>
      <c r="K567" s="10">
        <v>424.53</v>
      </c>
      <c r="L567" s="10">
        <f t="shared" si="263"/>
        <v>0</v>
      </c>
      <c r="M567" s="10">
        <v>185.14</v>
      </c>
      <c r="N567" s="10">
        <v>185.14</v>
      </c>
      <c r="O567" s="10">
        <f t="shared" si="264"/>
        <v>0</v>
      </c>
      <c r="P567" s="11">
        <v>6539.3352648811633</v>
      </c>
      <c r="Q567" s="11">
        <v>14994.836340066977</v>
      </c>
      <c r="R567" s="11">
        <v>20000</v>
      </c>
      <c r="S567" s="11">
        <v>2776144</v>
      </c>
      <c r="T567" s="11">
        <v>333140</v>
      </c>
      <c r="U567" s="12">
        <f t="shared" si="265"/>
        <v>0.12000097977626521</v>
      </c>
      <c r="V567" s="13">
        <f t="shared" si="262"/>
        <v>0</v>
      </c>
      <c r="W567" s="10">
        <f t="shared" si="266"/>
        <v>0</v>
      </c>
      <c r="X567" s="10"/>
      <c r="Y567" s="10"/>
      <c r="Z567" s="11">
        <f t="shared" si="267"/>
        <v>2776144</v>
      </c>
      <c r="AA567" s="14">
        <v>971651</v>
      </c>
      <c r="AB567" s="14">
        <v>116598</v>
      </c>
      <c r="AC567" s="11">
        <f t="shared" si="268"/>
        <v>1804493</v>
      </c>
      <c r="AD567" s="10">
        <f t="shared" si="269"/>
        <v>300</v>
      </c>
      <c r="AE567" s="15">
        <v>55542</v>
      </c>
      <c r="AF567" s="16">
        <v>9998</v>
      </c>
      <c r="AG567" s="15">
        <f t="shared" si="270"/>
        <v>0</v>
      </c>
      <c r="AH567" s="15">
        <f t="shared" si="271"/>
        <v>0</v>
      </c>
      <c r="AI567" s="15">
        <f t="shared" si="272"/>
        <v>55541.999999999993</v>
      </c>
      <c r="AJ567" s="15">
        <f t="shared" si="273"/>
        <v>9998</v>
      </c>
      <c r="AK567" s="10">
        <v>55542</v>
      </c>
      <c r="AL567" s="15">
        <f t="shared" si="274"/>
        <v>55541.999999999993</v>
      </c>
      <c r="AM567" s="15">
        <f t="shared" si="275"/>
        <v>1860035</v>
      </c>
      <c r="AN567" s="15">
        <f t="shared" si="276"/>
        <v>226540</v>
      </c>
      <c r="AO567" s="15">
        <f t="shared" si="252"/>
        <v>295392.96000000002</v>
      </c>
      <c r="AP567" s="17">
        <f t="shared" si="277"/>
        <v>2155427.96</v>
      </c>
      <c r="AQ567" s="15">
        <v>550000</v>
      </c>
      <c r="AR567" s="15">
        <v>13310.96</v>
      </c>
      <c r="AS567" s="18">
        <f t="shared" si="253"/>
        <v>1605428</v>
      </c>
      <c r="AT567" s="19">
        <v>0</v>
      </c>
      <c r="AU567" s="8">
        <v>8800</v>
      </c>
      <c r="AV567" s="13">
        <f t="shared" si="254"/>
        <v>1629231.9999999998</v>
      </c>
      <c r="AW567" s="18">
        <f t="shared" si="255"/>
        <v>1860035</v>
      </c>
      <c r="AX567" s="15">
        <f t="shared" si="278"/>
        <v>1861000</v>
      </c>
      <c r="AY567" s="20">
        <v>0.06</v>
      </c>
      <c r="AZ567" s="13">
        <f t="shared" si="279"/>
        <v>111660</v>
      </c>
      <c r="BA567" s="15">
        <f t="shared" si="280"/>
        <v>111700</v>
      </c>
      <c r="BB567" s="21">
        <f t="shared" si="256"/>
        <v>1717128</v>
      </c>
      <c r="BC567" s="10">
        <f t="shared" si="257"/>
        <v>0</v>
      </c>
      <c r="BD567" s="10">
        <f t="shared" si="258"/>
        <v>0</v>
      </c>
      <c r="BE567" s="10">
        <v>39.44</v>
      </c>
      <c r="BF567" s="10">
        <v>17.2</v>
      </c>
      <c r="BG567" s="107">
        <v>46176</v>
      </c>
      <c r="BH567" s="107">
        <f t="shared" si="261"/>
        <v>46206</v>
      </c>
      <c r="BI567" s="23">
        <v>6</v>
      </c>
      <c r="BJ567" s="6"/>
      <c r="BK567" s="6"/>
      <c r="BL567" s="6">
        <f>VLOOKUP(A567,[2]Sheet1!$D$2:$H$933,5,0)</f>
        <v>0</v>
      </c>
      <c r="BM567" s="6" t="s">
        <v>3828</v>
      </c>
      <c r="BN567" s="6" t="s">
        <v>3829</v>
      </c>
      <c r="BO567" s="6" t="s">
        <v>3820</v>
      </c>
      <c r="BP567" s="6" t="s">
        <v>3821</v>
      </c>
      <c r="BQ567" s="6" t="s">
        <v>3830</v>
      </c>
      <c r="BR567" t="s">
        <v>3823</v>
      </c>
      <c r="BS567" t="s">
        <v>3824</v>
      </c>
      <c r="BT567" t="s">
        <v>3825</v>
      </c>
      <c r="BU567" t="s">
        <v>3826</v>
      </c>
      <c r="BV567" t="s">
        <v>3827</v>
      </c>
      <c r="BW567" t="s">
        <v>3835</v>
      </c>
      <c r="BX567">
        <v>0</v>
      </c>
      <c r="BY567" t="s">
        <v>3866</v>
      </c>
      <c r="BZ567" t="s">
        <v>3860</v>
      </c>
    </row>
    <row r="568" spans="1:78" x14ac:dyDescent="0.25">
      <c r="A568" s="7" t="s">
        <v>2344</v>
      </c>
      <c r="B568" s="7" t="s">
        <v>181</v>
      </c>
      <c r="C568" s="7" t="s">
        <v>2342</v>
      </c>
      <c r="D568" s="8" t="s">
        <v>2343</v>
      </c>
      <c r="E568" s="7" t="s">
        <v>2345</v>
      </c>
      <c r="F568" s="9">
        <v>45075</v>
      </c>
      <c r="G568" s="9" t="s">
        <v>363</v>
      </c>
      <c r="H568" s="9" t="s">
        <v>87</v>
      </c>
      <c r="I568" s="8" t="s">
        <v>67</v>
      </c>
      <c r="J568" s="10">
        <v>344.45</v>
      </c>
      <c r="K568" s="10">
        <v>344.45</v>
      </c>
      <c r="L568" s="10">
        <f t="shared" si="263"/>
        <v>0</v>
      </c>
      <c r="M568" s="10">
        <v>137.24</v>
      </c>
      <c r="N568" s="10">
        <v>137.24</v>
      </c>
      <c r="O568" s="10">
        <f t="shared" si="264"/>
        <v>0</v>
      </c>
      <c r="P568" s="11">
        <v>19786.799245173464</v>
      </c>
      <c r="Q568" s="11">
        <v>49661.636549111041</v>
      </c>
      <c r="R568" s="11">
        <v>40000</v>
      </c>
      <c r="S568" s="11">
        <v>6815563</v>
      </c>
      <c r="T568" s="11">
        <v>817870</v>
      </c>
      <c r="U568" s="12">
        <f t="shared" si="265"/>
        <v>0.12000035800417368</v>
      </c>
      <c r="V568" s="13">
        <f t="shared" si="262"/>
        <v>0</v>
      </c>
      <c r="W568" s="10">
        <f t="shared" si="266"/>
        <v>0</v>
      </c>
      <c r="X568" s="10"/>
      <c r="Y568" s="10"/>
      <c r="Z568" s="11">
        <f t="shared" si="267"/>
        <v>6815563</v>
      </c>
      <c r="AA568" s="14"/>
      <c r="AB568" s="14"/>
      <c r="AC568" s="11">
        <f t="shared" si="268"/>
        <v>6815563</v>
      </c>
      <c r="AD568" s="10">
        <f t="shared" si="269"/>
        <v>300</v>
      </c>
      <c r="AE568" s="15">
        <v>41172</v>
      </c>
      <c r="AF568" s="16">
        <v>7410</v>
      </c>
      <c r="AG568" s="15">
        <f t="shared" si="270"/>
        <v>0</v>
      </c>
      <c r="AH568" s="15">
        <f t="shared" si="271"/>
        <v>0</v>
      </c>
      <c r="AI568" s="15">
        <f t="shared" si="272"/>
        <v>41172</v>
      </c>
      <c r="AJ568" s="15">
        <f t="shared" si="273"/>
        <v>7411</v>
      </c>
      <c r="AK568" s="10">
        <v>41172</v>
      </c>
      <c r="AL568" s="15">
        <f t="shared" si="274"/>
        <v>41172</v>
      </c>
      <c r="AM568" s="15">
        <f t="shared" si="275"/>
        <v>6856735</v>
      </c>
      <c r="AN568" s="15">
        <f t="shared" si="276"/>
        <v>825281</v>
      </c>
      <c r="AO568" s="15">
        <f t="shared" si="252"/>
        <v>878726</v>
      </c>
      <c r="AP568" s="17">
        <f t="shared" si="277"/>
        <v>7735461</v>
      </c>
      <c r="AQ568" s="15">
        <v>6746714</v>
      </c>
      <c r="AR568" s="15">
        <v>12273</v>
      </c>
      <c r="AS568" s="18">
        <f t="shared" si="253"/>
        <v>988747</v>
      </c>
      <c r="AT568" s="19">
        <v>0</v>
      </c>
      <c r="AU568" s="8">
        <v>8800</v>
      </c>
      <c r="AV568" s="13">
        <f t="shared" si="254"/>
        <v>1207712</v>
      </c>
      <c r="AW568" s="18">
        <f t="shared" si="255"/>
        <v>6856735</v>
      </c>
      <c r="AX568" s="15">
        <f t="shared" si="278"/>
        <v>6857000</v>
      </c>
      <c r="AY568" s="20">
        <v>0.06</v>
      </c>
      <c r="AZ568" s="13">
        <f t="shared" si="279"/>
        <v>411420</v>
      </c>
      <c r="BA568" s="15">
        <f t="shared" si="280"/>
        <v>411500</v>
      </c>
      <c r="BB568" s="21">
        <f t="shared" si="256"/>
        <v>1400247</v>
      </c>
      <c r="BC568" s="10">
        <f t="shared" si="257"/>
        <v>0</v>
      </c>
      <c r="BD568" s="10">
        <f t="shared" si="258"/>
        <v>0</v>
      </c>
      <c r="BE568" s="10">
        <v>32</v>
      </c>
      <c r="BF568" s="10">
        <v>12.75</v>
      </c>
      <c r="BG568" s="107">
        <v>46176</v>
      </c>
      <c r="BH568" s="107">
        <f t="shared" si="261"/>
        <v>46206</v>
      </c>
      <c r="BI568" s="23">
        <v>6</v>
      </c>
      <c r="BJ568" s="6"/>
      <c r="BK568" s="6"/>
      <c r="BL568" s="6">
        <f>VLOOKUP(A568,[2]Sheet1!$D$2:$H$933,5,0)</f>
        <v>0</v>
      </c>
      <c r="BM568" s="6" t="s">
        <v>3828</v>
      </c>
      <c r="BN568" s="6" t="s">
        <v>3829</v>
      </c>
      <c r="BO568" s="6" t="s">
        <v>3820</v>
      </c>
      <c r="BP568" s="6" t="s">
        <v>3821</v>
      </c>
      <c r="BQ568" s="6" t="s">
        <v>3830</v>
      </c>
      <c r="BR568" t="s">
        <v>3823</v>
      </c>
      <c r="BS568" t="s">
        <v>3824</v>
      </c>
      <c r="BT568" t="s">
        <v>3825</v>
      </c>
      <c r="BU568" t="s">
        <v>3826</v>
      </c>
      <c r="BV568" t="s">
        <v>3827</v>
      </c>
      <c r="BW568" t="s">
        <v>3835</v>
      </c>
      <c r="BX568">
        <v>0</v>
      </c>
      <c r="BY568" t="s">
        <v>3867</v>
      </c>
      <c r="BZ568" t="s">
        <v>3860</v>
      </c>
    </row>
    <row r="569" spans="1:78" x14ac:dyDescent="0.25">
      <c r="A569" s="7" t="s">
        <v>2348</v>
      </c>
      <c r="B569" s="7" t="s">
        <v>181</v>
      </c>
      <c r="C569" s="7" t="s">
        <v>2346</v>
      </c>
      <c r="D569" s="8" t="s">
        <v>2347</v>
      </c>
      <c r="E569" s="7" t="s">
        <v>2349</v>
      </c>
      <c r="F569" s="9">
        <v>44996</v>
      </c>
      <c r="G569" s="9" t="s">
        <v>363</v>
      </c>
      <c r="H569" s="9" t="s">
        <v>87</v>
      </c>
      <c r="I569" s="8" t="s">
        <v>67</v>
      </c>
      <c r="J569" s="10">
        <v>220.06</v>
      </c>
      <c r="K569" s="10">
        <v>220.06</v>
      </c>
      <c r="L569" s="10">
        <f t="shared" si="263"/>
        <v>0</v>
      </c>
      <c r="M569" s="10">
        <v>88.26</v>
      </c>
      <c r="N569" s="10">
        <v>88.26</v>
      </c>
      <c r="O569" s="10">
        <f t="shared" si="264"/>
        <v>0</v>
      </c>
      <c r="P569" s="11">
        <v>31529.001181495954</v>
      </c>
      <c r="Q569" s="11">
        <v>78611.738046680257</v>
      </c>
      <c r="R569" s="11">
        <v>40000</v>
      </c>
      <c r="S569" s="11">
        <v>6938272</v>
      </c>
      <c r="T569" s="11">
        <v>832594</v>
      </c>
      <c r="U569" s="12">
        <f t="shared" si="265"/>
        <v>0.12000019601422371</v>
      </c>
      <c r="V569" s="13">
        <f t="shared" si="262"/>
        <v>0</v>
      </c>
      <c r="W569" s="10">
        <f t="shared" si="266"/>
        <v>0</v>
      </c>
      <c r="X569" s="10"/>
      <c r="Y569" s="10"/>
      <c r="Z569" s="11">
        <f t="shared" si="267"/>
        <v>6938272</v>
      </c>
      <c r="AA569" s="14"/>
      <c r="AB569" s="14"/>
      <c r="AC569" s="11">
        <f t="shared" si="268"/>
        <v>6938272</v>
      </c>
      <c r="AD569" s="10">
        <f t="shared" si="269"/>
        <v>300</v>
      </c>
      <c r="AE569" s="15">
        <v>26478</v>
      </c>
      <c r="AF569" s="16">
        <v>4766</v>
      </c>
      <c r="AG569" s="15">
        <f t="shared" si="270"/>
        <v>0</v>
      </c>
      <c r="AH569" s="15">
        <f t="shared" si="271"/>
        <v>0</v>
      </c>
      <c r="AI569" s="15">
        <f t="shared" si="272"/>
        <v>26478</v>
      </c>
      <c r="AJ569" s="15">
        <f t="shared" si="273"/>
        <v>4767</v>
      </c>
      <c r="AK569" s="10">
        <v>26478</v>
      </c>
      <c r="AL569" s="15">
        <f t="shared" si="274"/>
        <v>26478</v>
      </c>
      <c r="AM569" s="15">
        <f t="shared" si="275"/>
        <v>6964750</v>
      </c>
      <c r="AN569" s="15">
        <f t="shared" si="276"/>
        <v>837361</v>
      </c>
      <c r="AO569" s="15">
        <f t="shared" si="252"/>
        <v>882175</v>
      </c>
      <c r="AP569" s="17">
        <f t="shared" si="277"/>
        <v>7846925</v>
      </c>
      <c r="AQ569" s="15">
        <v>3304831.44</v>
      </c>
      <c r="AR569" s="15">
        <v>18336</v>
      </c>
      <c r="AS569" s="18">
        <f t="shared" si="253"/>
        <v>4542094</v>
      </c>
      <c r="AT569" s="19">
        <v>0</v>
      </c>
      <c r="AU569" s="8">
        <v>8800</v>
      </c>
      <c r="AV569" s="13">
        <f t="shared" si="254"/>
        <v>776688</v>
      </c>
      <c r="AW569" s="18">
        <f t="shared" si="255"/>
        <v>6964750</v>
      </c>
      <c r="AX569" s="15">
        <f t="shared" si="278"/>
        <v>6965000</v>
      </c>
      <c r="AY569" s="20">
        <v>0.05</v>
      </c>
      <c r="AZ569" s="13">
        <f t="shared" si="279"/>
        <v>348250</v>
      </c>
      <c r="BA569" s="15">
        <f t="shared" si="280"/>
        <v>348300</v>
      </c>
      <c r="BB569" s="21">
        <f t="shared" si="256"/>
        <v>4890394</v>
      </c>
      <c r="BC569" s="10">
        <f t="shared" si="257"/>
        <v>0</v>
      </c>
      <c r="BD569" s="10">
        <f t="shared" si="258"/>
        <v>0</v>
      </c>
      <c r="BE569" s="10">
        <v>20.440000000000001</v>
      </c>
      <c r="BF569" s="10">
        <v>8.1999999999999993</v>
      </c>
      <c r="BG569" s="107">
        <v>46176</v>
      </c>
      <c r="BH569" s="107">
        <f t="shared" si="261"/>
        <v>46206</v>
      </c>
      <c r="BI569" s="23">
        <v>5</v>
      </c>
      <c r="BJ569" s="6"/>
      <c r="BK569" s="6"/>
      <c r="BL569" s="6">
        <f>VLOOKUP(A569,[2]Sheet1!$D$2:$H$933,5,0)</f>
        <v>0</v>
      </c>
      <c r="BM569" s="6" t="s">
        <v>3828</v>
      </c>
      <c r="BN569" s="6" t="s">
        <v>3829</v>
      </c>
      <c r="BO569" s="6" t="s">
        <v>3820</v>
      </c>
      <c r="BP569" s="6" t="s">
        <v>3821</v>
      </c>
      <c r="BQ569" s="6" t="s">
        <v>3830</v>
      </c>
      <c r="BR569" t="s">
        <v>3823</v>
      </c>
      <c r="BS569" t="s">
        <v>3824</v>
      </c>
      <c r="BT569" t="s">
        <v>3825</v>
      </c>
      <c r="BU569" t="s">
        <v>3826</v>
      </c>
      <c r="BV569" t="s">
        <v>3827</v>
      </c>
      <c r="BW569" t="s">
        <v>3835</v>
      </c>
      <c r="BX569">
        <v>0</v>
      </c>
      <c r="BY569" t="s">
        <v>3869</v>
      </c>
      <c r="BZ569" t="s">
        <v>3860</v>
      </c>
    </row>
    <row r="570" spans="1:78" x14ac:dyDescent="0.25">
      <c r="A570" s="7" t="s">
        <v>2352</v>
      </c>
      <c r="B570" s="7" t="s">
        <v>181</v>
      </c>
      <c r="C570" s="7" t="s">
        <v>2350</v>
      </c>
      <c r="D570" s="8" t="s">
        <v>2351</v>
      </c>
      <c r="E570" s="7" t="s">
        <v>2353</v>
      </c>
      <c r="F570" s="9">
        <v>45075</v>
      </c>
      <c r="G570" s="9" t="s">
        <v>363</v>
      </c>
      <c r="H570" s="9" t="s">
        <v>87</v>
      </c>
      <c r="I570" s="8" t="s">
        <v>67</v>
      </c>
      <c r="J570" s="10">
        <v>344.45</v>
      </c>
      <c r="K570" s="10">
        <v>344.45</v>
      </c>
      <c r="L570" s="10">
        <f t="shared" si="263"/>
        <v>0</v>
      </c>
      <c r="M570" s="10">
        <v>137.24</v>
      </c>
      <c r="N570" s="10">
        <v>137.24</v>
      </c>
      <c r="O570" s="10">
        <f t="shared" si="264"/>
        <v>0</v>
      </c>
      <c r="P570" s="11">
        <v>17128.999854841051</v>
      </c>
      <c r="Q570" s="11">
        <v>42990.993879335467</v>
      </c>
      <c r="R570" s="11">
        <v>40000</v>
      </c>
      <c r="S570" s="11">
        <v>5900084</v>
      </c>
      <c r="T570" s="11">
        <v>708008</v>
      </c>
      <c r="U570" s="12">
        <f t="shared" si="265"/>
        <v>0.1199996474626463</v>
      </c>
      <c r="V570" s="13">
        <f t="shared" si="262"/>
        <v>0</v>
      </c>
      <c r="W570" s="10">
        <f t="shared" si="266"/>
        <v>0</v>
      </c>
      <c r="X570" s="10"/>
      <c r="Y570" s="10"/>
      <c r="Z570" s="11">
        <f t="shared" si="267"/>
        <v>5900084</v>
      </c>
      <c r="AA570" s="14"/>
      <c r="AB570" s="14"/>
      <c r="AC570" s="11">
        <f t="shared" si="268"/>
        <v>5900084</v>
      </c>
      <c r="AD570" s="10">
        <f t="shared" si="269"/>
        <v>300</v>
      </c>
      <c r="AE570" s="15">
        <v>41172</v>
      </c>
      <c r="AF570" s="16">
        <v>7410</v>
      </c>
      <c r="AG570" s="15">
        <f t="shared" si="270"/>
        <v>0</v>
      </c>
      <c r="AH570" s="15">
        <f t="shared" si="271"/>
        <v>0</v>
      </c>
      <c r="AI570" s="15">
        <f t="shared" si="272"/>
        <v>41172</v>
      </c>
      <c r="AJ570" s="15">
        <f t="shared" si="273"/>
        <v>7411</v>
      </c>
      <c r="AK570" s="10">
        <v>41172</v>
      </c>
      <c r="AL570" s="15">
        <f t="shared" si="274"/>
        <v>41172</v>
      </c>
      <c r="AM570" s="15">
        <f t="shared" si="275"/>
        <v>5941256</v>
      </c>
      <c r="AN570" s="15">
        <f t="shared" si="276"/>
        <v>715419</v>
      </c>
      <c r="AO570" s="15">
        <f t="shared" si="252"/>
        <v>771305</v>
      </c>
      <c r="AP570" s="17">
        <f t="shared" si="277"/>
        <v>6712561</v>
      </c>
      <c r="AQ570" s="15">
        <f>2247284+3700000</f>
        <v>5947284</v>
      </c>
      <c r="AR570" s="15">
        <v>14714</v>
      </c>
      <c r="AS570" s="18">
        <f t="shared" si="253"/>
        <v>765277</v>
      </c>
      <c r="AT570" s="19">
        <v>0</v>
      </c>
      <c r="AU570" s="8">
        <v>8800</v>
      </c>
      <c r="AV570" s="13">
        <f t="shared" si="254"/>
        <v>1207712</v>
      </c>
      <c r="AW570" s="18">
        <f t="shared" si="255"/>
        <v>5941256</v>
      </c>
      <c r="AX570" s="15">
        <f t="shared" si="278"/>
        <v>5942000</v>
      </c>
      <c r="AY570" s="20">
        <v>0.05</v>
      </c>
      <c r="AZ570" s="13">
        <f t="shared" si="279"/>
        <v>297100</v>
      </c>
      <c r="BA570" s="15">
        <f t="shared" si="280"/>
        <v>297100</v>
      </c>
      <c r="BB570" s="21">
        <f t="shared" si="256"/>
        <v>1062377</v>
      </c>
      <c r="BC570" s="10">
        <f t="shared" si="257"/>
        <v>0</v>
      </c>
      <c r="BD570" s="10">
        <f t="shared" si="258"/>
        <v>0</v>
      </c>
      <c r="BE570" s="10">
        <v>32</v>
      </c>
      <c r="BF570" s="10">
        <v>12.75</v>
      </c>
      <c r="BG570" s="107">
        <v>46176</v>
      </c>
      <c r="BH570" s="107">
        <f t="shared" si="261"/>
        <v>46206</v>
      </c>
      <c r="BI570" s="23">
        <v>5</v>
      </c>
      <c r="BJ570" s="6"/>
      <c r="BK570" s="6"/>
      <c r="BL570" s="6">
        <f>VLOOKUP(A570,[2]Sheet1!$D$2:$H$933,5,0)</f>
        <v>0</v>
      </c>
      <c r="BM570" s="6" t="s">
        <v>3828</v>
      </c>
      <c r="BN570" s="6" t="s">
        <v>3829</v>
      </c>
      <c r="BO570" s="6" t="s">
        <v>3820</v>
      </c>
      <c r="BP570" s="6" t="s">
        <v>3821</v>
      </c>
      <c r="BQ570" s="6" t="s">
        <v>3830</v>
      </c>
      <c r="BR570" t="s">
        <v>3823</v>
      </c>
      <c r="BS570" t="s">
        <v>3824</v>
      </c>
      <c r="BT570" t="s">
        <v>3825</v>
      </c>
      <c r="BU570" t="s">
        <v>3826</v>
      </c>
      <c r="BV570" t="s">
        <v>3827</v>
      </c>
      <c r="BW570" t="s">
        <v>3835</v>
      </c>
      <c r="BX570">
        <v>0</v>
      </c>
      <c r="BY570" t="s">
        <v>3868</v>
      </c>
      <c r="BZ570" t="s">
        <v>3860</v>
      </c>
    </row>
    <row r="571" spans="1:78" x14ac:dyDescent="0.25">
      <c r="A571" s="29" t="s">
        <v>2356</v>
      </c>
      <c r="B571" s="7" t="s">
        <v>181</v>
      </c>
      <c r="C571" s="7" t="s">
        <v>2354</v>
      </c>
      <c r="D571" s="8" t="s">
        <v>2355</v>
      </c>
      <c r="E571" s="7" t="s">
        <v>2357</v>
      </c>
      <c r="F571" s="9">
        <v>44978</v>
      </c>
      <c r="G571" s="9" t="s">
        <v>404</v>
      </c>
      <c r="H571" s="9" t="s">
        <v>66</v>
      </c>
      <c r="I571" s="8" t="s">
        <v>78</v>
      </c>
      <c r="J571" s="10">
        <v>677.06</v>
      </c>
      <c r="K571" s="10">
        <v>677.06</v>
      </c>
      <c r="L571" s="10">
        <f t="shared" si="263"/>
        <v>0</v>
      </c>
      <c r="M571" s="10">
        <v>315.39</v>
      </c>
      <c r="N571" s="10">
        <v>315.39</v>
      </c>
      <c r="O571" s="10">
        <f t="shared" si="264"/>
        <v>0</v>
      </c>
      <c r="P571" s="11">
        <v>17412.000413552716</v>
      </c>
      <c r="Q571" s="11">
        <v>37379.019626494184</v>
      </c>
      <c r="R571" s="11">
        <v>22000</v>
      </c>
      <c r="S571" s="11">
        <v>11788969</v>
      </c>
      <c r="T571" s="11">
        <v>1414678</v>
      </c>
      <c r="U571" s="12">
        <f t="shared" si="265"/>
        <v>0.12000014589910279</v>
      </c>
      <c r="V571" s="13">
        <f t="shared" si="262"/>
        <v>0</v>
      </c>
      <c r="W571" s="10">
        <f t="shared" si="266"/>
        <v>0</v>
      </c>
      <c r="X571" s="10"/>
      <c r="Y571" s="10"/>
      <c r="Z571" s="11">
        <f t="shared" si="267"/>
        <v>11788969</v>
      </c>
      <c r="AA571" s="14"/>
      <c r="AB571" s="14"/>
      <c r="AC571" s="11">
        <f t="shared" si="268"/>
        <v>11788969</v>
      </c>
      <c r="AD571" s="10">
        <f t="shared" si="269"/>
        <v>300</v>
      </c>
      <c r="AE571" s="15">
        <v>94617</v>
      </c>
      <c r="AF571" s="16">
        <v>17032</v>
      </c>
      <c r="AG571" s="15">
        <f t="shared" si="270"/>
        <v>0</v>
      </c>
      <c r="AH571" s="15">
        <f t="shared" si="271"/>
        <v>0</v>
      </c>
      <c r="AI571" s="15">
        <f t="shared" si="272"/>
        <v>94617</v>
      </c>
      <c r="AJ571" s="15">
        <f t="shared" si="273"/>
        <v>17032</v>
      </c>
      <c r="AK571" s="10">
        <v>94617</v>
      </c>
      <c r="AL571" s="15">
        <f t="shared" si="274"/>
        <v>94617</v>
      </c>
      <c r="AM571" s="15">
        <f t="shared" si="275"/>
        <v>11883586</v>
      </c>
      <c r="AN571" s="15">
        <f t="shared" si="276"/>
        <v>1431710</v>
      </c>
      <c r="AO571" s="15">
        <f t="shared" ref="AO571:AO634" si="281">AN571+AL571+AR571</f>
        <v>1538589</v>
      </c>
      <c r="AP571" s="17">
        <f t="shared" si="277"/>
        <v>13422175</v>
      </c>
      <c r="AQ571" s="15">
        <v>11883064</v>
      </c>
      <c r="AR571" s="15">
        <v>12262</v>
      </c>
      <c r="AS571" s="18">
        <f t="shared" ref="AS571:AS634" si="282">ROUND(AP571-AQ571,0)</f>
        <v>1539111</v>
      </c>
      <c r="AT571" s="19">
        <v>0</v>
      </c>
      <c r="AU571" s="8">
        <v>8800</v>
      </c>
      <c r="AV571" s="13">
        <f t="shared" ref="AV571:AV634" si="283">AU571*N571</f>
        <v>2775432</v>
      </c>
      <c r="AW571" s="18">
        <f t="shared" ref="AW571:AW634" si="284">MAX(AM571,AT571,AV571)</f>
        <v>11883586</v>
      </c>
      <c r="AX571" s="15">
        <f t="shared" si="278"/>
        <v>11884000</v>
      </c>
      <c r="AY571" s="20">
        <v>0.06</v>
      </c>
      <c r="AZ571" s="13">
        <f t="shared" si="279"/>
        <v>713040</v>
      </c>
      <c r="BA571" s="15">
        <f t="shared" si="280"/>
        <v>713100</v>
      </c>
      <c r="BB571" s="21">
        <f t="shared" ref="BB571:BB634" si="285">BA571+AS571</f>
        <v>2252211</v>
      </c>
      <c r="BC571" s="10">
        <f t="shared" ref="BC571:BC634" si="286">L571/J571%</f>
        <v>0</v>
      </c>
      <c r="BD571" s="10">
        <f t="shared" ref="BD571:BD634" si="287">O571/M571%</f>
        <v>0</v>
      </c>
      <c r="BE571" s="10">
        <v>62.9</v>
      </c>
      <c r="BF571" s="10">
        <v>29.3</v>
      </c>
      <c r="BG571" s="107">
        <v>46176</v>
      </c>
      <c r="BH571" s="107">
        <f t="shared" si="261"/>
        <v>46206</v>
      </c>
      <c r="BI571" s="23">
        <v>6</v>
      </c>
      <c r="BJ571" s="6"/>
      <c r="BK571" s="6"/>
      <c r="BL571" s="6">
        <f>VLOOKUP(A571,[2]Sheet1!$D$2:$H$933,5,0)</f>
        <v>0</v>
      </c>
      <c r="BM571" s="6" t="s">
        <v>3828</v>
      </c>
      <c r="BN571" s="6" t="s">
        <v>3829</v>
      </c>
      <c r="BO571" s="6" t="s">
        <v>3820</v>
      </c>
      <c r="BP571" s="6" t="s">
        <v>3821</v>
      </c>
      <c r="BQ571" s="6" t="s">
        <v>3830</v>
      </c>
      <c r="BR571" t="s">
        <v>3823</v>
      </c>
      <c r="BS571" t="s">
        <v>3824</v>
      </c>
      <c r="BT571" t="s">
        <v>3825</v>
      </c>
      <c r="BU571" t="s">
        <v>3826</v>
      </c>
      <c r="BV571" t="s">
        <v>3827</v>
      </c>
      <c r="BW571" t="s">
        <v>3835</v>
      </c>
      <c r="BX571">
        <v>0</v>
      </c>
      <c r="BY571" t="s">
        <v>3869</v>
      </c>
      <c r="BZ571" t="s">
        <v>3863</v>
      </c>
    </row>
    <row r="572" spans="1:78" x14ac:dyDescent="0.25">
      <c r="A572" s="29" t="s">
        <v>2360</v>
      </c>
      <c r="B572" s="7" t="s">
        <v>181</v>
      </c>
      <c r="C572" s="7" t="s">
        <v>2358</v>
      </c>
      <c r="D572" s="8" t="s">
        <v>2359</v>
      </c>
      <c r="E572" s="7" t="s">
        <v>2361</v>
      </c>
      <c r="F572" s="9">
        <v>44973</v>
      </c>
      <c r="G572" s="9" t="s">
        <v>363</v>
      </c>
      <c r="H572" s="9" t="s">
        <v>87</v>
      </c>
      <c r="I572" s="8" t="s">
        <v>67</v>
      </c>
      <c r="J572" s="10">
        <v>220.06</v>
      </c>
      <c r="K572" s="10">
        <v>220.06</v>
      </c>
      <c r="L572" s="10">
        <f t="shared" si="263"/>
        <v>0</v>
      </c>
      <c r="M572" s="10">
        <v>88.26</v>
      </c>
      <c r="N572" s="10">
        <v>88.26</v>
      </c>
      <c r="O572" s="10">
        <f t="shared" si="264"/>
        <v>0</v>
      </c>
      <c r="P572" s="11">
        <v>22505.357629737344</v>
      </c>
      <c r="Q572" s="11">
        <v>56112.950373895306</v>
      </c>
      <c r="R572" s="11">
        <v>40000</v>
      </c>
      <c r="S572" s="11">
        <v>4952529</v>
      </c>
      <c r="T572" s="11">
        <v>594304</v>
      </c>
      <c r="U572" s="12">
        <f t="shared" si="265"/>
        <v>0.1200001049968612</v>
      </c>
      <c r="V572" s="13">
        <f t="shared" si="262"/>
        <v>0</v>
      </c>
      <c r="W572" s="10">
        <f t="shared" si="266"/>
        <v>0</v>
      </c>
      <c r="X572" s="10"/>
      <c r="Y572" s="10"/>
      <c r="Z572" s="11">
        <f t="shared" si="267"/>
        <v>4952529</v>
      </c>
      <c r="AA572" s="14"/>
      <c r="AB572" s="14"/>
      <c r="AC572" s="11">
        <f t="shared" si="268"/>
        <v>4952529</v>
      </c>
      <c r="AD572" s="10">
        <f t="shared" si="269"/>
        <v>300</v>
      </c>
      <c r="AE572" s="15">
        <v>26478</v>
      </c>
      <c r="AF572" s="16">
        <v>4766</v>
      </c>
      <c r="AG572" s="15">
        <f t="shared" si="270"/>
        <v>0</v>
      </c>
      <c r="AH572" s="15">
        <f t="shared" si="271"/>
        <v>0</v>
      </c>
      <c r="AI572" s="15">
        <f t="shared" si="272"/>
        <v>26478</v>
      </c>
      <c r="AJ572" s="15">
        <f t="shared" si="273"/>
        <v>4767</v>
      </c>
      <c r="AK572" s="10">
        <v>26478</v>
      </c>
      <c r="AL572" s="15">
        <f t="shared" si="274"/>
        <v>26478</v>
      </c>
      <c r="AM572" s="15">
        <f t="shared" si="275"/>
        <v>4979007</v>
      </c>
      <c r="AN572" s="15">
        <f t="shared" si="276"/>
        <v>599071</v>
      </c>
      <c r="AO572" s="15">
        <f t="shared" si="281"/>
        <v>642215</v>
      </c>
      <c r="AP572" s="17">
        <f t="shared" si="277"/>
        <v>5621222</v>
      </c>
      <c r="AQ572" s="15">
        <v>2352775</v>
      </c>
      <c r="AR572" s="15">
        <v>16666</v>
      </c>
      <c r="AS572" s="18">
        <f t="shared" si="282"/>
        <v>3268447</v>
      </c>
      <c r="AT572" s="19">
        <v>0</v>
      </c>
      <c r="AU572" s="8">
        <v>8800</v>
      </c>
      <c r="AV572" s="13">
        <f t="shared" si="283"/>
        <v>776688</v>
      </c>
      <c r="AW572" s="18">
        <f t="shared" si="284"/>
        <v>4979007</v>
      </c>
      <c r="AX572" s="15">
        <f t="shared" si="278"/>
        <v>4980000</v>
      </c>
      <c r="AY572" s="20">
        <v>0.06</v>
      </c>
      <c r="AZ572" s="13">
        <f t="shared" si="279"/>
        <v>298800</v>
      </c>
      <c r="BA572" s="15">
        <f t="shared" si="280"/>
        <v>298800</v>
      </c>
      <c r="BB572" s="21">
        <f t="shared" si="285"/>
        <v>3567247</v>
      </c>
      <c r="BC572" s="10">
        <f t="shared" si="286"/>
        <v>0</v>
      </c>
      <c r="BD572" s="10">
        <f t="shared" si="287"/>
        <v>0</v>
      </c>
      <c r="BE572" s="10">
        <v>20.440000000000001</v>
      </c>
      <c r="BF572" s="10">
        <v>8.1999999999999993</v>
      </c>
      <c r="BG572" s="107">
        <v>46176</v>
      </c>
      <c r="BH572" s="107">
        <f t="shared" si="261"/>
        <v>46206</v>
      </c>
      <c r="BI572" s="23">
        <v>6</v>
      </c>
      <c r="BJ572" s="6"/>
      <c r="BK572" s="6"/>
      <c r="BL572" s="6">
        <f>VLOOKUP(A572,[2]Sheet1!$D$2:$H$933,5,0)</f>
        <v>0</v>
      </c>
      <c r="BM572" s="6" t="s">
        <v>3828</v>
      </c>
      <c r="BN572" s="6" t="s">
        <v>3829</v>
      </c>
      <c r="BO572" s="6" t="s">
        <v>3820</v>
      </c>
      <c r="BP572" s="6" t="s">
        <v>3821</v>
      </c>
      <c r="BQ572" s="6" t="s">
        <v>3830</v>
      </c>
      <c r="BR572" t="s">
        <v>3823</v>
      </c>
      <c r="BS572" t="s">
        <v>3824</v>
      </c>
      <c r="BT572" t="s">
        <v>3825</v>
      </c>
      <c r="BU572" t="s">
        <v>3826</v>
      </c>
      <c r="BV572" t="s">
        <v>3827</v>
      </c>
      <c r="BW572" t="s">
        <v>3835</v>
      </c>
      <c r="BX572">
        <v>0</v>
      </c>
      <c r="BY572" t="s">
        <v>3870</v>
      </c>
      <c r="BZ572" t="s">
        <v>3860</v>
      </c>
    </row>
    <row r="573" spans="1:78" x14ac:dyDescent="0.25">
      <c r="A573" s="29" t="s">
        <v>2364</v>
      </c>
      <c r="B573" s="7" t="s">
        <v>181</v>
      </c>
      <c r="C573" s="7" t="s">
        <v>2362</v>
      </c>
      <c r="D573" s="8" t="s">
        <v>2363</v>
      </c>
      <c r="E573" s="7" t="s">
        <v>2365</v>
      </c>
      <c r="F573" s="9">
        <v>44864</v>
      </c>
      <c r="G573" s="9" t="s">
        <v>77</v>
      </c>
      <c r="H573" s="9" t="s">
        <v>72</v>
      </c>
      <c r="I573" s="8" t="s">
        <v>78</v>
      </c>
      <c r="J573" s="10">
        <v>449.07</v>
      </c>
      <c r="K573" s="10">
        <v>441.75</v>
      </c>
      <c r="L573" s="10">
        <f t="shared" si="263"/>
        <v>-7.3199999999999932</v>
      </c>
      <c r="M573" s="10">
        <v>181.91</v>
      </c>
      <c r="N573" s="10">
        <v>190</v>
      </c>
      <c r="O573" s="10">
        <f t="shared" si="264"/>
        <v>8.0900000000000034</v>
      </c>
      <c r="P573" s="11">
        <v>12666.000846193245</v>
      </c>
      <c r="Q573" s="11">
        <v>31267.775273486888</v>
      </c>
      <c r="R573" s="11">
        <v>20000</v>
      </c>
      <c r="S573" s="11">
        <v>5687921</v>
      </c>
      <c r="T573" s="11">
        <v>682552</v>
      </c>
      <c r="U573" s="12">
        <f t="shared" si="265"/>
        <v>0.12000026020051967</v>
      </c>
      <c r="V573" s="13">
        <f t="shared" si="262"/>
        <v>-92715.126194134471</v>
      </c>
      <c r="W573" s="10">
        <f t="shared" si="266"/>
        <v>-11125.839267820153</v>
      </c>
      <c r="X573" s="15"/>
      <c r="Y573" s="15"/>
      <c r="Z573" s="11">
        <f t="shared" si="267"/>
        <v>5595205.8738058656</v>
      </c>
      <c r="AA573" s="14"/>
      <c r="AB573" s="14"/>
      <c r="AC573" s="11">
        <f t="shared" si="268"/>
        <v>5595205.8738058656</v>
      </c>
      <c r="AD573" s="10">
        <f t="shared" si="269"/>
        <v>300</v>
      </c>
      <c r="AE573" s="15">
        <v>54573</v>
      </c>
      <c r="AF573" s="16">
        <v>9824</v>
      </c>
      <c r="AG573" s="15">
        <f t="shared" si="270"/>
        <v>2427.0000000000009</v>
      </c>
      <c r="AH573" s="15">
        <f t="shared" si="271"/>
        <v>436.86000000000013</v>
      </c>
      <c r="AI573" s="15">
        <f t="shared" si="272"/>
        <v>57000</v>
      </c>
      <c r="AJ573" s="15">
        <f t="shared" si="273"/>
        <v>10260</v>
      </c>
      <c r="AK573" s="10">
        <v>54573</v>
      </c>
      <c r="AL573" s="15">
        <f t="shared" si="274"/>
        <v>57000</v>
      </c>
      <c r="AM573" s="15">
        <f t="shared" si="275"/>
        <v>5652206</v>
      </c>
      <c r="AN573" s="15">
        <f t="shared" si="276"/>
        <v>681687</v>
      </c>
      <c r="AO573" s="15">
        <f t="shared" si="281"/>
        <v>752097.24</v>
      </c>
      <c r="AP573" s="17">
        <f t="shared" si="277"/>
        <v>6404303.2400000002</v>
      </c>
      <c r="AQ573" s="15">
        <v>2730122</v>
      </c>
      <c r="AR573" s="15">
        <v>13410.24</v>
      </c>
      <c r="AS573" s="18">
        <f t="shared" si="282"/>
        <v>3674181</v>
      </c>
      <c r="AT573" s="19">
        <v>0</v>
      </c>
      <c r="AU573" s="8">
        <v>8800</v>
      </c>
      <c r="AV573" s="13">
        <f t="shared" si="283"/>
        <v>1672000</v>
      </c>
      <c r="AW573" s="18">
        <f t="shared" si="284"/>
        <v>5652206</v>
      </c>
      <c r="AX573" s="15">
        <f t="shared" si="278"/>
        <v>5653000</v>
      </c>
      <c r="AY573" s="20">
        <v>0.06</v>
      </c>
      <c r="AZ573" s="13">
        <f t="shared" si="279"/>
        <v>339180</v>
      </c>
      <c r="BA573" s="15">
        <f t="shared" si="280"/>
        <v>339200</v>
      </c>
      <c r="BB573" s="21">
        <f t="shared" si="285"/>
        <v>4013381</v>
      </c>
      <c r="BC573" s="10">
        <f t="shared" si="286"/>
        <v>-1.630035406506779</v>
      </c>
      <c r="BD573" s="10">
        <f t="shared" si="287"/>
        <v>4.4472541366609883</v>
      </c>
      <c r="BE573" s="10">
        <v>41.04</v>
      </c>
      <c r="BF573" s="10">
        <v>17.649999999999999</v>
      </c>
      <c r="BG573" s="107">
        <v>46176</v>
      </c>
      <c r="BH573" s="107">
        <f t="shared" si="261"/>
        <v>46206</v>
      </c>
      <c r="BI573" s="23">
        <v>6</v>
      </c>
      <c r="BJ573" s="6"/>
      <c r="BK573" s="6"/>
      <c r="BL573" s="6">
        <f>VLOOKUP(A573,[2]Sheet1!$D$2:$H$933,5,0)</f>
        <v>0</v>
      </c>
      <c r="BM573" s="6" t="s">
        <v>3828</v>
      </c>
      <c r="BN573" s="6" t="s">
        <v>3829</v>
      </c>
      <c r="BO573" s="6" t="s">
        <v>3820</v>
      </c>
      <c r="BP573" s="6" t="s">
        <v>3821</v>
      </c>
      <c r="BQ573" s="6" t="s">
        <v>3830</v>
      </c>
      <c r="BR573" t="s">
        <v>3823</v>
      </c>
      <c r="BS573" t="s">
        <v>3824</v>
      </c>
      <c r="BT573" t="s">
        <v>3825</v>
      </c>
      <c r="BU573" t="s">
        <v>3826</v>
      </c>
      <c r="BV573" t="s">
        <v>3827</v>
      </c>
      <c r="BW573" t="s">
        <v>3835</v>
      </c>
      <c r="BX573">
        <v>0</v>
      </c>
      <c r="BY573" t="s">
        <v>3864</v>
      </c>
      <c r="BZ573" t="s">
        <v>3863</v>
      </c>
    </row>
    <row r="574" spans="1:78" x14ac:dyDescent="0.25">
      <c r="A574" s="29" t="s">
        <v>2369</v>
      </c>
      <c r="B574" s="7" t="s">
        <v>181</v>
      </c>
      <c r="C574" s="7" t="s">
        <v>2367</v>
      </c>
      <c r="D574" s="8" t="s">
        <v>2368</v>
      </c>
      <c r="E574" s="7" t="s">
        <v>2370</v>
      </c>
      <c r="F574" s="9">
        <v>44973</v>
      </c>
      <c r="G574" s="9" t="s">
        <v>527</v>
      </c>
      <c r="H574" s="9" t="s">
        <v>92</v>
      </c>
      <c r="I574" s="8" t="s">
        <v>78</v>
      </c>
      <c r="J574" s="10">
        <v>1063.48</v>
      </c>
      <c r="K574" s="10">
        <v>1063.48</v>
      </c>
      <c r="L574" s="10">
        <f t="shared" si="263"/>
        <v>0</v>
      </c>
      <c r="M574" s="10">
        <v>489.76</v>
      </c>
      <c r="N574" s="10">
        <v>489.76</v>
      </c>
      <c r="O574" s="10">
        <f t="shared" si="264"/>
        <v>0</v>
      </c>
      <c r="P574" s="11">
        <v>9000</v>
      </c>
      <c r="Q574" s="11">
        <v>19542.878144397255</v>
      </c>
      <c r="R574" s="11">
        <v>28000</v>
      </c>
      <c r="S574" s="11">
        <v>9571320</v>
      </c>
      <c r="T574" s="11">
        <v>1148560</v>
      </c>
      <c r="U574" s="12">
        <f t="shared" si="265"/>
        <v>0.12000016716607531</v>
      </c>
      <c r="V574" s="13">
        <f t="shared" si="262"/>
        <v>0</v>
      </c>
      <c r="W574" s="10">
        <f t="shared" si="266"/>
        <v>0</v>
      </c>
      <c r="X574" s="10"/>
      <c r="Y574" s="10"/>
      <c r="Z574" s="11">
        <f t="shared" si="267"/>
        <v>9571320</v>
      </c>
      <c r="AA574" s="14">
        <v>3349962</v>
      </c>
      <c r="AB574" s="14">
        <v>401996</v>
      </c>
      <c r="AC574" s="11">
        <f t="shared" si="268"/>
        <v>6221358</v>
      </c>
      <c r="AD574" s="10">
        <f t="shared" si="269"/>
        <v>300</v>
      </c>
      <c r="AE574" s="15">
        <v>146928</v>
      </c>
      <c r="AF574" s="16">
        <v>26448</v>
      </c>
      <c r="AG574" s="15">
        <f t="shared" si="270"/>
        <v>0</v>
      </c>
      <c r="AH574" s="15">
        <f t="shared" si="271"/>
        <v>0</v>
      </c>
      <c r="AI574" s="15">
        <f t="shared" si="272"/>
        <v>146928</v>
      </c>
      <c r="AJ574" s="15">
        <f t="shared" si="273"/>
        <v>26448</v>
      </c>
      <c r="AK574" s="10">
        <v>146928</v>
      </c>
      <c r="AL574" s="15">
        <f t="shared" si="274"/>
        <v>146928</v>
      </c>
      <c r="AM574" s="15">
        <f t="shared" si="275"/>
        <v>6368286</v>
      </c>
      <c r="AN574" s="15">
        <f t="shared" si="276"/>
        <v>773012</v>
      </c>
      <c r="AO574" s="15">
        <f t="shared" si="281"/>
        <v>938590</v>
      </c>
      <c r="AP574" s="17">
        <f t="shared" si="277"/>
        <v>7306876</v>
      </c>
      <c r="AQ574" s="15">
        <v>2143982</v>
      </c>
      <c r="AR574" s="15">
        <v>18650</v>
      </c>
      <c r="AS574" s="18">
        <f t="shared" si="282"/>
        <v>5162894</v>
      </c>
      <c r="AT574" s="19">
        <v>0</v>
      </c>
      <c r="AU574" s="8">
        <v>8800</v>
      </c>
      <c r="AV574" s="13">
        <f t="shared" si="283"/>
        <v>4309888</v>
      </c>
      <c r="AW574" s="18">
        <f t="shared" si="284"/>
        <v>6368286</v>
      </c>
      <c r="AX574" s="15">
        <f t="shared" si="278"/>
        <v>6369000</v>
      </c>
      <c r="AY574" s="20">
        <v>0.06</v>
      </c>
      <c r="AZ574" s="13">
        <f t="shared" si="279"/>
        <v>382140</v>
      </c>
      <c r="BA574" s="15">
        <f t="shared" si="280"/>
        <v>382200</v>
      </c>
      <c r="BB574" s="21">
        <f t="shared" si="285"/>
        <v>5545094</v>
      </c>
      <c r="BC574" s="10">
        <f t="shared" si="286"/>
        <v>0</v>
      </c>
      <c r="BD574" s="10">
        <f t="shared" si="287"/>
        <v>0</v>
      </c>
      <c r="BE574" s="10">
        <v>98.8</v>
      </c>
      <c r="BF574" s="10">
        <v>45.5</v>
      </c>
      <c r="BG574" s="107">
        <v>46176</v>
      </c>
      <c r="BH574" s="107">
        <f t="shared" si="261"/>
        <v>46206</v>
      </c>
      <c r="BI574" s="23">
        <v>6</v>
      </c>
      <c r="BJ574" s="6"/>
      <c r="BK574" s="6"/>
      <c r="BL574" s="6">
        <f>VLOOKUP(A574,[2]Sheet1!$D$2:$H$933,5,0)</f>
        <v>0</v>
      </c>
      <c r="BM574" s="6" t="s">
        <v>3828</v>
      </c>
      <c r="BN574" s="6" t="s">
        <v>3829</v>
      </c>
      <c r="BO574" s="6" t="s">
        <v>3820</v>
      </c>
      <c r="BP574" s="6" t="s">
        <v>3821</v>
      </c>
      <c r="BQ574" s="6" t="s">
        <v>3830</v>
      </c>
      <c r="BR574" t="s">
        <v>3823</v>
      </c>
      <c r="BS574" t="s">
        <v>3824</v>
      </c>
      <c r="BT574" t="s">
        <v>3825</v>
      </c>
      <c r="BU574" t="s">
        <v>3826</v>
      </c>
      <c r="BV574" t="s">
        <v>3827</v>
      </c>
      <c r="BW574" t="s">
        <v>3835</v>
      </c>
      <c r="BX574">
        <v>0</v>
      </c>
      <c r="BY574" t="s">
        <v>3868</v>
      </c>
      <c r="BZ574" t="s">
        <v>3871</v>
      </c>
    </row>
    <row r="575" spans="1:78" x14ac:dyDescent="0.25">
      <c r="A575" s="29" t="s">
        <v>2373</v>
      </c>
      <c r="B575" s="7" t="s">
        <v>181</v>
      </c>
      <c r="C575" s="7" t="s">
        <v>2371</v>
      </c>
      <c r="D575" s="8" t="s">
        <v>2372</v>
      </c>
      <c r="E575" s="7" t="s">
        <v>2331</v>
      </c>
      <c r="F575" s="9">
        <v>44903</v>
      </c>
      <c r="G575" s="9" t="s">
        <v>527</v>
      </c>
      <c r="H575" s="9" t="s">
        <v>66</v>
      </c>
      <c r="I575" s="8" t="s">
        <v>78</v>
      </c>
      <c r="J575" s="10">
        <v>784.7</v>
      </c>
      <c r="K575" s="10">
        <v>784.7</v>
      </c>
      <c r="L575" s="10">
        <f t="shared" si="263"/>
        <v>0</v>
      </c>
      <c r="M575" s="10">
        <v>363.82</v>
      </c>
      <c r="N575" s="10">
        <v>363.82</v>
      </c>
      <c r="O575" s="10">
        <f t="shared" si="264"/>
        <v>0</v>
      </c>
      <c r="P575" s="11">
        <v>10521.000382311711</v>
      </c>
      <c r="Q575" s="11">
        <v>22692.070254521466</v>
      </c>
      <c r="R575" s="11">
        <v>22000</v>
      </c>
      <c r="S575" s="11">
        <v>8255829</v>
      </c>
      <c r="T575" s="11">
        <v>990700</v>
      </c>
      <c r="U575" s="12">
        <f t="shared" si="265"/>
        <v>0.1200000629858007</v>
      </c>
      <c r="V575" s="13">
        <f t="shared" si="262"/>
        <v>0</v>
      </c>
      <c r="W575" s="10">
        <f t="shared" si="266"/>
        <v>0</v>
      </c>
      <c r="X575" s="10"/>
      <c r="Y575" s="10"/>
      <c r="Z575" s="11">
        <f t="shared" si="267"/>
        <v>8255829</v>
      </c>
      <c r="AA575" s="14"/>
      <c r="AB575" s="14"/>
      <c r="AC575" s="11">
        <f t="shared" si="268"/>
        <v>8255829</v>
      </c>
      <c r="AD575" s="10">
        <f t="shared" si="269"/>
        <v>300</v>
      </c>
      <c r="AE575" s="15">
        <v>109146</v>
      </c>
      <c r="AF575" s="16">
        <v>19646</v>
      </c>
      <c r="AG575" s="15">
        <f t="shared" si="270"/>
        <v>0</v>
      </c>
      <c r="AH575" s="15">
        <f t="shared" si="271"/>
        <v>0</v>
      </c>
      <c r="AI575" s="15">
        <f t="shared" si="272"/>
        <v>109146</v>
      </c>
      <c r="AJ575" s="15">
        <f t="shared" si="273"/>
        <v>19647</v>
      </c>
      <c r="AK575" s="10">
        <v>109146</v>
      </c>
      <c r="AL575" s="15">
        <f t="shared" si="274"/>
        <v>109146</v>
      </c>
      <c r="AM575" s="15">
        <f t="shared" si="275"/>
        <v>8364975</v>
      </c>
      <c r="AN575" s="15">
        <f t="shared" si="276"/>
        <v>1010347</v>
      </c>
      <c r="AO575" s="15">
        <f t="shared" si="281"/>
        <v>1135290</v>
      </c>
      <c r="AP575" s="17">
        <f t="shared" si="277"/>
        <v>9500265</v>
      </c>
      <c r="AQ575" s="15">
        <v>6300000</v>
      </c>
      <c r="AR575" s="15">
        <v>15797</v>
      </c>
      <c r="AS575" s="18">
        <f t="shared" si="282"/>
        <v>3200265</v>
      </c>
      <c r="AT575" s="19">
        <v>0</v>
      </c>
      <c r="AU575" s="8">
        <v>8800</v>
      </c>
      <c r="AV575" s="13">
        <f t="shared" si="283"/>
        <v>3201616</v>
      </c>
      <c r="AW575" s="18">
        <f t="shared" si="284"/>
        <v>8364975</v>
      </c>
      <c r="AX575" s="15">
        <f t="shared" si="278"/>
        <v>8365000</v>
      </c>
      <c r="AY575" s="20">
        <v>0.06</v>
      </c>
      <c r="AZ575" s="13">
        <f t="shared" si="279"/>
        <v>501900</v>
      </c>
      <c r="BA575" s="15">
        <f t="shared" si="280"/>
        <v>501900</v>
      </c>
      <c r="BB575" s="21">
        <f t="shared" si="285"/>
        <v>3702165</v>
      </c>
      <c r="BC575" s="10">
        <f t="shared" si="286"/>
        <v>0</v>
      </c>
      <c r="BD575" s="10">
        <f t="shared" si="287"/>
        <v>0</v>
      </c>
      <c r="BE575" s="10">
        <v>72.900000000000006</v>
      </c>
      <c r="BF575" s="10">
        <v>33.799999999999997</v>
      </c>
      <c r="BG575" s="107">
        <v>46176</v>
      </c>
      <c r="BH575" s="107">
        <f t="shared" si="261"/>
        <v>46206</v>
      </c>
      <c r="BI575" s="23">
        <v>6</v>
      </c>
      <c r="BJ575" s="6"/>
      <c r="BK575" s="6"/>
      <c r="BL575" s="6">
        <f>VLOOKUP(A575,[2]Sheet1!$D$2:$H$933,5,0)</f>
        <v>0</v>
      </c>
      <c r="BM575" s="6" t="s">
        <v>3828</v>
      </c>
      <c r="BN575" s="6" t="s">
        <v>3829</v>
      </c>
      <c r="BO575" s="6" t="s">
        <v>3820</v>
      </c>
      <c r="BP575" s="6" t="s">
        <v>3821</v>
      </c>
      <c r="BQ575" s="6" t="s">
        <v>3830</v>
      </c>
      <c r="BR575" t="s">
        <v>3823</v>
      </c>
      <c r="BS575" t="s">
        <v>3824</v>
      </c>
      <c r="BT575" t="s">
        <v>3825</v>
      </c>
      <c r="BU575" t="s">
        <v>3826</v>
      </c>
      <c r="BV575" t="s">
        <v>3827</v>
      </c>
      <c r="BW575" t="s">
        <v>3835</v>
      </c>
      <c r="BX575">
        <v>0</v>
      </c>
      <c r="BY575" t="s">
        <v>3868</v>
      </c>
      <c r="BZ575" t="s">
        <v>3871</v>
      </c>
    </row>
    <row r="576" spans="1:78" x14ac:dyDescent="0.25">
      <c r="A576" s="7" t="s">
        <v>2376</v>
      </c>
      <c r="B576" s="7" t="s">
        <v>181</v>
      </c>
      <c r="C576" s="7" t="s">
        <v>2374</v>
      </c>
      <c r="D576" s="8" t="s">
        <v>2375</v>
      </c>
      <c r="E576" s="7" t="s">
        <v>2377</v>
      </c>
      <c r="F576" s="9">
        <v>44894</v>
      </c>
      <c r="G576" s="9" t="s">
        <v>717</v>
      </c>
      <c r="H576" s="9" t="s">
        <v>72</v>
      </c>
      <c r="I576" s="8" t="s">
        <v>78</v>
      </c>
      <c r="J576" s="10">
        <v>596.33000000000004</v>
      </c>
      <c r="K576" s="10">
        <v>674</v>
      </c>
      <c r="L576" s="10">
        <f t="shared" si="263"/>
        <v>77.669999999999959</v>
      </c>
      <c r="M576" s="10">
        <v>266.95</v>
      </c>
      <c r="N576" s="10">
        <v>302</v>
      </c>
      <c r="O576" s="10">
        <f t="shared" si="264"/>
        <v>35.050000000000011</v>
      </c>
      <c r="P576" s="11">
        <v>10827.749735884492</v>
      </c>
      <c r="Q576" s="11">
        <v>24187.720546918899</v>
      </c>
      <c r="R576" s="11">
        <v>20000</v>
      </c>
      <c r="S576" s="11">
        <v>6456912</v>
      </c>
      <c r="T576" s="11">
        <v>774830</v>
      </c>
      <c r="U576" s="12">
        <f t="shared" si="265"/>
        <v>0.12000008672876446</v>
      </c>
      <c r="V576" s="13">
        <f>L576*R576</f>
        <v>1553399.9999999991</v>
      </c>
      <c r="W576" s="10">
        <f t="shared" si="266"/>
        <v>186408.13472446261</v>
      </c>
      <c r="X576" s="15"/>
      <c r="Y576" s="15"/>
      <c r="Z576" s="11">
        <f t="shared" si="267"/>
        <v>8010311.9999999991</v>
      </c>
      <c r="AA576" s="14"/>
      <c r="AB576" s="14"/>
      <c r="AC576" s="11">
        <f t="shared" si="268"/>
        <v>8010311.9999999991</v>
      </c>
      <c r="AD576" s="10">
        <f t="shared" si="269"/>
        <v>300</v>
      </c>
      <c r="AE576" s="15">
        <v>80085</v>
      </c>
      <c r="AF576" s="16">
        <v>14416</v>
      </c>
      <c r="AG576" s="15">
        <f t="shared" si="270"/>
        <v>10515.000000000004</v>
      </c>
      <c r="AH576" s="15">
        <f t="shared" si="271"/>
        <v>1892.7000000000005</v>
      </c>
      <c r="AI576" s="15">
        <f t="shared" si="272"/>
        <v>90600</v>
      </c>
      <c r="AJ576" s="15">
        <f t="shared" si="273"/>
        <v>16308</v>
      </c>
      <c r="AK576" s="10">
        <v>80085</v>
      </c>
      <c r="AL576" s="15">
        <f t="shared" si="274"/>
        <v>90600</v>
      </c>
      <c r="AM576" s="15">
        <f t="shared" si="275"/>
        <v>8100912</v>
      </c>
      <c r="AN576" s="15">
        <f t="shared" si="276"/>
        <v>977547</v>
      </c>
      <c r="AO576" s="15">
        <f t="shared" si="281"/>
        <v>1086895</v>
      </c>
      <c r="AP576" s="17">
        <f t="shared" si="277"/>
        <v>9187807</v>
      </c>
      <c r="AQ576" s="15">
        <v>2573211</v>
      </c>
      <c r="AR576" s="15">
        <v>18748</v>
      </c>
      <c r="AS576" s="18">
        <f t="shared" si="282"/>
        <v>6614596</v>
      </c>
      <c r="AT576" s="19">
        <v>0</v>
      </c>
      <c r="AU576" s="8">
        <v>8800</v>
      </c>
      <c r="AV576" s="13">
        <f t="shared" si="283"/>
        <v>2657600</v>
      </c>
      <c r="AW576" s="18">
        <f t="shared" si="284"/>
        <v>8100912</v>
      </c>
      <c r="AX576" s="15">
        <f t="shared" si="278"/>
        <v>8101000</v>
      </c>
      <c r="AY576" s="20">
        <v>7.0000000000000007E-2</v>
      </c>
      <c r="AZ576" s="13">
        <f t="shared" si="279"/>
        <v>567070</v>
      </c>
      <c r="BA576" s="15">
        <f t="shared" si="280"/>
        <v>567100</v>
      </c>
      <c r="BB576" s="21">
        <f t="shared" si="285"/>
        <v>7181696</v>
      </c>
      <c r="BC576" s="10">
        <f t="shared" si="286"/>
        <v>13.024667549846553</v>
      </c>
      <c r="BD576" s="10">
        <f t="shared" si="287"/>
        <v>13.129799587937821</v>
      </c>
      <c r="BE576" s="10">
        <v>62.62</v>
      </c>
      <c r="BF576" s="10">
        <v>28.06</v>
      </c>
      <c r="BG576" s="107">
        <v>46176</v>
      </c>
      <c r="BH576" s="107">
        <f t="shared" si="261"/>
        <v>46206</v>
      </c>
      <c r="BI576" s="23">
        <v>7</v>
      </c>
      <c r="BJ576" s="6"/>
      <c r="BK576" s="6"/>
      <c r="BL576" s="6">
        <f>VLOOKUP(A576,[2]Sheet1!$D$2:$H$933,5,0)</f>
        <v>0</v>
      </c>
      <c r="BM576" s="6" t="s">
        <v>3828</v>
      </c>
      <c r="BN576" s="6" t="s">
        <v>3829</v>
      </c>
      <c r="BO576" s="6" t="s">
        <v>3820</v>
      </c>
      <c r="BP576" s="6" t="s">
        <v>3821</v>
      </c>
      <c r="BQ576" s="6" t="s">
        <v>3830</v>
      </c>
      <c r="BR576" t="s">
        <v>3823</v>
      </c>
      <c r="BS576" t="s">
        <v>3824</v>
      </c>
      <c r="BT576" t="s">
        <v>3825</v>
      </c>
      <c r="BU576" t="s">
        <v>3826</v>
      </c>
      <c r="BV576" t="s">
        <v>3827</v>
      </c>
      <c r="BW576" t="s">
        <v>3835</v>
      </c>
      <c r="BX576">
        <v>0</v>
      </c>
      <c r="BY576" t="s">
        <v>3861</v>
      </c>
      <c r="BZ576" t="s">
        <v>3872</v>
      </c>
    </row>
    <row r="577" spans="1:78" x14ac:dyDescent="0.25">
      <c r="A577" s="7" t="s">
        <v>2380</v>
      </c>
      <c r="B577" s="7" t="s">
        <v>181</v>
      </c>
      <c r="C577" s="7" t="s">
        <v>2378</v>
      </c>
      <c r="D577" s="8" t="s">
        <v>2379</v>
      </c>
      <c r="E577" s="7" t="s">
        <v>2381</v>
      </c>
      <c r="F577" s="9">
        <v>44922</v>
      </c>
      <c r="G577" s="9" t="s">
        <v>404</v>
      </c>
      <c r="H577" s="9" t="s">
        <v>72</v>
      </c>
      <c r="I577" s="8" t="s">
        <v>78</v>
      </c>
      <c r="J577" s="10">
        <v>600.63</v>
      </c>
      <c r="K577" s="10">
        <v>600.63</v>
      </c>
      <c r="L577" s="10">
        <f t="shared" si="263"/>
        <v>0</v>
      </c>
      <c r="M577" s="10">
        <v>257.26</v>
      </c>
      <c r="N577" s="10">
        <v>257.26</v>
      </c>
      <c r="O577" s="10">
        <f t="shared" si="264"/>
        <v>0</v>
      </c>
      <c r="P577" s="11">
        <v>11894.109518339077</v>
      </c>
      <c r="Q577" s="11">
        <v>27769.412267744694</v>
      </c>
      <c r="R577" s="11">
        <v>20000</v>
      </c>
      <c r="S577" s="11">
        <v>7143959</v>
      </c>
      <c r="T577" s="11">
        <v>857276</v>
      </c>
      <c r="U577" s="12">
        <f t="shared" si="265"/>
        <v>0.12000012878013437</v>
      </c>
      <c r="V577" s="13">
        <f>L577*P577</f>
        <v>0</v>
      </c>
      <c r="W577" s="10">
        <f t="shared" si="266"/>
        <v>0</v>
      </c>
      <c r="X577" s="10"/>
      <c r="Y577" s="10"/>
      <c r="Z577" s="11">
        <f t="shared" si="267"/>
        <v>7143959</v>
      </c>
      <c r="AA577" s="14"/>
      <c r="AB577" s="14"/>
      <c r="AC577" s="11">
        <f t="shared" si="268"/>
        <v>7143959</v>
      </c>
      <c r="AD577" s="10">
        <f t="shared" si="269"/>
        <v>300</v>
      </c>
      <c r="AE577" s="15">
        <v>77178</v>
      </c>
      <c r="AF577" s="16">
        <v>13892</v>
      </c>
      <c r="AG577" s="15">
        <f t="shared" si="270"/>
        <v>0</v>
      </c>
      <c r="AH577" s="15">
        <f t="shared" si="271"/>
        <v>0</v>
      </c>
      <c r="AI577" s="15">
        <f t="shared" si="272"/>
        <v>77178</v>
      </c>
      <c r="AJ577" s="15">
        <f t="shared" si="273"/>
        <v>13893</v>
      </c>
      <c r="AK577" s="10">
        <v>77178</v>
      </c>
      <c r="AL577" s="15">
        <f t="shared" si="274"/>
        <v>77178</v>
      </c>
      <c r="AM577" s="15">
        <f t="shared" si="275"/>
        <v>7221137</v>
      </c>
      <c r="AN577" s="15">
        <f t="shared" si="276"/>
        <v>871169</v>
      </c>
      <c r="AO577" s="15">
        <f t="shared" si="281"/>
        <v>967373</v>
      </c>
      <c r="AP577" s="17">
        <f t="shared" si="277"/>
        <v>8188510</v>
      </c>
      <c r="AQ577" s="15">
        <v>3216617</v>
      </c>
      <c r="AR577" s="15">
        <v>19026</v>
      </c>
      <c r="AS577" s="18">
        <f t="shared" si="282"/>
        <v>4971893</v>
      </c>
      <c r="AT577" s="19">
        <v>0</v>
      </c>
      <c r="AU577" s="8">
        <v>8800</v>
      </c>
      <c r="AV577" s="13">
        <f t="shared" si="283"/>
        <v>2263888</v>
      </c>
      <c r="AW577" s="18">
        <f t="shared" si="284"/>
        <v>7221137</v>
      </c>
      <c r="AX577" s="15">
        <f t="shared" si="278"/>
        <v>7222000</v>
      </c>
      <c r="AY577" s="20">
        <v>7.0000000000000007E-2</v>
      </c>
      <c r="AZ577" s="13">
        <f t="shared" si="279"/>
        <v>505540.00000000006</v>
      </c>
      <c r="BA577" s="15">
        <f t="shared" si="280"/>
        <v>505600</v>
      </c>
      <c r="BB577" s="21">
        <f t="shared" si="285"/>
        <v>5477493</v>
      </c>
      <c r="BC577" s="10">
        <f t="shared" si="286"/>
        <v>0</v>
      </c>
      <c r="BD577" s="10">
        <f t="shared" si="287"/>
        <v>0</v>
      </c>
      <c r="BE577" s="10">
        <v>55.8</v>
      </c>
      <c r="BF577" s="10">
        <v>23.9</v>
      </c>
      <c r="BG577" s="107">
        <v>46176</v>
      </c>
      <c r="BH577" s="107">
        <f t="shared" si="261"/>
        <v>46206</v>
      </c>
      <c r="BI577" s="23">
        <v>7</v>
      </c>
      <c r="BJ577" s="6"/>
      <c r="BK577" s="6"/>
      <c r="BL577" s="6">
        <f>VLOOKUP(A577,[2]Sheet1!$D$2:$H$933,5,0)</f>
        <v>0</v>
      </c>
      <c r="BM577" s="6" t="s">
        <v>3828</v>
      </c>
      <c r="BN577" s="6" t="s">
        <v>3829</v>
      </c>
      <c r="BO577" s="6" t="s">
        <v>3820</v>
      </c>
      <c r="BP577" s="6" t="s">
        <v>3821</v>
      </c>
      <c r="BQ577" s="6" t="s">
        <v>3830</v>
      </c>
      <c r="BR577" t="s">
        <v>3823</v>
      </c>
      <c r="BS577" t="s">
        <v>3824</v>
      </c>
      <c r="BT577" t="s">
        <v>3825</v>
      </c>
      <c r="BU577" t="s">
        <v>3826</v>
      </c>
      <c r="BV577" t="s">
        <v>3827</v>
      </c>
      <c r="BW577" t="s">
        <v>3835</v>
      </c>
      <c r="BX577">
        <v>0</v>
      </c>
      <c r="BY577" t="s">
        <v>3869</v>
      </c>
      <c r="BZ577" t="s">
        <v>3863</v>
      </c>
    </row>
    <row r="578" spans="1:78" x14ac:dyDescent="0.25">
      <c r="A578" s="7" t="s">
        <v>2384</v>
      </c>
      <c r="B578" s="7" t="s">
        <v>181</v>
      </c>
      <c r="C578" s="7" t="s">
        <v>2382</v>
      </c>
      <c r="D578" s="8" t="s">
        <v>2383</v>
      </c>
      <c r="E578" s="7" t="s">
        <v>2385</v>
      </c>
      <c r="F578" s="9">
        <v>44999</v>
      </c>
      <c r="G578" s="9" t="s">
        <v>65</v>
      </c>
      <c r="H578" s="9" t="s">
        <v>72</v>
      </c>
      <c r="I578" s="8" t="s">
        <v>78</v>
      </c>
      <c r="J578" s="10">
        <v>1077.26</v>
      </c>
      <c r="K578" s="10">
        <v>1077.26</v>
      </c>
      <c r="L578" s="10">
        <f t="shared" si="263"/>
        <v>0</v>
      </c>
      <c r="M578" s="10">
        <v>496.22</v>
      </c>
      <c r="N578" s="10">
        <v>496.22</v>
      </c>
      <c r="O578" s="10">
        <f t="shared" si="264"/>
        <v>0</v>
      </c>
      <c r="P578" s="11">
        <v>10254.999721515698</v>
      </c>
      <c r="Q578" s="11">
        <v>22262.909596549915</v>
      </c>
      <c r="R578" s="11">
        <v>20000</v>
      </c>
      <c r="S578" s="11">
        <v>11047301</v>
      </c>
      <c r="T578" s="11">
        <v>1325676</v>
      </c>
      <c r="U578" s="12">
        <f t="shared" si="265"/>
        <v>0.11999998913761832</v>
      </c>
      <c r="V578" s="13">
        <f>L578*P578</f>
        <v>0</v>
      </c>
      <c r="W578" s="10">
        <f t="shared" si="266"/>
        <v>0</v>
      </c>
      <c r="X578" s="10"/>
      <c r="Y578" s="10"/>
      <c r="Z578" s="11">
        <f t="shared" si="267"/>
        <v>11047301</v>
      </c>
      <c r="AA578" s="14"/>
      <c r="AB578" s="14"/>
      <c r="AC578" s="11">
        <f t="shared" si="268"/>
        <v>11047301</v>
      </c>
      <c r="AD578" s="10">
        <f t="shared" si="269"/>
        <v>300</v>
      </c>
      <c r="AE578" s="15">
        <v>148866</v>
      </c>
      <c r="AF578" s="16">
        <v>26796</v>
      </c>
      <c r="AG578" s="15">
        <f t="shared" si="270"/>
        <v>0</v>
      </c>
      <c r="AH578" s="15">
        <f t="shared" si="271"/>
        <v>0</v>
      </c>
      <c r="AI578" s="15">
        <f t="shared" si="272"/>
        <v>148866</v>
      </c>
      <c r="AJ578" s="15">
        <f t="shared" si="273"/>
        <v>26796</v>
      </c>
      <c r="AK578" s="10">
        <v>148866</v>
      </c>
      <c r="AL578" s="15">
        <f t="shared" si="274"/>
        <v>148866</v>
      </c>
      <c r="AM578" s="15">
        <f t="shared" si="275"/>
        <v>11196167</v>
      </c>
      <c r="AN578" s="15">
        <f t="shared" si="276"/>
        <v>1352472</v>
      </c>
      <c r="AO578" s="15">
        <f t="shared" si="281"/>
        <v>1514050</v>
      </c>
      <c r="AP578" s="17">
        <f t="shared" si="277"/>
        <v>12710217</v>
      </c>
      <c r="AQ578" s="15">
        <v>11135259</v>
      </c>
      <c r="AR578" s="15">
        <v>12712</v>
      </c>
      <c r="AS578" s="18">
        <f t="shared" si="282"/>
        <v>1574958</v>
      </c>
      <c r="AT578" s="19">
        <v>0</v>
      </c>
      <c r="AU578" s="8">
        <v>8800</v>
      </c>
      <c r="AV578" s="13">
        <f t="shared" si="283"/>
        <v>4366736</v>
      </c>
      <c r="AW578" s="18">
        <f t="shared" si="284"/>
        <v>11196167</v>
      </c>
      <c r="AX578" s="15">
        <f t="shared" si="278"/>
        <v>11197000</v>
      </c>
      <c r="AY578" s="20">
        <v>0.06</v>
      </c>
      <c r="AZ578" s="13">
        <f t="shared" si="279"/>
        <v>671820</v>
      </c>
      <c r="BA578" s="15">
        <f t="shared" si="280"/>
        <v>671900</v>
      </c>
      <c r="BB578" s="21">
        <f t="shared" si="285"/>
        <v>2246858</v>
      </c>
      <c r="BC578" s="10">
        <f t="shared" si="286"/>
        <v>0</v>
      </c>
      <c r="BD578" s="10">
        <f t="shared" si="287"/>
        <v>0</v>
      </c>
      <c r="BE578" s="10">
        <v>100.08</v>
      </c>
      <c r="BF578" s="10">
        <v>46.1</v>
      </c>
      <c r="BG578" s="107">
        <v>46176</v>
      </c>
      <c r="BH578" s="107">
        <f t="shared" si="261"/>
        <v>46206</v>
      </c>
      <c r="BI578" s="23">
        <v>6</v>
      </c>
      <c r="BJ578" s="6"/>
      <c r="BK578" s="6"/>
      <c r="BL578" s="6">
        <f>VLOOKUP(A578,[2]Sheet1!$D$2:$H$933,5,0)</f>
        <v>0</v>
      </c>
      <c r="BM578" s="6" t="s">
        <v>3828</v>
      </c>
      <c r="BN578" s="6" t="s">
        <v>3829</v>
      </c>
      <c r="BO578" s="6" t="s">
        <v>3820</v>
      </c>
      <c r="BP578" s="6" t="s">
        <v>3821</v>
      </c>
      <c r="BQ578" s="6" t="s">
        <v>3830</v>
      </c>
      <c r="BR578" t="s">
        <v>3823</v>
      </c>
      <c r="BS578" t="s">
        <v>3824</v>
      </c>
      <c r="BT578" t="s">
        <v>3825</v>
      </c>
      <c r="BU578" t="s">
        <v>3826</v>
      </c>
      <c r="BV578" t="s">
        <v>3827</v>
      </c>
      <c r="BW578" t="s">
        <v>3835</v>
      </c>
      <c r="BX578">
        <v>0</v>
      </c>
      <c r="BY578" t="s">
        <v>3870</v>
      </c>
      <c r="BZ578" t="s">
        <v>3860</v>
      </c>
    </row>
    <row r="579" spans="1:78" x14ac:dyDescent="0.25">
      <c r="A579" s="7" t="s">
        <v>2388</v>
      </c>
      <c r="B579" s="7" t="s">
        <v>181</v>
      </c>
      <c r="C579" s="7" t="s">
        <v>2386</v>
      </c>
      <c r="D579" s="8" t="s">
        <v>2387</v>
      </c>
      <c r="E579" s="7" t="s">
        <v>2389</v>
      </c>
      <c r="F579" s="9">
        <v>44985</v>
      </c>
      <c r="G579" s="9" t="s">
        <v>717</v>
      </c>
      <c r="H579" s="9" t="s">
        <v>92</v>
      </c>
      <c r="I579" s="8" t="s">
        <v>78</v>
      </c>
      <c r="J579" s="10">
        <v>596.33000000000004</v>
      </c>
      <c r="K579" s="10">
        <v>674</v>
      </c>
      <c r="L579" s="10">
        <f t="shared" si="263"/>
        <v>77.669999999999959</v>
      </c>
      <c r="M579" s="10">
        <v>266.95</v>
      </c>
      <c r="N579" s="10">
        <v>302</v>
      </c>
      <c r="O579" s="10">
        <f t="shared" si="264"/>
        <v>35.050000000000011</v>
      </c>
      <c r="P579" s="11">
        <v>11500</v>
      </c>
      <c r="Q579" s="11">
        <v>25689.436224011988</v>
      </c>
      <c r="R579" s="11">
        <v>28000</v>
      </c>
      <c r="S579" s="11">
        <v>6857795</v>
      </c>
      <c r="T579" s="11">
        <v>822938</v>
      </c>
      <c r="U579" s="12">
        <f t="shared" si="265"/>
        <v>0.12000037913060976</v>
      </c>
      <c r="V579" s="13">
        <f>L579*R579</f>
        <v>2174759.9999999991</v>
      </c>
      <c r="W579" s="10">
        <f t="shared" si="266"/>
        <v>260972.02451808477</v>
      </c>
      <c r="X579" s="15"/>
      <c r="Y579" s="15"/>
      <c r="Z579" s="11">
        <f t="shared" si="267"/>
        <v>9032555</v>
      </c>
      <c r="AA579" s="14"/>
      <c r="AB579" s="14"/>
      <c r="AC579" s="11">
        <f t="shared" si="268"/>
        <v>9032555</v>
      </c>
      <c r="AD579" s="10">
        <f t="shared" si="269"/>
        <v>300</v>
      </c>
      <c r="AE579" s="15">
        <v>80085</v>
      </c>
      <c r="AF579" s="16">
        <v>14416</v>
      </c>
      <c r="AG579" s="15">
        <f t="shared" si="270"/>
        <v>10515.000000000004</v>
      </c>
      <c r="AH579" s="15">
        <f t="shared" si="271"/>
        <v>1892.7000000000005</v>
      </c>
      <c r="AI579" s="15">
        <f t="shared" si="272"/>
        <v>90600</v>
      </c>
      <c r="AJ579" s="15">
        <f t="shared" si="273"/>
        <v>16308</v>
      </c>
      <c r="AK579" s="10">
        <v>80085</v>
      </c>
      <c r="AL579" s="15">
        <f t="shared" si="274"/>
        <v>90600</v>
      </c>
      <c r="AM579" s="15">
        <f t="shared" si="275"/>
        <v>9123155</v>
      </c>
      <c r="AN579" s="15">
        <f t="shared" si="276"/>
        <v>1100219</v>
      </c>
      <c r="AO579" s="15">
        <f t="shared" si="281"/>
        <v>1202609</v>
      </c>
      <c r="AP579" s="17">
        <f t="shared" si="277"/>
        <v>10325764</v>
      </c>
      <c r="AQ579" s="15">
        <v>3073941.45</v>
      </c>
      <c r="AR579" s="15">
        <v>11790</v>
      </c>
      <c r="AS579" s="18">
        <f t="shared" si="282"/>
        <v>7251823</v>
      </c>
      <c r="AT579" s="19">
        <v>7435451</v>
      </c>
      <c r="AU579" s="8">
        <v>8800</v>
      </c>
      <c r="AV579" s="13">
        <f t="shared" si="283"/>
        <v>2657600</v>
      </c>
      <c r="AW579" s="18">
        <f t="shared" si="284"/>
        <v>9123155</v>
      </c>
      <c r="AX579" s="15">
        <f t="shared" si="278"/>
        <v>9124000</v>
      </c>
      <c r="AY579" s="20">
        <v>0.06</v>
      </c>
      <c r="AZ579" s="13">
        <f t="shared" si="279"/>
        <v>547440</v>
      </c>
      <c r="BA579" s="15">
        <f t="shared" si="280"/>
        <v>547500</v>
      </c>
      <c r="BB579" s="21">
        <f t="shared" si="285"/>
        <v>7799323</v>
      </c>
      <c r="BC579" s="10">
        <f t="shared" si="286"/>
        <v>13.024667549846553</v>
      </c>
      <c r="BD579" s="10">
        <f t="shared" si="287"/>
        <v>13.129799587937821</v>
      </c>
      <c r="BE579" s="10">
        <v>62.62</v>
      </c>
      <c r="BF579" s="10">
        <v>28.06</v>
      </c>
      <c r="BG579" s="107">
        <v>46176</v>
      </c>
      <c r="BH579" s="107">
        <f t="shared" si="261"/>
        <v>46206</v>
      </c>
      <c r="BI579" s="23">
        <v>6</v>
      </c>
      <c r="BJ579" s="6"/>
      <c r="BK579" s="64"/>
      <c r="BL579" s="6">
        <f>VLOOKUP(A579,[2]Sheet1!$D$2:$H$933,5,0)</f>
        <v>0</v>
      </c>
      <c r="BM579" s="6" t="s">
        <v>3828</v>
      </c>
      <c r="BN579" s="6" t="s">
        <v>3829</v>
      </c>
      <c r="BO579" s="6" t="s">
        <v>3820</v>
      </c>
      <c r="BP579" s="6" t="s">
        <v>3821</v>
      </c>
      <c r="BQ579" s="6" t="s">
        <v>3830</v>
      </c>
      <c r="BR579" t="s">
        <v>3823</v>
      </c>
      <c r="BS579" t="s">
        <v>3824</v>
      </c>
      <c r="BT579" t="s">
        <v>3825</v>
      </c>
      <c r="BU579" t="s">
        <v>3826</v>
      </c>
      <c r="BV579" t="s">
        <v>3827</v>
      </c>
      <c r="BW579" t="s">
        <v>3835</v>
      </c>
      <c r="BX579">
        <v>0</v>
      </c>
      <c r="BY579" t="s">
        <v>3861</v>
      </c>
      <c r="BZ579" t="s">
        <v>3872</v>
      </c>
    </row>
    <row r="580" spans="1:78" x14ac:dyDescent="0.25">
      <c r="A580" s="7" t="s">
        <v>2392</v>
      </c>
      <c r="B580" s="7" t="s">
        <v>181</v>
      </c>
      <c r="C580" s="7" t="s">
        <v>2390</v>
      </c>
      <c r="D580" s="8" t="s">
        <v>2391</v>
      </c>
      <c r="E580" s="7" t="s">
        <v>2393</v>
      </c>
      <c r="F580" s="9">
        <v>45036</v>
      </c>
      <c r="G580" s="9" t="s">
        <v>65</v>
      </c>
      <c r="H580" s="9" t="s">
        <v>66</v>
      </c>
      <c r="I580" s="8" t="s">
        <v>78</v>
      </c>
      <c r="J580" s="10">
        <v>795.46</v>
      </c>
      <c r="K580" s="10">
        <v>795.46</v>
      </c>
      <c r="L580" s="10">
        <f t="shared" si="263"/>
        <v>0</v>
      </c>
      <c r="M580" s="10">
        <v>364.9</v>
      </c>
      <c r="N580" s="10">
        <v>364.9</v>
      </c>
      <c r="O580" s="10">
        <f t="shared" si="264"/>
        <v>0</v>
      </c>
      <c r="P580" s="11">
        <v>16500</v>
      </c>
      <c r="Q580" s="11">
        <v>35969.005206906004</v>
      </c>
      <c r="R580" s="11">
        <v>22000</v>
      </c>
      <c r="S580" s="11">
        <v>13125090</v>
      </c>
      <c r="T580" s="11">
        <v>1575014</v>
      </c>
      <c r="U580" s="12">
        <f t="shared" si="265"/>
        <v>0.12000024380785199</v>
      </c>
      <c r="V580" s="13">
        <f t="shared" ref="V580:V597" si="288">L580*P580</f>
        <v>0</v>
      </c>
      <c r="W580" s="10">
        <f t="shared" si="266"/>
        <v>0</v>
      </c>
      <c r="X580" s="10"/>
      <c r="Y580" s="10"/>
      <c r="Z580" s="11">
        <f t="shared" si="267"/>
        <v>13125090</v>
      </c>
      <c r="AA580" s="14"/>
      <c r="AB580" s="14"/>
      <c r="AC580" s="11">
        <f t="shared" si="268"/>
        <v>13125090</v>
      </c>
      <c r="AD580" s="10">
        <f t="shared" si="269"/>
        <v>300</v>
      </c>
      <c r="AE580" s="15">
        <v>109470</v>
      </c>
      <c r="AF580" s="16">
        <v>19704</v>
      </c>
      <c r="AG580" s="15">
        <f t="shared" si="270"/>
        <v>0</v>
      </c>
      <c r="AH580" s="15">
        <f t="shared" si="271"/>
        <v>0</v>
      </c>
      <c r="AI580" s="15">
        <f t="shared" si="272"/>
        <v>109470</v>
      </c>
      <c r="AJ580" s="15">
        <f t="shared" si="273"/>
        <v>19705</v>
      </c>
      <c r="AK580" s="10">
        <v>109470</v>
      </c>
      <c r="AL580" s="15">
        <f t="shared" si="274"/>
        <v>109470</v>
      </c>
      <c r="AM580" s="15">
        <f t="shared" si="275"/>
        <v>13234560</v>
      </c>
      <c r="AN580" s="15">
        <f t="shared" si="276"/>
        <v>1594719</v>
      </c>
      <c r="AO580" s="15">
        <f t="shared" si="281"/>
        <v>1723530</v>
      </c>
      <c r="AP580" s="17">
        <f t="shared" si="277"/>
        <v>14958090</v>
      </c>
      <c r="AQ580" s="15">
        <v>9339288.3200000003</v>
      </c>
      <c r="AR580" s="15">
        <v>19341</v>
      </c>
      <c r="AS580" s="18">
        <f t="shared" si="282"/>
        <v>5618802</v>
      </c>
      <c r="AT580" s="19">
        <v>0</v>
      </c>
      <c r="AU580" s="8">
        <v>8800</v>
      </c>
      <c r="AV580" s="13">
        <f t="shared" si="283"/>
        <v>3211120</v>
      </c>
      <c r="AW580" s="18">
        <f t="shared" si="284"/>
        <v>13234560</v>
      </c>
      <c r="AX580" s="15">
        <f t="shared" si="278"/>
        <v>13235000</v>
      </c>
      <c r="AY580" s="20">
        <v>7.0000000000000007E-2</v>
      </c>
      <c r="AZ580" s="13">
        <f t="shared" si="279"/>
        <v>926450.00000000012</v>
      </c>
      <c r="BA580" s="15">
        <f t="shared" si="280"/>
        <v>926500</v>
      </c>
      <c r="BB580" s="21">
        <f t="shared" si="285"/>
        <v>6545302</v>
      </c>
      <c r="BC580" s="10">
        <f t="shared" si="286"/>
        <v>0</v>
      </c>
      <c r="BD580" s="10">
        <f t="shared" si="287"/>
        <v>0</v>
      </c>
      <c r="BE580" s="10">
        <v>73.900000000000006</v>
      </c>
      <c r="BF580" s="10">
        <v>33.9</v>
      </c>
      <c r="BG580" s="107">
        <v>46176</v>
      </c>
      <c r="BH580" s="107">
        <f t="shared" si="261"/>
        <v>46206</v>
      </c>
      <c r="BI580" s="23">
        <v>7</v>
      </c>
      <c r="BJ580" s="6"/>
      <c r="BK580" s="6"/>
      <c r="BL580" s="6">
        <f>VLOOKUP(A580,[2]Sheet1!$D$2:$H$933,5,0)</f>
        <v>0</v>
      </c>
      <c r="BM580" s="6" t="s">
        <v>3828</v>
      </c>
      <c r="BN580" s="6" t="s">
        <v>3829</v>
      </c>
      <c r="BO580" s="6" t="s">
        <v>3820</v>
      </c>
      <c r="BP580" s="6" t="s">
        <v>3821</v>
      </c>
      <c r="BQ580" s="6" t="s">
        <v>3830</v>
      </c>
      <c r="BR580" t="s">
        <v>3823</v>
      </c>
      <c r="BS580" t="s">
        <v>3824</v>
      </c>
      <c r="BT580" t="s">
        <v>3825</v>
      </c>
      <c r="BU580" t="s">
        <v>3826</v>
      </c>
      <c r="BV580" t="s">
        <v>3827</v>
      </c>
      <c r="BW580" t="s">
        <v>3835</v>
      </c>
      <c r="BX580">
        <v>0</v>
      </c>
      <c r="BY580" t="s">
        <v>3859</v>
      </c>
      <c r="BZ580" t="s">
        <v>3860</v>
      </c>
    </row>
    <row r="581" spans="1:78" x14ac:dyDescent="0.25">
      <c r="A581" s="7" t="s">
        <v>2396</v>
      </c>
      <c r="B581" s="7" t="s">
        <v>181</v>
      </c>
      <c r="C581" s="7" t="s">
        <v>2394</v>
      </c>
      <c r="D581" s="8" t="s">
        <v>2395</v>
      </c>
      <c r="E581" s="7" t="s">
        <v>2117</v>
      </c>
      <c r="F581" s="9">
        <v>45006</v>
      </c>
      <c r="G581" s="9" t="s">
        <v>363</v>
      </c>
      <c r="H581" s="9" t="s">
        <v>87</v>
      </c>
      <c r="I581" s="8" t="s">
        <v>67</v>
      </c>
      <c r="J581" s="10">
        <v>220.06</v>
      </c>
      <c r="K581" s="10">
        <v>220.06</v>
      </c>
      <c r="L581" s="10">
        <f t="shared" si="263"/>
        <v>0</v>
      </c>
      <c r="M581" s="10">
        <v>88.26</v>
      </c>
      <c r="N581" s="10">
        <v>88.26</v>
      </c>
      <c r="O581" s="10">
        <f t="shared" si="264"/>
        <v>0</v>
      </c>
      <c r="P581" s="11">
        <v>20357.997818776697</v>
      </c>
      <c r="Q581" s="11">
        <v>50758.905506458192</v>
      </c>
      <c r="R581" s="11">
        <v>40000</v>
      </c>
      <c r="S581" s="11">
        <v>4479981</v>
      </c>
      <c r="T581" s="11">
        <v>537598</v>
      </c>
      <c r="U581" s="12">
        <f t="shared" si="265"/>
        <v>0.12000006250026507</v>
      </c>
      <c r="V581" s="13">
        <f t="shared" si="288"/>
        <v>0</v>
      </c>
      <c r="W581" s="10">
        <f t="shared" si="266"/>
        <v>0</v>
      </c>
      <c r="X581" s="10"/>
      <c r="Y581" s="10"/>
      <c r="Z581" s="11">
        <f t="shared" si="267"/>
        <v>4479981</v>
      </c>
      <c r="AA581" s="14"/>
      <c r="AB581" s="14"/>
      <c r="AC581" s="11">
        <f t="shared" si="268"/>
        <v>4479981</v>
      </c>
      <c r="AD581" s="10">
        <f t="shared" si="269"/>
        <v>300</v>
      </c>
      <c r="AE581" s="15">
        <v>26478</v>
      </c>
      <c r="AF581" s="16">
        <v>4766</v>
      </c>
      <c r="AG581" s="15">
        <f t="shared" si="270"/>
        <v>0</v>
      </c>
      <c r="AH581" s="15">
        <f t="shared" si="271"/>
        <v>0</v>
      </c>
      <c r="AI581" s="15">
        <f t="shared" si="272"/>
        <v>26478</v>
      </c>
      <c r="AJ581" s="15">
        <f t="shared" si="273"/>
        <v>4767</v>
      </c>
      <c r="AK581" s="10">
        <v>26478</v>
      </c>
      <c r="AL581" s="15">
        <f t="shared" si="274"/>
        <v>26478</v>
      </c>
      <c r="AM581" s="15">
        <f t="shared" si="275"/>
        <v>4506459</v>
      </c>
      <c r="AN581" s="15">
        <f t="shared" si="276"/>
        <v>542365</v>
      </c>
      <c r="AO581" s="15">
        <f t="shared" si="281"/>
        <v>585910</v>
      </c>
      <c r="AP581" s="17">
        <f t="shared" si="277"/>
        <v>5092369</v>
      </c>
      <c r="AQ581" s="15">
        <v>2007102</v>
      </c>
      <c r="AR581" s="15">
        <v>17067</v>
      </c>
      <c r="AS581" s="18">
        <f t="shared" si="282"/>
        <v>3085267</v>
      </c>
      <c r="AT581" s="19">
        <v>0</v>
      </c>
      <c r="AU581" s="8">
        <v>8800</v>
      </c>
      <c r="AV581" s="13">
        <f t="shared" si="283"/>
        <v>776688</v>
      </c>
      <c r="AW581" s="18">
        <f t="shared" si="284"/>
        <v>4506459</v>
      </c>
      <c r="AX581" s="15">
        <f t="shared" si="278"/>
        <v>4507000</v>
      </c>
      <c r="AY581" s="20">
        <v>7.0000000000000007E-2</v>
      </c>
      <c r="AZ581" s="13">
        <f t="shared" si="279"/>
        <v>315490.00000000006</v>
      </c>
      <c r="BA581" s="15">
        <f t="shared" si="280"/>
        <v>315500</v>
      </c>
      <c r="BB581" s="21">
        <f t="shared" si="285"/>
        <v>3400767</v>
      </c>
      <c r="BC581" s="10">
        <f t="shared" si="286"/>
        <v>0</v>
      </c>
      <c r="BD581" s="10">
        <f t="shared" si="287"/>
        <v>0</v>
      </c>
      <c r="BE581" s="10">
        <v>20.440000000000001</v>
      </c>
      <c r="BF581" s="10">
        <v>8.1999999999999993</v>
      </c>
      <c r="BG581" s="107">
        <v>46176</v>
      </c>
      <c r="BH581" s="107">
        <f t="shared" si="261"/>
        <v>46206</v>
      </c>
      <c r="BI581" s="23">
        <v>5</v>
      </c>
      <c r="BJ581" s="6"/>
      <c r="BK581" s="6"/>
      <c r="BL581" s="6">
        <f>VLOOKUP(A581,[2]Sheet1!$D$2:$H$933,5,0)</f>
        <v>0</v>
      </c>
      <c r="BM581" s="6" t="s">
        <v>3828</v>
      </c>
      <c r="BN581" s="6" t="s">
        <v>3829</v>
      </c>
      <c r="BO581" s="6" t="s">
        <v>3820</v>
      </c>
      <c r="BP581" s="6" t="s">
        <v>3821</v>
      </c>
      <c r="BQ581" s="6" t="s">
        <v>3830</v>
      </c>
      <c r="BR581" t="s">
        <v>3823</v>
      </c>
      <c r="BS581" t="s">
        <v>3824</v>
      </c>
      <c r="BT581" t="s">
        <v>3825</v>
      </c>
      <c r="BU581" t="s">
        <v>3826</v>
      </c>
      <c r="BV581" t="s">
        <v>3827</v>
      </c>
      <c r="BW581" t="s">
        <v>3835</v>
      </c>
      <c r="BX581">
        <v>0</v>
      </c>
      <c r="BY581" t="s">
        <v>3870</v>
      </c>
      <c r="BZ581" t="s">
        <v>3860</v>
      </c>
    </row>
    <row r="582" spans="1:78" x14ac:dyDescent="0.25">
      <c r="A582" s="7" t="s">
        <v>2399</v>
      </c>
      <c r="B582" s="7" t="s">
        <v>181</v>
      </c>
      <c r="C582" s="7" t="s">
        <v>2397</v>
      </c>
      <c r="D582" s="8" t="s">
        <v>2398</v>
      </c>
      <c r="E582" s="7" t="s">
        <v>2228</v>
      </c>
      <c r="F582" s="9">
        <v>44925</v>
      </c>
      <c r="G582" s="9" t="s">
        <v>527</v>
      </c>
      <c r="H582" s="9" t="s">
        <v>66</v>
      </c>
      <c r="I582" s="8" t="s">
        <v>67</v>
      </c>
      <c r="J582" s="10">
        <v>270.3</v>
      </c>
      <c r="K582" s="10">
        <v>270.3</v>
      </c>
      <c r="L582" s="10">
        <f t="shared" si="263"/>
        <v>0</v>
      </c>
      <c r="M582" s="10">
        <v>107.64</v>
      </c>
      <c r="N582" s="10">
        <v>107.64</v>
      </c>
      <c r="O582" s="10">
        <f t="shared" si="264"/>
        <v>0</v>
      </c>
      <c r="P582" s="11">
        <v>22244.369219385866</v>
      </c>
      <c r="Q582" s="11">
        <v>55858.909327387591</v>
      </c>
      <c r="R582" s="11">
        <v>22000</v>
      </c>
      <c r="S582" s="11">
        <v>6012653</v>
      </c>
      <c r="T582" s="11">
        <v>721520</v>
      </c>
      <c r="U582" s="12">
        <f t="shared" si="265"/>
        <v>0.1200002727581319</v>
      </c>
      <c r="V582" s="13">
        <f t="shared" si="288"/>
        <v>0</v>
      </c>
      <c r="W582" s="10">
        <f t="shared" si="266"/>
        <v>0</v>
      </c>
      <c r="X582" s="10"/>
      <c r="Y582" s="10"/>
      <c r="Z582" s="11">
        <f t="shared" si="267"/>
        <v>6012653</v>
      </c>
      <c r="AA582" s="14"/>
      <c r="AB582" s="14"/>
      <c r="AC582" s="11">
        <f t="shared" si="268"/>
        <v>6012653</v>
      </c>
      <c r="AD582" s="10">
        <f t="shared" si="269"/>
        <v>300</v>
      </c>
      <c r="AE582" s="15">
        <v>32292</v>
      </c>
      <c r="AF582" s="16">
        <v>5812</v>
      </c>
      <c r="AG582" s="15">
        <f t="shared" si="270"/>
        <v>0</v>
      </c>
      <c r="AH582" s="15">
        <f t="shared" si="271"/>
        <v>0</v>
      </c>
      <c r="AI582" s="15">
        <f t="shared" si="272"/>
        <v>32292</v>
      </c>
      <c r="AJ582" s="15">
        <f t="shared" si="273"/>
        <v>5813</v>
      </c>
      <c r="AK582" s="10">
        <v>32292</v>
      </c>
      <c r="AL582" s="15">
        <f t="shared" si="274"/>
        <v>32292</v>
      </c>
      <c r="AM582" s="15">
        <f t="shared" si="275"/>
        <v>6044945</v>
      </c>
      <c r="AN582" s="15">
        <f t="shared" si="276"/>
        <v>727333</v>
      </c>
      <c r="AO582" s="15">
        <f t="shared" si="281"/>
        <v>776212</v>
      </c>
      <c r="AP582" s="17">
        <f t="shared" si="277"/>
        <v>6821157</v>
      </c>
      <c r="AQ582" s="15">
        <v>2693669</v>
      </c>
      <c r="AR582" s="15">
        <v>16587</v>
      </c>
      <c r="AS582" s="18">
        <f t="shared" si="282"/>
        <v>4127488</v>
      </c>
      <c r="AT582" s="19">
        <v>0</v>
      </c>
      <c r="AU582" s="8">
        <v>8800</v>
      </c>
      <c r="AV582" s="13">
        <f t="shared" si="283"/>
        <v>947232</v>
      </c>
      <c r="AW582" s="18">
        <f t="shared" si="284"/>
        <v>6044945</v>
      </c>
      <c r="AX582" s="15">
        <f t="shared" si="278"/>
        <v>6045000</v>
      </c>
      <c r="AY582" s="20">
        <v>0.06</v>
      </c>
      <c r="AZ582" s="13">
        <f t="shared" si="279"/>
        <v>362700</v>
      </c>
      <c r="BA582" s="15">
        <f t="shared" si="280"/>
        <v>362700</v>
      </c>
      <c r="BB582" s="21">
        <f t="shared" si="285"/>
        <v>4490188</v>
      </c>
      <c r="BC582" s="10">
        <f t="shared" si="286"/>
        <v>0</v>
      </c>
      <c r="BD582" s="10">
        <f t="shared" si="287"/>
        <v>0</v>
      </c>
      <c r="BE582" s="10">
        <v>25.11</v>
      </c>
      <c r="BF582" s="10">
        <v>10</v>
      </c>
      <c r="BG582" s="107">
        <v>46176</v>
      </c>
      <c r="BH582" s="107">
        <f t="shared" si="261"/>
        <v>46206</v>
      </c>
      <c r="BI582" s="23">
        <v>6</v>
      </c>
      <c r="BJ582" s="6"/>
      <c r="BK582" s="6"/>
      <c r="BL582" s="6">
        <f>VLOOKUP(A582,[2]Sheet1!$D$2:$H$933,5,0)</f>
        <v>0</v>
      </c>
      <c r="BM582" s="6" t="s">
        <v>3828</v>
      </c>
      <c r="BN582" s="6" t="s">
        <v>3829</v>
      </c>
      <c r="BO582" s="6" t="s">
        <v>3820</v>
      </c>
      <c r="BP582" s="6" t="s">
        <v>3821</v>
      </c>
      <c r="BQ582" s="6" t="s">
        <v>3830</v>
      </c>
      <c r="BR582" t="s">
        <v>3823</v>
      </c>
      <c r="BS582" t="s">
        <v>3824</v>
      </c>
      <c r="BT582" t="s">
        <v>3825</v>
      </c>
      <c r="BU582" t="s">
        <v>3826</v>
      </c>
      <c r="BV582" t="s">
        <v>3827</v>
      </c>
      <c r="BW582" t="s">
        <v>3835</v>
      </c>
      <c r="BX582">
        <v>0</v>
      </c>
      <c r="BY582" t="s">
        <v>3869</v>
      </c>
      <c r="BZ582" t="s">
        <v>3871</v>
      </c>
    </row>
    <row r="583" spans="1:78" x14ac:dyDescent="0.25">
      <c r="A583" s="7" t="s">
        <v>2402</v>
      </c>
      <c r="B583" s="7" t="s">
        <v>181</v>
      </c>
      <c r="C583" s="7" t="s">
        <v>2400</v>
      </c>
      <c r="D583" s="8" t="s">
        <v>2401</v>
      </c>
      <c r="E583" s="7" t="s">
        <v>2403</v>
      </c>
      <c r="F583" s="9">
        <v>45336</v>
      </c>
      <c r="G583" s="9" t="s">
        <v>363</v>
      </c>
      <c r="H583" s="9" t="s">
        <v>87</v>
      </c>
      <c r="I583" s="8" t="s">
        <v>67</v>
      </c>
      <c r="J583" s="10">
        <v>220.06</v>
      </c>
      <c r="K583" s="10">
        <v>220.06</v>
      </c>
      <c r="L583" s="10">
        <f t="shared" si="263"/>
        <v>0</v>
      </c>
      <c r="M583" s="10">
        <v>88.26</v>
      </c>
      <c r="N583" s="10">
        <v>88.26</v>
      </c>
      <c r="O583" s="10">
        <f t="shared" si="264"/>
        <v>0</v>
      </c>
      <c r="P583" s="11">
        <v>20612.001272380261</v>
      </c>
      <c r="Q583" s="11">
        <v>51392.216179469746</v>
      </c>
      <c r="R583" s="11">
        <v>40000</v>
      </c>
      <c r="S583" s="11">
        <v>4535877</v>
      </c>
      <c r="T583" s="11">
        <v>544306</v>
      </c>
      <c r="U583" s="12">
        <f t="shared" si="265"/>
        <v>0.12000016755304432</v>
      </c>
      <c r="V583" s="13">
        <f t="shared" si="288"/>
        <v>0</v>
      </c>
      <c r="W583" s="10">
        <f t="shared" si="266"/>
        <v>0</v>
      </c>
      <c r="X583" s="10"/>
      <c r="Y583" s="10"/>
      <c r="Z583" s="11">
        <f t="shared" si="267"/>
        <v>4535877</v>
      </c>
      <c r="AA583" s="14"/>
      <c r="AB583" s="14"/>
      <c r="AC583" s="11">
        <f t="shared" si="268"/>
        <v>4535877</v>
      </c>
      <c r="AD583" s="10">
        <f t="shared" si="269"/>
        <v>300</v>
      </c>
      <c r="AE583" s="15">
        <v>26478</v>
      </c>
      <c r="AF583" s="16">
        <v>4766</v>
      </c>
      <c r="AG583" s="15">
        <f t="shared" si="270"/>
        <v>0</v>
      </c>
      <c r="AH583" s="15">
        <f t="shared" si="271"/>
        <v>0</v>
      </c>
      <c r="AI583" s="15">
        <f t="shared" si="272"/>
        <v>26478</v>
      </c>
      <c r="AJ583" s="15">
        <f t="shared" si="273"/>
        <v>4767</v>
      </c>
      <c r="AK583" s="10">
        <v>26478</v>
      </c>
      <c r="AL583" s="15">
        <f t="shared" si="274"/>
        <v>26478</v>
      </c>
      <c r="AM583" s="15">
        <f t="shared" si="275"/>
        <v>4562355</v>
      </c>
      <c r="AN583" s="15">
        <f t="shared" si="276"/>
        <v>549073</v>
      </c>
      <c r="AO583" s="15">
        <f t="shared" si="281"/>
        <v>593891</v>
      </c>
      <c r="AP583" s="17">
        <f t="shared" si="277"/>
        <v>5156246</v>
      </c>
      <c r="AQ583" s="15">
        <v>1420037.9</v>
      </c>
      <c r="AR583" s="15">
        <v>18340</v>
      </c>
      <c r="AS583" s="18">
        <f t="shared" si="282"/>
        <v>3736208</v>
      </c>
      <c r="AT583" s="19">
        <v>0</v>
      </c>
      <c r="AU583" s="8">
        <v>8800</v>
      </c>
      <c r="AV583" s="13">
        <f t="shared" si="283"/>
        <v>776688</v>
      </c>
      <c r="AW583" s="18">
        <f t="shared" si="284"/>
        <v>4562355</v>
      </c>
      <c r="AX583" s="15">
        <f t="shared" si="278"/>
        <v>4563000</v>
      </c>
      <c r="AY583" s="20">
        <v>0.05</v>
      </c>
      <c r="AZ583" s="13">
        <f t="shared" si="279"/>
        <v>228150</v>
      </c>
      <c r="BA583" s="15">
        <f t="shared" si="280"/>
        <v>228200</v>
      </c>
      <c r="BB583" s="21">
        <f t="shared" si="285"/>
        <v>3964408</v>
      </c>
      <c r="BC583" s="10">
        <f t="shared" si="286"/>
        <v>0</v>
      </c>
      <c r="BD583" s="10">
        <f t="shared" si="287"/>
        <v>0</v>
      </c>
      <c r="BE583" s="10">
        <v>20.440000000000001</v>
      </c>
      <c r="BF583" s="10">
        <v>8.1999999999999993</v>
      </c>
      <c r="BG583" s="107">
        <v>46176</v>
      </c>
      <c r="BH583" s="107">
        <f t="shared" si="261"/>
        <v>46206</v>
      </c>
      <c r="BI583" s="23">
        <v>5</v>
      </c>
      <c r="BJ583" s="6"/>
      <c r="BK583" s="6"/>
      <c r="BL583" s="6">
        <f>VLOOKUP(A583,[2]Sheet1!$D$2:$H$933,5,0)</f>
        <v>0</v>
      </c>
      <c r="BM583" s="6" t="s">
        <v>3828</v>
      </c>
      <c r="BN583" s="6" t="s">
        <v>3829</v>
      </c>
      <c r="BO583" s="6" t="s">
        <v>3820</v>
      </c>
      <c r="BP583" s="6" t="s">
        <v>3821</v>
      </c>
      <c r="BQ583" s="6" t="s">
        <v>3830</v>
      </c>
      <c r="BR583" t="s">
        <v>3823</v>
      </c>
      <c r="BS583" t="s">
        <v>3824</v>
      </c>
      <c r="BT583" t="s">
        <v>3825</v>
      </c>
      <c r="BU583" t="s">
        <v>3826</v>
      </c>
      <c r="BV583" t="s">
        <v>3827</v>
      </c>
      <c r="BW583" t="s">
        <v>3835</v>
      </c>
      <c r="BX583">
        <v>0</v>
      </c>
      <c r="BY583" t="s">
        <v>3865</v>
      </c>
      <c r="BZ583" t="s">
        <v>3860</v>
      </c>
    </row>
    <row r="584" spans="1:78" x14ac:dyDescent="0.25">
      <c r="A584" s="7" t="s">
        <v>2406</v>
      </c>
      <c r="B584" s="7" t="s">
        <v>181</v>
      </c>
      <c r="C584" s="7" t="s">
        <v>2404</v>
      </c>
      <c r="D584" s="8" t="s">
        <v>2405</v>
      </c>
      <c r="E584" s="7" t="s">
        <v>2407</v>
      </c>
      <c r="F584" s="9">
        <v>45008</v>
      </c>
      <c r="G584" s="9" t="s">
        <v>65</v>
      </c>
      <c r="H584" s="9" t="s">
        <v>66</v>
      </c>
      <c r="I584" s="8" t="s">
        <v>67</v>
      </c>
      <c r="J584" s="10">
        <v>484.38</v>
      </c>
      <c r="K584" s="10">
        <v>484.38</v>
      </c>
      <c r="L584" s="10">
        <f t="shared" si="263"/>
        <v>0</v>
      </c>
      <c r="M584" s="10">
        <v>201.83</v>
      </c>
      <c r="N584" s="10">
        <v>201.83</v>
      </c>
      <c r="O584" s="10">
        <f t="shared" si="264"/>
        <v>0</v>
      </c>
      <c r="P584" s="11">
        <v>14920.500433543912</v>
      </c>
      <c r="Q584" s="11">
        <v>35808.313927562798</v>
      </c>
      <c r="R584" s="11">
        <v>22000</v>
      </c>
      <c r="S584" s="11">
        <v>7227192</v>
      </c>
      <c r="T584" s="11">
        <v>867262</v>
      </c>
      <c r="U584" s="12">
        <f t="shared" si="265"/>
        <v>0.11999985609902158</v>
      </c>
      <c r="V584" s="13">
        <f t="shared" si="288"/>
        <v>0</v>
      </c>
      <c r="W584" s="10">
        <f t="shared" si="266"/>
        <v>0</v>
      </c>
      <c r="X584" s="10"/>
      <c r="Y584" s="10"/>
      <c r="Z584" s="11">
        <f t="shared" si="267"/>
        <v>7227192</v>
      </c>
      <c r="AA584" s="14"/>
      <c r="AB584" s="14"/>
      <c r="AC584" s="11">
        <f t="shared" si="268"/>
        <v>7227192</v>
      </c>
      <c r="AD584" s="10">
        <f t="shared" si="269"/>
        <v>300</v>
      </c>
      <c r="AE584" s="15">
        <v>60549</v>
      </c>
      <c r="AF584" s="16">
        <v>10898</v>
      </c>
      <c r="AG584" s="15">
        <f t="shared" si="270"/>
        <v>0</v>
      </c>
      <c r="AH584" s="15">
        <f t="shared" si="271"/>
        <v>0</v>
      </c>
      <c r="AI584" s="15">
        <f t="shared" si="272"/>
        <v>60549.000000000007</v>
      </c>
      <c r="AJ584" s="15">
        <f t="shared" si="273"/>
        <v>10899</v>
      </c>
      <c r="AK584" s="10">
        <v>60549</v>
      </c>
      <c r="AL584" s="15">
        <f t="shared" si="274"/>
        <v>60549.000000000007</v>
      </c>
      <c r="AM584" s="15">
        <f t="shared" si="275"/>
        <v>7287741</v>
      </c>
      <c r="AN584" s="15">
        <f t="shared" si="276"/>
        <v>878161</v>
      </c>
      <c r="AO584" s="15">
        <f t="shared" si="281"/>
        <v>958206</v>
      </c>
      <c r="AP584" s="17">
        <f t="shared" si="277"/>
        <v>8245947</v>
      </c>
      <c r="AQ584" s="15">
        <v>3442469</v>
      </c>
      <c r="AR584" s="15">
        <v>19496</v>
      </c>
      <c r="AS584" s="18">
        <f t="shared" si="282"/>
        <v>4803478</v>
      </c>
      <c r="AT584" s="19">
        <v>0</v>
      </c>
      <c r="AU584" s="8">
        <v>8800</v>
      </c>
      <c r="AV584" s="13">
        <f t="shared" si="283"/>
        <v>1776104</v>
      </c>
      <c r="AW584" s="18">
        <f t="shared" si="284"/>
        <v>7287741</v>
      </c>
      <c r="AX584" s="15">
        <f t="shared" si="278"/>
        <v>7288000</v>
      </c>
      <c r="AY584" s="20">
        <v>0.06</v>
      </c>
      <c r="AZ584" s="13">
        <f t="shared" si="279"/>
        <v>437280</v>
      </c>
      <c r="BA584" s="15">
        <f t="shared" si="280"/>
        <v>437300</v>
      </c>
      <c r="BB584" s="21">
        <f t="shared" si="285"/>
        <v>5240778</v>
      </c>
      <c r="BC584" s="10">
        <f t="shared" si="286"/>
        <v>0</v>
      </c>
      <c r="BD584" s="10">
        <f t="shared" si="287"/>
        <v>0</v>
      </c>
      <c r="BE584" s="10">
        <v>45</v>
      </c>
      <c r="BF584" s="10">
        <v>18.75</v>
      </c>
      <c r="BG584" s="107">
        <v>46176</v>
      </c>
      <c r="BH584" s="107">
        <f t="shared" si="261"/>
        <v>46206</v>
      </c>
      <c r="BI584" s="23">
        <v>6</v>
      </c>
      <c r="BJ584" s="6"/>
      <c r="BK584" s="6"/>
      <c r="BL584" s="6">
        <f>VLOOKUP(A584,[2]Sheet1!$D$2:$H$933,5,0)</f>
        <v>0</v>
      </c>
      <c r="BM584" s="6" t="s">
        <v>3828</v>
      </c>
      <c r="BN584" s="6" t="s">
        <v>3829</v>
      </c>
      <c r="BO584" s="6" t="s">
        <v>3820</v>
      </c>
      <c r="BP584" s="6" t="s">
        <v>3821</v>
      </c>
      <c r="BQ584" s="6" t="s">
        <v>3830</v>
      </c>
      <c r="BR584" t="s">
        <v>3823</v>
      </c>
      <c r="BS584" t="s">
        <v>3824</v>
      </c>
      <c r="BT584" t="s">
        <v>3825</v>
      </c>
      <c r="BU584" t="s">
        <v>3826</v>
      </c>
      <c r="BV584" t="s">
        <v>3827</v>
      </c>
      <c r="BW584" t="s">
        <v>3835</v>
      </c>
      <c r="BX584">
        <v>0</v>
      </c>
      <c r="BY584" t="s">
        <v>3870</v>
      </c>
      <c r="BZ584" t="s">
        <v>3860</v>
      </c>
    </row>
    <row r="585" spans="1:78" x14ac:dyDescent="0.25">
      <c r="A585" s="7" t="s">
        <v>2410</v>
      </c>
      <c r="B585" s="7" t="s">
        <v>181</v>
      </c>
      <c r="C585" s="7" t="s">
        <v>2408</v>
      </c>
      <c r="D585" s="8" t="s">
        <v>2409</v>
      </c>
      <c r="E585" s="7" t="s">
        <v>2411</v>
      </c>
      <c r="F585" s="9">
        <v>45097</v>
      </c>
      <c r="G585" s="9" t="s">
        <v>363</v>
      </c>
      <c r="H585" s="9" t="s">
        <v>87</v>
      </c>
      <c r="I585" s="8" t="s">
        <v>67</v>
      </c>
      <c r="J585" s="10">
        <v>344.45</v>
      </c>
      <c r="K585" s="10">
        <v>344.45</v>
      </c>
      <c r="L585" s="10">
        <f t="shared" si="263"/>
        <v>0</v>
      </c>
      <c r="M585" s="10">
        <v>137.24</v>
      </c>
      <c r="N585" s="10">
        <v>137.24</v>
      </c>
      <c r="O585" s="10">
        <f t="shared" si="264"/>
        <v>0</v>
      </c>
      <c r="P585" s="11">
        <v>17273.999129046308</v>
      </c>
      <c r="Q585" s="11">
        <v>43354.918391139603</v>
      </c>
      <c r="R585" s="11">
        <v>40000</v>
      </c>
      <c r="S585" s="11">
        <v>5950029</v>
      </c>
      <c r="T585" s="11">
        <v>714004</v>
      </c>
      <c r="U585" s="12">
        <f t="shared" si="265"/>
        <v>0.12000008739453202</v>
      </c>
      <c r="V585" s="13">
        <f t="shared" si="288"/>
        <v>0</v>
      </c>
      <c r="W585" s="10">
        <f t="shared" si="266"/>
        <v>0</v>
      </c>
      <c r="X585" s="10"/>
      <c r="Y585" s="10"/>
      <c r="Z585" s="11">
        <f t="shared" si="267"/>
        <v>5950029</v>
      </c>
      <c r="AA585" s="14"/>
      <c r="AB585" s="14"/>
      <c r="AC585" s="11">
        <f t="shared" si="268"/>
        <v>5950029</v>
      </c>
      <c r="AD585" s="10">
        <f t="shared" si="269"/>
        <v>300</v>
      </c>
      <c r="AE585" s="15">
        <v>41172</v>
      </c>
      <c r="AF585" s="16">
        <v>7410</v>
      </c>
      <c r="AG585" s="15">
        <f t="shared" si="270"/>
        <v>0</v>
      </c>
      <c r="AH585" s="15">
        <f t="shared" si="271"/>
        <v>0</v>
      </c>
      <c r="AI585" s="15">
        <f t="shared" si="272"/>
        <v>41172</v>
      </c>
      <c r="AJ585" s="15">
        <f t="shared" si="273"/>
        <v>7411</v>
      </c>
      <c r="AK585" s="10">
        <v>41172</v>
      </c>
      <c r="AL585" s="15">
        <f t="shared" si="274"/>
        <v>41172</v>
      </c>
      <c r="AM585" s="15">
        <f t="shared" si="275"/>
        <v>5991201</v>
      </c>
      <c r="AN585" s="15">
        <f t="shared" si="276"/>
        <v>721415</v>
      </c>
      <c r="AO585" s="15">
        <f t="shared" si="281"/>
        <v>771416</v>
      </c>
      <c r="AP585" s="17">
        <f t="shared" si="277"/>
        <v>6762617</v>
      </c>
      <c r="AQ585" s="15">
        <v>5332767</v>
      </c>
      <c r="AR585" s="15">
        <v>8829</v>
      </c>
      <c r="AS585" s="18">
        <f t="shared" si="282"/>
        <v>1429850</v>
      </c>
      <c r="AT585" s="19">
        <v>0</v>
      </c>
      <c r="AU585" s="8">
        <v>8800</v>
      </c>
      <c r="AV585" s="13">
        <f t="shared" si="283"/>
        <v>1207712</v>
      </c>
      <c r="AW585" s="18">
        <f t="shared" si="284"/>
        <v>5991201</v>
      </c>
      <c r="AX585" s="15">
        <f t="shared" si="278"/>
        <v>5992000</v>
      </c>
      <c r="AY585" s="20">
        <v>0.05</v>
      </c>
      <c r="AZ585" s="13">
        <f t="shared" si="279"/>
        <v>299600</v>
      </c>
      <c r="BA585" s="15">
        <f t="shared" si="280"/>
        <v>299600</v>
      </c>
      <c r="BB585" s="21">
        <f t="shared" si="285"/>
        <v>1729450</v>
      </c>
      <c r="BC585" s="10">
        <f t="shared" si="286"/>
        <v>0</v>
      </c>
      <c r="BD585" s="10">
        <f t="shared" si="287"/>
        <v>0</v>
      </c>
      <c r="BE585" s="10">
        <v>32</v>
      </c>
      <c r="BF585" s="10">
        <v>12.75</v>
      </c>
      <c r="BG585" s="107">
        <v>46176</v>
      </c>
      <c r="BH585" s="107">
        <f t="shared" si="261"/>
        <v>46206</v>
      </c>
      <c r="BI585" s="23">
        <v>5</v>
      </c>
      <c r="BJ585" s="6"/>
      <c r="BK585" s="6"/>
      <c r="BL585" s="6">
        <f>VLOOKUP(A585,[2]Sheet1!$D$2:$H$933,5,0)</f>
        <v>0</v>
      </c>
      <c r="BM585" s="6" t="s">
        <v>3828</v>
      </c>
      <c r="BN585" s="6" t="s">
        <v>3829</v>
      </c>
      <c r="BO585" s="6" t="s">
        <v>3820</v>
      </c>
      <c r="BP585" s="6" t="s">
        <v>3821</v>
      </c>
      <c r="BQ585" s="6" t="s">
        <v>3830</v>
      </c>
      <c r="BR585" t="s">
        <v>3823</v>
      </c>
      <c r="BS585" t="s">
        <v>3824</v>
      </c>
      <c r="BT585" t="s">
        <v>3825</v>
      </c>
      <c r="BU585" t="s">
        <v>3826</v>
      </c>
      <c r="BV585" t="s">
        <v>3827</v>
      </c>
      <c r="BW585" t="s">
        <v>3835</v>
      </c>
      <c r="BX585">
        <v>0</v>
      </c>
      <c r="BY585" t="s">
        <v>3868</v>
      </c>
      <c r="BZ585" t="s">
        <v>3860</v>
      </c>
    </row>
    <row r="586" spans="1:78" x14ac:dyDescent="0.25">
      <c r="A586" s="7" t="s">
        <v>2414</v>
      </c>
      <c r="B586" s="7" t="s">
        <v>181</v>
      </c>
      <c r="C586" s="7" t="s">
        <v>2412</v>
      </c>
      <c r="D586" s="8" t="s">
        <v>2413</v>
      </c>
      <c r="E586" s="7" t="s">
        <v>2415</v>
      </c>
      <c r="F586" s="9">
        <v>45000</v>
      </c>
      <c r="G586" s="9" t="s">
        <v>527</v>
      </c>
      <c r="H586" s="9" t="s">
        <v>92</v>
      </c>
      <c r="I586" s="8" t="s">
        <v>67</v>
      </c>
      <c r="J586" s="10">
        <v>370.76</v>
      </c>
      <c r="K586" s="10">
        <v>370.76</v>
      </c>
      <c r="L586" s="10">
        <f t="shared" si="263"/>
        <v>0</v>
      </c>
      <c r="M586" s="10">
        <v>139.93</v>
      </c>
      <c r="N586" s="10">
        <v>139.93</v>
      </c>
      <c r="O586" s="10">
        <f t="shared" si="264"/>
        <v>0</v>
      </c>
      <c r="P586" s="11">
        <v>17006.001186751539</v>
      </c>
      <c r="Q586" s="11">
        <v>45059.279639819906</v>
      </c>
      <c r="R586" s="11">
        <v>28000</v>
      </c>
      <c r="S586" s="11">
        <v>6305145</v>
      </c>
      <c r="T586" s="11">
        <v>756618</v>
      </c>
      <c r="U586" s="12">
        <f t="shared" si="265"/>
        <v>0.12000009516038093</v>
      </c>
      <c r="V586" s="13">
        <f t="shared" si="288"/>
        <v>0</v>
      </c>
      <c r="W586" s="10">
        <f t="shared" si="266"/>
        <v>0</v>
      </c>
      <c r="X586" s="10"/>
      <c r="Y586" s="10"/>
      <c r="Z586" s="11">
        <f t="shared" si="267"/>
        <v>6305145</v>
      </c>
      <c r="AA586" s="14"/>
      <c r="AB586" s="14"/>
      <c r="AC586" s="11">
        <f t="shared" si="268"/>
        <v>6305145</v>
      </c>
      <c r="AD586" s="10">
        <f t="shared" si="269"/>
        <v>300</v>
      </c>
      <c r="AE586" s="15">
        <v>41979</v>
      </c>
      <c r="AF586" s="16">
        <v>7556</v>
      </c>
      <c r="AG586" s="15">
        <f t="shared" si="270"/>
        <v>0</v>
      </c>
      <c r="AH586" s="15">
        <f t="shared" si="271"/>
        <v>0</v>
      </c>
      <c r="AI586" s="15">
        <f t="shared" si="272"/>
        <v>41979</v>
      </c>
      <c r="AJ586" s="15">
        <f t="shared" si="273"/>
        <v>7557</v>
      </c>
      <c r="AK586" s="10">
        <v>41979</v>
      </c>
      <c r="AL586" s="15">
        <f t="shared" si="274"/>
        <v>41979</v>
      </c>
      <c r="AM586" s="15">
        <f t="shared" si="275"/>
        <v>6347124</v>
      </c>
      <c r="AN586" s="15">
        <f t="shared" si="276"/>
        <v>764175</v>
      </c>
      <c r="AO586" s="15">
        <f t="shared" si="281"/>
        <v>826030</v>
      </c>
      <c r="AP586" s="17">
        <f t="shared" si="277"/>
        <v>7173154</v>
      </c>
      <c r="AQ586" s="15">
        <v>2357197</v>
      </c>
      <c r="AR586" s="15">
        <v>19876</v>
      </c>
      <c r="AS586" s="18">
        <f t="shared" si="282"/>
        <v>4815957</v>
      </c>
      <c r="AT586" s="19">
        <v>0</v>
      </c>
      <c r="AU586" s="8">
        <v>8800</v>
      </c>
      <c r="AV586" s="13">
        <f t="shared" si="283"/>
        <v>1231384</v>
      </c>
      <c r="AW586" s="18">
        <f t="shared" si="284"/>
        <v>6347124</v>
      </c>
      <c r="AX586" s="15">
        <f t="shared" si="278"/>
        <v>6348000</v>
      </c>
      <c r="AY586" s="20">
        <v>0.05</v>
      </c>
      <c r="AZ586" s="13">
        <f t="shared" si="279"/>
        <v>317400</v>
      </c>
      <c r="BA586" s="15">
        <f t="shared" si="280"/>
        <v>317400</v>
      </c>
      <c r="BB586" s="21">
        <f t="shared" si="285"/>
        <v>5133357</v>
      </c>
      <c r="BC586" s="10">
        <f t="shared" si="286"/>
        <v>0</v>
      </c>
      <c r="BD586" s="10">
        <f t="shared" si="287"/>
        <v>0</v>
      </c>
      <c r="BE586" s="10">
        <v>34.44</v>
      </c>
      <c r="BF586" s="10">
        <v>13</v>
      </c>
      <c r="BG586" s="107">
        <v>46176</v>
      </c>
      <c r="BH586" s="107">
        <f t="shared" si="261"/>
        <v>46206</v>
      </c>
      <c r="BI586" s="23">
        <v>5</v>
      </c>
      <c r="BJ586" s="6"/>
      <c r="BK586" s="6"/>
      <c r="BL586" s="6">
        <f>VLOOKUP(A586,[2]Sheet1!$D$2:$H$933,5,0)</f>
        <v>0</v>
      </c>
      <c r="BM586" s="6" t="s">
        <v>3828</v>
      </c>
      <c r="BN586" s="6" t="s">
        <v>3829</v>
      </c>
      <c r="BO586" s="6" t="s">
        <v>3820</v>
      </c>
      <c r="BP586" s="6" t="s">
        <v>3821</v>
      </c>
      <c r="BQ586" s="6" t="s">
        <v>3830</v>
      </c>
      <c r="BR586" t="s">
        <v>3823</v>
      </c>
      <c r="BS586" t="s">
        <v>3824</v>
      </c>
      <c r="BT586" t="s">
        <v>3825</v>
      </c>
      <c r="BU586" t="s">
        <v>3826</v>
      </c>
      <c r="BV586" t="s">
        <v>3827</v>
      </c>
      <c r="BW586" t="s">
        <v>3835</v>
      </c>
      <c r="BX586">
        <v>0</v>
      </c>
      <c r="BY586" t="s">
        <v>3861</v>
      </c>
      <c r="BZ586" t="s">
        <v>3871</v>
      </c>
    </row>
    <row r="587" spans="1:78" x14ac:dyDescent="0.25">
      <c r="A587" s="7" t="s">
        <v>2418</v>
      </c>
      <c r="B587" s="7" t="s">
        <v>181</v>
      </c>
      <c r="C587" s="7" t="s">
        <v>2416</v>
      </c>
      <c r="D587" s="8" t="s">
        <v>2417</v>
      </c>
      <c r="E587" s="7" t="s">
        <v>2419</v>
      </c>
      <c r="F587" s="9">
        <v>44953</v>
      </c>
      <c r="G587" s="9" t="s">
        <v>77</v>
      </c>
      <c r="H587" s="9" t="s">
        <v>87</v>
      </c>
      <c r="I587" s="8" t="s">
        <v>78</v>
      </c>
      <c r="J587" s="10">
        <v>373.51</v>
      </c>
      <c r="K587" s="10">
        <v>373.51</v>
      </c>
      <c r="L587" s="10">
        <f t="shared" si="263"/>
        <v>0</v>
      </c>
      <c r="M587" s="10">
        <v>161.46</v>
      </c>
      <c r="N587" s="10">
        <v>161.46</v>
      </c>
      <c r="O587" s="10">
        <f t="shared" si="264"/>
        <v>0</v>
      </c>
      <c r="P587" s="11">
        <v>19009.00109769484</v>
      </c>
      <c r="Q587" s="11">
        <v>43974.061687105161</v>
      </c>
      <c r="R587" s="11">
        <v>40000</v>
      </c>
      <c r="S587" s="11">
        <v>7100052</v>
      </c>
      <c r="T587" s="11">
        <v>852006</v>
      </c>
      <c r="U587" s="12">
        <f t="shared" si="265"/>
        <v>0.11999996619743067</v>
      </c>
      <c r="V587" s="13">
        <f t="shared" si="288"/>
        <v>0</v>
      </c>
      <c r="W587" s="10">
        <f t="shared" si="266"/>
        <v>0</v>
      </c>
      <c r="X587" s="10"/>
      <c r="Y587" s="10"/>
      <c r="Z587" s="11">
        <f t="shared" si="267"/>
        <v>7100052</v>
      </c>
      <c r="AA587" s="14"/>
      <c r="AB587" s="14"/>
      <c r="AC587" s="11">
        <f t="shared" si="268"/>
        <v>7100052</v>
      </c>
      <c r="AD587" s="10">
        <f t="shared" si="269"/>
        <v>300</v>
      </c>
      <c r="AE587" s="15">
        <v>48438</v>
      </c>
      <c r="AF587" s="16">
        <v>8718</v>
      </c>
      <c r="AG587" s="15">
        <f t="shared" si="270"/>
        <v>0</v>
      </c>
      <c r="AH587" s="15">
        <f t="shared" si="271"/>
        <v>0</v>
      </c>
      <c r="AI587" s="15">
        <f t="shared" si="272"/>
        <v>48438</v>
      </c>
      <c r="AJ587" s="15">
        <f t="shared" si="273"/>
        <v>8719</v>
      </c>
      <c r="AK587" s="10">
        <v>48438</v>
      </c>
      <c r="AL587" s="15">
        <f t="shared" si="274"/>
        <v>48438</v>
      </c>
      <c r="AM587" s="15">
        <f t="shared" si="275"/>
        <v>7148490</v>
      </c>
      <c r="AN587" s="15">
        <f t="shared" si="276"/>
        <v>860725</v>
      </c>
      <c r="AO587" s="15">
        <f t="shared" si="281"/>
        <v>929046</v>
      </c>
      <c r="AP587" s="17">
        <f t="shared" si="277"/>
        <v>8077536</v>
      </c>
      <c r="AQ587" s="15">
        <v>3156853</v>
      </c>
      <c r="AR587" s="15">
        <v>19883</v>
      </c>
      <c r="AS587" s="18">
        <f t="shared" si="282"/>
        <v>4920683</v>
      </c>
      <c r="AT587" s="19">
        <v>0</v>
      </c>
      <c r="AU587" s="8">
        <v>8800</v>
      </c>
      <c r="AV587" s="13">
        <f t="shared" si="283"/>
        <v>1420848</v>
      </c>
      <c r="AW587" s="18">
        <f t="shared" si="284"/>
        <v>7148490</v>
      </c>
      <c r="AX587" s="15">
        <f t="shared" si="278"/>
        <v>7149000</v>
      </c>
      <c r="AY587" s="20">
        <v>0.06</v>
      </c>
      <c r="AZ587" s="13">
        <f t="shared" si="279"/>
        <v>428940</v>
      </c>
      <c r="BA587" s="15">
        <f t="shared" si="280"/>
        <v>429000</v>
      </c>
      <c r="BB587" s="21">
        <f t="shared" si="285"/>
        <v>5349683</v>
      </c>
      <c r="BC587" s="10">
        <f t="shared" si="286"/>
        <v>0</v>
      </c>
      <c r="BD587" s="10">
        <f t="shared" si="287"/>
        <v>0</v>
      </c>
      <c r="BE587" s="10">
        <v>34.700000000000003</v>
      </c>
      <c r="BF587" s="10">
        <v>15</v>
      </c>
      <c r="BG587" s="107">
        <v>46176</v>
      </c>
      <c r="BH587" s="107">
        <f t="shared" si="261"/>
        <v>46206</v>
      </c>
      <c r="BI587" s="23">
        <v>6</v>
      </c>
      <c r="BJ587" s="6"/>
      <c r="BK587" s="6"/>
      <c r="BL587" s="6">
        <f>VLOOKUP(A587,[2]Sheet1!$D$2:$H$933,5,0)</f>
        <v>0</v>
      </c>
      <c r="BM587" s="6" t="s">
        <v>3828</v>
      </c>
      <c r="BN587" s="6" t="s">
        <v>3829</v>
      </c>
      <c r="BO587" s="6" t="s">
        <v>3820</v>
      </c>
      <c r="BP587" s="6" t="s">
        <v>3821</v>
      </c>
      <c r="BQ587" s="6" t="s">
        <v>3830</v>
      </c>
      <c r="BR587" t="s">
        <v>3823</v>
      </c>
      <c r="BS587" t="s">
        <v>3824</v>
      </c>
      <c r="BT587" t="s">
        <v>3825</v>
      </c>
      <c r="BU587" t="s">
        <v>3826</v>
      </c>
      <c r="BV587" t="s">
        <v>3827</v>
      </c>
      <c r="BW587" t="s">
        <v>3835</v>
      </c>
      <c r="BX587">
        <v>0</v>
      </c>
      <c r="BY587" t="s">
        <v>3869</v>
      </c>
      <c r="BZ587" t="s">
        <v>3863</v>
      </c>
    </row>
    <row r="588" spans="1:78" x14ac:dyDescent="0.25">
      <c r="A588" s="7" t="s">
        <v>2422</v>
      </c>
      <c r="B588" s="7" t="s">
        <v>181</v>
      </c>
      <c r="C588" s="7" t="s">
        <v>2420</v>
      </c>
      <c r="D588" s="8" t="s">
        <v>2421</v>
      </c>
      <c r="E588" s="7" t="s">
        <v>1994</v>
      </c>
      <c r="F588" s="9">
        <v>45031</v>
      </c>
      <c r="G588" s="9" t="s">
        <v>363</v>
      </c>
      <c r="H588" s="9" t="s">
        <v>87</v>
      </c>
      <c r="I588" s="8" t="s">
        <v>67</v>
      </c>
      <c r="J588" s="10">
        <v>344.45</v>
      </c>
      <c r="K588" s="10">
        <v>344.45</v>
      </c>
      <c r="L588" s="10">
        <f t="shared" si="263"/>
        <v>0</v>
      </c>
      <c r="M588" s="10">
        <v>137.24</v>
      </c>
      <c r="N588" s="10">
        <v>137.24</v>
      </c>
      <c r="O588" s="10">
        <f t="shared" si="264"/>
        <v>0</v>
      </c>
      <c r="P588" s="11">
        <v>30773.999129046308</v>
      </c>
      <c r="Q588" s="11">
        <v>77237.71495190906</v>
      </c>
      <c r="R588" s="11">
        <v>40000</v>
      </c>
      <c r="S588" s="11">
        <v>10600104</v>
      </c>
      <c r="T588" s="11">
        <v>1272014</v>
      </c>
      <c r="U588" s="12">
        <f t="shared" si="265"/>
        <v>0.12000014339481953</v>
      </c>
      <c r="V588" s="13">
        <f t="shared" si="288"/>
        <v>0</v>
      </c>
      <c r="W588" s="10">
        <f t="shared" si="266"/>
        <v>0</v>
      </c>
      <c r="X588" s="10"/>
      <c r="Y588" s="10"/>
      <c r="Z588" s="11">
        <f t="shared" si="267"/>
        <v>10600104</v>
      </c>
      <c r="AA588" s="14"/>
      <c r="AB588" s="14"/>
      <c r="AC588" s="11">
        <f t="shared" si="268"/>
        <v>10600104</v>
      </c>
      <c r="AD588" s="10">
        <f t="shared" si="269"/>
        <v>300</v>
      </c>
      <c r="AE588" s="15">
        <v>41172</v>
      </c>
      <c r="AF588" s="16">
        <v>7410</v>
      </c>
      <c r="AG588" s="15">
        <f t="shared" si="270"/>
        <v>0</v>
      </c>
      <c r="AH588" s="15">
        <f t="shared" si="271"/>
        <v>0</v>
      </c>
      <c r="AI588" s="15">
        <f t="shared" si="272"/>
        <v>41172</v>
      </c>
      <c r="AJ588" s="15">
        <f t="shared" si="273"/>
        <v>7411</v>
      </c>
      <c r="AK588" s="10">
        <v>41172</v>
      </c>
      <c r="AL588" s="15">
        <f t="shared" si="274"/>
        <v>41172</v>
      </c>
      <c r="AM588" s="15">
        <f t="shared" si="275"/>
        <v>10641276</v>
      </c>
      <c r="AN588" s="15">
        <f t="shared" si="276"/>
        <v>1279425</v>
      </c>
      <c r="AO588" s="15">
        <f t="shared" si="281"/>
        <v>1333949</v>
      </c>
      <c r="AP588" s="17">
        <f t="shared" si="277"/>
        <v>11975225</v>
      </c>
      <c r="AQ588" s="15">
        <v>10635085</v>
      </c>
      <c r="AR588" s="15">
        <v>13352</v>
      </c>
      <c r="AS588" s="18">
        <f t="shared" si="282"/>
        <v>1340140</v>
      </c>
      <c r="AT588" s="19">
        <v>0</v>
      </c>
      <c r="AU588" s="8">
        <v>8800</v>
      </c>
      <c r="AV588" s="13">
        <f t="shared" si="283"/>
        <v>1207712</v>
      </c>
      <c r="AW588" s="18">
        <f t="shared" si="284"/>
        <v>10641276</v>
      </c>
      <c r="AX588" s="15">
        <f t="shared" si="278"/>
        <v>10642000</v>
      </c>
      <c r="AY588" s="20">
        <v>0.05</v>
      </c>
      <c r="AZ588" s="13">
        <f t="shared" si="279"/>
        <v>532100</v>
      </c>
      <c r="BA588" s="15">
        <f t="shared" si="280"/>
        <v>532100</v>
      </c>
      <c r="BB588" s="21">
        <f t="shared" si="285"/>
        <v>1872240</v>
      </c>
      <c r="BC588" s="10">
        <f t="shared" si="286"/>
        <v>0</v>
      </c>
      <c r="BD588" s="10">
        <f t="shared" si="287"/>
        <v>0</v>
      </c>
      <c r="BE588" s="10">
        <v>32</v>
      </c>
      <c r="BF588" s="10">
        <v>12.75</v>
      </c>
      <c r="BG588" s="107">
        <v>46176</v>
      </c>
      <c r="BH588" s="107">
        <f t="shared" si="261"/>
        <v>46206</v>
      </c>
      <c r="BI588" s="23">
        <v>5</v>
      </c>
      <c r="BJ588" s="6"/>
      <c r="BK588" s="6"/>
      <c r="BL588" s="6">
        <f>VLOOKUP(A588,[2]Sheet1!$D$2:$H$933,5,0)</f>
        <v>0</v>
      </c>
      <c r="BM588" s="6" t="s">
        <v>3828</v>
      </c>
      <c r="BN588" s="6" t="s">
        <v>3829</v>
      </c>
      <c r="BO588" s="6" t="s">
        <v>3820</v>
      </c>
      <c r="BP588" s="6" t="s">
        <v>3821</v>
      </c>
      <c r="BQ588" s="6" t="s">
        <v>3830</v>
      </c>
      <c r="BR588" t="s">
        <v>3823</v>
      </c>
      <c r="BS588" t="s">
        <v>3824</v>
      </c>
      <c r="BT588" t="s">
        <v>3825</v>
      </c>
      <c r="BU588" t="s">
        <v>3826</v>
      </c>
      <c r="BV588" t="s">
        <v>3827</v>
      </c>
      <c r="BW588" t="s">
        <v>3835</v>
      </c>
      <c r="BX588">
        <v>0</v>
      </c>
      <c r="BY588" t="s">
        <v>3861</v>
      </c>
      <c r="BZ588" t="s">
        <v>3860</v>
      </c>
    </row>
    <row r="589" spans="1:78" x14ac:dyDescent="0.25">
      <c r="A589" s="7" t="s">
        <v>2425</v>
      </c>
      <c r="B589" s="7" t="s">
        <v>181</v>
      </c>
      <c r="C589" s="7" t="s">
        <v>2423</v>
      </c>
      <c r="D589" s="8" t="s">
        <v>2424</v>
      </c>
      <c r="E589" s="7" t="s">
        <v>2426</v>
      </c>
      <c r="F589" s="9">
        <v>45109</v>
      </c>
      <c r="G589" s="9" t="s">
        <v>404</v>
      </c>
      <c r="H589" s="9" t="s">
        <v>66</v>
      </c>
      <c r="I589" s="8" t="s">
        <v>78</v>
      </c>
      <c r="J589" s="10">
        <v>642.61</v>
      </c>
      <c r="K589" s="10">
        <v>642.61</v>
      </c>
      <c r="L589" s="10">
        <f t="shared" si="263"/>
        <v>0</v>
      </c>
      <c r="M589" s="10">
        <v>293.32</v>
      </c>
      <c r="N589" s="10">
        <v>293.32</v>
      </c>
      <c r="O589" s="10">
        <f t="shared" si="264"/>
        <v>0</v>
      </c>
      <c r="P589" s="11">
        <v>10482.767152705374</v>
      </c>
      <c r="Q589" s="11">
        <v>22965.808673121504</v>
      </c>
      <c r="R589" s="11">
        <v>22000</v>
      </c>
      <c r="S589" s="11">
        <v>6736331</v>
      </c>
      <c r="T589" s="11">
        <v>808360</v>
      </c>
      <c r="U589" s="12">
        <f t="shared" si="265"/>
        <v>0.12000004156565347</v>
      </c>
      <c r="V589" s="13">
        <f t="shared" si="288"/>
        <v>0</v>
      </c>
      <c r="W589" s="10">
        <f t="shared" si="266"/>
        <v>0</v>
      </c>
      <c r="X589" s="10"/>
      <c r="Y589" s="10"/>
      <c r="Z589" s="11">
        <f t="shared" si="267"/>
        <v>6736331</v>
      </c>
      <c r="AA589" s="14"/>
      <c r="AB589" s="14"/>
      <c r="AC589" s="11">
        <f t="shared" si="268"/>
        <v>6736331</v>
      </c>
      <c r="AD589" s="10">
        <f t="shared" si="269"/>
        <v>300</v>
      </c>
      <c r="AE589" s="15">
        <v>87996</v>
      </c>
      <c r="AF589" s="16">
        <v>15840</v>
      </c>
      <c r="AG589" s="15">
        <f t="shared" si="270"/>
        <v>0</v>
      </c>
      <c r="AH589" s="15">
        <f t="shared" si="271"/>
        <v>0</v>
      </c>
      <c r="AI589" s="15">
        <f t="shared" si="272"/>
        <v>87996</v>
      </c>
      <c r="AJ589" s="15">
        <f t="shared" si="273"/>
        <v>15840</v>
      </c>
      <c r="AK589" s="10">
        <v>87996</v>
      </c>
      <c r="AL589" s="15">
        <f t="shared" si="274"/>
        <v>87996</v>
      </c>
      <c r="AM589" s="15">
        <f t="shared" si="275"/>
        <v>6824327</v>
      </c>
      <c r="AN589" s="15">
        <f t="shared" si="276"/>
        <v>824200</v>
      </c>
      <c r="AO589" s="15">
        <f t="shared" si="281"/>
        <v>931319</v>
      </c>
      <c r="AP589" s="17">
        <f t="shared" si="277"/>
        <v>7755646</v>
      </c>
      <c r="AQ589" s="15">
        <v>3070104</v>
      </c>
      <c r="AR589" s="15">
        <v>19123</v>
      </c>
      <c r="AS589" s="18">
        <f t="shared" si="282"/>
        <v>4685542</v>
      </c>
      <c r="AT589" s="19">
        <v>0</v>
      </c>
      <c r="AU589" s="8">
        <v>8800</v>
      </c>
      <c r="AV589" s="13">
        <f t="shared" si="283"/>
        <v>2581216</v>
      </c>
      <c r="AW589" s="18">
        <f t="shared" si="284"/>
        <v>6824327</v>
      </c>
      <c r="AX589" s="15">
        <f t="shared" si="278"/>
        <v>6825000</v>
      </c>
      <c r="AY589" s="20">
        <v>7.0000000000000007E-2</v>
      </c>
      <c r="AZ589" s="13">
        <f t="shared" si="279"/>
        <v>477750.00000000006</v>
      </c>
      <c r="BA589" s="15">
        <f t="shared" si="280"/>
        <v>477800</v>
      </c>
      <c r="BB589" s="21">
        <f t="shared" si="285"/>
        <v>5163342</v>
      </c>
      <c r="BC589" s="10">
        <f t="shared" si="286"/>
        <v>0</v>
      </c>
      <c r="BD589" s="10">
        <f t="shared" si="287"/>
        <v>0</v>
      </c>
      <c r="BE589" s="10">
        <v>59.7</v>
      </c>
      <c r="BF589" s="10">
        <v>27.25</v>
      </c>
      <c r="BG589" s="107">
        <v>46176</v>
      </c>
      <c r="BH589" s="107">
        <f t="shared" si="261"/>
        <v>46206</v>
      </c>
      <c r="BI589" s="23">
        <v>7</v>
      </c>
      <c r="BJ589" s="6"/>
      <c r="BK589" s="6"/>
      <c r="BL589" s="6">
        <f>VLOOKUP(A589,[2]Sheet1!$D$2:$H$933,5,0)</f>
        <v>0</v>
      </c>
      <c r="BM589" s="6" t="s">
        <v>3828</v>
      </c>
      <c r="BN589" s="6" t="s">
        <v>3829</v>
      </c>
      <c r="BO589" s="6" t="s">
        <v>3820</v>
      </c>
      <c r="BP589" s="6" t="s">
        <v>3821</v>
      </c>
      <c r="BQ589" s="6" t="s">
        <v>3830</v>
      </c>
      <c r="BR589" t="s">
        <v>3823</v>
      </c>
      <c r="BS589" t="s">
        <v>3824</v>
      </c>
      <c r="BT589" t="s">
        <v>3825</v>
      </c>
      <c r="BU589" t="s">
        <v>3826</v>
      </c>
      <c r="BV589" t="s">
        <v>3827</v>
      </c>
      <c r="BW589" t="s">
        <v>3835</v>
      </c>
      <c r="BX589">
        <v>0</v>
      </c>
      <c r="BY589" t="s">
        <v>3869</v>
      </c>
      <c r="BZ589" t="s">
        <v>3863</v>
      </c>
    </row>
    <row r="590" spans="1:78" x14ac:dyDescent="0.25">
      <c r="A590" s="7" t="s">
        <v>2429</v>
      </c>
      <c r="B590" s="7" t="s">
        <v>181</v>
      </c>
      <c r="C590" s="7" t="s">
        <v>2427</v>
      </c>
      <c r="D590" s="8" t="s">
        <v>2428</v>
      </c>
      <c r="E590" s="7" t="s">
        <v>2430</v>
      </c>
      <c r="F590" s="9">
        <v>45170</v>
      </c>
      <c r="G590" s="9" t="s">
        <v>717</v>
      </c>
      <c r="H590" s="9" t="s">
        <v>72</v>
      </c>
      <c r="I590" s="8" t="s">
        <v>78</v>
      </c>
      <c r="J590" s="10">
        <v>825.38</v>
      </c>
      <c r="K590" s="10">
        <v>825.38</v>
      </c>
      <c r="L590" s="10">
        <f t="shared" si="263"/>
        <v>0</v>
      </c>
      <c r="M590" s="10">
        <v>365.44</v>
      </c>
      <c r="N590" s="10">
        <v>365.44</v>
      </c>
      <c r="O590" s="10">
        <f t="shared" si="264"/>
        <v>0</v>
      </c>
      <c r="P590" s="11">
        <v>11752.001502338317</v>
      </c>
      <c r="Q590" s="11">
        <v>26542.981063922944</v>
      </c>
      <c r="R590" s="11">
        <v>20000</v>
      </c>
      <c r="S590" s="11">
        <v>9699867</v>
      </c>
      <c r="T590" s="11">
        <v>1163984</v>
      </c>
      <c r="U590" s="12">
        <f t="shared" si="265"/>
        <v>0.11999999587623211</v>
      </c>
      <c r="V590" s="13">
        <f t="shared" si="288"/>
        <v>0</v>
      </c>
      <c r="W590" s="10">
        <f t="shared" si="266"/>
        <v>0</v>
      </c>
      <c r="X590" s="10"/>
      <c r="Y590" s="10"/>
      <c r="Z590" s="11">
        <f t="shared" si="267"/>
        <v>9699867</v>
      </c>
      <c r="AA590" s="14"/>
      <c r="AB590" s="14"/>
      <c r="AC590" s="11">
        <f t="shared" si="268"/>
        <v>9699867</v>
      </c>
      <c r="AD590" s="10">
        <f t="shared" si="269"/>
        <v>300</v>
      </c>
      <c r="AE590" s="15">
        <v>109632</v>
      </c>
      <c r="AF590" s="16">
        <v>19734</v>
      </c>
      <c r="AG590" s="15">
        <f t="shared" si="270"/>
        <v>0</v>
      </c>
      <c r="AH590" s="15">
        <f t="shared" si="271"/>
        <v>0</v>
      </c>
      <c r="AI590" s="15">
        <f t="shared" si="272"/>
        <v>109632</v>
      </c>
      <c r="AJ590" s="15">
        <f t="shared" si="273"/>
        <v>19734</v>
      </c>
      <c r="AK590" s="10">
        <v>109632</v>
      </c>
      <c r="AL590" s="15">
        <f t="shared" si="274"/>
        <v>109632</v>
      </c>
      <c r="AM590" s="15">
        <f t="shared" si="275"/>
        <v>9809499</v>
      </c>
      <c r="AN590" s="15">
        <f t="shared" si="276"/>
        <v>1183718</v>
      </c>
      <c r="AO590" s="15">
        <f t="shared" si="281"/>
        <v>1296773</v>
      </c>
      <c r="AP590" s="17">
        <f t="shared" si="277"/>
        <v>11106272</v>
      </c>
      <c r="AQ590" s="15">
        <v>7711235</v>
      </c>
      <c r="AR590" s="15">
        <v>3423</v>
      </c>
      <c r="AS590" s="18">
        <f t="shared" si="282"/>
        <v>3395037</v>
      </c>
      <c r="AT590" s="19">
        <v>0</v>
      </c>
      <c r="AU590" s="8">
        <v>8800</v>
      </c>
      <c r="AV590" s="13">
        <f t="shared" si="283"/>
        <v>3215872</v>
      </c>
      <c r="AW590" s="18">
        <f t="shared" si="284"/>
        <v>9809499</v>
      </c>
      <c r="AX590" s="15">
        <f t="shared" si="278"/>
        <v>9810000</v>
      </c>
      <c r="AY590" s="20">
        <v>0.06</v>
      </c>
      <c r="AZ590" s="13">
        <f t="shared" si="279"/>
        <v>588600</v>
      </c>
      <c r="BA590" s="15">
        <f t="shared" si="280"/>
        <v>588600</v>
      </c>
      <c r="BB590" s="21">
        <f t="shared" si="285"/>
        <v>3983637</v>
      </c>
      <c r="BC590" s="10">
        <f t="shared" si="286"/>
        <v>0</v>
      </c>
      <c r="BD590" s="10">
        <f t="shared" si="287"/>
        <v>0</v>
      </c>
      <c r="BE590" s="10">
        <v>76.680000000000007</v>
      </c>
      <c r="BF590" s="10">
        <v>33.950000000000003</v>
      </c>
      <c r="BG590" s="107">
        <v>46176</v>
      </c>
      <c r="BH590" s="107">
        <f t="shared" si="261"/>
        <v>46206</v>
      </c>
      <c r="BI590" s="23">
        <v>6</v>
      </c>
      <c r="BJ590" s="6"/>
      <c r="BK590" s="6"/>
      <c r="BL590" s="6">
        <f>VLOOKUP(A590,[2]Sheet1!$D$2:$H$933,5,0)</f>
        <v>0</v>
      </c>
      <c r="BM590" s="6" t="s">
        <v>3828</v>
      </c>
      <c r="BN590" s="6" t="s">
        <v>3829</v>
      </c>
      <c r="BO590" s="6" t="s">
        <v>3820</v>
      </c>
      <c r="BP590" s="6" t="s">
        <v>3821</v>
      </c>
      <c r="BQ590" s="6" t="s">
        <v>3830</v>
      </c>
      <c r="BR590" t="s">
        <v>3823</v>
      </c>
      <c r="BS590" t="s">
        <v>3824</v>
      </c>
      <c r="BT590" t="s">
        <v>3825</v>
      </c>
      <c r="BU590" t="s">
        <v>3826</v>
      </c>
      <c r="BV590" t="s">
        <v>3827</v>
      </c>
      <c r="BW590" t="s">
        <v>3835</v>
      </c>
      <c r="BX590">
        <v>0</v>
      </c>
      <c r="BY590" t="s">
        <v>3865</v>
      </c>
      <c r="BZ590" t="s">
        <v>3872</v>
      </c>
    </row>
    <row r="591" spans="1:78" x14ac:dyDescent="0.25">
      <c r="A591" s="7" t="s">
        <v>2433</v>
      </c>
      <c r="B591" s="7" t="s">
        <v>181</v>
      </c>
      <c r="C591" s="7" t="s">
        <v>2431</v>
      </c>
      <c r="D591" s="8" t="s">
        <v>2432</v>
      </c>
      <c r="E591" s="7" t="s">
        <v>2434</v>
      </c>
      <c r="F591" s="9">
        <v>44965</v>
      </c>
      <c r="G591" s="9" t="s">
        <v>717</v>
      </c>
      <c r="H591" s="9" t="s">
        <v>72</v>
      </c>
      <c r="I591" s="8" t="s">
        <v>78</v>
      </c>
      <c r="J591" s="10">
        <v>764.24</v>
      </c>
      <c r="K591" s="10">
        <v>764.24</v>
      </c>
      <c r="L591" s="10">
        <f t="shared" si="263"/>
        <v>0</v>
      </c>
      <c r="M591" s="10">
        <v>352.52</v>
      </c>
      <c r="N591" s="10">
        <v>352.52</v>
      </c>
      <c r="O591" s="10">
        <f t="shared" si="264"/>
        <v>0</v>
      </c>
      <c r="P591" s="11">
        <v>14359.999476604207</v>
      </c>
      <c r="Q591" s="11">
        <v>31131.527289231817</v>
      </c>
      <c r="R591" s="11">
        <v>20000</v>
      </c>
      <c r="S591" s="11">
        <v>10974486</v>
      </c>
      <c r="T591" s="11">
        <v>1316938</v>
      </c>
      <c r="U591" s="12">
        <f t="shared" si="265"/>
        <v>0.119999970841459</v>
      </c>
      <c r="V591" s="13">
        <f t="shared" si="288"/>
        <v>0</v>
      </c>
      <c r="W591" s="10">
        <f t="shared" si="266"/>
        <v>0</v>
      </c>
      <c r="X591" s="10"/>
      <c r="Y591" s="10"/>
      <c r="Z591" s="11">
        <f t="shared" si="267"/>
        <v>10974486</v>
      </c>
      <c r="AA591" s="14"/>
      <c r="AB591" s="14"/>
      <c r="AC591" s="11">
        <f t="shared" si="268"/>
        <v>10974486</v>
      </c>
      <c r="AD591" s="10">
        <f t="shared" si="269"/>
        <v>300</v>
      </c>
      <c r="AE591" s="15">
        <v>105756</v>
      </c>
      <c r="AF591" s="16">
        <v>19036</v>
      </c>
      <c r="AG591" s="15">
        <f t="shared" si="270"/>
        <v>0</v>
      </c>
      <c r="AH591" s="15">
        <f t="shared" si="271"/>
        <v>0</v>
      </c>
      <c r="AI591" s="15">
        <f t="shared" si="272"/>
        <v>105756</v>
      </c>
      <c r="AJ591" s="15">
        <f t="shared" si="273"/>
        <v>19037</v>
      </c>
      <c r="AK591" s="10">
        <v>105756</v>
      </c>
      <c r="AL591" s="15">
        <f t="shared" si="274"/>
        <v>105756</v>
      </c>
      <c r="AM591" s="15">
        <f t="shared" si="275"/>
        <v>11080242</v>
      </c>
      <c r="AN591" s="15">
        <f t="shared" si="276"/>
        <v>1335975</v>
      </c>
      <c r="AO591" s="15">
        <f t="shared" si="281"/>
        <v>1455479</v>
      </c>
      <c r="AP591" s="17">
        <f t="shared" si="277"/>
        <v>12535721</v>
      </c>
      <c r="AQ591" s="15">
        <v>10963512</v>
      </c>
      <c r="AR591" s="15">
        <v>13748</v>
      </c>
      <c r="AS591" s="18">
        <f t="shared" si="282"/>
        <v>1572209</v>
      </c>
      <c r="AT591" s="19">
        <v>0</v>
      </c>
      <c r="AU591" s="8">
        <v>8800</v>
      </c>
      <c r="AV591" s="13">
        <f t="shared" si="283"/>
        <v>3102176</v>
      </c>
      <c r="AW591" s="18">
        <f t="shared" si="284"/>
        <v>11080242</v>
      </c>
      <c r="AX591" s="15">
        <f t="shared" si="278"/>
        <v>11081000</v>
      </c>
      <c r="AY591" s="20">
        <v>0.05</v>
      </c>
      <c r="AZ591" s="13">
        <f t="shared" si="279"/>
        <v>554050</v>
      </c>
      <c r="BA591" s="15">
        <f t="shared" si="280"/>
        <v>554100</v>
      </c>
      <c r="BB591" s="21">
        <f t="shared" si="285"/>
        <v>2126309</v>
      </c>
      <c r="BC591" s="10">
        <f t="shared" si="286"/>
        <v>0</v>
      </c>
      <c r="BD591" s="10">
        <f t="shared" si="287"/>
        <v>0</v>
      </c>
      <c r="BE591" s="10">
        <v>71</v>
      </c>
      <c r="BF591" s="10">
        <v>32.75</v>
      </c>
      <c r="BG591" s="107">
        <v>46176</v>
      </c>
      <c r="BH591" s="107">
        <f t="shared" si="261"/>
        <v>46206</v>
      </c>
      <c r="BI591" s="23">
        <v>5</v>
      </c>
      <c r="BJ591" s="6"/>
      <c r="BK591" s="6"/>
      <c r="BL591" s="6">
        <f>VLOOKUP(A591,[2]Sheet1!$D$2:$H$933,5,0)</f>
        <v>0</v>
      </c>
      <c r="BM591" s="6" t="s">
        <v>3828</v>
      </c>
      <c r="BN591" s="6" t="s">
        <v>3829</v>
      </c>
      <c r="BO591" s="6" t="s">
        <v>3820</v>
      </c>
      <c r="BP591" s="6" t="s">
        <v>3821</v>
      </c>
      <c r="BQ591" s="6" t="s">
        <v>3830</v>
      </c>
      <c r="BR591" t="s">
        <v>3823</v>
      </c>
      <c r="BS591" t="s">
        <v>3824</v>
      </c>
      <c r="BT591" t="s">
        <v>3825</v>
      </c>
      <c r="BU591" t="s">
        <v>3826</v>
      </c>
      <c r="BV591" t="s">
        <v>3827</v>
      </c>
      <c r="BW591" t="s">
        <v>3835</v>
      </c>
      <c r="BX591">
        <v>0</v>
      </c>
      <c r="BY591" t="s">
        <v>3866</v>
      </c>
      <c r="BZ591" t="s">
        <v>3872</v>
      </c>
    </row>
    <row r="592" spans="1:78" x14ac:dyDescent="0.25">
      <c r="A592" s="65" t="s">
        <v>2437</v>
      </c>
      <c r="B592" s="7" t="s">
        <v>181</v>
      </c>
      <c r="C592" s="65" t="s">
        <v>2435</v>
      </c>
      <c r="D592" s="66" t="s">
        <v>2436</v>
      </c>
      <c r="E592" s="7" t="s">
        <v>2438</v>
      </c>
      <c r="F592" s="67">
        <v>45048</v>
      </c>
      <c r="G592" s="9" t="s">
        <v>65</v>
      </c>
      <c r="H592" s="9" t="s">
        <v>92</v>
      </c>
      <c r="I592" s="66" t="s">
        <v>78</v>
      </c>
      <c r="J592" s="68">
        <v>754.56</v>
      </c>
      <c r="K592" s="10">
        <v>754.56</v>
      </c>
      <c r="L592" s="10">
        <f t="shared" si="263"/>
        <v>0</v>
      </c>
      <c r="M592" s="68">
        <v>353.49</v>
      </c>
      <c r="N592" s="10">
        <v>353.49</v>
      </c>
      <c r="O592" s="10">
        <f t="shared" si="264"/>
        <v>0</v>
      </c>
      <c r="P592" s="69">
        <v>16150.000000000002</v>
      </c>
      <c r="Q592" s="69">
        <v>34473.80123907324</v>
      </c>
      <c r="R592" s="11">
        <v>28000</v>
      </c>
      <c r="S592" s="69">
        <v>12186144</v>
      </c>
      <c r="T592" s="69">
        <v>1462338</v>
      </c>
      <c r="U592" s="70">
        <f t="shared" si="265"/>
        <v>0.1200000590834968</v>
      </c>
      <c r="V592" s="13">
        <f t="shared" si="288"/>
        <v>0</v>
      </c>
      <c r="W592" s="10">
        <f t="shared" si="266"/>
        <v>0</v>
      </c>
      <c r="X592" s="68"/>
      <c r="Y592" s="68"/>
      <c r="Z592" s="11">
        <f t="shared" si="267"/>
        <v>12186144</v>
      </c>
      <c r="AA592" s="14"/>
      <c r="AB592" s="14"/>
      <c r="AC592" s="11">
        <f t="shared" si="268"/>
        <v>12186144</v>
      </c>
      <c r="AD592" s="10">
        <f t="shared" si="269"/>
        <v>300</v>
      </c>
      <c r="AE592" s="71">
        <v>106047</v>
      </c>
      <c r="AF592" s="16">
        <v>19088</v>
      </c>
      <c r="AG592" s="15">
        <f t="shared" si="270"/>
        <v>0</v>
      </c>
      <c r="AH592" s="71">
        <f t="shared" si="271"/>
        <v>0</v>
      </c>
      <c r="AI592" s="15">
        <f t="shared" si="272"/>
        <v>106047</v>
      </c>
      <c r="AJ592" s="15">
        <f t="shared" si="273"/>
        <v>19089</v>
      </c>
      <c r="AK592" s="68">
        <v>106047</v>
      </c>
      <c r="AL592" s="15">
        <f t="shared" si="274"/>
        <v>106047</v>
      </c>
      <c r="AM592" s="15">
        <f t="shared" si="275"/>
        <v>12292191</v>
      </c>
      <c r="AN592" s="15">
        <f t="shared" si="276"/>
        <v>1481427</v>
      </c>
      <c r="AO592" s="15">
        <f t="shared" si="281"/>
        <v>1601101.96</v>
      </c>
      <c r="AP592" s="17">
        <f t="shared" si="277"/>
        <v>13893292.960000001</v>
      </c>
      <c r="AQ592" s="15">
        <v>12266574.869999999</v>
      </c>
      <c r="AR592" s="15">
        <v>13627.96</v>
      </c>
      <c r="AS592" s="18">
        <f t="shared" si="282"/>
        <v>1626718</v>
      </c>
      <c r="AT592" s="19">
        <v>0</v>
      </c>
      <c r="AU592" s="8">
        <v>8800</v>
      </c>
      <c r="AV592" s="13">
        <f t="shared" si="283"/>
        <v>3110712</v>
      </c>
      <c r="AW592" s="18">
        <f t="shared" si="284"/>
        <v>12292191</v>
      </c>
      <c r="AX592" s="15">
        <f t="shared" si="278"/>
        <v>12293000</v>
      </c>
      <c r="AY592" s="20">
        <v>7.0000000000000007E-2</v>
      </c>
      <c r="AZ592" s="13">
        <f t="shared" si="279"/>
        <v>860510.00000000012</v>
      </c>
      <c r="BA592" s="15">
        <f t="shared" si="280"/>
        <v>860600</v>
      </c>
      <c r="BB592" s="21">
        <f t="shared" si="285"/>
        <v>2487318</v>
      </c>
      <c r="BC592" s="10">
        <f t="shared" si="286"/>
        <v>0</v>
      </c>
      <c r="BD592" s="10">
        <f t="shared" si="287"/>
        <v>0</v>
      </c>
      <c r="BE592" s="10">
        <v>70.099999999999994</v>
      </c>
      <c r="BF592" s="10">
        <v>32.840000000000003</v>
      </c>
      <c r="BG592" s="107">
        <v>46176</v>
      </c>
      <c r="BH592" s="107">
        <f t="shared" si="261"/>
        <v>46206</v>
      </c>
      <c r="BI592" s="23">
        <v>7</v>
      </c>
      <c r="BJ592" s="6"/>
      <c r="BK592" s="6"/>
      <c r="BL592" s="6">
        <f>VLOOKUP(A592,[2]Sheet1!$D$2:$H$933,5,0)</f>
        <v>0</v>
      </c>
      <c r="BM592" s="6" t="s">
        <v>3828</v>
      </c>
      <c r="BN592" s="6" t="s">
        <v>3829</v>
      </c>
      <c r="BO592" s="6" t="s">
        <v>3820</v>
      </c>
      <c r="BP592" s="6" t="s">
        <v>3821</v>
      </c>
      <c r="BQ592" s="6" t="s">
        <v>3830</v>
      </c>
      <c r="BR592" t="s">
        <v>3823</v>
      </c>
      <c r="BS592" t="s">
        <v>3824</v>
      </c>
      <c r="BT592" t="s">
        <v>3825</v>
      </c>
      <c r="BU592" t="s">
        <v>3826</v>
      </c>
      <c r="BV592" t="s">
        <v>3827</v>
      </c>
      <c r="BW592" t="s">
        <v>3835</v>
      </c>
      <c r="BX592">
        <v>0</v>
      </c>
      <c r="BY592" t="s">
        <v>3861</v>
      </c>
      <c r="BZ592" t="s">
        <v>3860</v>
      </c>
    </row>
    <row r="593" spans="1:78" x14ac:dyDescent="0.25">
      <c r="A593" s="7" t="s">
        <v>2441</v>
      </c>
      <c r="B593" s="7" t="s">
        <v>181</v>
      </c>
      <c r="C593" s="7" t="s">
        <v>2439</v>
      </c>
      <c r="D593" s="8" t="s">
        <v>2440</v>
      </c>
      <c r="E593" s="7" t="s">
        <v>2442</v>
      </c>
      <c r="F593" s="9">
        <v>44963</v>
      </c>
      <c r="G593" s="9" t="s">
        <v>717</v>
      </c>
      <c r="H593" s="9" t="s">
        <v>87</v>
      </c>
      <c r="I593" s="8" t="s">
        <v>78</v>
      </c>
      <c r="J593" s="10">
        <v>463.93</v>
      </c>
      <c r="K593" s="10">
        <v>463.93</v>
      </c>
      <c r="L593" s="10">
        <f t="shared" si="263"/>
        <v>0</v>
      </c>
      <c r="M593" s="10">
        <v>200.21</v>
      </c>
      <c r="N593" s="10">
        <v>200.21</v>
      </c>
      <c r="O593" s="10">
        <f t="shared" si="264"/>
        <v>0</v>
      </c>
      <c r="P593" s="11">
        <v>22000</v>
      </c>
      <c r="Q593" s="11">
        <v>50978.772289096443</v>
      </c>
      <c r="R593" s="11">
        <v>40000</v>
      </c>
      <c r="S593" s="11">
        <v>10206460</v>
      </c>
      <c r="T593" s="11">
        <v>1224776</v>
      </c>
      <c r="U593" s="12">
        <f t="shared" si="265"/>
        <v>0.12000007838173078</v>
      </c>
      <c r="V593" s="13">
        <f t="shared" si="288"/>
        <v>0</v>
      </c>
      <c r="W593" s="10">
        <f t="shared" si="266"/>
        <v>0</v>
      </c>
      <c r="X593" s="10"/>
      <c r="Y593" s="10"/>
      <c r="Z593" s="11">
        <f t="shared" si="267"/>
        <v>10206460</v>
      </c>
      <c r="AA593" s="14"/>
      <c r="AB593" s="14"/>
      <c r="AC593" s="11">
        <f t="shared" si="268"/>
        <v>10206460</v>
      </c>
      <c r="AD593" s="10">
        <f t="shared" si="269"/>
        <v>300</v>
      </c>
      <c r="AE593" s="15">
        <v>60063</v>
      </c>
      <c r="AF593" s="16">
        <v>10812</v>
      </c>
      <c r="AG593" s="15">
        <f t="shared" si="270"/>
        <v>0</v>
      </c>
      <c r="AH593" s="15">
        <f t="shared" si="271"/>
        <v>0</v>
      </c>
      <c r="AI593" s="15">
        <f t="shared" si="272"/>
        <v>60063</v>
      </c>
      <c r="AJ593" s="15">
        <f t="shared" si="273"/>
        <v>10812</v>
      </c>
      <c r="AK593" s="10">
        <v>60063</v>
      </c>
      <c r="AL593" s="15">
        <f t="shared" si="274"/>
        <v>60063</v>
      </c>
      <c r="AM593" s="15">
        <f t="shared" si="275"/>
        <v>10266523</v>
      </c>
      <c r="AN593" s="15">
        <f t="shared" si="276"/>
        <v>1235588</v>
      </c>
      <c r="AO593" s="15">
        <f t="shared" si="281"/>
        <v>1309351</v>
      </c>
      <c r="AP593" s="17">
        <f t="shared" si="277"/>
        <v>11575874</v>
      </c>
      <c r="AQ593" s="15">
        <v>10288113</v>
      </c>
      <c r="AR593" s="15">
        <v>13700</v>
      </c>
      <c r="AS593" s="18">
        <f t="shared" si="282"/>
        <v>1287761</v>
      </c>
      <c r="AT593" s="19">
        <v>0</v>
      </c>
      <c r="AU593" s="8">
        <v>8800</v>
      </c>
      <c r="AV593" s="13">
        <f t="shared" si="283"/>
        <v>1761848</v>
      </c>
      <c r="AW593" s="18">
        <f t="shared" si="284"/>
        <v>10266523</v>
      </c>
      <c r="AX593" s="15">
        <f t="shared" si="278"/>
        <v>10267000</v>
      </c>
      <c r="AY593" s="20">
        <v>7.0000000000000007E-2</v>
      </c>
      <c r="AZ593" s="13">
        <f t="shared" si="279"/>
        <v>718690.00000000012</v>
      </c>
      <c r="BA593" s="15">
        <f t="shared" si="280"/>
        <v>718700</v>
      </c>
      <c r="BB593" s="21">
        <f t="shared" si="285"/>
        <v>2006461</v>
      </c>
      <c r="BC593" s="10">
        <f t="shared" si="286"/>
        <v>0</v>
      </c>
      <c r="BD593" s="10">
        <f t="shared" si="287"/>
        <v>0</v>
      </c>
      <c r="BE593" s="10">
        <v>43.1</v>
      </c>
      <c r="BF593" s="10">
        <v>18.600000000000001</v>
      </c>
      <c r="BG593" s="107">
        <v>46176</v>
      </c>
      <c r="BH593" s="107">
        <f t="shared" si="261"/>
        <v>46206</v>
      </c>
      <c r="BI593" s="23">
        <v>7</v>
      </c>
      <c r="BJ593" s="6"/>
      <c r="BK593" s="6"/>
      <c r="BL593" s="6">
        <f>VLOOKUP(A593,[2]Sheet1!$D$2:$H$933,5,0)</f>
        <v>0</v>
      </c>
      <c r="BM593" s="6" t="s">
        <v>3828</v>
      </c>
      <c r="BN593" s="6" t="s">
        <v>3829</v>
      </c>
      <c r="BO593" s="6" t="s">
        <v>3820</v>
      </c>
      <c r="BP593" s="6" t="s">
        <v>3821</v>
      </c>
      <c r="BQ593" s="6" t="s">
        <v>3830</v>
      </c>
      <c r="BR593" t="s">
        <v>3823</v>
      </c>
      <c r="BS593" t="s">
        <v>3824</v>
      </c>
      <c r="BT593" t="s">
        <v>3825</v>
      </c>
      <c r="BU593" t="s">
        <v>3826</v>
      </c>
      <c r="BV593" t="s">
        <v>3827</v>
      </c>
      <c r="BW593" t="s">
        <v>3835</v>
      </c>
      <c r="BX593">
        <v>0</v>
      </c>
      <c r="BY593" t="s">
        <v>3868</v>
      </c>
      <c r="BZ593" t="s">
        <v>3872</v>
      </c>
    </row>
    <row r="594" spans="1:78" x14ac:dyDescent="0.25">
      <c r="A594" s="7" t="s">
        <v>2445</v>
      </c>
      <c r="B594" s="7" t="s">
        <v>181</v>
      </c>
      <c r="C594" s="7" t="s">
        <v>2443</v>
      </c>
      <c r="D594" s="8" t="s">
        <v>2444</v>
      </c>
      <c r="E594" s="7" t="s">
        <v>2446</v>
      </c>
      <c r="F594" s="9">
        <v>44964</v>
      </c>
      <c r="G594" s="9" t="s">
        <v>404</v>
      </c>
      <c r="H594" s="9" t="s">
        <v>72</v>
      </c>
      <c r="I594" s="8" t="s">
        <v>78</v>
      </c>
      <c r="J594" s="10">
        <v>529.59</v>
      </c>
      <c r="K594" s="10">
        <v>529.59</v>
      </c>
      <c r="L594" s="10">
        <f t="shared" si="263"/>
        <v>0</v>
      </c>
      <c r="M594" s="10">
        <v>233.58</v>
      </c>
      <c r="N594" s="10">
        <v>233.58</v>
      </c>
      <c r="O594" s="10">
        <f t="shared" si="264"/>
        <v>0</v>
      </c>
      <c r="P594" s="11">
        <v>10169.529258482977</v>
      </c>
      <c r="Q594" s="11">
        <v>23057.115335217055</v>
      </c>
      <c r="R594" s="11">
        <v>20000</v>
      </c>
      <c r="S594" s="11">
        <v>5385681</v>
      </c>
      <c r="T594" s="11">
        <v>646282</v>
      </c>
      <c r="U594" s="12">
        <f t="shared" si="265"/>
        <v>0.12000005198971124</v>
      </c>
      <c r="V594" s="13">
        <f t="shared" si="288"/>
        <v>0</v>
      </c>
      <c r="W594" s="10">
        <f t="shared" si="266"/>
        <v>0</v>
      </c>
      <c r="X594" s="10"/>
      <c r="Y594" s="10"/>
      <c r="Z594" s="11">
        <f t="shared" si="267"/>
        <v>5385681</v>
      </c>
      <c r="AA594" s="14"/>
      <c r="AB594" s="14"/>
      <c r="AC594" s="11">
        <f t="shared" si="268"/>
        <v>5385681</v>
      </c>
      <c r="AD594" s="10">
        <f t="shared" si="269"/>
        <v>300</v>
      </c>
      <c r="AE594" s="15">
        <v>70074</v>
      </c>
      <c r="AF594" s="16">
        <v>12614</v>
      </c>
      <c r="AG594" s="15">
        <f t="shared" si="270"/>
        <v>0</v>
      </c>
      <c r="AH594" s="15">
        <f t="shared" si="271"/>
        <v>0</v>
      </c>
      <c r="AI594" s="15">
        <f t="shared" si="272"/>
        <v>70074</v>
      </c>
      <c r="AJ594" s="15">
        <f t="shared" si="273"/>
        <v>12614</v>
      </c>
      <c r="AK594" s="10">
        <v>70074</v>
      </c>
      <c r="AL594" s="15">
        <f t="shared" si="274"/>
        <v>70074</v>
      </c>
      <c r="AM594" s="15">
        <f t="shared" si="275"/>
        <v>5455755</v>
      </c>
      <c r="AN594" s="15">
        <f t="shared" si="276"/>
        <v>658896</v>
      </c>
      <c r="AO594" s="15">
        <f t="shared" si="281"/>
        <v>749548</v>
      </c>
      <c r="AP594" s="17">
        <f t="shared" si="277"/>
        <v>6205303</v>
      </c>
      <c r="AQ594" s="15">
        <v>1053000</v>
      </c>
      <c r="AR594" s="15">
        <v>20578</v>
      </c>
      <c r="AS594" s="18">
        <f t="shared" si="282"/>
        <v>5152303</v>
      </c>
      <c r="AT594" s="19">
        <v>0</v>
      </c>
      <c r="AU594" s="8">
        <v>8800</v>
      </c>
      <c r="AV594" s="13">
        <f t="shared" si="283"/>
        <v>2055504</v>
      </c>
      <c r="AW594" s="18">
        <f t="shared" si="284"/>
        <v>5455755</v>
      </c>
      <c r="AX594" s="15">
        <f t="shared" si="278"/>
        <v>5456000</v>
      </c>
      <c r="AY594" s="20">
        <v>0.05</v>
      </c>
      <c r="AZ594" s="13">
        <f t="shared" si="279"/>
        <v>272800</v>
      </c>
      <c r="BA594" s="15">
        <f t="shared" si="280"/>
        <v>272800</v>
      </c>
      <c r="BB594" s="21">
        <f t="shared" si="285"/>
        <v>5425103</v>
      </c>
      <c r="BC594" s="10">
        <f t="shared" si="286"/>
        <v>0</v>
      </c>
      <c r="BD594" s="10">
        <f t="shared" si="287"/>
        <v>0</v>
      </c>
      <c r="BE594" s="10">
        <v>49.2</v>
      </c>
      <c r="BF594" s="10">
        <v>21.7</v>
      </c>
      <c r="BG594" s="107">
        <v>46176</v>
      </c>
      <c r="BH594" s="107">
        <f t="shared" si="261"/>
        <v>46206</v>
      </c>
      <c r="BI594" s="23">
        <v>5</v>
      </c>
      <c r="BJ594" s="6"/>
      <c r="BK594" s="6"/>
      <c r="BL594" s="6">
        <f>VLOOKUP(A594,[2]Sheet1!$D$2:$H$933,5,0)</f>
        <v>0</v>
      </c>
      <c r="BM594" s="6" t="s">
        <v>3828</v>
      </c>
      <c r="BN594" s="6" t="s">
        <v>3829</v>
      </c>
      <c r="BO594" s="6" t="s">
        <v>3820</v>
      </c>
      <c r="BP594" s="6" t="s">
        <v>3821</v>
      </c>
      <c r="BQ594" s="6" t="s">
        <v>3830</v>
      </c>
      <c r="BR594" t="s">
        <v>3823</v>
      </c>
      <c r="BS594" t="s">
        <v>3824</v>
      </c>
      <c r="BT594" t="s">
        <v>3825</v>
      </c>
      <c r="BU594" t="s">
        <v>3826</v>
      </c>
      <c r="BV594" t="s">
        <v>3827</v>
      </c>
      <c r="BW594" t="s">
        <v>3835</v>
      </c>
      <c r="BX594">
        <v>0</v>
      </c>
      <c r="BY594" t="s">
        <v>3869</v>
      </c>
      <c r="BZ594" t="s">
        <v>3863</v>
      </c>
    </row>
    <row r="595" spans="1:78" x14ac:dyDescent="0.25">
      <c r="A595" s="7" t="s">
        <v>2449</v>
      </c>
      <c r="B595" s="7" t="s">
        <v>181</v>
      </c>
      <c r="C595" s="7" t="s">
        <v>2447</v>
      </c>
      <c r="D595" s="8" t="s">
        <v>2448</v>
      </c>
      <c r="E595" s="7" t="s">
        <v>2450</v>
      </c>
      <c r="F595" s="9">
        <v>44895</v>
      </c>
      <c r="G595" s="9" t="s">
        <v>65</v>
      </c>
      <c r="H595" s="9" t="s">
        <v>66</v>
      </c>
      <c r="I595" s="8" t="s">
        <v>78</v>
      </c>
      <c r="J595" s="10">
        <v>650.15</v>
      </c>
      <c r="K595" s="10">
        <v>650.15</v>
      </c>
      <c r="L595" s="10">
        <f t="shared" si="263"/>
        <v>0</v>
      </c>
      <c r="M595" s="10">
        <v>298.7</v>
      </c>
      <c r="N595" s="10">
        <v>298.7</v>
      </c>
      <c r="O595" s="10">
        <f t="shared" si="264"/>
        <v>0</v>
      </c>
      <c r="P595" s="11">
        <v>16849.999230946705</v>
      </c>
      <c r="Q595" s="11">
        <v>36675.684633411453</v>
      </c>
      <c r="R595" s="11">
        <v>22000</v>
      </c>
      <c r="S595" s="11">
        <v>10955027</v>
      </c>
      <c r="T595" s="11">
        <v>1314604</v>
      </c>
      <c r="U595" s="12">
        <f t="shared" si="265"/>
        <v>0.12000006937454376</v>
      </c>
      <c r="V595" s="13">
        <f t="shared" si="288"/>
        <v>0</v>
      </c>
      <c r="W595" s="10">
        <f t="shared" si="266"/>
        <v>0</v>
      </c>
      <c r="X595" s="10"/>
      <c r="Y595" s="10"/>
      <c r="Z595" s="11">
        <f t="shared" si="267"/>
        <v>10955027</v>
      </c>
      <c r="AA595" s="14"/>
      <c r="AB595" s="14"/>
      <c r="AC595" s="11">
        <f t="shared" si="268"/>
        <v>10955027</v>
      </c>
      <c r="AD595" s="10">
        <f t="shared" si="269"/>
        <v>300</v>
      </c>
      <c r="AE595" s="15">
        <v>89610</v>
      </c>
      <c r="AF595" s="16">
        <v>16130</v>
      </c>
      <c r="AG595" s="15">
        <f t="shared" si="270"/>
        <v>0</v>
      </c>
      <c r="AH595" s="15">
        <f t="shared" si="271"/>
        <v>0</v>
      </c>
      <c r="AI595" s="15">
        <f t="shared" si="272"/>
        <v>89610</v>
      </c>
      <c r="AJ595" s="15">
        <f t="shared" si="273"/>
        <v>16130</v>
      </c>
      <c r="AK595" s="10">
        <v>89610</v>
      </c>
      <c r="AL595" s="15">
        <f t="shared" si="274"/>
        <v>89610</v>
      </c>
      <c r="AM595" s="15">
        <f t="shared" si="275"/>
        <v>11044637</v>
      </c>
      <c r="AN595" s="15">
        <f t="shared" si="276"/>
        <v>1330734</v>
      </c>
      <c r="AO595" s="15">
        <f t="shared" si="281"/>
        <v>1434093.6</v>
      </c>
      <c r="AP595" s="17">
        <f t="shared" si="277"/>
        <v>12478730.6</v>
      </c>
      <c r="AQ595" s="15">
        <v>11042229.9</v>
      </c>
      <c r="AR595" s="15">
        <v>13749.6</v>
      </c>
      <c r="AS595" s="18">
        <f t="shared" si="282"/>
        <v>1436501</v>
      </c>
      <c r="AT595" s="19">
        <v>0</v>
      </c>
      <c r="AU595" s="8">
        <v>8800</v>
      </c>
      <c r="AV595" s="13">
        <f t="shared" si="283"/>
        <v>2628560</v>
      </c>
      <c r="AW595" s="18">
        <f t="shared" si="284"/>
        <v>11044637</v>
      </c>
      <c r="AX595" s="15">
        <f t="shared" si="278"/>
        <v>11045000</v>
      </c>
      <c r="AY595" s="20">
        <v>0.06</v>
      </c>
      <c r="AZ595" s="13">
        <f t="shared" si="279"/>
        <v>662700</v>
      </c>
      <c r="BA595" s="15">
        <f t="shared" si="280"/>
        <v>662700</v>
      </c>
      <c r="BB595" s="21">
        <f t="shared" si="285"/>
        <v>2099201</v>
      </c>
      <c r="BC595" s="10">
        <f t="shared" si="286"/>
        <v>0</v>
      </c>
      <c r="BD595" s="10">
        <f t="shared" si="287"/>
        <v>0</v>
      </c>
      <c r="BE595" s="10">
        <v>60.4</v>
      </c>
      <c r="BF595" s="10">
        <v>27.75</v>
      </c>
      <c r="BG595" s="107">
        <v>46176</v>
      </c>
      <c r="BH595" s="107">
        <f t="shared" si="261"/>
        <v>46206</v>
      </c>
      <c r="BI595" s="23">
        <v>6</v>
      </c>
      <c r="BJ595" s="6"/>
      <c r="BK595" s="6"/>
      <c r="BL595" s="6">
        <f>VLOOKUP(A595,[2]Sheet1!$D$2:$H$933,5,0)</f>
        <v>0</v>
      </c>
      <c r="BM595" s="6" t="s">
        <v>3828</v>
      </c>
      <c r="BN595" s="6" t="s">
        <v>3829</v>
      </c>
      <c r="BO595" s="6" t="s">
        <v>3820</v>
      </c>
      <c r="BP595" s="6" t="s">
        <v>3821</v>
      </c>
      <c r="BQ595" s="6" t="s">
        <v>3830</v>
      </c>
      <c r="BR595" t="s">
        <v>3823</v>
      </c>
      <c r="BS595" t="s">
        <v>3824</v>
      </c>
      <c r="BT595" t="s">
        <v>3825</v>
      </c>
      <c r="BU595" t="s">
        <v>3826</v>
      </c>
      <c r="BV595" t="s">
        <v>3827</v>
      </c>
      <c r="BW595" t="s">
        <v>3835</v>
      </c>
      <c r="BX595">
        <v>0</v>
      </c>
      <c r="BY595" t="s">
        <v>3869</v>
      </c>
      <c r="BZ595" t="s">
        <v>3860</v>
      </c>
    </row>
    <row r="596" spans="1:78" x14ac:dyDescent="0.25">
      <c r="A596" s="7" t="s">
        <v>2453</v>
      </c>
      <c r="B596" s="7" t="s">
        <v>181</v>
      </c>
      <c r="C596" s="7" t="s">
        <v>2451</v>
      </c>
      <c r="D596" s="8" t="s">
        <v>2452</v>
      </c>
      <c r="E596" s="7" t="s">
        <v>2454</v>
      </c>
      <c r="F596" s="9">
        <v>45097</v>
      </c>
      <c r="G596" s="9" t="s">
        <v>527</v>
      </c>
      <c r="H596" s="9" t="s">
        <v>87</v>
      </c>
      <c r="I596" s="8" t="s">
        <v>67</v>
      </c>
      <c r="J596" s="10">
        <v>321.72000000000003</v>
      </c>
      <c r="K596" s="10">
        <v>321.72000000000003</v>
      </c>
      <c r="L596" s="10">
        <f t="shared" si="263"/>
        <v>0</v>
      </c>
      <c r="M596" s="10">
        <v>127.02</v>
      </c>
      <c r="N596" s="10">
        <v>127.02</v>
      </c>
      <c r="O596" s="10">
        <f t="shared" si="264"/>
        <v>0</v>
      </c>
      <c r="P596" s="11">
        <v>19779.690414024615</v>
      </c>
      <c r="Q596" s="11">
        <v>50098.582900330657</v>
      </c>
      <c r="R596" s="11">
        <v>40000</v>
      </c>
      <c r="S596" s="11">
        <v>6363522</v>
      </c>
      <c r="T596" s="11">
        <v>763622</v>
      </c>
      <c r="U596" s="12">
        <f t="shared" si="265"/>
        <v>0.11999989942676398</v>
      </c>
      <c r="V596" s="13">
        <f t="shared" si="288"/>
        <v>0</v>
      </c>
      <c r="W596" s="10">
        <f t="shared" si="266"/>
        <v>0</v>
      </c>
      <c r="X596" s="10"/>
      <c r="Y596" s="10"/>
      <c r="Z596" s="11">
        <f t="shared" si="267"/>
        <v>6363522</v>
      </c>
      <c r="AA596" s="14"/>
      <c r="AB596" s="14"/>
      <c r="AC596" s="11">
        <f t="shared" si="268"/>
        <v>6363522</v>
      </c>
      <c r="AD596" s="10">
        <f t="shared" si="269"/>
        <v>300</v>
      </c>
      <c r="AE596" s="15">
        <v>38106</v>
      </c>
      <c r="AF596" s="16">
        <v>6860</v>
      </c>
      <c r="AG596" s="15">
        <f t="shared" si="270"/>
        <v>0</v>
      </c>
      <c r="AH596" s="15">
        <f t="shared" si="271"/>
        <v>0</v>
      </c>
      <c r="AI596" s="15">
        <f t="shared" si="272"/>
        <v>38106</v>
      </c>
      <c r="AJ596" s="15">
        <f t="shared" si="273"/>
        <v>6860</v>
      </c>
      <c r="AK596" s="10">
        <v>38106</v>
      </c>
      <c r="AL596" s="15">
        <f t="shared" si="274"/>
        <v>38106</v>
      </c>
      <c r="AM596" s="15">
        <f t="shared" si="275"/>
        <v>6401628</v>
      </c>
      <c r="AN596" s="15">
        <f t="shared" si="276"/>
        <v>770482</v>
      </c>
      <c r="AO596" s="15">
        <f t="shared" si="281"/>
        <v>829340</v>
      </c>
      <c r="AP596" s="17">
        <f t="shared" si="277"/>
        <v>7230968</v>
      </c>
      <c r="AQ596" s="15">
        <v>2240000</v>
      </c>
      <c r="AR596" s="15">
        <v>20752</v>
      </c>
      <c r="AS596" s="18">
        <f t="shared" si="282"/>
        <v>4990968</v>
      </c>
      <c r="AT596" s="19">
        <v>0</v>
      </c>
      <c r="AU596" s="8">
        <v>8800</v>
      </c>
      <c r="AV596" s="13">
        <f t="shared" si="283"/>
        <v>1117776</v>
      </c>
      <c r="AW596" s="18">
        <f t="shared" si="284"/>
        <v>6401628</v>
      </c>
      <c r="AX596" s="15">
        <f t="shared" si="278"/>
        <v>6402000</v>
      </c>
      <c r="AY596" s="20">
        <v>7.0000000000000007E-2</v>
      </c>
      <c r="AZ596" s="13">
        <f t="shared" si="279"/>
        <v>448140.00000000006</v>
      </c>
      <c r="BA596" s="15">
        <f t="shared" si="280"/>
        <v>448200</v>
      </c>
      <c r="BB596" s="21">
        <f t="shared" si="285"/>
        <v>5439168</v>
      </c>
      <c r="BC596" s="10">
        <f t="shared" si="286"/>
        <v>0</v>
      </c>
      <c r="BD596" s="10">
        <f t="shared" si="287"/>
        <v>0</v>
      </c>
      <c r="BE596" s="10">
        <v>29.89</v>
      </c>
      <c r="BF596" s="10">
        <v>11.8</v>
      </c>
      <c r="BG596" s="107">
        <v>46176</v>
      </c>
      <c r="BH596" s="107">
        <f t="shared" si="261"/>
        <v>46206</v>
      </c>
      <c r="BI596" s="23">
        <v>7</v>
      </c>
      <c r="BJ596" s="6"/>
      <c r="BK596" s="24"/>
      <c r="BL596" s="6">
        <f>VLOOKUP(A596,[2]Sheet1!$D$2:$H$933,5,0)</f>
        <v>0</v>
      </c>
      <c r="BM596" s="6" t="s">
        <v>3828</v>
      </c>
      <c r="BN596" s="6" t="s">
        <v>3829</v>
      </c>
      <c r="BO596" s="6" t="s">
        <v>3820</v>
      </c>
      <c r="BP596" s="6" t="s">
        <v>3821</v>
      </c>
      <c r="BQ596" s="6" t="s">
        <v>3830</v>
      </c>
      <c r="BR596" t="s">
        <v>3823</v>
      </c>
      <c r="BS596" t="s">
        <v>3824</v>
      </c>
      <c r="BT596" t="s">
        <v>3825</v>
      </c>
      <c r="BU596" t="s">
        <v>3826</v>
      </c>
      <c r="BV596" t="s">
        <v>3827</v>
      </c>
      <c r="BW596" t="s">
        <v>3835</v>
      </c>
      <c r="BX596">
        <v>0</v>
      </c>
      <c r="BY596" t="s">
        <v>3869</v>
      </c>
      <c r="BZ596" t="s">
        <v>3871</v>
      </c>
    </row>
    <row r="597" spans="1:78" x14ac:dyDescent="0.25">
      <c r="A597" s="7" t="s">
        <v>2457</v>
      </c>
      <c r="B597" s="7" t="s">
        <v>181</v>
      </c>
      <c r="C597" s="7" t="s">
        <v>2455</v>
      </c>
      <c r="D597" s="8" t="s">
        <v>2456</v>
      </c>
      <c r="E597" s="7" t="s">
        <v>2458</v>
      </c>
      <c r="F597" s="9">
        <v>45413</v>
      </c>
      <c r="G597" s="9" t="s">
        <v>65</v>
      </c>
      <c r="H597" s="9" t="s">
        <v>92</v>
      </c>
      <c r="I597" s="8" t="s">
        <v>67</v>
      </c>
      <c r="J597" s="10">
        <v>424.58</v>
      </c>
      <c r="K597" s="10">
        <v>424.58</v>
      </c>
      <c r="L597" s="10">
        <f t="shared" si="263"/>
        <v>0</v>
      </c>
      <c r="M597" s="10">
        <v>174.92</v>
      </c>
      <c r="N597" s="10">
        <v>174.92</v>
      </c>
      <c r="O597" s="10">
        <f t="shared" si="264"/>
        <v>0</v>
      </c>
      <c r="P597" s="11">
        <v>19902.807480333508</v>
      </c>
      <c r="Q597" s="11">
        <v>48309.707294763321</v>
      </c>
      <c r="R597" s="11">
        <v>28000</v>
      </c>
      <c r="S597" s="11">
        <v>8450334</v>
      </c>
      <c r="T597" s="11">
        <v>1014042</v>
      </c>
      <c r="U597" s="12">
        <f t="shared" si="265"/>
        <v>0.12000022720995407</v>
      </c>
      <c r="V597" s="13">
        <f t="shared" si="288"/>
        <v>0</v>
      </c>
      <c r="W597" s="10">
        <f t="shared" si="266"/>
        <v>0</v>
      </c>
      <c r="X597" s="10"/>
      <c r="Y597" s="10"/>
      <c r="Z597" s="11">
        <f t="shared" si="267"/>
        <v>8450334</v>
      </c>
      <c r="AA597" s="14"/>
      <c r="AB597" s="14"/>
      <c r="AC597" s="11">
        <f t="shared" si="268"/>
        <v>8450334</v>
      </c>
      <c r="AD597" s="10">
        <f t="shared" si="269"/>
        <v>300</v>
      </c>
      <c r="AE597" s="15">
        <v>52476</v>
      </c>
      <c r="AF597" s="16">
        <v>9446</v>
      </c>
      <c r="AG597" s="15">
        <f t="shared" si="270"/>
        <v>0</v>
      </c>
      <c r="AH597" s="15">
        <f t="shared" si="271"/>
        <v>0</v>
      </c>
      <c r="AI597" s="15">
        <f t="shared" si="272"/>
        <v>52475.999999999993</v>
      </c>
      <c r="AJ597" s="15">
        <f t="shared" si="273"/>
        <v>9446</v>
      </c>
      <c r="AK597" s="10">
        <v>52476</v>
      </c>
      <c r="AL597" s="15">
        <f t="shared" si="274"/>
        <v>52475.999999999993</v>
      </c>
      <c r="AM597" s="15">
        <f t="shared" si="275"/>
        <v>8502810</v>
      </c>
      <c r="AN597" s="15">
        <f t="shared" si="276"/>
        <v>1023488</v>
      </c>
      <c r="AO597" s="15">
        <f t="shared" si="281"/>
        <v>1096723</v>
      </c>
      <c r="AP597" s="17">
        <f t="shared" si="277"/>
        <v>9599533</v>
      </c>
      <c r="AQ597" s="15">
        <v>4447690</v>
      </c>
      <c r="AR597" s="15">
        <v>20759</v>
      </c>
      <c r="AS597" s="18">
        <f t="shared" si="282"/>
        <v>5151843</v>
      </c>
      <c r="AT597" s="19">
        <v>0</v>
      </c>
      <c r="AU597" s="8">
        <v>8800</v>
      </c>
      <c r="AV597" s="13">
        <f t="shared" si="283"/>
        <v>1539296</v>
      </c>
      <c r="AW597" s="18">
        <f t="shared" si="284"/>
        <v>8502810</v>
      </c>
      <c r="AX597" s="15">
        <f t="shared" si="278"/>
        <v>8503000</v>
      </c>
      <c r="AY597" s="20">
        <v>7.0000000000000007E-2</v>
      </c>
      <c r="AZ597" s="13">
        <f t="shared" si="279"/>
        <v>595210</v>
      </c>
      <c r="BA597" s="15">
        <f t="shared" si="280"/>
        <v>595300</v>
      </c>
      <c r="BB597" s="21">
        <f t="shared" si="285"/>
        <v>5747143</v>
      </c>
      <c r="BC597" s="10">
        <f t="shared" si="286"/>
        <v>0</v>
      </c>
      <c r="BD597" s="10">
        <f t="shared" si="287"/>
        <v>0</v>
      </c>
      <c r="BE597" s="10">
        <v>39.44</v>
      </c>
      <c r="BF597" s="10">
        <v>16.25</v>
      </c>
      <c r="BG597" s="107">
        <v>46176</v>
      </c>
      <c r="BH597" s="107">
        <f t="shared" si="261"/>
        <v>46206</v>
      </c>
      <c r="BI597" s="23">
        <v>7</v>
      </c>
      <c r="BJ597" s="6"/>
      <c r="BK597" s="6"/>
      <c r="BL597" s="6">
        <f>VLOOKUP(A597,[2]Sheet1!$D$2:$H$933,5,0)</f>
        <v>0</v>
      </c>
      <c r="BM597" s="6" t="s">
        <v>3828</v>
      </c>
      <c r="BN597" s="6" t="s">
        <v>3829</v>
      </c>
      <c r="BO597" s="6" t="s">
        <v>3820</v>
      </c>
      <c r="BP597" s="6" t="s">
        <v>3821</v>
      </c>
      <c r="BQ597" s="6" t="s">
        <v>3830</v>
      </c>
      <c r="BR597" t="s">
        <v>3823</v>
      </c>
      <c r="BS597" t="s">
        <v>3824</v>
      </c>
      <c r="BT597" t="s">
        <v>3825</v>
      </c>
      <c r="BU597" t="s">
        <v>3826</v>
      </c>
      <c r="BV597" t="s">
        <v>3827</v>
      </c>
      <c r="BW597" t="s">
        <v>3835</v>
      </c>
      <c r="BX597">
        <v>0</v>
      </c>
      <c r="BY597" t="s">
        <v>3864</v>
      </c>
      <c r="BZ597" t="s">
        <v>3860</v>
      </c>
    </row>
    <row r="598" spans="1:78" x14ac:dyDescent="0.25">
      <c r="A598" s="7" t="s">
        <v>2461</v>
      </c>
      <c r="B598" s="7" t="s">
        <v>181</v>
      </c>
      <c r="C598" s="7" t="s">
        <v>2459</v>
      </c>
      <c r="D598" s="8" t="s">
        <v>2460</v>
      </c>
      <c r="E598" s="7" t="s">
        <v>2462</v>
      </c>
      <c r="F598" s="9">
        <v>44900</v>
      </c>
      <c r="G598" s="9" t="s">
        <v>717</v>
      </c>
      <c r="H598" s="9" t="s">
        <v>72</v>
      </c>
      <c r="I598" s="8" t="s">
        <v>78</v>
      </c>
      <c r="J598" s="10">
        <v>596.33000000000004</v>
      </c>
      <c r="K598" s="10">
        <v>610</v>
      </c>
      <c r="L598" s="10">
        <f t="shared" si="263"/>
        <v>13.669999999999959</v>
      </c>
      <c r="M598" s="10">
        <v>266.95</v>
      </c>
      <c r="N598" s="10">
        <v>275</v>
      </c>
      <c r="O598" s="10">
        <f t="shared" si="264"/>
        <v>8.0500000000000114</v>
      </c>
      <c r="P598" s="11">
        <v>13304.998909999496</v>
      </c>
      <c r="Q598" s="11">
        <v>29721.558344259225</v>
      </c>
      <c r="R598" s="11">
        <v>20000</v>
      </c>
      <c r="S598" s="11">
        <v>7934170</v>
      </c>
      <c r="T598" s="11">
        <v>952100</v>
      </c>
      <c r="U598" s="12">
        <f t="shared" si="265"/>
        <v>0.1199999495851488</v>
      </c>
      <c r="V598" s="13">
        <f>L598*R598</f>
        <v>273399.99999999919</v>
      </c>
      <c r="W598" s="10">
        <f t="shared" si="266"/>
        <v>32807.986216579586</v>
      </c>
      <c r="X598" s="15"/>
      <c r="Y598" s="15"/>
      <c r="Z598" s="11">
        <f t="shared" si="267"/>
        <v>8207569.9999999991</v>
      </c>
      <c r="AA598" s="14"/>
      <c r="AB598" s="14"/>
      <c r="AC598" s="11">
        <f t="shared" si="268"/>
        <v>8207569.9999999991</v>
      </c>
      <c r="AD598" s="10">
        <f t="shared" si="269"/>
        <v>300</v>
      </c>
      <c r="AE598" s="15">
        <v>80085</v>
      </c>
      <c r="AF598" s="16">
        <v>14416</v>
      </c>
      <c r="AG598" s="15">
        <f t="shared" si="270"/>
        <v>2415.0000000000036</v>
      </c>
      <c r="AH598" s="15">
        <f t="shared" si="271"/>
        <v>434.70000000000061</v>
      </c>
      <c r="AI598" s="15">
        <f t="shared" si="272"/>
        <v>82500</v>
      </c>
      <c r="AJ598" s="15">
        <f t="shared" si="273"/>
        <v>14850</v>
      </c>
      <c r="AK598" s="10">
        <v>80085</v>
      </c>
      <c r="AL598" s="15">
        <f t="shared" si="274"/>
        <v>82500</v>
      </c>
      <c r="AM598" s="15">
        <f t="shared" si="275"/>
        <v>8290070</v>
      </c>
      <c r="AN598" s="15">
        <f t="shared" si="276"/>
        <v>999758</v>
      </c>
      <c r="AO598" s="15">
        <f t="shared" si="281"/>
        <v>1098774.24</v>
      </c>
      <c r="AP598" s="17">
        <f t="shared" si="277"/>
        <v>9388844.2400000002</v>
      </c>
      <c r="AQ598" s="15">
        <v>4443135</v>
      </c>
      <c r="AR598" s="15">
        <v>16516.240000000002</v>
      </c>
      <c r="AS598" s="18">
        <f t="shared" si="282"/>
        <v>4945709</v>
      </c>
      <c r="AT598" s="19">
        <v>0</v>
      </c>
      <c r="AU598" s="8">
        <v>8800</v>
      </c>
      <c r="AV598" s="13">
        <f t="shared" si="283"/>
        <v>2420000</v>
      </c>
      <c r="AW598" s="18">
        <f t="shared" si="284"/>
        <v>8290070</v>
      </c>
      <c r="AX598" s="15">
        <f t="shared" si="278"/>
        <v>8291000</v>
      </c>
      <c r="AY598" s="20">
        <v>0.05</v>
      </c>
      <c r="AZ598" s="13">
        <f t="shared" si="279"/>
        <v>414550</v>
      </c>
      <c r="BA598" s="15">
        <f t="shared" si="280"/>
        <v>414600</v>
      </c>
      <c r="BB598" s="21">
        <f t="shared" si="285"/>
        <v>5360309</v>
      </c>
      <c r="BC598" s="10">
        <f t="shared" si="286"/>
        <v>2.2923549041637949</v>
      </c>
      <c r="BD598" s="10">
        <f t="shared" si="287"/>
        <v>3.0155459823937112</v>
      </c>
      <c r="BE598" s="10">
        <v>56.67</v>
      </c>
      <c r="BF598" s="10">
        <v>25.55</v>
      </c>
      <c r="BG598" s="107">
        <v>46176</v>
      </c>
      <c r="BH598" s="107">
        <f t="shared" si="261"/>
        <v>46206</v>
      </c>
      <c r="BI598" s="23">
        <v>5</v>
      </c>
      <c r="BJ598" s="6"/>
      <c r="BK598" s="6"/>
      <c r="BL598" s="6">
        <f>VLOOKUP(A598,[2]Sheet1!$D$2:$H$933,5,0)</f>
        <v>0</v>
      </c>
      <c r="BM598" s="6" t="s">
        <v>3828</v>
      </c>
      <c r="BN598" s="6" t="s">
        <v>3829</v>
      </c>
      <c r="BO598" s="6" t="s">
        <v>3820</v>
      </c>
      <c r="BP598" s="6" t="s">
        <v>3821</v>
      </c>
      <c r="BQ598" s="6" t="s">
        <v>3830</v>
      </c>
      <c r="BR598" t="s">
        <v>3823</v>
      </c>
      <c r="BS598" t="s">
        <v>3824</v>
      </c>
      <c r="BT598" t="s">
        <v>3825</v>
      </c>
      <c r="BU598" t="s">
        <v>3826</v>
      </c>
      <c r="BV598" t="s">
        <v>3827</v>
      </c>
      <c r="BW598" t="s">
        <v>3835</v>
      </c>
      <c r="BX598">
        <v>0</v>
      </c>
      <c r="BY598" t="s">
        <v>3869</v>
      </c>
      <c r="BZ598" t="s">
        <v>3872</v>
      </c>
    </row>
    <row r="599" spans="1:78" x14ac:dyDescent="0.25">
      <c r="A599" s="7" t="s">
        <v>2465</v>
      </c>
      <c r="B599" s="7" t="s">
        <v>181</v>
      </c>
      <c r="C599" s="7" t="s">
        <v>2463</v>
      </c>
      <c r="D599" s="8" t="s">
        <v>2464</v>
      </c>
      <c r="E599" s="7" t="s">
        <v>2466</v>
      </c>
      <c r="F599" s="9">
        <v>45135</v>
      </c>
      <c r="G599" s="9" t="s">
        <v>77</v>
      </c>
      <c r="H599" s="9" t="s">
        <v>92</v>
      </c>
      <c r="I599" s="8" t="s">
        <v>78</v>
      </c>
      <c r="J599" s="10">
        <v>1218.48</v>
      </c>
      <c r="K599" s="10">
        <v>1218.48</v>
      </c>
      <c r="L599" s="10">
        <f t="shared" si="263"/>
        <v>0</v>
      </c>
      <c r="M599" s="10">
        <v>564.03</v>
      </c>
      <c r="N599" s="10">
        <v>564.03</v>
      </c>
      <c r="O599" s="10">
        <f t="shared" si="264"/>
        <v>0</v>
      </c>
      <c r="P599" s="11">
        <v>15999.999179305363</v>
      </c>
      <c r="Q599" s="11">
        <v>34564.968175451664</v>
      </c>
      <c r="R599" s="11">
        <v>28000</v>
      </c>
      <c r="S599" s="11">
        <v>19495679</v>
      </c>
      <c r="T599" s="11">
        <v>2339482</v>
      </c>
      <c r="U599" s="12">
        <f t="shared" si="265"/>
        <v>0.12000002667257703</v>
      </c>
      <c r="V599" s="13">
        <f t="shared" ref="V599:V606" si="289">L599*P599</f>
        <v>0</v>
      </c>
      <c r="W599" s="10">
        <f t="shared" si="266"/>
        <v>0</v>
      </c>
      <c r="X599" s="10"/>
      <c r="Y599" s="10"/>
      <c r="Z599" s="11">
        <f t="shared" si="267"/>
        <v>19495679</v>
      </c>
      <c r="AA599" s="14"/>
      <c r="AB599" s="14"/>
      <c r="AC599" s="11">
        <f t="shared" si="268"/>
        <v>19495679</v>
      </c>
      <c r="AD599" s="10">
        <f t="shared" si="269"/>
        <v>300</v>
      </c>
      <c r="AE599" s="15">
        <v>169209</v>
      </c>
      <c r="AF599" s="16">
        <v>30458</v>
      </c>
      <c r="AG599" s="15">
        <f t="shared" si="270"/>
        <v>0</v>
      </c>
      <c r="AH599" s="15">
        <f t="shared" si="271"/>
        <v>0</v>
      </c>
      <c r="AI599" s="15">
        <f t="shared" si="272"/>
        <v>169209</v>
      </c>
      <c r="AJ599" s="15">
        <f t="shared" si="273"/>
        <v>30458</v>
      </c>
      <c r="AK599" s="10">
        <v>169209</v>
      </c>
      <c r="AL599" s="15">
        <f t="shared" si="274"/>
        <v>169209</v>
      </c>
      <c r="AM599" s="15">
        <f t="shared" si="275"/>
        <v>19664888</v>
      </c>
      <c r="AN599" s="15">
        <f t="shared" si="276"/>
        <v>2369940</v>
      </c>
      <c r="AO599" s="15">
        <f t="shared" si="281"/>
        <v>2553382.12</v>
      </c>
      <c r="AP599" s="17">
        <f t="shared" si="277"/>
        <v>22218270.120000001</v>
      </c>
      <c r="AQ599" s="15">
        <v>19608053</v>
      </c>
      <c r="AR599" s="15">
        <v>14233.12</v>
      </c>
      <c r="AS599" s="18">
        <f t="shared" si="282"/>
        <v>2610217</v>
      </c>
      <c r="AT599" s="19">
        <v>0</v>
      </c>
      <c r="AU599" s="8">
        <v>8800</v>
      </c>
      <c r="AV599" s="13">
        <f t="shared" si="283"/>
        <v>4963464</v>
      </c>
      <c r="AW599" s="18">
        <f t="shared" si="284"/>
        <v>19664888</v>
      </c>
      <c r="AX599" s="15">
        <f t="shared" si="278"/>
        <v>19665000</v>
      </c>
      <c r="AY599" s="20">
        <v>7.0000000000000007E-2</v>
      </c>
      <c r="AZ599" s="13">
        <f t="shared" si="279"/>
        <v>1376550.0000000002</v>
      </c>
      <c r="BA599" s="15">
        <f t="shared" si="280"/>
        <v>1376600</v>
      </c>
      <c r="BB599" s="21">
        <f t="shared" si="285"/>
        <v>3986817</v>
      </c>
      <c r="BC599" s="10">
        <f t="shared" si="286"/>
        <v>0</v>
      </c>
      <c r="BD599" s="10">
        <f t="shared" si="287"/>
        <v>0</v>
      </c>
      <c r="BE599" s="10">
        <v>113.2</v>
      </c>
      <c r="BF599" s="10">
        <v>52.4</v>
      </c>
      <c r="BG599" s="107">
        <v>46176</v>
      </c>
      <c r="BH599" s="107">
        <f t="shared" si="261"/>
        <v>46206</v>
      </c>
      <c r="BI599" s="23">
        <v>7</v>
      </c>
      <c r="BJ599" s="6"/>
      <c r="BK599" s="24"/>
      <c r="BL599" s="6">
        <f>VLOOKUP(A599,[2]Sheet1!$D$2:$H$933,5,0)</f>
        <v>0</v>
      </c>
      <c r="BM599" s="6" t="s">
        <v>3828</v>
      </c>
      <c r="BN599" s="6" t="s">
        <v>3829</v>
      </c>
      <c r="BO599" s="6" t="s">
        <v>3820</v>
      </c>
      <c r="BP599" s="6" t="s">
        <v>3821</v>
      </c>
      <c r="BQ599" s="6" t="s">
        <v>3830</v>
      </c>
      <c r="BR599" t="s">
        <v>3823</v>
      </c>
      <c r="BS599" t="s">
        <v>3824</v>
      </c>
      <c r="BT599" t="s">
        <v>3825</v>
      </c>
      <c r="BU599" t="s">
        <v>3826</v>
      </c>
      <c r="BV599" t="s">
        <v>3827</v>
      </c>
      <c r="BW599" t="s">
        <v>3835</v>
      </c>
      <c r="BX599">
        <v>0</v>
      </c>
      <c r="BY599" t="s">
        <v>3869</v>
      </c>
      <c r="BZ599" t="s">
        <v>3863</v>
      </c>
    </row>
    <row r="600" spans="1:78" x14ac:dyDescent="0.25">
      <c r="A600" s="7" t="s">
        <v>2469</v>
      </c>
      <c r="B600" s="7" t="s">
        <v>181</v>
      </c>
      <c r="C600" s="7" t="s">
        <v>2467</v>
      </c>
      <c r="D600" s="8" t="s">
        <v>2468</v>
      </c>
      <c r="E600" s="7" t="s">
        <v>2470</v>
      </c>
      <c r="F600" s="9">
        <v>45062</v>
      </c>
      <c r="G600" s="9" t="s">
        <v>65</v>
      </c>
      <c r="H600" s="9" t="s">
        <v>92</v>
      </c>
      <c r="I600" s="8" t="s">
        <v>78</v>
      </c>
      <c r="J600" s="10">
        <v>611.4</v>
      </c>
      <c r="K600" s="10">
        <v>611.4</v>
      </c>
      <c r="L600" s="10">
        <f t="shared" si="263"/>
        <v>0</v>
      </c>
      <c r="M600" s="10">
        <v>281.48</v>
      </c>
      <c r="N600" s="10">
        <v>281.48</v>
      </c>
      <c r="O600" s="10">
        <f t="shared" si="264"/>
        <v>0</v>
      </c>
      <c r="P600" s="11">
        <v>10011.768073274452</v>
      </c>
      <c r="Q600" s="11">
        <v>21746.465112974278</v>
      </c>
      <c r="R600" s="11">
        <v>28000</v>
      </c>
      <c r="S600" s="11">
        <v>6121195</v>
      </c>
      <c r="T600" s="11">
        <v>734544</v>
      </c>
      <c r="U600" s="12">
        <f t="shared" si="265"/>
        <v>0.12000009802007615</v>
      </c>
      <c r="V600" s="13">
        <f t="shared" si="289"/>
        <v>0</v>
      </c>
      <c r="W600" s="10">
        <f t="shared" si="266"/>
        <v>0</v>
      </c>
      <c r="X600" s="10"/>
      <c r="Y600" s="10"/>
      <c r="Z600" s="11">
        <f t="shared" si="267"/>
        <v>6121195</v>
      </c>
      <c r="AA600" s="14"/>
      <c r="AB600" s="14"/>
      <c r="AC600" s="11">
        <f t="shared" si="268"/>
        <v>6121195</v>
      </c>
      <c r="AD600" s="10">
        <f t="shared" si="269"/>
        <v>300</v>
      </c>
      <c r="AE600" s="15">
        <v>84444</v>
      </c>
      <c r="AF600" s="16">
        <v>15200</v>
      </c>
      <c r="AG600" s="15">
        <f t="shared" si="270"/>
        <v>0</v>
      </c>
      <c r="AH600" s="15">
        <f t="shared" si="271"/>
        <v>0</v>
      </c>
      <c r="AI600" s="15">
        <f t="shared" si="272"/>
        <v>84444</v>
      </c>
      <c r="AJ600" s="15">
        <f t="shared" si="273"/>
        <v>15200</v>
      </c>
      <c r="AK600" s="10">
        <v>84444</v>
      </c>
      <c r="AL600" s="15">
        <f t="shared" si="274"/>
        <v>84444</v>
      </c>
      <c r="AM600" s="15">
        <f t="shared" si="275"/>
        <v>6205639</v>
      </c>
      <c r="AN600" s="15">
        <f t="shared" si="276"/>
        <v>749744</v>
      </c>
      <c r="AO600" s="15">
        <f t="shared" si="281"/>
        <v>855510</v>
      </c>
      <c r="AP600" s="17">
        <f t="shared" si="277"/>
        <v>7061149</v>
      </c>
      <c r="AQ600" s="15">
        <v>1120000</v>
      </c>
      <c r="AR600" s="15">
        <v>21322</v>
      </c>
      <c r="AS600" s="18">
        <f t="shared" si="282"/>
        <v>5941149</v>
      </c>
      <c r="AT600" s="19">
        <v>0</v>
      </c>
      <c r="AU600" s="8">
        <v>8800</v>
      </c>
      <c r="AV600" s="13">
        <f t="shared" si="283"/>
        <v>2477024</v>
      </c>
      <c r="AW600" s="18">
        <f t="shared" si="284"/>
        <v>6205639</v>
      </c>
      <c r="AX600" s="15">
        <f t="shared" si="278"/>
        <v>6206000</v>
      </c>
      <c r="AY600" s="20">
        <v>0.05</v>
      </c>
      <c r="AZ600" s="13">
        <f t="shared" si="279"/>
        <v>310300</v>
      </c>
      <c r="BA600" s="15">
        <f t="shared" si="280"/>
        <v>310300</v>
      </c>
      <c r="BB600" s="21">
        <f t="shared" si="285"/>
        <v>6251449</v>
      </c>
      <c r="BC600" s="10">
        <f t="shared" si="286"/>
        <v>0</v>
      </c>
      <c r="BD600" s="10">
        <f t="shared" si="287"/>
        <v>0</v>
      </c>
      <c r="BE600" s="10">
        <v>56.8</v>
      </c>
      <c r="BF600" s="10">
        <v>26.15</v>
      </c>
      <c r="BG600" s="107">
        <v>46176</v>
      </c>
      <c r="BH600" s="107">
        <f t="shared" si="261"/>
        <v>46206</v>
      </c>
      <c r="BI600" s="23">
        <v>5</v>
      </c>
      <c r="BJ600" s="6"/>
      <c r="BK600" s="6"/>
      <c r="BL600" s="6">
        <f>VLOOKUP(A600,[2]Sheet1!$D$2:$H$933,5,0)</f>
        <v>0</v>
      </c>
      <c r="BM600" s="6" t="s">
        <v>3828</v>
      </c>
      <c r="BN600" s="6" t="s">
        <v>3829</v>
      </c>
      <c r="BO600" s="6" t="s">
        <v>3820</v>
      </c>
      <c r="BP600" s="6" t="s">
        <v>3821</v>
      </c>
      <c r="BQ600" s="6" t="s">
        <v>3830</v>
      </c>
      <c r="BR600" t="s">
        <v>3823</v>
      </c>
      <c r="BS600" t="s">
        <v>3824</v>
      </c>
      <c r="BT600" t="s">
        <v>3825</v>
      </c>
      <c r="BU600" t="s">
        <v>3826</v>
      </c>
      <c r="BV600" t="s">
        <v>3827</v>
      </c>
      <c r="BW600" t="s">
        <v>3835</v>
      </c>
      <c r="BX600">
        <v>0</v>
      </c>
      <c r="BY600" t="s">
        <v>3861</v>
      </c>
      <c r="BZ600" t="s">
        <v>3860</v>
      </c>
    </row>
    <row r="601" spans="1:78" x14ac:dyDescent="0.25">
      <c r="A601" s="7" t="s">
        <v>2473</v>
      </c>
      <c r="B601" s="7" t="s">
        <v>181</v>
      </c>
      <c r="C601" s="7" t="s">
        <v>2471</v>
      </c>
      <c r="D601" s="8" t="s">
        <v>2472</v>
      </c>
      <c r="E601" s="7" t="s">
        <v>2474</v>
      </c>
      <c r="F601" s="9">
        <v>45019</v>
      </c>
      <c r="G601" s="9" t="s">
        <v>65</v>
      </c>
      <c r="H601" s="9" t="s">
        <v>92</v>
      </c>
      <c r="I601" s="8" t="s">
        <v>78</v>
      </c>
      <c r="J601" s="10">
        <v>611.4</v>
      </c>
      <c r="K601" s="10">
        <v>611.4</v>
      </c>
      <c r="L601" s="10">
        <f t="shared" si="263"/>
        <v>0</v>
      </c>
      <c r="M601" s="10">
        <v>281.48</v>
      </c>
      <c r="N601" s="10">
        <v>281.48</v>
      </c>
      <c r="O601" s="10">
        <f t="shared" si="264"/>
        <v>0</v>
      </c>
      <c r="P601" s="11">
        <v>10392.16879293425</v>
      </c>
      <c r="Q601" s="11">
        <v>22572.729856472928</v>
      </c>
      <c r="R601" s="11">
        <v>28000</v>
      </c>
      <c r="S601" s="11">
        <v>6353772</v>
      </c>
      <c r="T601" s="11">
        <v>762454</v>
      </c>
      <c r="U601" s="12">
        <f t="shared" si="265"/>
        <v>0.1200002140460816</v>
      </c>
      <c r="V601" s="13">
        <f t="shared" si="289"/>
        <v>0</v>
      </c>
      <c r="W601" s="10">
        <f t="shared" si="266"/>
        <v>0</v>
      </c>
      <c r="X601" s="10"/>
      <c r="Y601" s="10"/>
      <c r="Z601" s="11">
        <f t="shared" si="267"/>
        <v>6353772</v>
      </c>
      <c r="AA601" s="14"/>
      <c r="AB601" s="14"/>
      <c r="AC601" s="11">
        <f t="shared" si="268"/>
        <v>6353772</v>
      </c>
      <c r="AD601" s="10">
        <f t="shared" si="269"/>
        <v>300</v>
      </c>
      <c r="AE601" s="15">
        <v>84444</v>
      </c>
      <c r="AF601" s="16">
        <v>15200</v>
      </c>
      <c r="AG601" s="15">
        <f t="shared" si="270"/>
        <v>0</v>
      </c>
      <c r="AH601" s="15">
        <f t="shared" si="271"/>
        <v>0</v>
      </c>
      <c r="AI601" s="15">
        <f t="shared" si="272"/>
        <v>84444</v>
      </c>
      <c r="AJ601" s="15">
        <f t="shared" si="273"/>
        <v>15200</v>
      </c>
      <c r="AK601" s="10">
        <v>84444</v>
      </c>
      <c r="AL601" s="15">
        <f t="shared" si="274"/>
        <v>84444</v>
      </c>
      <c r="AM601" s="15">
        <f t="shared" si="275"/>
        <v>6438216</v>
      </c>
      <c r="AN601" s="15">
        <f t="shared" si="276"/>
        <v>777654</v>
      </c>
      <c r="AO601" s="15">
        <f t="shared" si="281"/>
        <v>875738.48</v>
      </c>
      <c r="AP601" s="17">
        <f t="shared" si="277"/>
        <v>7313954.4800000004</v>
      </c>
      <c r="AQ601" s="15">
        <v>5675402.9700000007</v>
      </c>
      <c r="AR601" s="15">
        <v>13640.48</v>
      </c>
      <c r="AS601" s="18">
        <f t="shared" si="282"/>
        <v>1638552</v>
      </c>
      <c r="AT601" s="19">
        <v>0</v>
      </c>
      <c r="AU601" s="8">
        <v>8800</v>
      </c>
      <c r="AV601" s="13">
        <f t="shared" si="283"/>
        <v>2477024</v>
      </c>
      <c r="AW601" s="18">
        <f t="shared" si="284"/>
        <v>6438216</v>
      </c>
      <c r="AX601" s="15">
        <f t="shared" si="278"/>
        <v>6439000</v>
      </c>
      <c r="AY601" s="20">
        <v>7.0000000000000007E-2</v>
      </c>
      <c r="AZ601" s="13">
        <f t="shared" si="279"/>
        <v>450730.00000000006</v>
      </c>
      <c r="BA601" s="15">
        <f t="shared" si="280"/>
        <v>450800</v>
      </c>
      <c r="BB601" s="21">
        <f t="shared" si="285"/>
        <v>2089352</v>
      </c>
      <c r="BC601" s="10">
        <f t="shared" si="286"/>
        <v>0</v>
      </c>
      <c r="BD601" s="10">
        <f t="shared" si="287"/>
        <v>0</v>
      </c>
      <c r="BE601" s="10">
        <v>56.8</v>
      </c>
      <c r="BF601" s="10">
        <v>26.15</v>
      </c>
      <c r="BG601" s="107">
        <v>46176</v>
      </c>
      <c r="BH601" s="107">
        <f t="shared" si="261"/>
        <v>46206</v>
      </c>
      <c r="BI601" s="23">
        <v>7</v>
      </c>
      <c r="BJ601" s="6"/>
      <c r="BK601" s="6"/>
      <c r="BL601" s="6">
        <f>VLOOKUP(A601,[2]Sheet1!$D$2:$H$933,5,0)</f>
        <v>0</v>
      </c>
      <c r="BM601" s="6" t="s">
        <v>3828</v>
      </c>
      <c r="BN601" s="6" t="s">
        <v>3829</v>
      </c>
      <c r="BO601" s="6" t="s">
        <v>3820</v>
      </c>
      <c r="BP601" s="6" t="s">
        <v>3821</v>
      </c>
      <c r="BQ601" s="6" t="s">
        <v>3830</v>
      </c>
      <c r="BR601" t="s">
        <v>3823</v>
      </c>
      <c r="BS601" t="s">
        <v>3824</v>
      </c>
      <c r="BT601" t="s">
        <v>3825</v>
      </c>
      <c r="BU601" t="s">
        <v>3826</v>
      </c>
      <c r="BV601" t="s">
        <v>3827</v>
      </c>
      <c r="BW601" t="s">
        <v>3835</v>
      </c>
      <c r="BX601">
        <v>0</v>
      </c>
      <c r="BY601" t="s">
        <v>3862</v>
      </c>
      <c r="BZ601" t="s">
        <v>3860</v>
      </c>
    </row>
    <row r="602" spans="1:78" x14ac:dyDescent="0.25">
      <c r="A602" s="7" t="s">
        <v>2477</v>
      </c>
      <c r="B602" s="7" t="s">
        <v>181</v>
      </c>
      <c r="C602" s="7" t="s">
        <v>2475</v>
      </c>
      <c r="D602" s="8" t="s">
        <v>2476</v>
      </c>
      <c r="E602" s="7" t="s">
        <v>2478</v>
      </c>
      <c r="F602" s="9">
        <v>45057</v>
      </c>
      <c r="G602" s="9" t="s">
        <v>527</v>
      </c>
      <c r="H602" s="9" t="s">
        <v>72</v>
      </c>
      <c r="I602" s="8" t="s">
        <v>635</v>
      </c>
      <c r="J602" s="10">
        <v>796.25</v>
      </c>
      <c r="K602" s="10">
        <v>796.25</v>
      </c>
      <c r="L602" s="10">
        <f t="shared" si="263"/>
        <v>0</v>
      </c>
      <c r="M602" s="10">
        <v>120.56</v>
      </c>
      <c r="N602" s="10">
        <v>120.56</v>
      </c>
      <c r="O602" s="10">
        <f t="shared" si="264"/>
        <v>0</v>
      </c>
      <c r="P602" s="11">
        <v>6886.1538461538457</v>
      </c>
      <c r="Q602" s="11">
        <v>45480.258792302586</v>
      </c>
      <c r="R602" s="11">
        <v>20000</v>
      </c>
      <c r="S602" s="11">
        <v>5483100</v>
      </c>
      <c r="T602" s="11">
        <v>657972</v>
      </c>
      <c r="U602" s="12">
        <f t="shared" si="265"/>
        <v>0.12</v>
      </c>
      <c r="V602" s="13">
        <f t="shared" si="289"/>
        <v>0</v>
      </c>
      <c r="W602" s="10">
        <f t="shared" si="266"/>
        <v>0</v>
      </c>
      <c r="X602" s="10"/>
      <c r="Y602" s="10"/>
      <c r="Z602" s="11">
        <f t="shared" si="267"/>
        <v>5483100</v>
      </c>
      <c r="AA602" s="14"/>
      <c r="AB602" s="14"/>
      <c r="AC602" s="11">
        <f t="shared" si="268"/>
        <v>5483100</v>
      </c>
      <c r="AD602" s="10">
        <f t="shared" si="269"/>
        <v>300</v>
      </c>
      <c r="AE602" s="15">
        <v>36168</v>
      </c>
      <c r="AF602" s="16">
        <v>6510</v>
      </c>
      <c r="AG602" s="15">
        <f t="shared" si="270"/>
        <v>0</v>
      </c>
      <c r="AH602" s="15">
        <f t="shared" si="271"/>
        <v>0</v>
      </c>
      <c r="AI602" s="15">
        <f t="shared" si="272"/>
        <v>36168</v>
      </c>
      <c r="AJ602" s="15">
        <f t="shared" si="273"/>
        <v>6511</v>
      </c>
      <c r="AK602" s="10">
        <v>36168</v>
      </c>
      <c r="AL602" s="15">
        <f t="shared" si="274"/>
        <v>36168</v>
      </c>
      <c r="AM602" s="15">
        <f t="shared" si="275"/>
        <v>5519268</v>
      </c>
      <c r="AN602" s="15">
        <f t="shared" si="276"/>
        <v>664483</v>
      </c>
      <c r="AO602" s="15">
        <f t="shared" si="281"/>
        <v>722082</v>
      </c>
      <c r="AP602" s="17">
        <f t="shared" si="277"/>
        <v>6241350</v>
      </c>
      <c r="AQ602" s="15">
        <v>560000</v>
      </c>
      <c r="AR602" s="15">
        <v>21431</v>
      </c>
      <c r="AS602" s="18">
        <f t="shared" si="282"/>
        <v>5681350</v>
      </c>
      <c r="AT602" s="19">
        <v>0</v>
      </c>
      <c r="AU602" s="8">
        <v>8800</v>
      </c>
      <c r="AV602" s="13">
        <f t="shared" si="283"/>
        <v>1060928</v>
      </c>
      <c r="AW602" s="18">
        <f t="shared" si="284"/>
        <v>5519268</v>
      </c>
      <c r="AX602" s="15">
        <f t="shared" si="278"/>
        <v>5520000</v>
      </c>
      <c r="AY602" s="20">
        <v>0.05</v>
      </c>
      <c r="AZ602" s="13">
        <f t="shared" si="279"/>
        <v>276000</v>
      </c>
      <c r="BA602" s="15">
        <f t="shared" si="280"/>
        <v>276000</v>
      </c>
      <c r="BB602" s="21">
        <f t="shared" si="285"/>
        <v>5957350</v>
      </c>
      <c r="BC602" s="10">
        <f t="shared" si="286"/>
        <v>0</v>
      </c>
      <c r="BD602" s="10">
        <f t="shared" si="287"/>
        <v>0</v>
      </c>
      <c r="BE602" s="10">
        <v>73.97</v>
      </c>
      <c r="BF602" s="10">
        <v>11.2</v>
      </c>
      <c r="BG602" s="107">
        <v>46176</v>
      </c>
      <c r="BH602" s="107">
        <f t="shared" si="261"/>
        <v>46206</v>
      </c>
      <c r="BI602" s="23">
        <v>5</v>
      </c>
      <c r="BJ602" s="6"/>
      <c r="BK602" s="6"/>
      <c r="BL602" s="6">
        <f>VLOOKUP(A602,[2]Sheet1!$D$2:$H$933,5,0)</f>
        <v>0</v>
      </c>
      <c r="BM602" s="6" t="s">
        <v>3828</v>
      </c>
      <c r="BN602" s="6" t="s">
        <v>3829</v>
      </c>
      <c r="BO602" s="6" t="s">
        <v>3820</v>
      </c>
      <c r="BP602" s="6" t="s">
        <v>3821</v>
      </c>
      <c r="BQ602" s="6" t="s">
        <v>3830</v>
      </c>
      <c r="BR602" t="s">
        <v>3823</v>
      </c>
      <c r="BS602" t="s">
        <v>3824</v>
      </c>
      <c r="BT602" t="s">
        <v>3825</v>
      </c>
      <c r="BU602" t="s">
        <v>3826</v>
      </c>
      <c r="BV602" t="s">
        <v>3827</v>
      </c>
      <c r="BW602" t="s">
        <v>3835</v>
      </c>
      <c r="BX602">
        <v>0</v>
      </c>
      <c r="BY602" t="s">
        <v>3859</v>
      </c>
      <c r="BZ602" t="s">
        <v>3871</v>
      </c>
    </row>
    <row r="603" spans="1:78" x14ac:dyDescent="0.25">
      <c r="A603" s="7" t="s">
        <v>2481</v>
      </c>
      <c r="B603" s="7" t="s">
        <v>181</v>
      </c>
      <c r="C603" s="7" t="s">
        <v>2479</v>
      </c>
      <c r="D603" s="8" t="s">
        <v>2480</v>
      </c>
      <c r="E603" s="7" t="s">
        <v>2482</v>
      </c>
      <c r="F603" s="9">
        <v>45058</v>
      </c>
      <c r="G603" s="9" t="s">
        <v>65</v>
      </c>
      <c r="H603" s="9" t="s">
        <v>92</v>
      </c>
      <c r="I603" s="8" t="s">
        <v>78</v>
      </c>
      <c r="J603" s="10">
        <v>611.4</v>
      </c>
      <c r="K603" s="10">
        <v>611.4</v>
      </c>
      <c r="L603" s="10">
        <f t="shared" si="263"/>
        <v>0</v>
      </c>
      <c r="M603" s="10">
        <v>281.48</v>
      </c>
      <c r="N603" s="10">
        <v>281.48</v>
      </c>
      <c r="O603" s="10">
        <f t="shared" si="264"/>
        <v>0</v>
      </c>
      <c r="P603" s="11">
        <v>9000</v>
      </c>
      <c r="Q603" s="11">
        <v>19548.813414807446</v>
      </c>
      <c r="R603" s="11">
        <v>28000</v>
      </c>
      <c r="S603" s="11">
        <v>5502600</v>
      </c>
      <c r="T603" s="11">
        <v>660314</v>
      </c>
      <c r="U603" s="12">
        <f t="shared" si="265"/>
        <v>0.12000036346454403</v>
      </c>
      <c r="V603" s="13">
        <f t="shared" si="289"/>
        <v>0</v>
      </c>
      <c r="W603" s="10">
        <f t="shared" si="266"/>
        <v>0</v>
      </c>
      <c r="X603" s="10"/>
      <c r="Y603" s="10"/>
      <c r="Z603" s="11">
        <f t="shared" si="267"/>
        <v>5502600</v>
      </c>
      <c r="AA603" s="14"/>
      <c r="AB603" s="14"/>
      <c r="AC603" s="11">
        <f t="shared" si="268"/>
        <v>5502600</v>
      </c>
      <c r="AD603" s="10">
        <f t="shared" si="269"/>
        <v>300</v>
      </c>
      <c r="AE603" s="15">
        <v>84444</v>
      </c>
      <c r="AF603" s="16">
        <v>15200</v>
      </c>
      <c r="AG603" s="15">
        <f t="shared" si="270"/>
        <v>0</v>
      </c>
      <c r="AH603" s="15">
        <f t="shared" si="271"/>
        <v>0</v>
      </c>
      <c r="AI603" s="15">
        <f t="shared" si="272"/>
        <v>84444</v>
      </c>
      <c r="AJ603" s="15">
        <f t="shared" si="273"/>
        <v>15200</v>
      </c>
      <c r="AK603" s="10">
        <v>84444</v>
      </c>
      <c r="AL603" s="15">
        <f t="shared" si="274"/>
        <v>84444</v>
      </c>
      <c r="AM603" s="15">
        <f t="shared" si="275"/>
        <v>5587044</v>
      </c>
      <c r="AN603" s="15">
        <f t="shared" si="276"/>
        <v>675514</v>
      </c>
      <c r="AO603" s="15">
        <f t="shared" si="281"/>
        <v>781403</v>
      </c>
      <c r="AP603" s="17">
        <f t="shared" si="277"/>
        <v>6368447</v>
      </c>
      <c r="AQ603" s="15">
        <v>1232585</v>
      </c>
      <c r="AR603" s="15">
        <v>21445</v>
      </c>
      <c r="AS603" s="18">
        <f t="shared" si="282"/>
        <v>5135862</v>
      </c>
      <c r="AT603" s="19">
        <v>0</v>
      </c>
      <c r="AU603" s="8">
        <v>8800</v>
      </c>
      <c r="AV603" s="13">
        <f t="shared" si="283"/>
        <v>2477024</v>
      </c>
      <c r="AW603" s="18">
        <f t="shared" si="284"/>
        <v>5587044</v>
      </c>
      <c r="AX603" s="15">
        <f t="shared" si="278"/>
        <v>5588000</v>
      </c>
      <c r="AY603" s="20">
        <v>0.05</v>
      </c>
      <c r="AZ603" s="13">
        <f t="shared" si="279"/>
        <v>279400</v>
      </c>
      <c r="BA603" s="15">
        <f t="shared" si="280"/>
        <v>279400</v>
      </c>
      <c r="BB603" s="21">
        <f t="shared" si="285"/>
        <v>5415262</v>
      </c>
      <c r="BC603" s="10">
        <f t="shared" si="286"/>
        <v>0</v>
      </c>
      <c r="BD603" s="10">
        <f t="shared" si="287"/>
        <v>0</v>
      </c>
      <c r="BE603" s="10">
        <v>56.8</v>
      </c>
      <c r="BF603" s="10">
        <v>26.15</v>
      </c>
      <c r="BG603" s="107">
        <v>46176</v>
      </c>
      <c r="BH603" s="107">
        <f t="shared" si="261"/>
        <v>46206</v>
      </c>
      <c r="BI603" s="23">
        <v>5</v>
      </c>
      <c r="BJ603" s="6"/>
      <c r="BK603" s="6"/>
      <c r="BL603" s="6">
        <f>VLOOKUP(A603,[2]Sheet1!$D$2:$H$933,5,0)</f>
        <v>0</v>
      </c>
      <c r="BM603" s="6" t="s">
        <v>3828</v>
      </c>
      <c r="BN603" s="6" t="s">
        <v>3829</v>
      </c>
      <c r="BO603" s="6" t="s">
        <v>3820</v>
      </c>
      <c r="BP603" s="6" t="s">
        <v>3821</v>
      </c>
      <c r="BQ603" s="6" t="s">
        <v>3830</v>
      </c>
      <c r="BR603" t="s">
        <v>3823</v>
      </c>
      <c r="BS603" t="s">
        <v>3824</v>
      </c>
      <c r="BT603" t="s">
        <v>3825</v>
      </c>
      <c r="BU603" t="s">
        <v>3826</v>
      </c>
      <c r="BV603" t="s">
        <v>3827</v>
      </c>
      <c r="BW603" t="s">
        <v>3835</v>
      </c>
      <c r="BX603">
        <v>0</v>
      </c>
      <c r="BY603" t="s">
        <v>3859</v>
      </c>
      <c r="BZ603" t="s">
        <v>3860</v>
      </c>
    </row>
    <row r="604" spans="1:78" x14ac:dyDescent="0.25">
      <c r="A604" s="7" t="s">
        <v>2485</v>
      </c>
      <c r="B604" s="7" t="s">
        <v>181</v>
      </c>
      <c r="C604" s="7" t="s">
        <v>2483</v>
      </c>
      <c r="D604" s="8" t="s">
        <v>2484</v>
      </c>
      <c r="E604" s="7" t="s">
        <v>2486</v>
      </c>
      <c r="F604" s="9">
        <v>45041</v>
      </c>
      <c r="G604" s="9" t="s">
        <v>65</v>
      </c>
      <c r="H604" s="9" t="s">
        <v>72</v>
      </c>
      <c r="I604" s="8" t="s">
        <v>78</v>
      </c>
      <c r="J604" s="10">
        <v>732.17</v>
      </c>
      <c r="K604" s="10">
        <v>732.17</v>
      </c>
      <c r="L604" s="10">
        <f t="shared" si="263"/>
        <v>0</v>
      </c>
      <c r="M604" s="10">
        <v>330.99</v>
      </c>
      <c r="N604" s="10">
        <v>330.99</v>
      </c>
      <c r="O604" s="10">
        <f t="shared" si="264"/>
        <v>0</v>
      </c>
      <c r="P604" s="11">
        <v>10000</v>
      </c>
      <c r="Q604" s="11">
        <v>22120.607873349647</v>
      </c>
      <c r="R604" s="11">
        <v>20000</v>
      </c>
      <c r="S604" s="11">
        <v>7321700</v>
      </c>
      <c r="T604" s="11">
        <v>878604</v>
      </c>
      <c r="U604" s="12">
        <f t="shared" si="265"/>
        <v>0.12</v>
      </c>
      <c r="V604" s="13">
        <f t="shared" si="289"/>
        <v>0</v>
      </c>
      <c r="W604" s="10">
        <f t="shared" si="266"/>
        <v>0</v>
      </c>
      <c r="X604" s="10"/>
      <c r="Y604" s="10"/>
      <c r="Z604" s="11">
        <f t="shared" si="267"/>
        <v>7321700</v>
      </c>
      <c r="AA604" s="14"/>
      <c r="AB604" s="14"/>
      <c r="AC604" s="11">
        <f t="shared" si="268"/>
        <v>7321700</v>
      </c>
      <c r="AD604" s="10">
        <f t="shared" si="269"/>
        <v>300</v>
      </c>
      <c r="AE604" s="15">
        <v>99297</v>
      </c>
      <c r="AF604" s="16">
        <v>17874</v>
      </c>
      <c r="AG604" s="15">
        <f t="shared" si="270"/>
        <v>0</v>
      </c>
      <c r="AH604" s="15">
        <f t="shared" si="271"/>
        <v>0</v>
      </c>
      <c r="AI604" s="15">
        <f t="shared" si="272"/>
        <v>99297</v>
      </c>
      <c r="AJ604" s="15">
        <f t="shared" si="273"/>
        <v>17874</v>
      </c>
      <c r="AK604" s="10">
        <v>99297</v>
      </c>
      <c r="AL604" s="15">
        <f t="shared" si="274"/>
        <v>99297</v>
      </c>
      <c r="AM604" s="15">
        <f t="shared" si="275"/>
        <v>7420997</v>
      </c>
      <c r="AN604" s="15">
        <f t="shared" si="276"/>
        <v>896478</v>
      </c>
      <c r="AO604" s="15">
        <f t="shared" si="281"/>
        <v>1010227</v>
      </c>
      <c r="AP604" s="17">
        <f t="shared" si="277"/>
        <v>8431224</v>
      </c>
      <c r="AQ604" s="15">
        <v>7195449</v>
      </c>
      <c r="AR604" s="15">
        <v>14452</v>
      </c>
      <c r="AS604" s="18">
        <f t="shared" si="282"/>
        <v>1235775</v>
      </c>
      <c r="AT604" s="19">
        <v>0</v>
      </c>
      <c r="AU604" s="8">
        <v>8800</v>
      </c>
      <c r="AV604" s="13">
        <f t="shared" si="283"/>
        <v>2912712</v>
      </c>
      <c r="AW604" s="18">
        <f t="shared" si="284"/>
        <v>7420997</v>
      </c>
      <c r="AX604" s="15">
        <f t="shared" si="278"/>
        <v>7421000</v>
      </c>
      <c r="AY604" s="20">
        <v>7.0000000000000007E-2</v>
      </c>
      <c r="AZ604" s="13">
        <f t="shared" si="279"/>
        <v>519470.00000000006</v>
      </c>
      <c r="BA604" s="15">
        <f t="shared" si="280"/>
        <v>519500</v>
      </c>
      <c r="BB604" s="21">
        <f t="shared" si="285"/>
        <v>1755275</v>
      </c>
      <c r="BC604" s="10">
        <f t="shared" si="286"/>
        <v>0</v>
      </c>
      <c r="BD604" s="10">
        <f t="shared" si="287"/>
        <v>0</v>
      </c>
      <c r="BE604" s="10">
        <v>68.02</v>
      </c>
      <c r="BF604" s="10">
        <v>30.75</v>
      </c>
      <c r="BG604" s="107">
        <v>46176</v>
      </c>
      <c r="BH604" s="107">
        <f t="shared" si="261"/>
        <v>46206</v>
      </c>
      <c r="BI604" s="23">
        <v>7</v>
      </c>
      <c r="BJ604" s="6"/>
      <c r="BK604" s="6"/>
      <c r="BL604" s="6">
        <f>VLOOKUP(A604,[2]Sheet1!$D$2:$H$933,5,0)</f>
        <v>0</v>
      </c>
      <c r="BM604" s="6" t="s">
        <v>3828</v>
      </c>
      <c r="BN604" s="6" t="s">
        <v>3829</v>
      </c>
      <c r="BO604" s="6" t="s">
        <v>3820</v>
      </c>
      <c r="BP604" s="6" t="s">
        <v>3821</v>
      </c>
      <c r="BQ604" s="6" t="s">
        <v>3830</v>
      </c>
      <c r="BR604" t="s">
        <v>3823</v>
      </c>
      <c r="BS604" t="s">
        <v>3824</v>
      </c>
      <c r="BT604" t="s">
        <v>3825</v>
      </c>
      <c r="BU604" t="s">
        <v>3826</v>
      </c>
      <c r="BV604" t="s">
        <v>3827</v>
      </c>
      <c r="BW604" t="s">
        <v>3835</v>
      </c>
      <c r="BX604">
        <v>0</v>
      </c>
      <c r="BY604" t="s">
        <v>3859</v>
      </c>
      <c r="BZ604" t="s">
        <v>3860</v>
      </c>
    </row>
    <row r="605" spans="1:78" x14ac:dyDescent="0.25">
      <c r="A605" s="7" t="s">
        <v>2489</v>
      </c>
      <c r="B605" s="7" t="s">
        <v>181</v>
      </c>
      <c r="C605" s="7" t="s">
        <v>2487</v>
      </c>
      <c r="D605" s="8" t="s">
        <v>2488</v>
      </c>
      <c r="E605" s="7" t="s">
        <v>2010</v>
      </c>
      <c r="F605" s="9">
        <v>44873</v>
      </c>
      <c r="G605" s="9" t="s">
        <v>527</v>
      </c>
      <c r="H605" s="9" t="s">
        <v>72</v>
      </c>
      <c r="I605" s="8" t="s">
        <v>78</v>
      </c>
      <c r="J605" s="10">
        <v>683.51</v>
      </c>
      <c r="K605" s="10">
        <v>683.51</v>
      </c>
      <c r="L605" s="10">
        <f t="shared" si="263"/>
        <v>0</v>
      </c>
      <c r="M605" s="10">
        <v>312.16000000000003</v>
      </c>
      <c r="N605" s="10">
        <v>312.16000000000003</v>
      </c>
      <c r="O605" s="10">
        <f t="shared" si="264"/>
        <v>0</v>
      </c>
      <c r="P605" s="11">
        <v>13745.750610817691</v>
      </c>
      <c r="Q605" s="11">
        <v>30097.892106611991</v>
      </c>
      <c r="R605" s="11">
        <v>20000</v>
      </c>
      <c r="S605" s="11">
        <v>9395358</v>
      </c>
      <c r="T605" s="11">
        <v>1127444</v>
      </c>
      <c r="U605" s="12">
        <f t="shared" si="265"/>
        <v>0.12000011069296135</v>
      </c>
      <c r="V605" s="13">
        <f t="shared" si="289"/>
        <v>0</v>
      </c>
      <c r="W605" s="10">
        <f t="shared" si="266"/>
        <v>0</v>
      </c>
      <c r="X605" s="10"/>
      <c r="Y605" s="10"/>
      <c r="Z605" s="11">
        <f t="shared" si="267"/>
        <v>9395358</v>
      </c>
      <c r="AA605" s="14"/>
      <c r="AB605" s="14"/>
      <c r="AC605" s="11">
        <f t="shared" si="268"/>
        <v>9395358</v>
      </c>
      <c r="AD605" s="10">
        <f t="shared" si="269"/>
        <v>300</v>
      </c>
      <c r="AE605" s="15">
        <v>93648</v>
      </c>
      <c r="AF605" s="16">
        <v>16856</v>
      </c>
      <c r="AG605" s="15">
        <f t="shared" si="270"/>
        <v>0</v>
      </c>
      <c r="AH605" s="15">
        <f t="shared" si="271"/>
        <v>0</v>
      </c>
      <c r="AI605" s="15">
        <f t="shared" si="272"/>
        <v>93648.000000000015</v>
      </c>
      <c r="AJ605" s="15">
        <f t="shared" si="273"/>
        <v>16857</v>
      </c>
      <c r="AK605" s="10">
        <v>93648</v>
      </c>
      <c r="AL605" s="15">
        <f t="shared" si="274"/>
        <v>93648.000000000015</v>
      </c>
      <c r="AM605" s="15">
        <f t="shared" si="275"/>
        <v>9489006</v>
      </c>
      <c r="AN605" s="15">
        <f t="shared" si="276"/>
        <v>1144301</v>
      </c>
      <c r="AO605" s="15">
        <f t="shared" si="281"/>
        <v>1255990</v>
      </c>
      <c r="AP605" s="17">
        <f t="shared" si="277"/>
        <v>10744996</v>
      </c>
      <c r="AQ605" s="15">
        <v>5768174</v>
      </c>
      <c r="AR605" s="15">
        <v>18041</v>
      </c>
      <c r="AS605" s="18">
        <f t="shared" si="282"/>
        <v>4976822</v>
      </c>
      <c r="AT605" s="19">
        <v>0</v>
      </c>
      <c r="AU605" s="8">
        <v>8800</v>
      </c>
      <c r="AV605" s="13">
        <f t="shared" si="283"/>
        <v>2747008</v>
      </c>
      <c r="AW605" s="18">
        <f t="shared" si="284"/>
        <v>9489006</v>
      </c>
      <c r="AX605" s="15">
        <f t="shared" si="278"/>
        <v>9490000</v>
      </c>
      <c r="AY605" s="20">
        <v>0.06</v>
      </c>
      <c r="AZ605" s="13">
        <f t="shared" si="279"/>
        <v>569400</v>
      </c>
      <c r="BA605" s="15">
        <f t="shared" si="280"/>
        <v>569400</v>
      </c>
      <c r="BB605" s="21">
        <f t="shared" si="285"/>
        <v>5546222</v>
      </c>
      <c r="BC605" s="10">
        <f t="shared" si="286"/>
        <v>0</v>
      </c>
      <c r="BD605" s="10">
        <f t="shared" si="287"/>
        <v>0</v>
      </c>
      <c r="BE605" s="10">
        <v>63.5</v>
      </c>
      <c r="BF605" s="10">
        <v>29</v>
      </c>
      <c r="BG605" s="107">
        <v>46176</v>
      </c>
      <c r="BH605" s="107">
        <f t="shared" si="261"/>
        <v>46206</v>
      </c>
      <c r="BI605" s="23">
        <v>6</v>
      </c>
      <c r="BJ605" s="6"/>
      <c r="BK605" s="6"/>
      <c r="BL605" s="6">
        <f>VLOOKUP(A605,[2]Sheet1!$D$2:$H$933,5,0)</f>
        <v>0</v>
      </c>
      <c r="BM605" s="6" t="s">
        <v>3828</v>
      </c>
      <c r="BN605" s="6" t="s">
        <v>3829</v>
      </c>
      <c r="BO605" s="6" t="s">
        <v>3820</v>
      </c>
      <c r="BP605" s="6" t="s">
        <v>3821</v>
      </c>
      <c r="BQ605" s="6" t="s">
        <v>3830</v>
      </c>
      <c r="BR605" t="s">
        <v>3823</v>
      </c>
      <c r="BS605" t="s">
        <v>3824</v>
      </c>
      <c r="BT605" t="s">
        <v>3825</v>
      </c>
      <c r="BU605" t="s">
        <v>3826</v>
      </c>
      <c r="BV605" t="s">
        <v>3827</v>
      </c>
      <c r="BW605" t="s">
        <v>3835</v>
      </c>
      <c r="BX605">
        <v>0</v>
      </c>
      <c r="BY605" t="s">
        <v>3861</v>
      </c>
      <c r="BZ605" t="s">
        <v>3871</v>
      </c>
    </row>
    <row r="606" spans="1:78" x14ac:dyDescent="0.25">
      <c r="A606" s="7" t="s">
        <v>2492</v>
      </c>
      <c r="B606" s="7" t="s">
        <v>181</v>
      </c>
      <c r="C606" s="7" t="s">
        <v>2490</v>
      </c>
      <c r="D606" s="8" t="s">
        <v>2491</v>
      </c>
      <c r="E606" s="7" t="s">
        <v>2493</v>
      </c>
      <c r="F606" s="9">
        <v>44958</v>
      </c>
      <c r="G606" s="9" t="s">
        <v>65</v>
      </c>
      <c r="H606" s="9" t="s">
        <v>66</v>
      </c>
      <c r="I606" s="8" t="s">
        <v>78</v>
      </c>
      <c r="J606" s="10">
        <v>477.28</v>
      </c>
      <c r="K606" s="10">
        <v>477.28</v>
      </c>
      <c r="L606" s="10">
        <f t="shared" si="263"/>
        <v>0</v>
      </c>
      <c r="M606" s="10">
        <v>220.66</v>
      </c>
      <c r="N606" s="10">
        <v>220.66</v>
      </c>
      <c r="O606" s="10">
        <f t="shared" si="264"/>
        <v>0</v>
      </c>
      <c r="P606" s="11">
        <v>16825.999413342273</v>
      </c>
      <c r="Q606" s="11">
        <v>36394.058732892234</v>
      </c>
      <c r="R606" s="11">
        <v>22000</v>
      </c>
      <c r="S606" s="11">
        <v>8030713</v>
      </c>
      <c r="T606" s="11">
        <v>963686</v>
      </c>
      <c r="U606" s="12">
        <f t="shared" si="265"/>
        <v>0.12000005478965567</v>
      </c>
      <c r="V606" s="13">
        <f t="shared" si="289"/>
        <v>0</v>
      </c>
      <c r="W606" s="10">
        <f t="shared" si="266"/>
        <v>0</v>
      </c>
      <c r="X606" s="10"/>
      <c r="Y606" s="10"/>
      <c r="Z606" s="11">
        <f t="shared" si="267"/>
        <v>8030713</v>
      </c>
      <c r="AA606" s="14"/>
      <c r="AB606" s="14"/>
      <c r="AC606" s="11">
        <f t="shared" si="268"/>
        <v>8030713</v>
      </c>
      <c r="AD606" s="10">
        <f t="shared" si="269"/>
        <v>300</v>
      </c>
      <c r="AE606" s="15">
        <v>66198</v>
      </c>
      <c r="AF606" s="16">
        <v>11916</v>
      </c>
      <c r="AG606" s="15">
        <f t="shared" si="270"/>
        <v>0</v>
      </c>
      <c r="AH606" s="15">
        <f t="shared" si="271"/>
        <v>0</v>
      </c>
      <c r="AI606" s="15">
        <f t="shared" si="272"/>
        <v>66198</v>
      </c>
      <c r="AJ606" s="15">
        <f t="shared" si="273"/>
        <v>11916</v>
      </c>
      <c r="AK606" s="10">
        <v>66198</v>
      </c>
      <c r="AL606" s="15">
        <f t="shared" si="274"/>
        <v>66198</v>
      </c>
      <c r="AM606" s="15">
        <f t="shared" si="275"/>
        <v>8096911</v>
      </c>
      <c r="AN606" s="15">
        <f t="shared" si="276"/>
        <v>975602</v>
      </c>
      <c r="AO606" s="15">
        <f t="shared" si="281"/>
        <v>1057720</v>
      </c>
      <c r="AP606" s="17">
        <f t="shared" si="277"/>
        <v>9154631</v>
      </c>
      <c r="AQ606" s="15">
        <v>7258952</v>
      </c>
      <c r="AR606" s="15">
        <v>15920</v>
      </c>
      <c r="AS606" s="18">
        <f t="shared" si="282"/>
        <v>1895679</v>
      </c>
      <c r="AT606" s="19">
        <v>0</v>
      </c>
      <c r="AU606" s="8">
        <v>8800</v>
      </c>
      <c r="AV606" s="13">
        <f t="shared" si="283"/>
        <v>1941808</v>
      </c>
      <c r="AW606" s="18">
        <f t="shared" si="284"/>
        <v>8096911</v>
      </c>
      <c r="AX606" s="15">
        <f t="shared" si="278"/>
        <v>8097000</v>
      </c>
      <c r="AY606" s="20">
        <v>0.05</v>
      </c>
      <c r="AZ606" s="13">
        <f t="shared" si="279"/>
        <v>404850</v>
      </c>
      <c r="BA606" s="15">
        <f t="shared" si="280"/>
        <v>404900</v>
      </c>
      <c r="BB606" s="21">
        <f t="shared" si="285"/>
        <v>2300579</v>
      </c>
      <c r="BC606" s="10">
        <f t="shared" si="286"/>
        <v>0</v>
      </c>
      <c r="BD606" s="10">
        <f t="shared" si="287"/>
        <v>0</v>
      </c>
      <c r="BE606" s="10">
        <v>44.34</v>
      </c>
      <c r="BF606" s="10">
        <v>20.5</v>
      </c>
      <c r="BG606" s="107">
        <v>46176</v>
      </c>
      <c r="BH606" s="107">
        <f t="shared" si="261"/>
        <v>46206</v>
      </c>
      <c r="BI606" s="23">
        <v>5</v>
      </c>
      <c r="BJ606" s="6"/>
      <c r="BK606" s="6"/>
      <c r="BL606" s="6">
        <f>VLOOKUP(A606,[2]Sheet1!$D$2:$H$933,5,0)</f>
        <v>0</v>
      </c>
      <c r="BM606" s="6" t="s">
        <v>3828</v>
      </c>
      <c r="BN606" s="6" t="s">
        <v>3829</v>
      </c>
      <c r="BO606" s="6" t="s">
        <v>3820</v>
      </c>
      <c r="BP606" s="6" t="s">
        <v>3821</v>
      </c>
      <c r="BQ606" s="6" t="s">
        <v>3830</v>
      </c>
      <c r="BR606" t="s">
        <v>3823</v>
      </c>
      <c r="BS606" t="s">
        <v>3824</v>
      </c>
      <c r="BT606" t="s">
        <v>3825</v>
      </c>
      <c r="BU606" t="s">
        <v>3826</v>
      </c>
      <c r="BV606" t="s">
        <v>3827</v>
      </c>
      <c r="BW606" t="s">
        <v>3835</v>
      </c>
      <c r="BX606">
        <v>0</v>
      </c>
      <c r="BY606" t="s">
        <v>3870</v>
      </c>
      <c r="BZ606" t="s">
        <v>3860</v>
      </c>
    </row>
    <row r="607" spans="1:78" x14ac:dyDescent="0.25">
      <c r="A607" s="7" t="s">
        <v>2496</v>
      </c>
      <c r="B607" s="7" t="s">
        <v>181</v>
      </c>
      <c r="C607" s="7" t="s">
        <v>2494</v>
      </c>
      <c r="D607" s="8" t="s">
        <v>2495</v>
      </c>
      <c r="E607" s="7" t="s">
        <v>2497</v>
      </c>
      <c r="F607" s="9">
        <v>44896</v>
      </c>
      <c r="G607" s="9" t="s">
        <v>717</v>
      </c>
      <c r="H607" s="9" t="s">
        <v>92</v>
      </c>
      <c r="I607" s="8" t="s">
        <v>78</v>
      </c>
      <c r="J607" s="10">
        <v>596.33000000000004</v>
      </c>
      <c r="K607" s="10">
        <v>674</v>
      </c>
      <c r="L607" s="10">
        <f t="shared" si="263"/>
        <v>77.669999999999959</v>
      </c>
      <c r="M607" s="10">
        <v>266.95</v>
      </c>
      <c r="N607" s="10">
        <v>302</v>
      </c>
      <c r="O607" s="10">
        <f t="shared" si="264"/>
        <v>35.050000000000011</v>
      </c>
      <c r="P607" s="11">
        <v>17033.640769372661</v>
      </c>
      <c r="Q607" s="11">
        <v>38050.83723543735</v>
      </c>
      <c r="R607" s="11">
        <v>28000</v>
      </c>
      <c r="S607" s="11">
        <v>10157671</v>
      </c>
      <c r="T607" s="11">
        <v>1218920</v>
      </c>
      <c r="U607" s="12">
        <f t="shared" si="265"/>
        <v>0.11999994880716258</v>
      </c>
      <c r="V607" s="13">
        <f>L607*R607</f>
        <v>2174759.9999999991</v>
      </c>
      <c r="W607" s="10">
        <f t="shared" si="266"/>
        <v>260971.08866786479</v>
      </c>
      <c r="X607" s="15"/>
      <c r="Y607" s="15"/>
      <c r="Z607" s="11">
        <f t="shared" si="267"/>
        <v>12332431</v>
      </c>
      <c r="AA607" s="14"/>
      <c r="AB607" s="14"/>
      <c r="AC607" s="11">
        <f t="shared" si="268"/>
        <v>12332431</v>
      </c>
      <c r="AD607" s="10">
        <f t="shared" si="269"/>
        <v>300</v>
      </c>
      <c r="AE607" s="15">
        <v>80085</v>
      </c>
      <c r="AF607" s="16">
        <v>14416</v>
      </c>
      <c r="AG607" s="15">
        <f t="shared" si="270"/>
        <v>10515.000000000004</v>
      </c>
      <c r="AH607" s="15">
        <f t="shared" si="271"/>
        <v>1892.7000000000005</v>
      </c>
      <c r="AI607" s="15">
        <f t="shared" si="272"/>
        <v>90600</v>
      </c>
      <c r="AJ607" s="15">
        <f t="shared" si="273"/>
        <v>16308</v>
      </c>
      <c r="AK607" s="10">
        <v>80085</v>
      </c>
      <c r="AL607" s="15">
        <f t="shared" si="274"/>
        <v>90600</v>
      </c>
      <c r="AM607" s="15">
        <f t="shared" si="275"/>
        <v>12423031</v>
      </c>
      <c r="AN607" s="15">
        <f t="shared" si="276"/>
        <v>1496200</v>
      </c>
      <c r="AO607" s="15">
        <f t="shared" si="281"/>
        <v>1608975</v>
      </c>
      <c r="AP607" s="17">
        <f t="shared" si="277"/>
        <v>14032006</v>
      </c>
      <c r="AQ607" s="15">
        <v>5778000</v>
      </c>
      <c r="AR607" s="15">
        <v>22175</v>
      </c>
      <c r="AS607" s="18">
        <f t="shared" si="282"/>
        <v>8254006</v>
      </c>
      <c r="AT607" s="19">
        <v>0</v>
      </c>
      <c r="AU607" s="8">
        <v>8800</v>
      </c>
      <c r="AV607" s="13">
        <f t="shared" si="283"/>
        <v>2657600</v>
      </c>
      <c r="AW607" s="18">
        <f t="shared" si="284"/>
        <v>12423031</v>
      </c>
      <c r="AX607" s="15">
        <f t="shared" si="278"/>
        <v>12424000</v>
      </c>
      <c r="AY607" s="20">
        <v>0.06</v>
      </c>
      <c r="AZ607" s="13">
        <f t="shared" si="279"/>
        <v>745440</v>
      </c>
      <c r="BA607" s="15">
        <f t="shared" si="280"/>
        <v>745500</v>
      </c>
      <c r="BB607" s="21">
        <f t="shared" si="285"/>
        <v>8999506</v>
      </c>
      <c r="BC607" s="10">
        <f t="shared" si="286"/>
        <v>13.024667549846553</v>
      </c>
      <c r="BD607" s="10">
        <f t="shared" si="287"/>
        <v>13.129799587937821</v>
      </c>
      <c r="BE607" s="10">
        <v>62.62</v>
      </c>
      <c r="BF607" s="10">
        <v>28.06</v>
      </c>
      <c r="BG607" s="107">
        <v>46176</v>
      </c>
      <c r="BH607" s="107">
        <f t="shared" si="261"/>
        <v>46206</v>
      </c>
      <c r="BI607" s="23">
        <v>6</v>
      </c>
      <c r="BJ607" s="6"/>
      <c r="BK607" s="6"/>
      <c r="BL607" s="6">
        <f>VLOOKUP(A607,[2]Sheet1!$D$2:$H$933,5,0)</f>
        <v>0</v>
      </c>
      <c r="BM607" s="6" t="s">
        <v>3828</v>
      </c>
      <c r="BN607" s="6" t="s">
        <v>3829</v>
      </c>
      <c r="BO607" s="6" t="s">
        <v>3820</v>
      </c>
      <c r="BP607" s="6" t="s">
        <v>3821</v>
      </c>
      <c r="BQ607" s="6" t="s">
        <v>3830</v>
      </c>
      <c r="BR607" t="s">
        <v>3823</v>
      </c>
      <c r="BS607" t="s">
        <v>3824</v>
      </c>
      <c r="BT607" t="s">
        <v>3825</v>
      </c>
      <c r="BU607" t="s">
        <v>3826</v>
      </c>
      <c r="BV607" t="s">
        <v>3827</v>
      </c>
      <c r="BW607" t="s">
        <v>3835</v>
      </c>
      <c r="BX607">
        <v>0</v>
      </c>
      <c r="BY607" t="s">
        <v>3864</v>
      </c>
      <c r="BZ607" t="s">
        <v>3872</v>
      </c>
    </row>
    <row r="608" spans="1:78" x14ac:dyDescent="0.25">
      <c r="A608" s="7" t="s">
        <v>2500</v>
      </c>
      <c r="B608" s="7" t="s">
        <v>181</v>
      </c>
      <c r="C608" s="7" t="s">
        <v>2498</v>
      </c>
      <c r="D608" s="8" t="s">
        <v>2499</v>
      </c>
      <c r="E608" s="7" t="s">
        <v>2501</v>
      </c>
      <c r="F608" s="9">
        <v>44893</v>
      </c>
      <c r="G608" s="9" t="s">
        <v>404</v>
      </c>
      <c r="H608" s="9" t="s">
        <v>66</v>
      </c>
      <c r="I608" s="8" t="s">
        <v>78</v>
      </c>
      <c r="J608" s="10">
        <v>1184.04</v>
      </c>
      <c r="K608" s="10">
        <v>1184.04</v>
      </c>
      <c r="L608" s="10">
        <f t="shared" si="263"/>
        <v>0</v>
      </c>
      <c r="M608" s="10">
        <v>552.19000000000005</v>
      </c>
      <c r="N608" s="10">
        <v>552.19000000000005</v>
      </c>
      <c r="O608" s="10">
        <f t="shared" si="264"/>
        <v>0</v>
      </c>
      <c r="P608" s="11">
        <v>7220.1834397486573</v>
      </c>
      <c r="Q608" s="11">
        <v>15481.964541190531</v>
      </c>
      <c r="R608" s="11">
        <v>22000</v>
      </c>
      <c r="S608" s="11">
        <v>8548986</v>
      </c>
      <c r="T608" s="11">
        <v>1025878</v>
      </c>
      <c r="U608" s="12">
        <f t="shared" si="265"/>
        <v>0.11999996256866019</v>
      </c>
      <c r="V608" s="13">
        <f t="shared" ref="V608:V628" si="290">L608*P608</f>
        <v>0</v>
      </c>
      <c r="W608" s="10">
        <f t="shared" si="266"/>
        <v>0</v>
      </c>
      <c r="X608" s="10"/>
      <c r="Y608" s="10"/>
      <c r="Z608" s="11">
        <f t="shared" si="267"/>
        <v>8548986</v>
      </c>
      <c r="AA608" s="14"/>
      <c r="AB608" s="14"/>
      <c r="AC608" s="11">
        <f t="shared" si="268"/>
        <v>8548986</v>
      </c>
      <c r="AD608" s="10">
        <f t="shared" si="269"/>
        <v>299.99999999999994</v>
      </c>
      <c r="AE608" s="15">
        <v>165657</v>
      </c>
      <c r="AF608" s="16">
        <v>29818</v>
      </c>
      <c r="AG608" s="15">
        <f t="shared" si="270"/>
        <v>0</v>
      </c>
      <c r="AH608" s="15">
        <f t="shared" si="271"/>
        <v>0</v>
      </c>
      <c r="AI608" s="15">
        <f t="shared" si="272"/>
        <v>165656.99999999997</v>
      </c>
      <c r="AJ608" s="15">
        <f t="shared" si="273"/>
        <v>29819</v>
      </c>
      <c r="AK608" s="10">
        <v>165657</v>
      </c>
      <c r="AL608" s="15">
        <f t="shared" si="274"/>
        <v>165657.00000000003</v>
      </c>
      <c r="AM608" s="15">
        <f t="shared" si="275"/>
        <v>8714643</v>
      </c>
      <c r="AN608" s="15">
        <f t="shared" si="276"/>
        <v>1055697</v>
      </c>
      <c r="AO608" s="15">
        <f t="shared" si="281"/>
        <v>1236305</v>
      </c>
      <c r="AP608" s="17">
        <f t="shared" si="277"/>
        <v>9950948</v>
      </c>
      <c r="AQ608" s="15">
        <v>8540434</v>
      </c>
      <c r="AR608" s="15">
        <v>14951</v>
      </c>
      <c r="AS608" s="18">
        <f t="shared" si="282"/>
        <v>1410514</v>
      </c>
      <c r="AT608" s="19">
        <v>0</v>
      </c>
      <c r="AU608" s="8">
        <v>8800</v>
      </c>
      <c r="AV608" s="13">
        <f t="shared" si="283"/>
        <v>4859272.0000000009</v>
      </c>
      <c r="AW608" s="18">
        <f t="shared" si="284"/>
        <v>8714643</v>
      </c>
      <c r="AX608" s="15">
        <f t="shared" si="278"/>
        <v>8715000</v>
      </c>
      <c r="AY608" s="20">
        <v>7.0000000000000007E-2</v>
      </c>
      <c r="AZ608" s="13">
        <f t="shared" si="279"/>
        <v>610050</v>
      </c>
      <c r="BA608" s="15">
        <f t="shared" si="280"/>
        <v>610100</v>
      </c>
      <c r="BB608" s="21">
        <f t="shared" si="285"/>
        <v>2020614</v>
      </c>
      <c r="BC608" s="10">
        <f t="shared" si="286"/>
        <v>0</v>
      </c>
      <c r="BD608" s="10">
        <f t="shared" si="287"/>
        <v>0</v>
      </c>
      <c r="BE608" s="10">
        <v>110</v>
      </c>
      <c r="BF608" s="10">
        <v>51.3</v>
      </c>
      <c r="BG608" s="107">
        <v>46176</v>
      </c>
      <c r="BH608" s="107">
        <f t="shared" si="261"/>
        <v>46206</v>
      </c>
      <c r="BI608" s="23">
        <v>7</v>
      </c>
      <c r="BJ608" s="6"/>
      <c r="BK608" s="24"/>
      <c r="BL608" s="6">
        <f>VLOOKUP(A608,[2]Sheet1!$D$2:$H$933,5,0)</f>
        <v>0</v>
      </c>
      <c r="BM608" s="6" t="s">
        <v>3828</v>
      </c>
      <c r="BN608" s="6" t="s">
        <v>3829</v>
      </c>
      <c r="BO608" s="6" t="s">
        <v>3820</v>
      </c>
      <c r="BP608" s="6" t="s">
        <v>3821</v>
      </c>
      <c r="BQ608" s="6" t="s">
        <v>3830</v>
      </c>
      <c r="BR608" t="s">
        <v>3823</v>
      </c>
      <c r="BS608" t="s">
        <v>3824</v>
      </c>
      <c r="BT608" t="s">
        <v>3825</v>
      </c>
      <c r="BU608" t="s">
        <v>3826</v>
      </c>
      <c r="BV608" t="s">
        <v>3827</v>
      </c>
      <c r="BW608" t="s">
        <v>3835</v>
      </c>
      <c r="BX608">
        <v>0</v>
      </c>
      <c r="BY608" t="s">
        <v>3859</v>
      </c>
      <c r="BZ608" t="s">
        <v>3863</v>
      </c>
    </row>
    <row r="609" spans="1:78" x14ac:dyDescent="0.25">
      <c r="A609" s="7" t="s">
        <v>2504</v>
      </c>
      <c r="B609" s="7" t="s">
        <v>181</v>
      </c>
      <c r="C609" s="7" t="s">
        <v>2502</v>
      </c>
      <c r="D609" s="8" t="s">
        <v>2503</v>
      </c>
      <c r="E609" s="7" t="s">
        <v>2505</v>
      </c>
      <c r="F609" s="9">
        <v>44929</v>
      </c>
      <c r="G609" s="9" t="s">
        <v>527</v>
      </c>
      <c r="H609" s="9" t="s">
        <v>92</v>
      </c>
      <c r="I609" s="8" t="s">
        <v>78</v>
      </c>
      <c r="J609" s="10">
        <v>361.67</v>
      </c>
      <c r="K609" s="10">
        <v>361.67</v>
      </c>
      <c r="L609" s="10">
        <f t="shared" si="263"/>
        <v>0</v>
      </c>
      <c r="M609" s="10">
        <v>145.85</v>
      </c>
      <c r="N609" s="10">
        <v>145.85</v>
      </c>
      <c r="O609" s="10">
        <f t="shared" si="264"/>
        <v>0</v>
      </c>
      <c r="P609" s="11">
        <v>18704.999032266984</v>
      </c>
      <c r="Q609" s="11">
        <v>46383.524168666438</v>
      </c>
      <c r="R609" s="11">
        <v>28000</v>
      </c>
      <c r="S609" s="11">
        <v>6765037</v>
      </c>
      <c r="T609" s="11">
        <v>811804</v>
      </c>
      <c r="U609" s="12">
        <f t="shared" si="265"/>
        <v>0.11999993495970532</v>
      </c>
      <c r="V609" s="13">
        <f t="shared" si="290"/>
        <v>0</v>
      </c>
      <c r="W609" s="10">
        <f t="shared" si="266"/>
        <v>0</v>
      </c>
      <c r="X609" s="10"/>
      <c r="Y609" s="10"/>
      <c r="Z609" s="11">
        <f t="shared" si="267"/>
        <v>6765037</v>
      </c>
      <c r="AA609" s="14"/>
      <c r="AB609" s="14"/>
      <c r="AC609" s="11">
        <f t="shared" si="268"/>
        <v>6765037</v>
      </c>
      <c r="AD609" s="10">
        <f t="shared" si="269"/>
        <v>300</v>
      </c>
      <c r="AE609" s="15">
        <v>43755</v>
      </c>
      <c r="AF609" s="16">
        <v>7876</v>
      </c>
      <c r="AG609" s="15">
        <f t="shared" si="270"/>
        <v>0</v>
      </c>
      <c r="AH609" s="15">
        <f t="shared" si="271"/>
        <v>0</v>
      </c>
      <c r="AI609" s="15">
        <f t="shared" si="272"/>
        <v>43755</v>
      </c>
      <c r="AJ609" s="15">
        <f t="shared" si="273"/>
        <v>7876</v>
      </c>
      <c r="AK609" s="10">
        <v>43755</v>
      </c>
      <c r="AL609" s="15">
        <f t="shared" si="274"/>
        <v>43755</v>
      </c>
      <c r="AM609" s="15">
        <f t="shared" si="275"/>
        <v>6808792</v>
      </c>
      <c r="AN609" s="15">
        <f t="shared" si="276"/>
        <v>819680</v>
      </c>
      <c r="AO609" s="15">
        <f t="shared" si="281"/>
        <v>886199</v>
      </c>
      <c r="AP609" s="17">
        <f t="shared" si="277"/>
        <v>7694991</v>
      </c>
      <c r="AQ609" s="15">
        <v>2240000</v>
      </c>
      <c r="AR609" s="15">
        <v>22764</v>
      </c>
      <c r="AS609" s="18">
        <f t="shared" si="282"/>
        <v>5454991</v>
      </c>
      <c r="AT609" s="19">
        <v>0</v>
      </c>
      <c r="AU609" s="8">
        <v>8800</v>
      </c>
      <c r="AV609" s="13">
        <f t="shared" si="283"/>
        <v>1283480</v>
      </c>
      <c r="AW609" s="18">
        <f t="shared" si="284"/>
        <v>6808792</v>
      </c>
      <c r="AX609" s="15">
        <f t="shared" si="278"/>
        <v>6809000</v>
      </c>
      <c r="AY609" s="20">
        <v>7.0000000000000007E-2</v>
      </c>
      <c r="AZ609" s="13">
        <f t="shared" si="279"/>
        <v>476630.00000000006</v>
      </c>
      <c r="BA609" s="15">
        <f t="shared" si="280"/>
        <v>476700</v>
      </c>
      <c r="BB609" s="21">
        <f t="shared" si="285"/>
        <v>5931691</v>
      </c>
      <c r="BC609" s="10">
        <f t="shared" si="286"/>
        <v>0</v>
      </c>
      <c r="BD609" s="10">
        <f t="shared" si="287"/>
        <v>0</v>
      </c>
      <c r="BE609" s="10">
        <v>33.6</v>
      </c>
      <c r="BF609" s="10">
        <v>13.55</v>
      </c>
      <c r="BG609" s="107">
        <v>46176</v>
      </c>
      <c r="BH609" s="107">
        <f t="shared" si="261"/>
        <v>46206</v>
      </c>
      <c r="BI609" s="23">
        <v>7</v>
      </c>
      <c r="BJ609" s="6"/>
      <c r="BK609" s="6"/>
      <c r="BL609" s="6">
        <f>VLOOKUP(A609,[2]Sheet1!$D$2:$H$933,5,0)</f>
        <v>0</v>
      </c>
      <c r="BM609" s="6" t="s">
        <v>3828</v>
      </c>
      <c r="BN609" s="6" t="s">
        <v>3829</v>
      </c>
      <c r="BO609" s="6" t="s">
        <v>3820</v>
      </c>
      <c r="BP609" s="6" t="s">
        <v>3821</v>
      </c>
      <c r="BQ609" s="6" t="s">
        <v>3830</v>
      </c>
      <c r="BR609" t="s">
        <v>3823</v>
      </c>
      <c r="BS609" t="s">
        <v>3824</v>
      </c>
      <c r="BT609" t="s">
        <v>3825</v>
      </c>
      <c r="BU609" t="s">
        <v>3826</v>
      </c>
      <c r="BV609" t="s">
        <v>3827</v>
      </c>
      <c r="BW609" t="s">
        <v>3835</v>
      </c>
      <c r="BX609">
        <v>0</v>
      </c>
      <c r="BY609" t="s">
        <v>3864</v>
      </c>
      <c r="BZ609" t="s">
        <v>3871</v>
      </c>
    </row>
    <row r="610" spans="1:78" x14ac:dyDescent="0.25">
      <c r="A610" s="7" t="s">
        <v>2508</v>
      </c>
      <c r="B610" s="7" t="s">
        <v>181</v>
      </c>
      <c r="C610" s="7" t="s">
        <v>2506</v>
      </c>
      <c r="D610" s="8" t="s">
        <v>2507</v>
      </c>
      <c r="E610" s="7" t="s">
        <v>2509</v>
      </c>
      <c r="F610" s="9">
        <v>44931</v>
      </c>
      <c r="G610" s="9" t="s">
        <v>65</v>
      </c>
      <c r="H610" s="9" t="s">
        <v>66</v>
      </c>
      <c r="I610" s="8" t="s">
        <v>78</v>
      </c>
      <c r="J610" s="10">
        <v>489.76</v>
      </c>
      <c r="K610" s="10">
        <v>489.76</v>
      </c>
      <c r="L610" s="10">
        <f t="shared" si="263"/>
        <v>0</v>
      </c>
      <c r="M610" s="10">
        <v>219.59</v>
      </c>
      <c r="N610" s="10">
        <v>219.59</v>
      </c>
      <c r="O610" s="10">
        <f t="shared" si="264"/>
        <v>0</v>
      </c>
      <c r="P610" s="11">
        <v>20500</v>
      </c>
      <c r="Q610" s="11">
        <v>45721.936335898718</v>
      </c>
      <c r="R610" s="11">
        <v>22000</v>
      </c>
      <c r="S610" s="11">
        <v>10040080</v>
      </c>
      <c r="T610" s="11">
        <v>1204810</v>
      </c>
      <c r="U610" s="12">
        <f t="shared" si="265"/>
        <v>0.12000003984032</v>
      </c>
      <c r="V610" s="13">
        <f t="shared" si="290"/>
        <v>0</v>
      </c>
      <c r="W610" s="10">
        <f t="shared" si="266"/>
        <v>0</v>
      </c>
      <c r="X610" s="10"/>
      <c r="Y610" s="10"/>
      <c r="Z610" s="11">
        <f t="shared" si="267"/>
        <v>10040080</v>
      </c>
      <c r="AA610" s="14"/>
      <c r="AB610" s="14"/>
      <c r="AC610" s="11">
        <f t="shared" si="268"/>
        <v>10040080</v>
      </c>
      <c r="AD610" s="10">
        <f t="shared" si="269"/>
        <v>300</v>
      </c>
      <c r="AE610" s="15">
        <v>65877</v>
      </c>
      <c r="AF610" s="16">
        <v>11858</v>
      </c>
      <c r="AG610" s="15">
        <f t="shared" si="270"/>
        <v>0</v>
      </c>
      <c r="AH610" s="15">
        <f t="shared" si="271"/>
        <v>0</v>
      </c>
      <c r="AI610" s="15">
        <f t="shared" si="272"/>
        <v>65877</v>
      </c>
      <c r="AJ610" s="15">
        <f t="shared" si="273"/>
        <v>11858</v>
      </c>
      <c r="AK610" s="10">
        <v>65877</v>
      </c>
      <c r="AL610" s="15">
        <f t="shared" si="274"/>
        <v>65877</v>
      </c>
      <c r="AM610" s="15">
        <f t="shared" si="275"/>
        <v>10105957</v>
      </c>
      <c r="AN610" s="15">
        <f t="shared" si="276"/>
        <v>1216668</v>
      </c>
      <c r="AO610" s="15">
        <f t="shared" si="281"/>
        <v>1305236.48</v>
      </c>
      <c r="AP610" s="17">
        <f t="shared" si="277"/>
        <v>11411193.48</v>
      </c>
      <c r="AQ610" s="15">
        <v>5622708.4400000004</v>
      </c>
      <c r="AR610" s="15">
        <v>22691.48</v>
      </c>
      <c r="AS610" s="18">
        <f t="shared" si="282"/>
        <v>5788485</v>
      </c>
      <c r="AT610" s="19">
        <v>0</v>
      </c>
      <c r="AU610" s="8">
        <v>8800</v>
      </c>
      <c r="AV610" s="13">
        <f t="shared" si="283"/>
        <v>1932392</v>
      </c>
      <c r="AW610" s="18">
        <f t="shared" si="284"/>
        <v>10105957</v>
      </c>
      <c r="AX610" s="15">
        <f t="shared" si="278"/>
        <v>10106000</v>
      </c>
      <c r="AY610" s="20">
        <v>0.06</v>
      </c>
      <c r="AZ610" s="13">
        <f t="shared" si="279"/>
        <v>606360</v>
      </c>
      <c r="BA610" s="15">
        <f t="shared" si="280"/>
        <v>606400</v>
      </c>
      <c r="BB610" s="21">
        <f t="shared" si="285"/>
        <v>6394885</v>
      </c>
      <c r="BC610" s="10">
        <f t="shared" si="286"/>
        <v>0</v>
      </c>
      <c r="BD610" s="10">
        <f t="shared" si="287"/>
        <v>0</v>
      </c>
      <c r="BE610" s="10">
        <v>45.5</v>
      </c>
      <c r="BF610" s="10">
        <v>20.399999999999999</v>
      </c>
      <c r="BG610" s="107">
        <v>46176</v>
      </c>
      <c r="BH610" s="107">
        <f t="shared" si="261"/>
        <v>46206</v>
      </c>
      <c r="BI610" s="23">
        <v>6</v>
      </c>
      <c r="BJ610" s="6"/>
      <c r="BK610" s="6"/>
      <c r="BL610" s="6">
        <f>VLOOKUP(A610,[2]Sheet1!$D$2:$H$933,5,0)</f>
        <v>0</v>
      </c>
      <c r="BM610" s="6" t="s">
        <v>3828</v>
      </c>
      <c r="BN610" s="6" t="s">
        <v>3829</v>
      </c>
      <c r="BO610" s="6" t="s">
        <v>3820</v>
      </c>
      <c r="BP610" s="6" t="s">
        <v>3821</v>
      </c>
      <c r="BQ610" s="6" t="s">
        <v>3830</v>
      </c>
      <c r="BR610" t="s">
        <v>3823</v>
      </c>
      <c r="BS610" t="s">
        <v>3824</v>
      </c>
      <c r="BT610" t="s">
        <v>3825</v>
      </c>
      <c r="BU610" t="s">
        <v>3826</v>
      </c>
      <c r="BV610" t="s">
        <v>3827</v>
      </c>
      <c r="BW610" t="s">
        <v>3835</v>
      </c>
      <c r="BX610">
        <v>0</v>
      </c>
      <c r="BY610" t="s">
        <v>3869</v>
      </c>
      <c r="BZ610" t="s">
        <v>3860</v>
      </c>
    </row>
    <row r="611" spans="1:78" x14ac:dyDescent="0.25">
      <c r="A611" s="7" t="s">
        <v>2512</v>
      </c>
      <c r="B611" s="7" t="s">
        <v>181</v>
      </c>
      <c r="C611" s="7" t="s">
        <v>2510</v>
      </c>
      <c r="D611" s="8" t="s">
        <v>2511</v>
      </c>
      <c r="E611" s="7" t="s">
        <v>2513</v>
      </c>
      <c r="F611" s="9">
        <v>44922</v>
      </c>
      <c r="G611" s="9" t="s">
        <v>404</v>
      </c>
      <c r="H611" s="9" t="s">
        <v>92</v>
      </c>
      <c r="I611" s="8" t="s">
        <v>78</v>
      </c>
      <c r="J611" s="10">
        <v>358.87</v>
      </c>
      <c r="K611" s="10">
        <v>358.87</v>
      </c>
      <c r="L611" s="10">
        <f t="shared" si="263"/>
        <v>0</v>
      </c>
      <c r="M611" s="10">
        <v>148.11000000000001</v>
      </c>
      <c r="N611" s="10">
        <v>148.11000000000001</v>
      </c>
      <c r="O611" s="10">
        <f t="shared" si="264"/>
        <v>0</v>
      </c>
      <c r="P611" s="11">
        <v>18748.00066876585</v>
      </c>
      <c r="Q611" s="11">
        <v>45426.338532172027</v>
      </c>
      <c r="R611" s="11">
        <v>28000</v>
      </c>
      <c r="S611" s="11">
        <v>6728095</v>
      </c>
      <c r="T611" s="11">
        <v>807370</v>
      </c>
      <c r="U611" s="12">
        <f t="shared" si="265"/>
        <v>0.11999979191732578</v>
      </c>
      <c r="V611" s="13">
        <f t="shared" si="290"/>
        <v>0</v>
      </c>
      <c r="W611" s="10">
        <f t="shared" si="266"/>
        <v>0</v>
      </c>
      <c r="X611" s="10"/>
      <c r="Y611" s="10"/>
      <c r="Z611" s="11">
        <f t="shared" si="267"/>
        <v>6728095</v>
      </c>
      <c r="AA611" s="14"/>
      <c r="AB611" s="14"/>
      <c r="AC611" s="11">
        <f t="shared" si="268"/>
        <v>6728095</v>
      </c>
      <c r="AD611" s="10">
        <f t="shared" si="269"/>
        <v>300</v>
      </c>
      <c r="AE611" s="15">
        <v>44433</v>
      </c>
      <c r="AF611" s="16">
        <v>7998</v>
      </c>
      <c r="AG611" s="15">
        <f t="shared" si="270"/>
        <v>0</v>
      </c>
      <c r="AH611" s="15">
        <f t="shared" si="271"/>
        <v>0</v>
      </c>
      <c r="AI611" s="15">
        <f t="shared" si="272"/>
        <v>44433.000000000007</v>
      </c>
      <c r="AJ611" s="15">
        <f t="shared" si="273"/>
        <v>7998</v>
      </c>
      <c r="AK611" s="10">
        <v>44433</v>
      </c>
      <c r="AL611" s="15">
        <f t="shared" si="274"/>
        <v>44433.000000000007</v>
      </c>
      <c r="AM611" s="15">
        <f t="shared" si="275"/>
        <v>6772528</v>
      </c>
      <c r="AN611" s="15">
        <f t="shared" si="276"/>
        <v>815368</v>
      </c>
      <c r="AO611" s="15">
        <f t="shared" si="281"/>
        <v>882711.76</v>
      </c>
      <c r="AP611" s="17">
        <f t="shared" si="277"/>
        <v>7655239.7599999998</v>
      </c>
      <c r="AQ611" s="15">
        <v>2239200</v>
      </c>
      <c r="AR611" s="15">
        <v>22910.76</v>
      </c>
      <c r="AS611" s="18">
        <f t="shared" si="282"/>
        <v>5416040</v>
      </c>
      <c r="AT611" s="19">
        <v>0</v>
      </c>
      <c r="AU611" s="8">
        <v>8800</v>
      </c>
      <c r="AV611" s="13">
        <f t="shared" si="283"/>
        <v>1303368.0000000002</v>
      </c>
      <c r="AW611" s="18">
        <f t="shared" si="284"/>
        <v>6772528</v>
      </c>
      <c r="AX611" s="15">
        <f t="shared" si="278"/>
        <v>6773000</v>
      </c>
      <c r="AY611" s="20">
        <v>0.05</v>
      </c>
      <c r="AZ611" s="13">
        <f t="shared" si="279"/>
        <v>338650</v>
      </c>
      <c r="BA611" s="15">
        <f t="shared" si="280"/>
        <v>338700</v>
      </c>
      <c r="BB611" s="21">
        <f t="shared" si="285"/>
        <v>5754740</v>
      </c>
      <c r="BC611" s="10">
        <f t="shared" si="286"/>
        <v>0</v>
      </c>
      <c r="BD611" s="10">
        <f t="shared" si="287"/>
        <v>0</v>
      </c>
      <c r="BE611" s="10">
        <v>33.340000000000003</v>
      </c>
      <c r="BF611" s="10">
        <v>13.76</v>
      </c>
      <c r="BG611" s="107">
        <v>46176</v>
      </c>
      <c r="BH611" s="107">
        <f t="shared" si="261"/>
        <v>46206</v>
      </c>
      <c r="BI611" s="23">
        <v>5</v>
      </c>
      <c r="BJ611" s="6"/>
      <c r="BK611" s="6"/>
      <c r="BL611" s="6">
        <f>VLOOKUP(A611,[2]Sheet1!$D$2:$H$933,5,0)</f>
        <v>0</v>
      </c>
      <c r="BM611" s="6" t="s">
        <v>3828</v>
      </c>
      <c r="BN611" s="6" t="s">
        <v>3829</v>
      </c>
      <c r="BO611" s="6" t="s">
        <v>3820</v>
      </c>
      <c r="BP611" s="6" t="s">
        <v>3821</v>
      </c>
      <c r="BQ611" s="6" t="s">
        <v>3830</v>
      </c>
      <c r="BR611" t="s">
        <v>3823</v>
      </c>
      <c r="BS611" t="s">
        <v>3824</v>
      </c>
      <c r="BT611" t="s">
        <v>3825</v>
      </c>
      <c r="BU611" t="s">
        <v>3826</v>
      </c>
      <c r="BV611" t="s">
        <v>3827</v>
      </c>
      <c r="BW611" t="s">
        <v>3835</v>
      </c>
      <c r="BX611">
        <v>0</v>
      </c>
      <c r="BY611" t="s">
        <v>3869</v>
      </c>
      <c r="BZ611" t="s">
        <v>3863</v>
      </c>
    </row>
    <row r="612" spans="1:78" x14ac:dyDescent="0.25">
      <c r="A612" s="7" t="s">
        <v>2516</v>
      </c>
      <c r="B612" s="7" t="s">
        <v>181</v>
      </c>
      <c r="C612" s="7" t="s">
        <v>2514</v>
      </c>
      <c r="D612" s="8" t="s">
        <v>2515</v>
      </c>
      <c r="E612" s="7" t="s">
        <v>2517</v>
      </c>
      <c r="F612" s="9">
        <v>45002</v>
      </c>
      <c r="G612" s="9" t="s">
        <v>65</v>
      </c>
      <c r="H612" s="9" t="s">
        <v>66</v>
      </c>
      <c r="I612" s="8" t="s">
        <v>67</v>
      </c>
      <c r="J612" s="10">
        <v>477.44</v>
      </c>
      <c r="K612" s="10">
        <v>477.44</v>
      </c>
      <c r="L612" s="10">
        <f t="shared" si="263"/>
        <v>0</v>
      </c>
      <c r="M612" s="10">
        <v>196.98</v>
      </c>
      <c r="N612" s="10">
        <v>196.98</v>
      </c>
      <c r="O612" s="10">
        <f t="shared" si="264"/>
        <v>0</v>
      </c>
      <c r="P612" s="11">
        <v>15366.399966487936</v>
      </c>
      <c r="Q612" s="11">
        <v>37245.070565539652</v>
      </c>
      <c r="R612" s="11">
        <v>22000</v>
      </c>
      <c r="S612" s="11">
        <v>7336534</v>
      </c>
      <c r="T612" s="11">
        <v>880386</v>
      </c>
      <c r="U612" s="12">
        <f t="shared" si="265"/>
        <v>0.12000026170395993</v>
      </c>
      <c r="V612" s="13">
        <f t="shared" si="290"/>
        <v>0</v>
      </c>
      <c r="W612" s="10">
        <f t="shared" si="266"/>
        <v>0</v>
      </c>
      <c r="X612" s="10"/>
      <c r="Y612" s="10"/>
      <c r="Z612" s="11">
        <f t="shared" si="267"/>
        <v>7336534</v>
      </c>
      <c r="AA612" s="14"/>
      <c r="AB612" s="14"/>
      <c r="AC612" s="11">
        <f t="shared" si="268"/>
        <v>7336534</v>
      </c>
      <c r="AD612" s="10">
        <f t="shared" si="269"/>
        <v>300</v>
      </c>
      <c r="AE612" s="15">
        <v>59094</v>
      </c>
      <c r="AF612" s="16">
        <v>10636</v>
      </c>
      <c r="AG612" s="15">
        <f t="shared" si="270"/>
        <v>0</v>
      </c>
      <c r="AH612" s="15">
        <f t="shared" si="271"/>
        <v>0</v>
      </c>
      <c r="AI612" s="15">
        <f t="shared" si="272"/>
        <v>59094</v>
      </c>
      <c r="AJ612" s="15">
        <f t="shared" si="273"/>
        <v>10637</v>
      </c>
      <c r="AK612" s="10">
        <v>59094</v>
      </c>
      <c r="AL612" s="15">
        <f t="shared" si="274"/>
        <v>59094</v>
      </c>
      <c r="AM612" s="15">
        <f t="shared" si="275"/>
        <v>7395628</v>
      </c>
      <c r="AN612" s="15">
        <f t="shared" si="276"/>
        <v>891023</v>
      </c>
      <c r="AO612" s="15">
        <f t="shared" si="281"/>
        <v>965536</v>
      </c>
      <c r="AP612" s="17">
        <f t="shared" si="277"/>
        <v>8361164</v>
      </c>
      <c r="AQ612" s="15">
        <v>7299852.7599999998</v>
      </c>
      <c r="AR612" s="15">
        <v>15419</v>
      </c>
      <c r="AS612" s="18">
        <f t="shared" si="282"/>
        <v>1061311</v>
      </c>
      <c r="AT612" s="19">
        <v>0</v>
      </c>
      <c r="AU612" s="8">
        <v>8800</v>
      </c>
      <c r="AV612" s="13">
        <f t="shared" si="283"/>
        <v>1733424</v>
      </c>
      <c r="AW612" s="18">
        <f t="shared" si="284"/>
        <v>7395628</v>
      </c>
      <c r="AX612" s="15">
        <f t="shared" si="278"/>
        <v>7396000</v>
      </c>
      <c r="AY612" s="20">
        <v>0.06</v>
      </c>
      <c r="AZ612" s="13">
        <f t="shared" si="279"/>
        <v>443760</v>
      </c>
      <c r="BA612" s="15">
        <f t="shared" si="280"/>
        <v>443800</v>
      </c>
      <c r="BB612" s="21">
        <f t="shared" si="285"/>
        <v>1505111</v>
      </c>
      <c r="BC612" s="10">
        <f t="shared" si="286"/>
        <v>0</v>
      </c>
      <c r="BD612" s="10">
        <f t="shared" si="287"/>
        <v>0</v>
      </c>
      <c r="BE612" s="10">
        <v>44.36</v>
      </c>
      <c r="BF612" s="10">
        <v>18.3</v>
      </c>
      <c r="BG612" s="107">
        <v>46176</v>
      </c>
      <c r="BH612" s="107">
        <f t="shared" si="261"/>
        <v>46206</v>
      </c>
      <c r="BI612" s="23">
        <v>6</v>
      </c>
      <c r="BJ612" s="6"/>
      <c r="BK612" s="6"/>
      <c r="BL612" s="6">
        <f>VLOOKUP(A612,[2]Sheet1!$D$2:$H$933,5,0)</f>
        <v>0</v>
      </c>
      <c r="BM612" s="6" t="s">
        <v>3828</v>
      </c>
      <c r="BN612" s="6" t="s">
        <v>3829</v>
      </c>
      <c r="BO612" s="6" t="s">
        <v>3820</v>
      </c>
      <c r="BP612" s="6" t="s">
        <v>3821</v>
      </c>
      <c r="BQ612" s="6" t="s">
        <v>3830</v>
      </c>
      <c r="BR612" t="s">
        <v>3823</v>
      </c>
      <c r="BS612" t="s">
        <v>3824</v>
      </c>
      <c r="BT612" t="s">
        <v>3825</v>
      </c>
      <c r="BU612" t="s">
        <v>3826</v>
      </c>
      <c r="BV612" t="s">
        <v>3827</v>
      </c>
      <c r="BW612" t="s">
        <v>3835</v>
      </c>
      <c r="BX612">
        <v>0</v>
      </c>
      <c r="BY612" t="s">
        <v>3870</v>
      </c>
      <c r="BZ612" t="s">
        <v>3860</v>
      </c>
    </row>
    <row r="613" spans="1:78" x14ac:dyDescent="0.25">
      <c r="A613" s="7" t="s">
        <v>2520</v>
      </c>
      <c r="B613" s="7" t="s">
        <v>181</v>
      </c>
      <c r="C613" s="7" t="s">
        <v>2518</v>
      </c>
      <c r="D613" s="8" t="s">
        <v>2519</v>
      </c>
      <c r="E613" s="7" t="s">
        <v>2521</v>
      </c>
      <c r="F613" s="9">
        <v>45069</v>
      </c>
      <c r="G613" s="9" t="s">
        <v>363</v>
      </c>
      <c r="H613" s="9" t="s">
        <v>87</v>
      </c>
      <c r="I613" s="8" t="s">
        <v>67</v>
      </c>
      <c r="J613" s="10">
        <v>344.45</v>
      </c>
      <c r="K613" s="10">
        <v>344.45</v>
      </c>
      <c r="L613" s="10">
        <f t="shared" si="263"/>
        <v>0</v>
      </c>
      <c r="M613" s="10">
        <v>137.24</v>
      </c>
      <c r="N613" s="10">
        <v>137.24</v>
      </c>
      <c r="O613" s="10">
        <f t="shared" si="264"/>
        <v>0</v>
      </c>
      <c r="P613" s="11">
        <v>19829.998548410509</v>
      </c>
      <c r="Q613" s="11">
        <v>49770.059749344211</v>
      </c>
      <c r="R613" s="11">
        <v>40000</v>
      </c>
      <c r="S613" s="11">
        <v>6830443</v>
      </c>
      <c r="T613" s="11">
        <v>819656</v>
      </c>
      <c r="U613" s="12">
        <f t="shared" si="265"/>
        <v>0.12000041578562327</v>
      </c>
      <c r="V613" s="13">
        <f t="shared" si="290"/>
        <v>0</v>
      </c>
      <c r="W613" s="10">
        <f t="shared" si="266"/>
        <v>0</v>
      </c>
      <c r="X613" s="10"/>
      <c r="Y613" s="10"/>
      <c r="Z613" s="11">
        <f t="shared" si="267"/>
        <v>6830443</v>
      </c>
      <c r="AA613" s="14">
        <v>617426</v>
      </c>
      <c r="AB613" s="14">
        <v>74091</v>
      </c>
      <c r="AC613" s="11">
        <f t="shared" si="268"/>
        <v>6213017</v>
      </c>
      <c r="AD613" s="10">
        <f t="shared" si="269"/>
        <v>300</v>
      </c>
      <c r="AE613" s="15">
        <v>41172</v>
      </c>
      <c r="AF613" s="16">
        <v>7410</v>
      </c>
      <c r="AG613" s="15">
        <f t="shared" si="270"/>
        <v>0</v>
      </c>
      <c r="AH613" s="15">
        <f t="shared" si="271"/>
        <v>0</v>
      </c>
      <c r="AI613" s="15">
        <f t="shared" si="272"/>
        <v>41172</v>
      </c>
      <c r="AJ613" s="15">
        <f t="shared" si="273"/>
        <v>7411</v>
      </c>
      <c r="AK613" s="10">
        <v>41172</v>
      </c>
      <c r="AL613" s="15">
        <f t="shared" si="274"/>
        <v>41172</v>
      </c>
      <c r="AM613" s="15">
        <f t="shared" si="275"/>
        <v>6254189</v>
      </c>
      <c r="AN613" s="15">
        <f t="shared" si="276"/>
        <v>752976</v>
      </c>
      <c r="AO613" s="15">
        <f t="shared" si="281"/>
        <v>794148</v>
      </c>
      <c r="AP613" s="17">
        <f t="shared" si="277"/>
        <v>7048337</v>
      </c>
      <c r="AQ613" s="15">
        <v>5905000</v>
      </c>
      <c r="AR613" s="15">
        <v>0</v>
      </c>
      <c r="AS613" s="18">
        <f t="shared" si="282"/>
        <v>1143337</v>
      </c>
      <c r="AT613" s="19">
        <v>0</v>
      </c>
      <c r="AU613" s="8">
        <v>8800</v>
      </c>
      <c r="AV613" s="13">
        <f t="shared" si="283"/>
        <v>1207712</v>
      </c>
      <c r="AW613" s="18">
        <f t="shared" si="284"/>
        <v>6254189</v>
      </c>
      <c r="AX613" s="15">
        <f t="shared" si="278"/>
        <v>6255000</v>
      </c>
      <c r="AY613" s="20">
        <v>7.0000000000000007E-2</v>
      </c>
      <c r="AZ613" s="13">
        <f t="shared" si="279"/>
        <v>437850.00000000006</v>
      </c>
      <c r="BA613" s="15">
        <f t="shared" si="280"/>
        <v>437900</v>
      </c>
      <c r="BB613" s="21">
        <f t="shared" si="285"/>
        <v>1581237</v>
      </c>
      <c r="BC613" s="10">
        <f t="shared" si="286"/>
        <v>0</v>
      </c>
      <c r="BD613" s="10">
        <f t="shared" si="287"/>
        <v>0</v>
      </c>
      <c r="BE613" s="10">
        <v>32</v>
      </c>
      <c r="BF613" s="10">
        <v>12.75</v>
      </c>
      <c r="BG613" s="107">
        <v>46176</v>
      </c>
      <c r="BH613" s="107">
        <f t="shared" si="261"/>
        <v>46206</v>
      </c>
      <c r="BI613" s="23">
        <v>7</v>
      </c>
      <c r="BJ613" s="6"/>
      <c r="BK613" s="6"/>
      <c r="BL613" s="6">
        <f>VLOOKUP(A613,[2]Sheet1!$D$2:$H$933,5,0)</f>
        <v>0</v>
      </c>
      <c r="BM613" s="6" t="s">
        <v>3828</v>
      </c>
      <c r="BN613" s="6" t="s">
        <v>3829</v>
      </c>
      <c r="BO613" s="6" t="s">
        <v>3820</v>
      </c>
      <c r="BP613" s="6" t="s">
        <v>3821</v>
      </c>
      <c r="BQ613" s="6" t="s">
        <v>3830</v>
      </c>
      <c r="BR613" t="s">
        <v>3823</v>
      </c>
      <c r="BS613" t="s">
        <v>3824</v>
      </c>
      <c r="BT613" t="s">
        <v>3825</v>
      </c>
      <c r="BU613" t="s">
        <v>3826</v>
      </c>
      <c r="BV613" t="s">
        <v>3827</v>
      </c>
      <c r="BW613" t="s">
        <v>3835</v>
      </c>
      <c r="BX613">
        <v>0</v>
      </c>
      <c r="BY613" t="s">
        <v>3859</v>
      </c>
      <c r="BZ613" t="s">
        <v>3860</v>
      </c>
    </row>
    <row r="614" spans="1:78" x14ac:dyDescent="0.25">
      <c r="A614" s="7" t="s">
        <v>2524</v>
      </c>
      <c r="B614" s="7" t="s">
        <v>181</v>
      </c>
      <c r="C614" s="7" t="s">
        <v>2522</v>
      </c>
      <c r="D614" s="8" t="s">
        <v>2523</v>
      </c>
      <c r="E614" s="7" t="s">
        <v>2525</v>
      </c>
      <c r="F614" s="9">
        <v>45047</v>
      </c>
      <c r="G614" s="9" t="s">
        <v>363</v>
      </c>
      <c r="H614" s="9" t="s">
        <v>92</v>
      </c>
      <c r="I614" s="8" t="s">
        <v>78</v>
      </c>
      <c r="J614" s="10">
        <v>697.51</v>
      </c>
      <c r="K614" s="10">
        <v>697.51</v>
      </c>
      <c r="L614" s="10">
        <f t="shared" si="263"/>
        <v>0</v>
      </c>
      <c r="M614" s="10">
        <v>317.54000000000002</v>
      </c>
      <c r="N614" s="10">
        <v>317.54000000000002</v>
      </c>
      <c r="O614" s="10">
        <f t="shared" si="264"/>
        <v>0</v>
      </c>
      <c r="P614" s="11">
        <v>9475.8512422760959</v>
      </c>
      <c r="Q614" s="11">
        <v>20814.703659381496</v>
      </c>
      <c r="R614" s="11">
        <v>28000</v>
      </c>
      <c r="S614" s="11">
        <v>6609501</v>
      </c>
      <c r="T614" s="11">
        <v>793140</v>
      </c>
      <c r="U614" s="12">
        <f t="shared" si="265"/>
        <v>0.11999998184431775</v>
      </c>
      <c r="V614" s="13">
        <f t="shared" si="290"/>
        <v>0</v>
      </c>
      <c r="W614" s="10">
        <f t="shared" si="266"/>
        <v>0</v>
      </c>
      <c r="X614" s="10"/>
      <c r="Y614" s="10"/>
      <c r="Z614" s="11">
        <f t="shared" si="267"/>
        <v>6609501</v>
      </c>
      <c r="AA614" s="14"/>
      <c r="AB614" s="14"/>
      <c r="AC614" s="11">
        <f t="shared" si="268"/>
        <v>6609501</v>
      </c>
      <c r="AD614" s="10">
        <f t="shared" si="269"/>
        <v>300</v>
      </c>
      <c r="AE614" s="15">
        <v>95262</v>
      </c>
      <c r="AF614" s="16">
        <v>17148</v>
      </c>
      <c r="AG614" s="15">
        <f t="shared" si="270"/>
        <v>0</v>
      </c>
      <c r="AH614" s="15">
        <f t="shared" si="271"/>
        <v>0</v>
      </c>
      <c r="AI614" s="15">
        <f t="shared" si="272"/>
        <v>95262</v>
      </c>
      <c r="AJ614" s="15">
        <f t="shared" si="273"/>
        <v>17148</v>
      </c>
      <c r="AK614" s="10">
        <v>95262</v>
      </c>
      <c r="AL614" s="15">
        <f t="shared" si="274"/>
        <v>95262</v>
      </c>
      <c r="AM614" s="15">
        <f t="shared" si="275"/>
        <v>6704763</v>
      </c>
      <c r="AN614" s="15">
        <f t="shared" si="276"/>
        <v>810288</v>
      </c>
      <c r="AO614" s="15">
        <f t="shared" si="281"/>
        <v>928813</v>
      </c>
      <c r="AP614" s="17">
        <f t="shared" si="277"/>
        <v>7633576</v>
      </c>
      <c r="AQ614" s="15">
        <v>1120000</v>
      </c>
      <c r="AR614" s="15">
        <v>23263</v>
      </c>
      <c r="AS614" s="18">
        <f t="shared" si="282"/>
        <v>6513576</v>
      </c>
      <c r="AT614" s="19">
        <v>0</v>
      </c>
      <c r="AU614" s="8">
        <v>8800</v>
      </c>
      <c r="AV614" s="13">
        <f t="shared" si="283"/>
        <v>2794352</v>
      </c>
      <c r="AW614" s="18">
        <f t="shared" si="284"/>
        <v>6704763</v>
      </c>
      <c r="AX614" s="15">
        <f t="shared" si="278"/>
        <v>6705000</v>
      </c>
      <c r="AY614" s="20">
        <v>0.05</v>
      </c>
      <c r="AZ614" s="13">
        <f t="shared" si="279"/>
        <v>335250</v>
      </c>
      <c r="BA614" s="15">
        <f t="shared" si="280"/>
        <v>335300</v>
      </c>
      <c r="BB614" s="21">
        <f t="shared" si="285"/>
        <v>6848876</v>
      </c>
      <c r="BC614" s="10">
        <f t="shared" si="286"/>
        <v>0</v>
      </c>
      <c r="BD614" s="10">
        <f t="shared" si="287"/>
        <v>0</v>
      </c>
      <c r="BE614" s="10">
        <v>64.8</v>
      </c>
      <c r="BF614" s="10">
        <v>29.5</v>
      </c>
      <c r="BG614" s="107">
        <v>46176</v>
      </c>
      <c r="BH614" s="107">
        <f t="shared" si="261"/>
        <v>46206</v>
      </c>
      <c r="BI614" s="23">
        <v>5</v>
      </c>
      <c r="BJ614" s="6"/>
      <c r="BK614" s="6"/>
      <c r="BL614" s="6">
        <f>VLOOKUP(A614,[2]Sheet1!$D$2:$H$933,5,0)</f>
        <v>0</v>
      </c>
      <c r="BM614" s="6" t="s">
        <v>3828</v>
      </c>
      <c r="BN614" s="6" t="s">
        <v>3829</v>
      </c>
      <c r="BO614" s="6" t="s">
        <v>3820</v>
      </c>
      <c r="BP614" s="6" t="s">
        <v>3821</v>
      </c>
      <c r="BQ614" s="6" t="s">
        <v>3830</v>
      </c>
      <c r="BR614" t="s">
        <v>3823</v>
      </c>
      <c r="BS614" t="s">
        <v>3824</v>
      </c>
      <c r="BT614" t="s">
        <v>3825</v>
      </c>
      <c r="BU614" t="s">
        <v>3826</v>
      </c>
      <c r="BV614" t="s">
        <v>3827</v>
      </c>
      <c r="BW614" t="s">
        <v>3835</v>
      </c>
      <c r="BX614">
        <v>0</v>
      </c>
      <c r="BY614" t="s">
        <v>3859</v>
      </c>
      <c r="BZ614" t="s">
        <v>3860</v>
      </c>
    </row>
    <row r="615" spans="1:78" x14ac:dyDescent="0.25">
      <c r="A615" s="7" t="s">
        <v>2528</v>
      </c>
      <c r="B615" s="7" t="s">
        <v>181</v>
      </c>
      <c r="C615" s="7" t="s">
        <v>2526</v>
      </c>
      <c r="D615" s="8" t="s">
        <v>2527</v>
      </c>
      <c r="E615" s="7" t="s">
        <v>2529</v>
      </c>
      <c r="F615" s="9">
        <v>44895</v>
      </c>
      <c r="G615" s="9" t="s">
        <v>527</v>
      </c>
      <c r="H615" s="9" t="s">
        <v>72</v>
      </c>
      <c r="I615" s="8" t="s">
        <v>78</v>
      </c>
      <c r="J615" s="10">
        <v>556.5</v>
      </c>
      <c r="K615" s="10">
        <v>556.5</v>
      </c>
      <c r="L615" s="10">
        <f t="shared" si="263"/>
        <v>0</v>
      </c>
      <c r="M615" s="10">
        <v>256.18</v>
      </c>
      <c r="N615" s="10">
        <v>256.18</v>
      </c>
      <c r="O615" s="10">
        <f t="shared" si="264"/>
        <v>0</v>
      </c>
      <c r="P615" s="11">
        <v>11066</v>
      </c>
      <c r="Q615" s="11">
        <v>24038.679834491373</v>
      </c>
      <c r="R615" s="11">
        <v>20000</v>
      </c>
      <c r="S615" s="11">
        <v>6158229</v>
      </c>
      <c r="T615" s="11">
        <v>738988</v>
      </c>
      <c r="U615" s="12">
        <f t="shared" si="265"/>
        <v>0.12000008443986088</v>
      </c>
      <c r="V615" s="13">
        <f t="shared" si="290"/>
        <v>0</v>
      </c>
      <c r="W615" s="10">
        <f t="shared" si="266"/>
        <v>0</v>
      </c>
      <c r="X615" s="10"/>
      <c r="Y615" s="10"/>
      <c r="Z615" s="11">
        <f t="shared" si="267"/>
        <v>6158229</v>
      </c>
      <c r="AA615" s="14"/>
      <c r="AB615" s="14"/>
      <c r="AC615" s="11">
        <f t="shared" si="268"/>
        <v>6158229</v>
      </c>
      <c r="AD615" s="10">
        <f t="shared" si="269"/>
        <v>300</v>
      </c>
      <c r="AE615" s="15">
        <v>76854</v>
      </c>
      <c r="AF615" s="16">
        <v>13834</v>
      </c>
      <c r="AG615" s="15">
        <f t="shared" si="270"/>
        <v>0</v>
      </c>
      <c r="AH615" s="15">
        <f t="shared" si="271"/>
        <v>0</v>
      </c>
      <c r="AI615" s="15">
        <f t="shared" si="272"/>
        <v>76854</v>
      </c>
      <c r="AJ615" s="15">
        <f t="shared" si="273"/>
        <v>13834</v>
      </c>
      <c r="AK615" s="10">
        <v>76854</v>
      </c>
      <c r="AL615" s="15">
        <f t="shared" si="274"/>
        <v>76854</v>
      </c>
      <c r="AM615" s="15">
        <f t="shared" si="275"/>
        <v>6235083</v>
      </c>
      <c r="AN615" s="15">
        <f t="shared" si="276"/>
        <v>752822</v>
      </c>
      <c r="AO615" s="15">
        <f t="shared" si="281"/>
        <v>847184</v>
      </c>
      <c r="AP615" s="17">
        <f t="shared" si="277"/>
        <v>7082267</v>
      </c>
      <c r="AQ615" s="15">
        <v>2284944</v>
      </c>
      <c r="AR615" s="15">
        <v>17508</v>
      </c>
      <c r="AS615" s="18">
        <f t="shared" si="282"/>
        <v>4797323</v>
      </c>
      <c r="AT615" s="19">
        <v>0</v>
      </c>
      <c r="AU615" s="8">
        <v>8800</v>
      </c>
      <c r="AV615" s="13">
        <f t="shared" si="283"/>
        <v>2254384</v>
      </c>
      <c r="AW615" s="18">
        <f t="shared" si="284"/>
        <v>6235083</v>
      </c>
      <c r="AX615" s="15">
        <f t="shared" si="278"/>
        <v>6236000</v>
      </c>
      <c r="AY615" s="20">
        <v>0.06</v>
      </c>
      <c r="AZ615" s="13">
        <f t="shared" si="279"/>
        <v>374160</v>
      </c>
      <c r="BA615" s="15">
        <f t="shared" si="280"/>
        <v>374200</v>
      </c>
      <c r="BB615" s="21">
        <f t="shared" si="285"/>
        <v>5171523</v>
      </c>
      <c r="BC615" s="10">
        <f t="shared" si="286"/>
        <v>0</v>
      </c>
      <c r="BD615" s="10">
        <f t="shared" si="287"/>
        <v>0</v>
      </c>
      <c r="BE615" s="10">
        <v>51.7</v>
      </c>
      <c r="BF615" s="10">
        <v>23.8</v>
      </c>
      <c r="BG615" s="107">
        <v>46176</v>
      </c>
      <c r="BH615" s="107">
        <f t="shared" si="261"/>
        <v>46206</v>
      </c>
      <c r="BI615" s="23">
        <v>6</v>
      </c>
      <c r="BJ615" s="6"/>
      <c r="BK615" s="6"/>
      <c r="BL615" s="6">
        <f>VLOOKUP(A615,[2]Sheet1!$D$2:$H$933,5,0)</f>
        <v>0</v>
      </c>
      <c r="BM615" s="6" t="s">
        <v>3828</v>
      </c>
      <c r="BN615" s="6" t="s">
        <v>3829</v>
      </c>
      <c r="BO615" s="6" t="s">
        <v>3820</v>
      </c>
      <c r="BP615" s="6" t="s">
        <v>3821</v>
      </c>
      <c r="BQ615" s="6" t="s">
        <v>3830</v>
      </c>
      <c r="BR615" t="s">
        <v>3823</v>
      </c>
      <c r="BS615" t="s">
        <v>3824</v>
      </c>
      <c r="BT615" t="s">
        <v>3825</v>
      </c>
      <c r="BU615" t="s">
        <v>3826</v>
      </c>
      <c r="BV615" t="s">
        <v>3827</v>
      </c>
      <c r="BW615" t="s">
        <v>3835</v>
      </c>
      <c r="BX615">
        <v>0</v>
      </c>
      <c r="BY615" t="s">
        <v>3869</v>
      </c>
      <c r="BZ615" t="s">
        <v>3871</v>
      </c>
    </row>
    <row r="616" spans="1:78" x14ac:dyDescent="0.25">
      <c r="A616" s="7" t="s">
        <v>2532</v>
      </c>
      <c r="B616" s="7" t="s">
        <v>181</v>
      </c>
      <c r="C616" s="7" t="s">
        <v>2530</v>
      </c>
      <c r="D616" s="8" t="s">
        <v>2531</v>
      </c>
      <c r="E616" s="7" t="s">
        <v>2533</v>
      </c>
      <c r="F616" s="9">
        <v>45048</v>
      </c>
      <c r="G616" s="9" t="s">
        <v>404</v>
      </c>
      <c r="H616" s="9" t="s">
        <v>87</v>
      </c>
      <c r="I616" s="8" t="s">
        <v>78</v>
      </c>
      <c r="J616" s="10">
        <v>875.11</v>
      </c>
      <c r="K616" s="10">
        <v>875.11</v>
      </c>
      <c r="L616" s="10">
        <f t="shared" si="263"/>
        <v>0</v>
      </c>
      <c r="M616" s="10">
        <v>404.73</v>
      </c>
      <c r="N616" s="10">
        <v>404.73</v>
      </c>
      <c r="O616" s="10">
        <f t="shared" si="264"/>
        <v>0</v>
      </c>
      <c r="P616" s="11">
        <v>18000.999874301517</v>
      </c>
      <c r="Q616" s="11">
        <v>38921.886195735424</v>
      </c>
      <c r="R616" s="11">
        <v>40000</v>
      </c>
      <c r="S616" s="11">
        <v>15752855</v>
      </c>
      <c r="T616" s="11">
        <v>1890342</v>
      </c>
      <c r="U616" s="12">
        <f t="shared" si="265"/>
        <v>0.11999996191166618</v>
      </c>
      <c r="V616" s="13">
        <f t="shared" si="290"/>
        <v>0</v>
      </c>
      <c r="W616" s="10">
        <f t="shared" si="266"/>
        <v>0</v>
      </c>
      <c r="X616" s="10"/>
      <c r="Y616" s="10"/>
      <c r="Z616" s="11">
        <f t="shared" si="267"/>
        <v>15752855</v>
      </c>
      <c r="AA616" s="14"/>
      <c r="AB616" s="14"/>
      <c r="AC616" s="11">
        <f t="shared" si="268"/>
        <v>15752855</v>
      </c>
      <c r="AD616" s="10">
        <f t="shared" si="269"/>
        <v>300</v>
      </c>
      <c r="AE616" s="15">
        <v>121419</v>
      </c>
      <c r="AF616" s="16">
        <v>21856</v>
      </c>
      <c r="AG616" s="15">
        <f t="shared" si="270"/>
        <v>0</v>
      </c>
      <c r="AH616" s="15">
        <f t="shared" si="271"/>
        <v>0</v>
      </c>
      <c r="AI616" s="15">
        <f t="shared" si="272"/>
        <v>121419</v>
      </c>
      <c r="AJ616" s="15">
        <f t="shared" si="273"/>
        <v>21856</v>
      </c>
      <c r="AK616" s="10">
        <v>121419</v>
      </c>
      <c r="AL616" s="15">
        <f t="shared" si="274"/>
        <v>121419</v>
      </c>
      <c r="AM616" s="15">
        <f t="shared" si="275"/>
        <v>15874274</v>
      </c>
      <c r="AN616" s="15">
        <f t="shared" si="276"/>
        <v>1912198</v>
      </c>
      <c r="AO616" s="15">
        <f t="shared" si="281"/>
        <v>2049349</v>
      </c>
      <c r="AP616" s="17">
        <f t="shared" si="277"/>
        <v>17923623</v>
      </c>
      <c r="AQ616" s="15">
        <v>15812104</v>
      </c>
      <c r="AR616" s="15">
        <v>15732</v>
      </c>
      <c r="AS616" s="18">
        <f t="shared" si="282"/>
        <v>2111519</v>
      </c>
      <c r="AT616" s="19">
        <v>0</v>
      </c>
      <c r="AU616" s="8">
        <v>8800</v>
      </c>
      <c r="AV616" s="13">
        <f t="shared" si="283"/>
        <v>3561624</v>
      </c>
      <c r="AW616" s="18">
        <f t="shared" si="284"/>
        <v>15874274</v>
      </c>
      <c r="AX616" s="15">
        <f t="shared" si="278"/>
        <v>15875000</v>
      </c>
      <c r="AY616" s="20">
        <v>7.0000000000000007E-2</v>
      </c>
      <c r="AZ616" s="13">
        <f t="shared" si="279"/>
        <v>1111250</v>
      </c>
      <c r="BA616" s="15">
        <f t="shared" si="280"/>
        <v>1111300</v>
      </c>
      <c r="BB616" s="21">
        <f t="shared" si="285"/>
        <v>3222819</v>
      </c>
      <c r="BC616" s="10">
        <f t="shared" si="286"/>
        <v>0</v>
      </c>
      <c r="BD616" s="10">
        <f t="shared" si="287"/>
        <v>0</v>
      </c>
      <c r="BE616" s="10">
        <v>81.3</v>
      </c>
      <c r="BF616" s="10">
        <v>37.6</v>
      </c>
      <c r="BG616" s="107">
        <v>46176</v>
      </c>
      <c r="BH616" s="107">
        <f t="shared" si="261"/>
        <v>46206</v>
      </c>
      <c r="BI616" s="23">
        <v>7</v>
      </c>
      <c r="BJ616" s="6"/>
      <c r="BK616" s="6"/>
      <c r="BL616" s="6">
        <f>VLOOKUP(A616,[2]Sheet1!$D$2:$H$933,5,0)</f>
        <v>0</v>
      </c>
      <c r="BM616" s="6" t="s">
        <v>3828</v>
      </c>
      <c r="BN616" s="6" t="s">
        <v>3829</v>
      </c>
      <c r="BO616" s="6" t="s">
        <v>3820</v>
      </c>
      <c r="BP616" s="6" t="s">
        <v>3821</v>
      </c>
      <c r="BQ616" s="6" t="s">
        <v>3830</v>
      </c>
      <c r="BR616" t="s">
        <v>3823</v>
      </c>
      <c r="BS616" t="s">
        <v>3824</v>
      </c>
      <c r="BT616" t="s">
        <v>3825</v>
      </c>
      <c r="BU616" t="s">
        <v>3826</v>
      </c>
      <c r="BV616" t="s">
        <v>3827</v>
      </c>
      <c r="BW616" t="s">
        <v>3835</v>
      </c>
      <c r="BX616">
        <v>0</v>
      </c>
      <c r="BY616" t="s">
        <v>3862</v>
      </c>
      <c r="BZ616" t="s">
        <v>3863</v>
      </c>
    </row>
    <row r="617" spans="1:78" x14ac:dyDescent="0.25">
      <c r="A617" s="7" t="s">
        <v>2536</v>
      </c>
      <c r="B617" s="7" t="s">
        <v>181</v>
      </c>
      <c r="C617" s="7" t="s">
        <v>2534</v>
      </c>
      <c r="D617" s="8" t="s">
        <v>2535</v>
      </c>
      <c r="E617" s="7" t="s">
        <v>2537</v>
      </c>
      <c r="F617" s="9">
        <v>44958</v>
      </c>
      <c r="G617" s="9" t="s">
        <v>527</v>
      </c>
      <c r="H617" s="9" t="s">
        <v>87</v>
      </c>
      <c r="I617" s="8" t="s">
        <v>67</v>
      </c>
      <c r="J617" s="10">
        <v>224.85</v>
      </c>
      <c r="K617" s="10">
        <v>224.85</v>
      </c>
      <c r="L617" s="10">
        <f t="shared" si="263"/>
        <v>0</v>
      </c>
      <c r="M617" s="10">
        <v>89.34</v>
      </c>
      <c r="N617" s="10">
        <v>89.34</v>
      </c>
      <c r="O617" s="10">
        <f t="shared" si="264"/>
        <v>0</v>
      </c>
      <c r="P617" s="11">
        <v>21712.999777629531</v>
      </c>
      <c r="Q617" s="11">
        <v>54647.056189836578</v>
      </c>
      <c r="R617" s="11">
        <v>40000</v>
      </c>
      <c r="S617" s="11">
        <v>4882168</v>
      </c>
      <c r="T617" s="11">
        <v>585860</v>
      </c>
      <c r="U617" s="12">
        <f t="shared" si="265"/>
        <v>0.11999996722767427</v>
      </c>
      <c r="V617" s="13">
        <f t="shared" si="290"/>
        <v>0</v>
      </c>
      <c r="W617" s="10">
        <f t="shared" si="266"/>
        <v>0</v>
      </c>
      <c r="X617" s="10"/>
      <c r="Y617" s="10"/>
      <c r="Z617" s="11">
        <f t="shared" si="267"/>
        <v>4882168</v>
      </c>
      <c r="AA617" s="14"/>
      <c r="AB617" s="14"/>
      <c r="AC617" s="11">
        <f t="shared" si="268"/>
        <v>4882168</v>
      </c>
      <c r="AD617" s="10">
        <f t="shared" si="269"/>
        <v>300</v>
      </c>
      <c r="AE617" s="15">
        <v>26802</v>
      </c>
      <c r="AF617" s="16">
        <v>4824</v>
      </c>
      <c r="AG617" s="15">
        <f t="shared" si="270"/>
        <v>0</v>
      </c>
      <c r="AH617" s="15">
        <f t="shared" si="271"/>
        <v>0</v>
      </c>
      <c r="AI617" s="15">
        <f t="shared" si="272"/>
        <v>26802</v>
      </c>
      <c r="AJ617" s="15">
        <f t="shared" si="273"/>
        <v>4825</v>
      </c>
      <c r="AK617" s="10">
        <v>26802</v>
      </c>
      <c r="AL617" s="15">
        <f t="shared" si="274"/>
        <v>26802</v>
      </c>
      <c r="AM617" s="15">
        <f t="shared" si="275"/>
        <v>4908970</v>
      </c>
      <c r="AN617" s="15">
        <f t="shared" si="276"/>
        <v>590685</v>
      </c>
      <c r="AO617" s="15">
        <f t="shared" si="281"/>
        <v>633166</v>
      </c>
      <c r="AP617" s="17">
        <f t="shared" si="277"/>
        <v>5542136</v>
      </c>
      <c r="AQ617" s="15">
        <v>4811837</v>
      </c>
      <c r="AR617" s="15">
        <v>15679</v>
      </c>
      <c r="AS617" s="18">
        <f t="shared" si="282"/>
        <v>730299</v>
      </c>
      <c r="AT617" s="19">
        <v>0</v>
      </c>
      <c r="AU617" s="8">
        <v>8800</v>
      </c>
      <c r="AV617" s="13">
        <f t="shared" si="283"/>
        <v>786192</v>
      </c>
      <c r="AW617" s="18">
        <f t="shared" si="284"/>
        <v>4908970</v>
      </c>
      <c r="AX617" s="15">
        <f t="shared" si="278"/>
        <v>4909000</v>
      </c>
      <c r="AY617" s="20">
        <v>7.0000000000000007E-2</v>
      </c>
      <c r="AZ617" s="13">
        <f t="shared" si="279"/>
        <v>343630.00000000006</v>
      </c>
      <c r="BA617" s="15">
        <f t="shared" si="280"/>
        <v>343700</v>
      </c>
      <c r="BB617" s="21">
        <f t="shared" si="285"/>
        <v>1073999</v>
      </c>
      <c r="BC617" s="10">
        <f t="shared" si="286"/>
        <v>0</v>
      </c>
      <c r="BD617" s="10">
        <f t="shared" si="287"/>
        <v>0</v>
      </c>
      <c r="BE617" s="10">
        <v>20.89</v>
      </c>
      <c r="BF617" s="10">
        <v>8.3000000000000007</v>
      </c>
      <c r="BG617" s="107">
        <v>46176</v>
      </c>
      <c r="BH617" s="107">
        <f t="shared" ref="BH617:BH680" si="291">BG617+30</f>
        <v>46206</v>
      </c>
      <c r="BI617" s="23">
        <v>7</v>
      </c>
      <c r="BJ617" s="6"/>
      <c r="BK617" s="6"/>
      <c r="BL617" s="6">
        <f>VLOOKUP(A617,[2]Sheet1!$D$2:$H$933,5,0)</f>
        <v>0</v>
      </c>
      <c r="BM617" s="6" t="s">
        <v>3828</v>
      </c>
      <c r="BN617" s="6" t="s">
        <v>3829</v>
      </c>
      <c r="BO617" s="6" t="s">
        <v>3820</v>
      </c>
      <c r="BP617" s="6" t="s">
        <v>3821</v>
      </c>
      <c r="BQ617" s="6" t="s">
        <v>3830</v>
      </c>
      <c r="BR617" t="s">
        <v>3823</v>
      </c>
      <c r="BS617" t="s">
        <v>3824</v>
      </c>
      <c r="BT617" t="s">
        <v>3825</v>
      </c>
      <c r="BU617" t="s">
        <v>3826</v>
      </c>
      <c r="BV617" t="s">
        <v>3827</v>
      </c>
      <c r="BW617" t="s">
        <v>3835</v>
      </c>
      <c r="BX617">
        <v>0</v>
      </c>
      <c r="BY617" t="s">
        <v>3859</v>
      </c>
      <c r="BZ617" t="s">
        <v>3871</v>
      </c>
    </row>
    <row r="618" spans="1:78" x14ac:dyDescent="0.25">
      <c r="A618" s="7" t="s">
        <v>2540</v>
      </c>
      <c r="B618" s="7" t="s">
        <v>181</v>
      </c>
      <c r="C618" s="7" t="s">
        <v>2538</v>
      </c>
      <c r="D618" s="8" t="s">
        <v>2539</v>
      </c>
      <c r="E618" s="7" t="s">
        <v>2541</v>
      </c>
      <c r="F618" s="9">
        <v>45216</v>
      </c>
      <c r="G618" s="9" t="s">
        <v>527</v>
      </c>
      <c r="H618" s="9" t="s">
        <v>87</v>
      </c>
      <c r="I618" s="8" t="s">
        <v>67</v>
      </c>
      <c r="J618" s="10">
        <v>371.24</v>
      </c>
      <c r="K618" s="10">
        <v>371.24</v>
      </c>
      <c r="L618" s="10">
        <f t="shared" si="263"/>
        <v>0</v>
      </c>
      <c r="M618" s="10">
        <v>148.54</v>
      </c>
      <c r="N618" s="10">
        <v>148.54</v>
      </c>
      <c r="O618" s="10">
        <f t="shared" si="264"/>
        <v>0</v>
      </c>
      <c r="P618" s="11">
        <v>23300.002693675251</v>
      </c>
      <c r="Q618" s="11">
        <v>58232.752120640907</v>
      </c>
      <c r="R618" s="11">
        <v>40000</v>
      </c>
      <c r="S618" s="11">
        <v>8649893</v>
      </c>
      <c r="T618" s="11">
        <v>1037988</v>
      </c>
      <c r="U618" s="12">
        <f t="shared" si="265"/>
        <v>0.12000009711102785</v>
      </c>
      <c r="V618" s="13">
        <f t="shared" si="290"/>
        <v>0</v>
      </c>
      <c r="W618" s="10">
        <f t="shared" si="266"/>
        <v>0</v>
      </c>
      <c r="X618" s="10"/>
      <c r="Y618" s="10"/>
      <c r="Z618" s="11">
        <f t="shared" si="267"/>
        <v>8649893</v>
      </c>
      <c r="AA618" s="14"/>
      <c r="AB618" s="14"/>
      <c r="AC618" s="11">
        <f t="shared" si="268"/>
        <v>8649893</v>
      </c>
      <c r="AD618" s="10">
        <f t="shared" si="269"/>
        <v>300</v>
      </c>
      <c r="AE618" s="15">
        <v>44562</v>
      </c>
      <c r="AF618" s="16">
        <v>8022</v>
      </c>
      <c r="AG618" s="15">
        <f t="shared" si="270"/>
        <v>0</v>
      </c>
      <c r="AH618" s="15">
        <f t="shared" si="271"/>
        <v>0</v>
      </c>
      <c r="AI618" s="15">
        <f t="shared" si="272"/>
        <v>44562</v>
      </c>
      <c r="AJ618" s="15">
        <f t="shared" si="273"/>
        <v>8022</v>
      </c>
      <c r="AK618" s="10">
        <v>44562</v>
      </c>
      <c r="AL618" s="15">
        <f t="shared" si="274"/>
        <v>44562</v>
      </c>
      <c r="AM618" s="15">
        <f t="shared" si="275"/>
        <v>8694455</v>
      </c>
      <c r="AN618" s="15">
        <f t="shared" si="276"/>
        <v>1046010</v>
      </c>
      <c r="AO618" s="15">
        <f t="shared" si="281"/>
        <v>1111322.8400000001</v>
      </c>
      <c r="AP618" s="17">
        <f t="shared" si="277"/>
        <v>9805777.8399999999</v>
      </c>
      <c r="AQ618" s="15">
        <v>5675153</v>
      </c>
      <c r="AR618" s="15">
        <v>20750.84</v>
      </c>
      <c r="AS618" s="18">
        <f t="shared" si="282"/>
        <v>4130625</v>
      </c>
      <c r="AT618" s="19">
        <v>0</v>
      </c>
      <c r="AU618" s="8">
        <v>8800</v>
      </c>
      <c r="AV618" s="13">
        <f t="shared" si="283"/>
        <v>1307152</v>
      </c>
      <c r="AW618" s="18">
        <f t="shared" si="284"/>
        <v>8694455</v>
      </c>
      <c r="AX618" s="15">
        <f t="shared" si="278"/>
        <v>8695000</v>
      </c>
      <c r="AY618" s="20">
        <v>0.05</v>
      </c>
      <c r="AZ618" s="13">
        <f t="shared" si="279"/>
        <v>434750</v>
      </c>
      <c r="BA618" s="15">
        <f t="shared" si="280"/>
        <v>434800</v>
      </c>
      <c r="BB618" s="21">
        <f t="shared" si="285"/>
        <v>4565425</v>
      </c>
      <c r="BC618" s="10">
        <f t="shared" si="286"/>
        <v>0</v>
      </c>
      <c r="BD618" s="10">
        <f t="shared" si="287"/>
        <v>0</v>
      </c>
      <c r="BE618" s="10">
        <v>34.49</v>
      </c>
      <c r="BF618" s="10">
        <v>13.8</v>
      </c>
      <c r="BG618" s="107">
        <v>46176</v>
      </c>
      <c r="BH618" s="107">
        <f t="shared" si="291"/>
        <v>46206</v>
      </c>
      <c r="BI618" s="23">
        <v>5</v>
      </c>
      <c r="BJ618" s="6"/>
      <c r="BK618" s="6"/>
      <c r="BL618" s="6">
        <f>VLOOKUP(A618,[2]Sheet1!$D$2:$H$933,5,0)</f>
        <v>0</v>
      </c>
      <c r="BM618" s="6" t="s">
        <v>3828</v>
      </c>
      <c r="BN618" s="6" t="s">
        <v>3829</v>
      </c>
      <c r="BO618" s="6" t="s">
        <v>3820</v>
      </c>
      <c r="BP618" s="6" t="s">
        <v>3821</v>
      </c>
      <c r="BQ618" s="6" t="s">
        <v>3830</v>
      </c>
      <c r="BR618" t="s">
        <v>3823</v>
      </c>
      <c r="BS618" t="s">
        <v>3824</v>
      </c>
      <c r="BT618" t="s">
        <v>3825</v>
      </c>
      <c r="BU618" t="s">
        <v>3826</v>
      </c>
      <c r="BV618" t="s">
        <v>3827</v>
      </c>
      <c r="BW618" t="s">
        <v>3835</v>
      </c>
      <c r="BX618">
        <v>0</v>
      </c>
      <c r="BY618" t="s">
        <v>3869</v>
      </c>
      <c r="BZ618" t="s">
        <v>3871</v>
      </c>
    </row>
    <row r="619" spans="1:78" x14ac:dyDescent="0.25">
      <c r="A619" s="7" t="s">
        <v>2544</v>
      </c>
      <c r="B619" s="7" t="s">
        <v>181</v>
      </c>
      <c r="C619" s="7" t="s">
        <v>2542</v>
      </c>
      <c r="D619" s="8" t="s">
        <v>2543</v>
      </c>
      <c r="E619" s="7" t="s">
        <v>2545</v>
      </c>
      <c r="F619" s="9">
        <v>44902</v>
      </c>
      <c r="G619" s="9" t="s">
        <v>717</v>
      </c>
      <c r="H619" s="9" t="s">
        <v>92</v>
      </c>
      <c r="I619" s="8" t="s">
        <v>78</v>
      </c>
      <c r="J619" s="10">
        <v>381.05</v>
      </c>
      <c r="K619" s="10">
        <v>381.05</v>
      </c>
      <c r="L619" s="10">
        <f t="shared" si="263"/>
        <v>0</v>
      </c>
      <c r="M619" s="10">
        <v>160.38</v>
      </c>
      <c r="N619" s="10">
        <v>160.38</v>
      </c>
      <c r="O619" s="10">
        <f t="shared" si="264"/>
        <v>0</v>
      </c>
      <c r="P619" s="11">
        <v>17514.000787298253</v>
      </c>
      <c r="Q619" s="11">
        <v>41611.859334081557</v>
      </c>
      <c r="R619" s="11">
        <v>28000</v>
      </c>
      <c r="S619" s="11">
        <v>6673710</v>
      </c>
      <c r="T619" s="11">
        <v>800846</v>
      </c>
      <c r="U619" s="12">
        <f t="shared" si="265"/>
        <v>0.12000011987335381</v>
      </c>
      <c r="V619" s="13">
        <f t="shared" si="290"/>
        <v>0</v>
      </c>
      <c r="W619" s="10">
        <f t="shared" si="266"/>
        <v>0</v>
      </c>
      <c r="X619" s="10"/>
      <c r="Y619" s="10"/>
      <c r="Z619" s="11">
        <f t="shared" si="267"/>
        <v>6673710</v>
      </c>
      <c r="AA619" s="14"/>
      <c r="AB619" s="14"/>
      <c r="AC619" s="11">
        <f t="shared" si="268"/>
        <v>6673710</v>
      </c>
      <c r="AD619" s="10">
        <f t="shared" si="269"/>
        <v>300</v>
      </c>
      <c r="AE619" s="15">
        <v>48114</v>
      </c>
      <c r="AF619" s="16">
        <v>8660</v>
      </c>
      <c r="AG619" s="15">
        <f t="shared" si="270"/>
        <v>0</v>
      </c>
      <c r="AH619" s="15">
        <f t="shared" si="271"/>
        <v>0</v>
      </c>
      <c r="AI619" s="15">
        <f t="shared" si="272"/>
        <v>48114</v>
      </c>
      <c r="AJ619" s="15">
        <f t="shared" si="273"/>
        <v>8661</v>
      </c>
      <c r="AK619" s="10">
        <v>48114</v>
      </c>
      <c r="AL619" s="15">
        <f t="shared" si="274"/>
        <v>48114</v>
      </c>
      <c r="AM619" s="15">
        <f t="shared" si="275"/>
        <v>6721824</v>
      </c>
      <c r="AN619" s="15">
        <f t="shared" si="276"/>
        <v>809507</v>
      </c>
      <c r="AO619" s="15">
        <f t="shared" si="281"/>
        <v>874918</v>
      </c>
      <c r="AP619" s="17">
        <f t="shared" si="277"/>
        <v>7596742</v>
      </c>
      <c r="AQ619" s="15">
        <v>6727101</v>
      </c>
      <c r="AR619" s="15">
        <v>17297</v>
      </c>
      <c r="AS619" s="18">
        <f t="shared" si="282"/>
        <v>869641</v>
      </c>
      <c r="AT619" s="19">
        <v>0</v>
      </c>
      <c r="AU619" s="8">
        <v>8800</v>
      </c>
      <c r="AV619" s="13">
        <f t="shared" si="283"/>
        <v>1411344</v>
      </c>
      <c r="AW619" s="18">
        <f t="shared" si="284"/>
        <v>6721824</v>
      </c>
      <c r="AX619" s="15">
        <f t="shared" si="278"/>
        <v>6722000</v>
      </c>
      <c r="AY619" s="20">
        <v>0.05</v>
      </c>
      <c r="AZ619" s="13">
        <f t="shared" si="279"/>
        <v>336100</v>
      </c>
      <c r="BA619" s="15">
        <f t="shared" si="280"/>
        <v>336100</v>
      </c>
      <c r="BB619" s="21">
        <f t="shared" si="285"/>
        <v>1205741</v>
      </c>
      <c r="BC619" s="10">
        <f t="shared" si="286"/>
        <v>0</v>
      </c>
      <c r="BD619" s="10">
        <f t="shared" si="287"/>
        <v>0</v>
      </c>
      <c r="BE619" s="10">
        <v>35.4</v>
      </c>
      <c r="BF619" s="10">
        <v>14.9</v>
      </c>
      <c r="BG619" s="107">
        <v>46176</v>
      </c>
      <c r="BH619" s="107">
        <f t="shared" si="291"/>
        <v>46206</v>
      </c>
      <c r="BI619" s="23">
        <v>5</v>
      </c>
      <c r="BJ619" s="6"/>
      <c r="BK619" s="6"/>
      <c r="BL619" s="6">
        <f>VLOOKUP(A619,[2]Sheet1!$D$2:$H$933,5,0)</f>
        <v>0</v>
      </c>
      <c r="BM619" s="6" t="s">
        <v>3828</v>
      </c>
      <c r="BN619" s="6" t="s">
        <v>3829</v>
      </c>
      <c r="BO619" s="6" t="s">
        <v>3820</v>
      </c>
      <c r="BP619" s="6" t="s">
        <v>3821</v>
      </c>
      <c r="BQ619" s="6" t="s">
        <v>3830</v>
      </c>
      <c r="BR619" t="s">
        <v>3823</v>
      </c>
      <c r="BS619" t="s">
        <v>3824</v>
      </c>
      <c r="BT619" t="s">
        <v>3825</v>
      </c>
      <c r="BU619" t="s">
        <v>3826</v>
      </c>
      <c r="BV619" t="s">
        <v>3827</v>
      </c>
      <c r="BW619" t="s">
        <v>3835</v>
      </c>
      <c r="BX619">
        <v>0</v>
      </c>
      <c r="BY619" t="s">
        <v>3864</v>
      </c>
      <c r="BZ619" t="s">
        <v>3872</v>
      </c>
    </row>
    <row r="620" spans="1:78" x14ac:dyDescent="0.25">
      <c r="A620" s="7" t="s">
        <v>2548</v>
      </c>
      <c r="B620" s="7" t="s">
        <v>181</v>
      </c>
      <c r="C620" s="7" t="s">
        <v>2546</v>
      </c>
      <c r="D620" s="8" t="s">
        <v>2547</v>
      </c>
      <c r="E620" s="7" t="s">
        <v>2549</v>
      </c>
      <c r="F620" s="9">
        <v>45229</v>
      </c>
      <c r="G620" s="9" t="s">
        <v>77</v>
      </c>
      <c r="H620" s="9" t="s">
        <v>87</v>
      </c>
      <c r="I620" s="8" t="s">
        <v>78</v>
      </c>
      <c r="J620" s="10">
        <v>626.25</v>
      </c>
      <c r="K620" s="10">
        <v>626.25</v>
      </c>
      <c r="L620" s="10">
        <f t="shared" si="263"/>
        <v>0</v>
      </c>
      <c r="M620" s="10">
        <v>275.56</v>
      </c>
      <c r="N620" s="10">
        <v>275.56</v>
      </c>
      <c r="O620" s="10">
        <f t="shared" si="264"/>
        <v>0</v>
      </c>
      <c r="P620" s="11">
        <v>20000.001596806389</v>
      </c>
      <c r="Q620" s="11">
        <v>45452.899550007256</v>
      </c>
      <c r="R620" s="11">
        <v>40000</v>
      </c>
      <c r="S620" s="11">
        <v>12525001</v>
      </c>
      <c r="T620" s="11">
        <v>1503000</v>
      </c>
      <c r="U620" s="12">
        <f t="shared" si="265"/>
        <v>0.11999999041916244</v>
      </c>
      <c r="V620" s="13">
        <f t="shared" si="290"/>
        <v>0</v>
      </c>
      <c r="W620" s="10">
        <f t="shared" si="266"/>
        <v>0</v>
      </c>
      <c r="X620" s="10"/>
      <c r="Y620" s="10"/>
      <c r="Z620" s="11">
        <f t="shared" si="267"/>
        <v>12525001</v>
      </c>
      <c r="AA620" s="14"/>
      <c r="AB620" s="14"/>
      <c r="AC620" s="11">
        <f t="shared" si="268"/>
        <v>12525001</v>
      </c>
      <c r="AD620" s="10">
        <f t="shared" si="269"/>
        <v>300</v>
      </c>
      <c r="AE620" s="15">
        <v>82668</v>
      </c>
      <c r="AF620" s="16">
        <v>14880</v>
      </c>
      <c r="AG620" s="15">
        <f t="shared" si="270"/>
        <v>0</v>
      </c>
      <c r="AH620" s="15">
        <f t="shared" si="271"/>
        <v>0</v>
      </c>
      <c r="AI620" s="15">
        <f t="shared" si="272"/>
        <v>82668</v>
      </c>
      <c r="AJ620" s="15">
        <f t="shared" si="273"/>
        <v>14881</v>
      </c>
      <c r="AK620" s="10">
        <v>82668</v>
      </c>
      <c r="AL620" s="15">
        <f t="shared" si="274"/>
        <v>82668</v>
      </c>
      <c r="AM620" s="15">
        <f t="shared" si="275"/>
        <v>12607669</v>
      </c>
      <c r="AN620" s="15">
        <f t="shared" si="276"/>
        <v>1517881</v>
      </c>
      <c r="AO620" s="15">
        <f t="shared" si="281"/>
        <v>1614821</v>
      </c>
      <c r="AP620" s="17">
        <f t="shared" si="277"/>
        <v>14222490</v>
      </c>
      <c r="AQ620" s="15">
        <v>12625200</v>
      </c>
      <c r="AR620" s="15">
        <v>14272</v>
      </c>
      <c r="AS620" s="18">
        <f t="shared" si="282"/>
        <v>1597290</v>
      </c>
      <c r="AT620" s="19">
        <v>0</v>
      </c>
      <c r="AU620" s="8">
        <v>8800</v>
      </c>
      <c r="AV620" s="13">
        <f t="shared" si="283"/>
        <v>2424928</v>
      </c>
      <c r="AW620" s="18">
        <f t="shared" si="284"/>
        <v>12607669</v>
      </c>
      <c r="AX620" s="15">
        <f t="shared" si="278"/>
        <v>12608000</v>
      </c>
      <c r="AY620" s="20">
        <v>7.0000000000000007E-2</v>
      </c>
      <c r="AZ620" s="13">
        <f t="shared" si="279"/>
        <v>882560.00000000012</v>
      </c>
      <c r="BA620" s="15">
        <f t="shared" si="280"/>
        <v>882600</v>
      </c>
      <c r="BB620" s="21">
        <f t="shared" si="285"/>
        <v>2479890</v>
      </c>
      <c r="BC620" s="10">
        <f t="shared" si="286"/>
        <v>0</v>
      </c>
      <c r="BD620" s="10">
        <f t="shared" si="287"/>
        <v>0</v>
      </c>
      <c r="BE620" s="10">
        <v>58.18</v>
      </c>
      <c r="BF620" s="10">
        <v>25.6</v>
      </c>
      <c r="BG620" s="107">
        <v>46176</v>
      </c>
      <c r="BH620" s="107">
        <f t="shared" si="291"/>
        <v>46206</v>
      </c>
      <c r="BI620" s="23">
        <v>7</v>
      </c>
      <c r="BJ620" s="6"/>
      <c r="BK620" s="6"/>
      <c r="BL620" s="6">
        <f>VLOOKUP(A620,[2]Sheet1!$D$2:$H$933,5,0)</f>
        <v>0</v>
      </c>
      <c r="BM620" s="6" t="s">
        <v>3828</v>
      </c>
      <c r="BN620" s="6" t="s">
        <v>3829</v>
      </c>
      <c r="BO620" s="6" t="s">
        <v>3820</v>
      </c>
      <c r="BP620" s="6" t="s">
        <v>3821</v>
      </c>
      <c r="BQ620" s="6" t="s">
        <v>3830</v>
      </c>
      <c r="BR620" t="s">
        <v>3823</v>
      </c>
      <c r="BS620" t="s">
        <v>3824</v>
      </c>
      <c r="BT620" t="s">
        <v>3825</v>
      </c>
      <c r="BU620" t="s">
        <v>3826</v>
      </c>
      <c r="BV620" t="s">
        <v>3827</v>
      </c>
      <c r="BW620" t="s">
        <v>3835</v>
      </c>
      <c r="BX620">
        <v>0</v>
      </c>
      <c r="BY620" t="s">
        <v>3861</v>
      </c>
      <c r="BZ620" t="s">
        <v>3863</v>
      </c>
    </row>
    <row r="621" spans="1:78" x14ac:dyDescent="0.25">
      <c r="A621" s="7" t="s">
        <v>2552</v>
      </c>
      <c r="B621" s="7" t="s">
        <v>181</v>
      </c>
      <c r="C621" s="7" t="s">
        <v>2550</v>
      </c>
      <c r="D621" s="8" t="s">
        <v>2551</v>
      </c>
      <c r="E621" s="7" t="s">
        <v>2553</v>
      </c>
      <c r="F621" s="9">
        <v>44964</v>
      </c>
      <c r="G621" s="9" t="s">
        <v>404</v>
      </c>
      <c r="H621" s="9" t="s">
        <v>66</v>
      </c>
      <c r="I621" s="8" t="s">
        <v>78</v>
      </c>
      <c r="J621" s="10">
        <v>559.73</v>
      </c>
      <c r="K621" s="10">
        <v>559.73</v>
      </c>
      <c r="L621" s="10">
        <f t="shared" si="263"/>
        <v>0</v>
      </c>
      <c r="M621" s="10">
        <v>253.49</v>
      </c>
      <c r="N621" s="10">
        <v>253.49</v>
      </c>
      <c r="O621" s="10">
        <f t="shared" si="264"/>
        <v>0</v>
      </c>
      <c r="P621" s="11">
        <v>10418.773337144694</v>
      </c>
      <c r="Q621" s="11">
        <v>23005.641248175471</v>
      </c>
      <c r="R621" s="11">
        <v>22000</v>
      </c>
      <c r="S621" s="11">
        <v>5831700</v>
      </c>
      <c r="T621" s="11">
        <v>699804</v>
      </c>
      <c r="U621" s="12">
        <f t="shared" si="265"/>
        <v>0.12</v>
      </c>
      <c r="V621" s="13">
        <f t="shared" si="290"/>
        <v>0</v>
      </c>
      <c r="W621" s="10">
        <f t="shared" si="266"/>
        <v>0</v>
      </c>
      <c r="X621" s="10"/>
      <c r="Y621" s="10"/>
      <c r="Z621" s="11">
        <f t="shared" si="267"/>
        <v>5831700</v>
      </c>
      <c r="AA621" s="14"/>
      <c r="AB621" s="14"/>
      <c r="AC621" s="11">
        <f t="shared" si="268"/>
        <v>5831700</v>
      </c>
      <c r="AD621" s="10">
        <f t="shared" si="269"/>
        <v>300</v>
      </c>
      <c r="AE621" s="15">
        <v>76047</v>
      </c>
      <c r="AF621" s="16">
        <v>13688</v>
      </c>
      <c r="AG621" s="15">
        <f t="shared" si="270"/>
        <v>0</v>
      </c>
      <c r="AH621" s="15">
        <f t="shared" si="271"/>
        <v>0</v>
      </c>
      <c r="AI621" s="15">
        <f t="shared" si="272"/>
        <v>76047</v>
      </c>
      <c r="AJ621" s="15">
        <f t="shared" si="273"/>
        <v>13689</v>
      </c>
      <c r="AK621" s="10">
        <v>76047</v>
      </c>
      <c r="AL621" s="15">
        <f t="shared" si="274"/>
        <v>76047</v>
      </c>
      <c r="AM621" s="15">
        <f t="shared" si="275"/>
        <v>5907747</v>
      </c>
      <c r="AN621" s="15">
        <f t="shared" si="276"/>
        <v>713493</v>
      </c>
      <c r="AO621" s="15">
        <f t="shared" si="281"/>
        <v>813512</v>
      </c>
      <c r="AP621" s="17">
        <f t="shared" si="277"/>
        <v>6721259</v>
      </c>
      <c r="AQ621" s="15">
        <v>670185</v>
      </c>
      <c r="AR621" s="15">
        <v>23972</v>
      </c>
      <c r="AS621" s="18">
        <f t="shared" si="282"/>
        <v>6051074</v>
      </c>
      <c r="AT621" s="19">
        <v>0</v>
      </c>
      <c r="AU621" s="8">
        <v>8800</v>
      </c>
      <c r="AV621" s="13">
        <f t="shared" si="283"/>
        <v>2230712</v>
      </c>
      <c r="AW621" s="18">
        <f t="shared" si="284"/>
        <v>5907747</v>
      </c>
      <c r="AX621" s="15">
        <f t="shared" si="278"/>
        <v>5908000</v>
      </c>
      <c r="AY621" s="20">
        <v>7.0000000000000007E-2</v>
      </c>
      <c r="AZ621" s="13">
        <f t="shared" si="279"/>
        <v>413560.00000000006</v>
      </c>
      <c r="BA621" s="15">
        <f t="shared" si="280"/>
        <v>413600</v>
      </c>
      <c r="BB621" s="21">
        <f t="shared" si="285"/>
        <v>6464674</v>
      </c>
      <c r="BC621" s="10">
        <f t="shared" si="286"/>
        <v>0</v>
      </c>
      <c r="BD621" s="10">
        <f t="shared" si="287"/>
        <v>0</v>
      </c>
      <c r="BE621" s="10">
        <v>52</v>
      </c>
      <c r="BF621" s="10">
        <v>23.55</v>
      </c>
      <c r="BG621" s="107">
        <v>46176</v>
      </c>
      <c r="BH621" s="107">
        <f t="shared" si="291"/>
        <v>46206</v>
      </c>
      <c r="BI621" s="23">
        <v>7</v>
      </c>
      <c r="BJ621" s="6"/>
      <c r="BK621" s="6"/>
      <c r="BL621" s="6">
        <f>VLOOKUP(A621,[2]Sheet1!$D$2:$H$933,5,0)</f>
        <v>0</v>
      </c>
      <c r="BM621" s="6" t="s">
        <v>3828</v>
      </c>
      <c r="BN621" s="6" t="s">
        <v>3829</v>
      </c>
      <c r="BO621" s="6" t="s">
        <v>3820</v>
      </c>
      <c r="BP621" s="6" t="s">
        <v>3821</v>
      </c>
      <c r="BQ621" s="6" t="s">
        <v>3830</v>
      </c>
      <c r="BR621" t="s">
        <v>3823</v>
      </c>
      <c r="BS621" t="s">
        <v>3824</v>
      </c>
      <c r="BT621" t="s">
        <v>3825</v>
      </c>
      <c r="BU621" t="s">
        <v>3826</v>
      </c>
      <c r="BV621" t="s">
        <v>3827</v>
      </c>
      <c r="BW621" t="s">
        <v>3835</v>
      </c>
      <c r="BX621">
        <v>0</v>
      </c>
      <c r="BY621" t="s">
        <v>3869</v>
      </c>
      <c r="BZ621" t="s">
        <v>3863</v>
      </c>
    </row>
    <row r="622" spans="1:78" x14ac:dyDescent="0.25">
      <c r="A622" s="7" t="s">
        <v>2556</v>
      </c>
      <c r="B622" s="7" t="s">
        <v>181</v>
      </c>
      <c r="C622" s="7" t="s">
        <v>2554</v>
      </c>
      <c r="D622" s="8" t="s">
        <v>2555</v>
      </c>
      <c r="E622" s="7" t="s">
        <v>2557</v>
      </c>
      <c r="F622" s="9">
        <v>44995</v>
      </c>
      <c r="G622" s="9" t="s">
        <v>404</v>
      </c>
      <c r="H622" s="9" t="s">
        <v>66</v>
      </c>
      <c r="I622" s="8" t="s">
        <v>78</v>
      </c>
      <c r="J622" s="10">
        <v>677.06</v>
      </c>
      <c r="K622" s="10">
        <v>677.06</v>
      </c>
      <c r="L622" s="10">
        <f t="shared" si="263"/>
        <v>0</v>
      </c>
      <c r="M622" s="10">
        <v>315.39</v>
      </c>
      <c r="N622" s="10">
        <v>315.39</v>
      </c>
      <c r="O622" s="10">
        <f t="shared" si="264"/>
        <v>0</v>
      </c>
      <c r="P622" s="11">
        <v>9550</v>
      </c>
      <c r="Q622" s="11">
        <v>20501.357050001585</v>
      </c>
      <c r="R622" s="11">
        <v>22000</v>
      </c>
      <c r="S622" s="11">
        <v>6465923</v>
      </c>
      <c r="T622" s="11">
        <v>775912</v>
      </c>
      <c r="U622" s="12">
        <f t="shared" si="265"/>
        <v>0.12000019177463141</v>
      </c>
      <c r="V622" s="13">
        <f t="shared" si="290"/>
        <v>0</v>
      </c>
      <c r="W622" s="10">
        <f t="shared" si="266"/>
        <v>0</v>
      </c>
      <c r="X622" s="10"/>
      <c r="Y622" s="10"/>
      <c r="Z622" s="11">
        <f t="shared" si="267"/>
        <v>6465923</v>
      </c>
      <c r="AA622" s="14"/>
      <c r="AB622" s="14"/>
      <c r="AC622" s="11">
        <f t="shared" si="268"/>
        <v>6465923</v>
      </c>
      <c r="AD622" s="10">
        <f t="shared" si="269"/>
        <v>300</v>
      </c>
      <c r="AE622" s="15">
        <v>94617</v>
      </c>
      <c r="AF622" s="16">
        <v>17032</v>
      </c>
      <c r="AG622" s="15">
        <f t="shared" si="270"/>
        <v>0</v>
      </c>
      <c r="AH622" s="15">
        <f t="shared" si="271"/>
        <v>0</v>
      </c>
      <c r="AI622" s="15">
        <f t="shared" si="272"/>
        <v>94617</v>
      </c>
      <c r="AJ622" s="15">
        <f t="shared" si="273"/>
        <v>17032</v>
      </c>
      <c r="AK622" s="10">
        <v>94617</v>
      </c>
      <c r="AL622" s="15">
        <f t="shared" si="274"/>
        <v>94617</v>
      </c>
      <c r="AM622" s="15">
        <f t="shared" si="275"/>
        <v>6560540</v>
      </c>
      <c r="AN622" s="15">
        <f t="shared" si="276"/>
        <v>792944</v>
      </c>
      <c r="AO622" s="15">
        <f t="shared" si="281"/>
        <v>900581</v>
      </c>
      <c r="AP622" s="17">
        <f t="shared" si="277"/>
        <v>7461121</v>
      </c>
      <c r="AQ622" s="15">
        <v>6470538</v>
      </c>
      <c r="AR622" s="15">
        <v>13020</v>
      </c>
      <c r="AS622" s="18">
        <f t="shared" si="282"/>
        <v>990583</v>
      </c>
      <c r="AT622" s="19">
        <v>0</v>
      </c>
      <c r="AU622" s="8">
        <v>8800</v>
      </c>
      <c r="AV622" s="13">
        <f t="shared" si="283"/>
        <v>2775432</v>
      </c>
      <c r="AW622" s="18">
        <f t="shared" si="284"/>
        <v>6560540</v>
      </c>
      <c r="AX622" s="15">
        <f t="shared" si="278"/>
        <v>6561000</v>
      </c>
      <c r="AY622" s="20">
        <v>0.05</v>
      </c>
      <c r="AZ622" s="13">
        <f t="shared" si="279"/>
        <v>328050</v>
      </c>
      <c r="BA622" s="15">
        <f t="shared" si="280"/>
        <v>328100</v>
      </c>
      <c r="BB622" s="21">
        <f t="shared" si="285"/>
        <v>1318683</v>
      </c>
      <c r="BC622" s="10">
        <f t="shared" si="286"/>
        <v>0</v>
      </c>
      <c r="BD622" s="10">
        <f t="shared" si="287"/>
        <v>0</v>
      </c>
      <c r="BE622" s="10">
        <v>62.9</v>
      </c>
      <c r="BF622" s="10">
        <v>29.3</v>
      </c>
      <c r="BG622" s="107">
        <v>46176</v>
      </c>
      <c r="BH622" s="107">
        <f t="shared" si="291"/>
        <v>46206</v>
      </c>
      <c r="BI622" s="23">
        <v>5</v>
      </c>
      <c r="BJ622" s="6"/>
      <c r="BK622" s="6"/>
      <c r="BL622" s="6">
        <f>VLOOKUP(A622,[2]Sheet1!$D$2:$H$933,5,0)</f>
        <v>0</v>
      </c>
      <c r="BM622" s="6" t="s">
        <v>3828</v>
      </c>
      <c r="BN622" s="6" t="s">
        <v>3829</v>
      </c>
      <c r="BO622" s="6" t="s">
        <v>3820</v>
      </c>
      <c r="BP622" s="6" t="s">
        <v>3821</v>
      </c>
      <c r="BQ622" s="6" t="s">
        <v>3830</v>
      </c>
      <c r="BR622" t="s">
        <v>3823</v>
      </c>
      <c r="BS622" t="s">
        <v>3824</v>
      </c>
      <c r="BT622" t="s">
        <v>3825</v>
      </c>
      <c r="BU622" t="s">
        <v>3826</v>
      </c>
      <c r="BV622" t="s">
        <v>3827</v>
      </c>
      <c r="BW622" t="s">
        <v>3835</v>
      </c>
      <c r="BX622">
        <v>0</v>
      </c>
      <c r="BY622" t="s">
        <v>3861</v>
      </c>
      <c r="BZ622" t="s">
        <v>3863</v>
      </c>
    </row>
    <row r="623" spans="1:78" x14ac:dyDescent="0.25">
      <c r="A623" s="7" t="s">
        <v>2560</v>
      </c>
      <c r="B623" s="7" t="s">
        <v>181</v>
      </c>
      <c r="C623" s="7" t="s">
        <v>2558</v>
      </c>
      <c r="D623" s="8" t="s">
        <v>2559</v>
      </c>
      <c r="E623" s="7" t="s">
        <v>2561</v>
      </c>
      <c r="F623" s="9">
        <v>45061</v>
      </c>
      <c r="G623" s="9" t="s">
        <v>363</v>
      </c>
      <c r="H623" s="9" t="s">
        <v>92</v>
      </c>
      <c r="I623" s="8" t="s">
        <v>78</v>
      </c>
      <c r="J623" s="10">
        <v>697.51</v>
      </c>
      <c r="K623" s="10">
        <v>697.51</v>
      </c>
      <c r="L623" s="10">
        <f t="shared" si="263"/>
        <v>0</v>
      </c>
      <c r="M623" s="10">
        <v>317.54000000000002</v>
      </c>
      <c r="N623" s="10">
        <v>317.54000000000002</v>
      </c>
      <c r="O623" s="10">
        <f t="shared" si="264"/>
        <v>0</v>
      </c>
      <c r="P623" s="11">
        <v>14039.000157703833</v>
      </c>
      <c r="Q623" s="11">
        <v>30838.140076840711</v>
      </c>
      <c r="R623" s="11">
        <v>28000</v>
      </c>
      <c r="S623" s="11">
        <v>9792343</v>
      </c>
      <c r="T623" s="11">
        <v>1175082</v>
      </c>
      <c r="U623" s="12">
        <f t="shared" si="265"/>
        <v>0.12000008578130893</v>
      </c>
      <c r="V623" s="13">
        <f t="shared" si="290"/>
        <v>0</v>
      </c>
      <c r="W623" s="10">
        <f t="shared" si="266"/>
        <v>0</v>
      </c>
      <c r="X623" s="10"/>
      <c r="Y623" s="10"/>
      <c r="Z623" s="11">
        <f t="shared" si="267"/>
        <v>9792343</v>
      </c>
      <c r="AA623" s="14"/>
      <c r="AB623" s="14"/>
      <c r="AC623" s="11">
        <f t="shared" si="268"/>
        <v>9792343</v>
      </c>
      <c r="AD623" s="10">
        <f t="shared" si="269"/>
        <v>300</v>
      </c>
      <c r="AE623" s="15">
        <v>95262</v>
      </c>
      <c r="AF623" s="16">
        <v>17148</v>
      </c>
      <c r="AG623" s="15">
        <f t="shared" si="270"/>
        <v>0</v>
      </c>
      <c r="AH623" s="15">
        <f t="shared" si="271"/>
        <v>0</v>
      </c>
      <c r="AI623" s="15">
        <f t="shared" si="272"/>
        <v>95262</v>
      </c>
      <c r="AJ623" s="15">
        <f t="shared" si="273"/>
        <v>17148</v>
      </c>
      <c r="AK623" s="10">
        <v>95262</v>
      </c>
      <c r="AL623" s="15">
        <f t="shared" si="274"/>
        <v>95262</v>
      </c>
      <c r="AM623" s="15">
        <f t="shared" si="275"/>
        <v>9887605</v>
      </c>
      <c r="AN623" s="15">
        <f t="shared" si="276"/>
        <v>1192230</v>
      </c>
      <c r="AO623" s="15">
        <f t="shared" si="281"/>
        <v>1303528</v>
      </c>
      <c r="AP623" s="17">
        <f t="shared" si="277"/>
        <v>11191133</v>
      </c>
      <c r="AQ623" s="15">
        <v>9870683</v>
      </c>
      <c r="AR623" s="15">
        <v>16036</v>
      </c>
      <c r="AS623" s="18">
        <f t="shared" si="282"/>
        <v>1320450</v>
      </c>
      <c r="AT623" s="19">
        <v>0</v>
      </c>
      <c r="AU623" s="8">
        <v>8800</v>
      </c>
      <c r="AV623" s="13">
        <f t="shared" si="283"/>
        <v>2794352</v>
      </c>
      <c r="AW623" s="18">
        <f t="shared" si="284"/>
        <v>9887605</v>
      </c>
      <c r="AX623" s="15">
        <f t="shared" si="278"/>
        <v>9888000</v>
      </c>
      <c r="AY623" s="20">
        <v>0.06</v>
      </c>
      <c r="AZ623" s="13">
        <f t="shared" si="279"/>
        <v>593280</v>
      </c>
      <c r="BA623" s="15">
        <f t="shared" si="280"/>
        <v>593300</v>
      </c>
      <c r="BB623" s="21">
        <f t="shared" si="285"/>
        <v>1913750</v>
      </c>
      <c r="BC623" s="10">
        <f t="shared" si="286"/>
        <v>0</v>
      </c>
      <c r="BD623" s="10">
        <f t="shared" si="287"/>
        <v>0</v>
      </c>
      <c r="BE623" s="10">
        <v>64.8</v>
      </c>
      <c r="BF623" s="10">
        <v>29.5</v>
      </c>
      <c r="BG623" s="107">
        <v>46176</v>
      </c>
      <c r="BH623" s="107">
        <f t="shared" si="291"/>
        <v>46206</v>
      </c>
      <c r="BI623" s="23">
        <v>6</v>
      </c>
      <c r="BJ623" s="6"/>
      <c r="BK623" s="6"/>
      <c r="BL623" s="6">
        <f>VLOOKUP(A623,[2]Sheet1!$D$2:$H$933,5,0)</f>
        <v>0</v>
      </c>
      <c r="BM623" s="6" t="s">
        <v>3828</v>
      </c>
      <c r="BN623" s="6" t="s">
        <v>3829</v>
      </c>
      <c r="BO623" s="6" t="s">
        <v>3820</v>
      </c>
      <c r="BP623" s="6" t="s">
        <v>3821</v>
      </c>
      <c r="BQ623" s="6" t="s">
        <v>3830</v>
      </c>
      <c r="BR623" t="s">
        <v>3823</v>
      </c>
      <c r="BS623" t="s">
        <v>3824</v>
      </c>
      <c r="BT623" t="s">
        <v>3825</v>
      </c>
      <c r="BU623" t="s">
        <v>3826</v>
      </c>
      <c r="BV623" t="s">
        <v>3827</v>
      </c>
      <c r="BW623" t="s">
        <v>3835</v>
      </c>
      <c r="BX623">
        <v>0</v>
      </c>
      <c r="BY623" t="s">
        <v>3859</v>
      </c>
      <c r="BZ623" t="s">
        <v>3860</v>
      </c>
    </row>
    <row r="624" spans="1:78" x14ac:dyDescent="0.25">
      <c r="A624" s="7" t="s">
        <v>2564</v>
      </c>
      <c r="B624" s="7" t="s">
        <v>181</v>
      </c>
      <c r="C624" s="7" t="s">
        <v>2562</v>
      </c>
      <c r="D624" s="8" t="s">
        <v>2563</v>
      </c>
      <c r="E624" s="7" t="s">
        <v>1150</v>
      </c>
      <c r="F624" s="9">
        <v>44999</v>
      </c>
      <c r="G624" s="9" t="s">
        <v>717</v>
      </c>
      <c r="H624" s="9" t="s">
        <v>66</v>
      </c>
      <c r="I624" s="8" t="s">
        <v>78</v>
      </c>
      <c r="J624" s="10">
        <v>764.24</v>
      </c>
      <c r="K624" s="10">
        <v>764.24</v>
      </c>
      <c r="L624" s="10">
        <f t="shared" si="263"/>
        <v>0</v>
      </c>
      <c r="M624" s="10">
        <v>352.52</v>
      </c>
      <c r="N624" s="10">
        <v>352.52</v>
      </c>
      <c r="O624" s="10">
        <f t="shared" si="264"/>
        <v>0</v>
      </c>
      <c r="P624" s="11">
        <v>15173.238773160263</v>
      </c>
      <c r="Q624" s="11">
        <v>32894.576194258487</v>
      </c>
      <c r="R624" s="11">
        <v>22000</v>
      </c>
      <c r="S624" s="11">
        <v>11595996</v>
      </c>
      <c r="T624" s="11">
        <v>1391520</v>
      </c>
      <c r="U624" s="12">
        <f t="shared" si="265"/>
        <v>0.12000004139359827</v>
      </c>
      <c r="V624" s="13">
        <f t="shared" si="290"/>
        <v>0</v>
      </c>
      <c r="W624" s="10">
        <f t="shared" si="266"/>
        <v>0</v>
      </c>
      <c r="X624" s="10"/>
      <c r="Y624" s="10"/>
      <c r="Z624" s="11">
        <f t="shared" si="267"/>
        <v>11595996</v>
      </c>
      <c r="AA624" s="14"/>
      <c r="AB624" s="14"/>
      <c r="AC624" s="11">
        <f t="shared" si="268"/>
        <v>11595996</v>
      </c>
      <c r="AD624" s="10">
        <f t="shared" si="269"/>
        <v>300</v>
      </c>
      <c r="AE624" s="15">
        <v>105756</v>
      </c>
      <c r="AF624" s="16">
        <v>19036</v>
      </c>
      <c r="AG624" s="15">
        <f t="shared" si="270"/>
        <v>0</v>
      </c>
      <c r="AH624" s="15">
        <f t="shared" si="271"/>
        <v>0</v>
      </c>
      <c r="AI624" s="15">
        <f t="shared" si="272"/>
        <v>105756</v>
      </c>
      <c r="AJ624" s="15">
        <f t="shared" si="273"/>
        <v>19037</v>
      </c>
      <c r="AK624" s="10">
        <v>105756</v>
      </c>
      <c r="AL624" s="15">
        <f t="shared" si="274"/>
        <v>105756</v>
      </c>
      <c r="AM624" s="15">
        <f t="shared" si="275"/>
        <v>11701752</v>
      </c>
      <c r="AN624" s="15">
        <f t="shared" si="276"/>
        <v>1410557</v>
      </c>
      <c r="AO624" s="15">
        <f t="shared" si="281"/>
        <v>1540505</v>
      </c>
      <c r="AP624" s="17">
        <f t="shared" si="277"/>
        <v>13242257</v>
      </c>
      <c r="AQ624" s="15">
        <v>6822000</v>
      </c>
      <c r="AR624" s="15">
        <v>24192</v>
      </c>
      <c r="AS624" s="18">
        <f t="shared" si="282"/>
        <v>6420257</v>
      </c>
      <c r="AT624" s="19">
        <v>0</v>
      </c>
      <c r="AU624" s="8">
        <v>8800</v>
      </c>
      <c r="AV624" s="13">
        <f t="shared" si="283"/>
        <v>3102176</v>
      </c>
      <c r="AW624" s="18">
        <f t="shared" si="284"/>
        <v>11701752</v>
      </c>
      <c r="AX624" s="15">
        <f t="shared" si="278"/>
        <v>11702000</v>
      </c>
      <c r="AY624" s="20">
        <v>5.67E-2</v>
      </c>
      <c r="AZ624" s="13">
        <f t="shared" si="279"/>
        <v>663503.4</v>
      </c>
      <c r="BA624" s="15">
        <f t="shared" si="280"/>
        <v>663600</v>
      </c>
      <c r="BB624" s="21">
        <f t="shared" si="285"/>
        <v>7083857</v>
      </c>
      <c r="BC624" s="10">
        <f t="shared" si="286"/>
        <v>0</v>
      </c>
      <c r="BD624" s="10">
        <f t="shared" si="287"/>
        <v>0</v>
      </c>
      <c r="BE624" s="10">
        <v>71</v>
      </c>
      <c r="BF624" s="10">
        <v>32.75</v>
      </c>
      <c r="BG624" s="107">
        <v>46176</v>
      </c>
      <c r="BH624" s="107">
        <f t="shared" si="291"/>
        <v>46206</v>
      </c>
      <c r="BI624" s="23">
        <v>5.67</v>
      </c>
      <c r="BJ624" s="6"/>
      <c r="BK624" s="6"/>
      <c r="BL624" s="6">
        <f>VLOOKUP(A624,[2]Sheet1!$D$2:$H$933,5,0)</f>
        <v>0</v>
      </c>
      <c r="BM624" s="6" t="s">
        <v>3828</v>
      </c>
      <c r="BN624" s="6" t="s">
        <v>3829</v>
      </c>
      <c r="BO624" s="6" t="s">
        <v>3820</v>
      </c>
      <c r="BP624" s="6" t="s">
        <v>3821</v>
      </c>
      <c r="BQ624" s="6" t="s">
        <v>3830</v>
      </c>
      <c r="BR624" t="s">
        <v>3823</v>
      </c>
      <c r="BS624" t="s">
        <v>3824</v>
      </c>
      <c r="BT624" t="s">
        <v>3825</v>
      </c>
      <c r="BU624" t="s">
        <v>3826</v>
      </c>
      <c r="BV624" t="s">
        <v>3827</v>
      </c>
      <c r="BW624" t="s">
        <v>3835</v>
      </c>
      <c r="BX624">
        <v>0</v>
      </c>
      <c r="BY624" t="s">
        <v>3861</v>
      </c>
      <c r="BZ624" t="s">
        <v>3872</v>
      </c>
    </row>
    <row r="625" spans="1:78" x14ac:dyDescent="0.25">
      <c r="A625" s="7" t="s">
        <v>2567</v>
      </c>
      <c r="B625" s="7" t="s">
        <v>181</v>
      </c>
      <c r="C625" s="7" t="s">
        <v>2565</v>
      </c>
      <c r="D625" s="8" t="s">
        <v>2566</v>
      </c>
      <c r="E625" s="7" t="s">
        <v>2568</v>
      </c>
      <c r="F625" s="9">
        <v>44927</v>
      </c>
      <c r="G625" s="9" t="s">
        <v>527</v>
      </c>
      <c r="H625" s="9" t="s">
        <v>92</v>
      </c>
      <c r="I625" s="8" t="s">
        <v>67</v>
      </c>
      <c r="J625" s="10">
        <v>281.06</v>
      </c>
      <c r="K625" s="10">
        <v>281.06</v>
      </c>
      <c r="L625" s="10">
        <f t="shared" si="263"/>
        <v>0</v>
      </c>
      <c r="M625" s="10">
        <v>114.1</v>
      </c>
      <c r="N625" s="10">
        <v>114.1</v>
      </c>
      <c r="O625" s="10">
        <f t="shared" si="264"/>
        <v>0</v>
      </c>
      <c r="P625" s="11">
        <v>27550</v>
      </c>
      <c r="Q625" s="11">
        <v>67863.304119193694</v>
      </c>
      <c r="R625" s="11">
        <v>28000</v>
      </c>
      <c r="S625" s="11">
        <v>7743203</v>
      </c>
      <c r="T625" s="11">
        <v>929184</v>
      </c>
      <c r="U625" s="12">
        <f t="shared" si="265"/>
        <v>0.11999995350761178</v>
      </c>
      <c r="V625" s="13">
        <f t="shared" si="290"/>
        <v>0</v>
      </c>
      <c r="W625" s="10">
        <f t="shared" si="266"/>
        <v>0</v>
      </c>
      <c r="X625" s="10"/>
      <c r="Y625" s="10"/>
      <c r="Z625" s="11">
        <f t="shared" si="267"/>
        <v>7743203</v>
      </c>
      <c r="AA625" s="14"/>
      <c r="AB625" s="14"/>
      <c r="AC625" s="11">
        <f t="shared" si="268"/>
        <v>7743203</v>
      </c>
      <c r="AD625" s="10">
        <f t="shared" si="269"/>
        <v>300</v>
      </c>
      <c r="AE625" s="15">
        <v>34230</v>
      </c>
      <c r="AF625" s="16">
        <v>6162</v>
      </c>
      <c r="AG625" s="15">
        <f t="shared" si="270"/>
        <v>0</v>
      </c>
      <c r="AH625" s="15">
        <f t="shared" si="271"/>
        <v>0</v>
      </c>
      <c r="AI625" s="15">
        <f t="shared" si="272"/>
        <v>34230</v>
      </c>
      <c r="AJ625" s="15">
        <f t="shared" si="273"/>
        <v>6162</v>
      </c>
      <c r="AK625" s="10">
        <v>34230</v>
      </c>
      <c r="AL625" s="15">
        <f t="shared" si="274"/>
        <v>34230</v>
      </c>
      <c r="AM625" s="15">
        <f t="shared" si="275"/>
        <v>7777433</v>
      </c>
      <c r="AN625" s="15">
        <f t="shared" si="276"/>
        <v>935346</v>
      </c>
      <c r="AO625" s="15">
        <f t="shared" si="281"/>
        <v>992722</v>
      </c>
      <c r="AP625" s="17">
        <f t="shared" si="277"/>
        <v>8770155</v>
      </c>
      <c r="AQ625" s="15">
        <v>3597281</v>
      </c>
      <c r="AR625" s="15">
        <v>23146</v>
      </c>
      <c r="AS625" s="18">
        <f t="shared" si="282"/>
        <v>5172874</v>
      </c>
      <c r="AT625" s="19">
        <v>0</v>
      </c>
      <c r="AU625" s="8">
        <v>8800</v>
      </c>
      <c r="AV625" s="13">
        <f t="shared" si="283"/>
        <v>1004080</v>
      </c>
      <c r="AW625" s="18">
        <f t="shared" si="284"/>
        <v>7777433</v>
      </c>
      <c r="AX625" s="15">
        <f t="shared" si="278"/>
        <v>7778000</v>
      </c>
      <c r="AY625" s="20">
        <v>0.05</v>
      </c>
      <c r="AZ625" s="13">
        <f t="shared" si="279"/>
        <v>388900</v>
      </c>
      <c r="BA625" s="15">
        <f t="shared" si="280"/>
        <v>388900</v>
      </c>
      <c r="BB625" s="21">
        <f t="shared" si="285"/>
        <v>5561774</v>
      </c>
      <c r="BC625" s="10">
        <f t="shared" si="286"/>
        <v>0</v>
      </c>
      <c r="BD625" s="10">
        <f t="shared" si="287"/>
        <v>0</v>
      </c>
      <c r="BE625" s="10">
        <v>26.11</v>
      </c>
      <c r="BF625" s="10">
        <v>10.6</v>
      </c>
      <c r="BG625" s="107">
        <v>46176</v>
      </c>
      <c r="BH625" s="107">
        <f t="shared" si="291"/>
        <v>46206</v>
      </c>
      <c r="BI625" s="23">
        <v>5</v>
      </c>
      <c r="BJ625" s="6"/>
      <c r="BK625" s="6"/>
      <c r="BL625" s="6">
        <f>VLOOKUP(A625,[2]Sheet1!$D$2:$H$933,5,0)</f>
        <v>0</v>
      </c>
      <c r="BM625" s="6" t="s">
        <v>3828</v>
      </c>
      <c r="BN625" s="6" t="s">
        <v>3829</v>
      </c>
      <c r="BO625" s="6" t="s">
        <v>3820</v>
      </c>
      <c r="BP625" s="6" t="s">
        <v>3821</v>
      </c>
      <c r="BQ625" s="6" t="s">
        <v>3830</v>
      </c>
      <c r="BR625" t="s">
        <v>3823</v>
      </c>
      <c r="BS625" t="s">
        <v>3824</v>
      </c>
      <c r="BT625" t="s">
        <v>3825</v>
      </c>
      <c r="BU625" t="s">
        <v>3826</v>
      </c>
      <c r="BV625" t="s">
        <v>3827</v>
      </c>
      <c r="BW625" t="s">
        <v>3835</v>
      </c>
      <c r="BX625">
        <v>0</v>
      </c>
      <c r="BY625" t="s">
        <v>3864</v>
      </c>
      <c r="BZ625" t="s">
        <v>3871</v>
      </c>
    </row>
    <row r="626" spans="1:78" x14ac:dyDescent="0.25">
      <c r="A626" s="7" t="s">
        <v>2571</v>
      </c>
      <c r="B626" s="7" t="s">
        <v>181</v>
      </c>
      <c r="C626" s="7" t="s">
        <v>2569</v>
      </c>
      <c r="D626" s="8" t="s">
        <v>2570</v>
      </c>
      <c r="E626" s="7" t="s">
        <v>2572</v>
      </c>
      <c r="F626" s="9">
        <v>44866</v>
      </c>
      <c r="G626" s="9" t="s">
        <v>65</v>
      </c>
      <c r="H626" s="9" t="s">
        <v>72</v>
      </c>
      <c r="I626" s="8" t="s">
        <v>67</v>
      </c>
      <c r="J626" s="10">
        <v>424.58</v>
      </c>
      <c r="K626" s="10">
        <v>424.58</v>
      </c>
      <c r="L626" s="10">
        <f t="shared" si="263"/>
        <v>0</v>
      </c>
      <c r="M626" s="10">
        <v>174.92</v>
      </c>
      <c r="N626" s="10">
        <v>174.92</v>
      </c>
      <c r="O626" s="10">
        <f t="shared" si="264"/>
        <v>0</v>
      </c>
      <c r="P626" s="11">
        <v>13370.000942107496</v>
      </c>
      <c r="Q626" s="11">
        <v>32452.749828493026</v>
      </c>
      <c r="R626" s="11">
        <v>20000</v>
      </c>
      <c r="S626" s="11">
        <v>5676635</v>
      </c>
      <c r="T626" s="11">
        <v>681196</v>
      </c>
      <c r="U626" s="12">
        <f t="shared" si="265"/>
        <v>0.11999996476785983</v>
      </c>
      <c r="V626" s="13">
        <f t="shared" si="290"/>
        <v>0</v>
      </c>
      <c r="W626" s="10">
        <f t="shared" si="266"/>
        <v>0</v>
      </c>
      <c r="X626" s="10"/>
      <c r="Y626" s="10"/>
      <c r="Z626" s="11">
        <f t="shared" si="267"/>
        <v>5676635</v>
      </c>
      <c r="AA626" s="14"/>
      <c r="AB626" s="14"/>
      <c r="AC626" s="11">
        <f t="shared" si="268"/>
        <v>5676635</v>
      </c>
      <c r="AD626" s="10">
        <f t="shared" si="269"/>
        <v>300</v>
      </c>
      <c r="AE626" s="15">
        <v>52476</v>
      </c>
      <c r="AF626" s="16">
        <v>9446</v>
      </c>
      <c r="AG626" s="15">
        <f t="shared" si="270"/>
        <v>0</v>
      </c>
      <c r="AH626" s="15">
        <f t="shared" si="271"/>
        <v>0</v>
      </c>
      <c r="AI626" s="15">
        <f t="shared" si="272"/>
        <v>52475.999999999993</v>
      </c>
      <c r="AJ626" s="15">
        <f t="shared" si="273"/>
        <v>9446</v>
      </c>
      <c r="AK626" s="10">
        <v>52476</v>
      </c>
      <c r="AL626" s="15">
        <f t="shared" si="274"/>
        <v>52475.999999999993</v>
      </c>
      <c r="AM626" s="15">
        <f t="shared" si="275"/>
        <v>5729111</v>
      </c>
      <c r="AN626" s="15">
        <f t="shared" si="276"/>
        <v>690642</v>
      </c>
      <c r="AO626" s="15">
        <f t="shared" si="281"/>
        <v>761956</v>
      </c>
      <c r="AP626" s="17">
        <f t="shared" si="277"/>
        <v>6491067</v>
      </c>
      <c r="AQ626" s="15">
        <v>3178915</v>
      </c>
      <c r="AR626" s="15">
        <v>18838</v>
      </c>
      <c r="AS626" s="18">
        <f t="shared" si="282"/>
        <v>3312152</v>
      </c>
      <c r="AT626" s="19">
        <v>0</v>
      </c>
      <c r="AU626" s="8">
        <v>8800</v>
      </c>
      <c r="AV626" s="13">
        <f t="shared" si="283"/>
        <v>1539296</v>
      </c>
      <c r="AW626" s="18">
        <f t="shared" si="284"/>
        <v>5729111</v>
      </c>
      <c r="AX626" s="15">
        <f t="shared" si="278"/>
        <v>5730000</v>
      </c>
      <c r="AY626" s="20">
        <v>0.06</v>
      </c>
      <c r="AZ626" s="13">
        <f t="shared" si="279"/>
        <v>343800</v>
      </c>
      <c r="BA626" s="15">
        <f t="shared" si="280"/>
        <v>343800</v>
      </c>
      <c r="BB626" s="21">
        <f t="shared" si="285"/>
        <v>3655952</v>
      </c>
      <c r="BC626" s="10">
        <f t="shared" si="286"/>
        <v>0</v>
      </c>
      <c r="BD626" s="10">
        <f t="shared" si="287"/>
        <v>0</v>
      </c>
      <c r="BE626" s="10">
        <v>39.44</v>
      </c>
      <c r="BF626" s="10">
        <v>16.25</v>
      </c>
      <c r="BG626" s="107">
        <v>46176</v>
      </c>
      <c r="BH626" s="107">
        <f t="shared" si="291"/>
        <v>46206</v>
      </c>
      <c r="BI626" s="23">
        <v>6</v>
      </c>
      <c r="BJ626" s="6"/>
      <c r="BK626" s="6"/>
      <c r="BL626" s="6">
        <f>VLOOKUP(A626,[2]Sheet1!$D$2:$H$933,5,0)</f>
        <v>0</v>
      </c>
      <c r="BM626" s="6" t="s">
        <v>3828</v>
      </c>
      <c r="BN626" s="6" t="s">
        <v>3829</v>
      </c>
      <c r="BO626" s="6" t="s">
        <v>3820</v>
      </c>
      <c r="BP626" s="6" t="s">
        <v>3821</v>
      </c>
      <c r="BQ626" s="6" t="s">
        <v>3830</v>
      </c>
      <c r="BR626" t="s">
        <v>3823</v>
      </c>
      <c r="BS626" t="s">
        <v>3824</v>
      </c>
      <c r="BT626" t="s">
        <v>3825</v>
      </c>
      <c r="BU626" t="s">
        <v>3826</v>
      </c>
      <c r="BV626" t="s">
        <v>3827</v>
      </c>
      <c r="BW626" t="s">
        <v>3835</v>
      </c>
      <c r="BX626">
        <v>0</v>
      </c>
      <c r="BY626" t="s">
        <v>3864</v>
      </c>
      <c r="BZ626" t="s">
        <v>3860</v>
      </c>
    </row>
    <row r="627" spans="1:78" x14ac:dyDescent="0.25">
      <c r="A627" s="7" t="s">
        <v>2575</v>
      </c>
      <c r="B627" s="7" t="s">
        <v>181</v>
      </c>
      <c r="C627" s="7" t="s">
        <v>2573</v>
      </c>
      <c r="D627" s="8" t="s">
        <v>2574</v>
      </c>
      <c r="E627" s="7" t="s">
        <v>2576</v>
      </c>
      <c r="F627" s="9">
        <v>45012</v>
      </c>
      <c r="G627" s="9" t="s">
        <v>363</v>
      </c>
      <c r="H627" s="9" t="s">
        <v>92</v>
      </c>
      <c r="I627" s="8" t="s">
        <v>78</v>
      </c>
      <c r="J627" s="10">
        <v>697.51</v>
      </c>
      <c r="K627" s="10">
        <v>697.51</v>
      </c>
      <c r="L627" s="10">
        <f t="shared" si="263"/>
        <v>0</v>
      </c>
      <c r="M627" s="10">
        <v>317.54000000000002</v>
      </c>
      <c r="N627" s="10">
        <v>317.54000000000002</v>
      </c>
      <c r="O627" s="10">
        <f t="shared" si="264"/>
        <v>0</v>
      </c>
      <c r="P627" s="11">
        <v>21205.999913979729</v>
      </c>
      <c r="Q627" s="11">
        <v>46581.208666624676</v>
      </c>
      <c r="R627" s="11">
        <v>28000</v>
      </c>
      <c r="S627" s="11">
        <v>14791397</v>
      </c>
      <c r="T627" s="11">
        <v>1774966</v>
      </c>
      <c r="U627" s="12">
        <f t="shared" si="265"/>
        <v>0.1199998891247392</v>
      </c>
      <c r="V627" s="13">
        <f t="shared" si="290"/>
        <v>0</v>
      </c>
      <c r="W627" s="10">
        <f t="shared" si="266"/>
        <v>0</v>
      </c>
      <c r="X627" s="10"/>
      <c r="Y627" s="10"/>
      <c r="Z627" s="11">
        <f t="shared" si="267"/>
        <v>14791397</v>
      </c>
      <c r="AA627" s="14"/>
      <c r="AB627" s="14"/>
      <c r="AC627" s="11">
        <f t="shared" si="268"/>
        <v>14791397</v>
      </c>
      <c r="AD627" s="10">
        <f t="shared" si="269"/>
        <v>300</v>
      </c>
      <c r="AE627" s="15">
        <v>95262</v>
      </c>
      <c r="AF627" s="16">
        <v>17148</v>
      </c>
      <c r="AG627" s="15">
        <f t="shared" si="270"/>
        <v>0</v>
      </c>
      <c r="AH627" s="15">
        <f t="shared" si="271"/>
        <v>0</v>
      </c>
      <c r="AI627" s="15">
        <f t="shared" si="272"/>
        <v>95262</v>
      </c>
      <c r="AJ627" s="15">
        <f t="shared" si="273"/>
        <v>17148</v>
      </c>
      <c r="AK627" s="10">
        <v>95262</v>
      </c>
      <c r="AL627" s="15">
        <f t="shared" si="274"/>
        <v>95262</v>
      </c>
      <c r="AM627" s="15">
        <f t="shared" si="275"/>
        <v>14886659</v>
      </c>
      <c r="AN627" s="15">
        <f t="shared" si="276"/>
        <v>1792114</v>
      </c>
      <c r="AO627" s="15">
        <f t="shared" si="281"/>
        <v>1905632</v>
      </c>
      <c r="AP627" s="17">
        <f t="shared" si="277"/>
        <v>16792291</v>
      </c>
      <c r="AQ627" s="15">
        <v>14260633.83</v>
      </c>
      <c r="AR627" s="15">
        <v>18256</v>
      </c>
      <c r="AS627" s="18">
        <f t="shared" si="282"/>
        <v>2531657</v>
      </c>
      <c r="AT627" s="19">
        <v>0</v>
      </c>
      <c r="AU627" s="8">
        <v>8800</v>
      </c>
      <c r="AV627" s="13">
        <f t="shared" si="283"/>
        <v>2794352</v>
      </c>
      <c r="AW627" s="18">
        <f t="shared" si="284"/>
        <v>14886659</v>
      </c>
      <c r="AX627" s="15">
        <f t="shared" si="278"/>
        <v>14887000</v>
      </c>
      <c r="AY627" s="20">
        <v>0.05</v>
      </c>
      <c r="AZ627" s="13">
        <f t="shared" si="279"/>
        <v>744350</v>
      </c>
      <c r="BA627" s="15">
        <f t="shared" si="280"/>
        <v>744400</v>
      </c>
      <c r="BB627" s="21">
        <f t="shared" si="285"/>
        <v>3276057</v>
      </c>
      <c r="BC627" s="10">
        <f t="shared" si="286"/>
        <v>0</v>
      </c>
      <c r="BD627" s="10">
        <f t="shared" si="287"/>
        <v>0</v>
      </c>
      <c r="BE627" s="10">
        <v>64.8</v>
      </c>
      <c r="BF627" s="10">
        <v>29.5</v>
      </c>
      <c r="BG627" s="107">
        <v>46176</v>
      </c>
      <c r="BH627" s="107">
        <f t="shared" si="291"/>
        <v>46206</v>
      </c>
      <c r="BI627" s="23">
        <v>5</v>
      </c>
      <c r="BJ627" s="6"/>
      <c r="BK627" s="6"/>
      <c r="BL627" s="6">
        <f>VLOOKUP(A627,[2]Sheet1!$D$2:$H$933,5,0)</f>
        <v>0</v>
      </c>
      <c r="BM627" s="6" t="s">
        <v>3828</v>
      </c>
      <c r="BN627" s="6" t="s">
        <v>3829</v>
      </c>
      <c r="BO627" s="6" t="s">
        <v>3820</v>
      </c>
      <c r="BP627" s="6" t="s">
        <v>3821</v>
      </c>
      <c r="BQ627" s="6" t="s">
        <v>3830</v>
      </c>
      <c r="BR627" t="s">
        <v>3823</v>
      </c>
      <c r="BS627" t="s">
        <v>3824</v>
      </c>
      <c r="BT627" t="s">
        <v>3825</v>
      </c>
      <c r="BU627" t="s">
        <v>3826</v>
      </c>
      <c r="BV627" t="s">
        <v>3827</v>
      </c>
      <c r="BW627" t="s">
        <v>3835</v>
      </c>
      <c r="BX627" s="101">
        <v>392336.91666666657</v>
      </c>
      <c r="BY627" t="s">
        <v>3868</v>
      </c>
      <c r="BZ627" t="s">
        <v>3860</v>
      </c>
    </row>
    <row r="628" spans="1:78" x14ac:dyDescent="0.25">
      <c r="A628" s="7" t="s">
        <v>2579</v>
      </c>
      <c r="B628" s="7" t="s">
        <v>181</v>
      </c>
      <c r="C628" s="7" t="s">
        <v>2577</v>
      </c>
      <c r="D628" s="8" t="s">
        <v>2578</v>
      </c>
      <c r="E628" s="7" t="s">
        <v>2580</v>
      </c>
      <c r="F628" s="9">
        <v>44978</v>
      </c>
      <c r="G628" s="9" t="s">
        <v>527</v>
      </c>
      <c r="H628" s="9" t="s">
        <v>87</v>
      </c>
      <c r="I628" s="8" t="s">
        <v>67</v>
      </c>
      <c r="J628" s="10">
        <v>224.85</v>
      </c>
      <c r="K628" s="10">
        <v>224.85</v>
      </c>
      <c r="L628" s="10">
        <f t="shared" ref="L628:L691" si="292">K628-J628</f>
        <v>0</v>
      </c>
      <c r="M628" s="10">
        <v>89.34</v>
      </c>
      <c r="N628" s="10">
        <v>89.34</v>
      </c>
      <c r="O628" s="10">
        <f t="shared" ref="O628:O691" si="293">N628-M628</f>
        <v>0</v>
      </c>
      <c r="P628" s="11">
        <v>25482.001334222816</v>
      </c>
      <c r="Q628" s="11">
        <v>64132.840832773669</v>
      </c>
      <c r="R628" s="11">
        <v>40000</v>
      </c>
      <c r="S628" s="11">
        <v>5729628</v>
      </c>
      <c r="T628" s="11">
        <v>687556</v>
      </c>
      <c r="U628" s="12">
        <f t="shared" ref="U628:U691" si="294">T628/S628</f>
        <v>0.12000011170009642</v>
      </c>
      <c r="V628" s="13">
        <f t="shared" si="290"/>
        <v>0</v>
      </c>
      <c r="W628" s="10">
        <f t="shared" ref="W628:W691" si="295">V628*U628</f>
        <v>0</v>
      </c>
      <c r="X628" s="10"/>
      <c r="Y628" s="10"/>
      <c r="Z628" s="11">
        <f t="shared" ref="Z628:Z691" si="296">S628+V628+X628</f>
        <v>5729628</v>
      </c>
      <c r="AA628" s="14"/>
      <c r="AB628" s="14"/>
      <c r="AC628" s="11">
        <f t="shared" ref="AC628:AC691" si="297">Z628-AA628</f>
        <v>5729628</v>
      </c>
      <c r="AD628" s="10">
        <f t="shared" ref="AD628:AD691" si="298">AE628/M628</f>
        <v>300</v>
      </c>
      <c r="AE628" s="15">
        <v>26802</v>
      </c>
      <c r="AF628" s="16">
        <v>4824</v>
      </c>
      <c r="AG628" s="15">
        <f t="shared" ref="AG628:AG691" si="299">(AD628*O628)</f>
        <v>0</v>
      </c>
      <c r="AH628" s="15">
        <f t="shared" ref="AH628:AH691" si="300">AG628*18%</f>
        <v>0</v>
      </c>
      <c r="AI628" s="15">
        <f t="shared" ref="AI628:AI691" si="301">AD628*N628</f>
        <v>26802</v>
      </c>
      <c r="AJ628" s="15">
        <f t="shared" ref="AJ628:AJ691" si="302">ROUNDUP(AI628*18%,0)</f>
        <v>4825</v>
      </c>
      <c r="AK628" s="10">
        <v>26802</v>
      </c>
      <c r="AL628" s="15">
        <f t="shared" ref="AL628:AL691" si="303">N628*300</f>
        <v>26802</v>
      </c>
      <c r="AM628" s="15">
        <f t="shared" ref="AM628:AM691" si="304">ROUND(AI628+AC628,0)</f>
        <v>5756430</v>
      </c>
      <c r="AN628" s="15">
        <f t="shared" ref="AN628:AN691" si="305">ROUNDUP(AJ628+W628+T628+Y628-AB628,0)</f>
        <v>692381</v>
      </c>
      <c r="AO628" s="15">
        <f t="shared" si="281"/>
        <v>736358</v>
      </c>
      <c r="AP628" s="17">
        <f t="shared" ref="AP628:AP691" si="306">AM628+AO628</f>
        <v>6492788</v>
      </c>
      <c r="AQ628" s="15">
        <v>5393244</v>
      </c>
      <c r="AR628" s="15">
        <v>17175</v>
      </c>
      <c r="AS628" s="18">
        <f t="shared" si="282"/>
        <v>1099544</v>
      </c>
      <c r="AT628" s="19">
        <v>0</v>
      </c>
      <c r="AU628" s="8">
        <v>8800</v>
      </c>
      <c r="AV628" s="13">
        <f t="shared" si="283"/>
        <v>786192</v>
      </c>
      <c r="AW628" s="18">
        <f t="shared" si="284"/>
        <v>5756430</v>
      </c>
      <c r="AX628" s="15">
        <f t="shared" ref="AX628:AX691" si="307">CEILING((AW628),1000)</f>
        <v>5757000</v>
      </c>
      <c r="AY628" s="20">
        <v>0.06</v>
      </c>
      <c r="AZ628" s="13">
        <f t="shared" ref="AZ628:AZ691" si="308">AY628*AX628</f>
        <v>345420</v>
      </c>
      <c r="BA628" s="15">
        <f t="shared" ref="BA628:BA691" si="309">CEILING(AZ628,100)</f>
        <v>345500</v>
      </c>
      <c r="BB628" s="21">
        <f t="shared" si="285"/>
        <v>1445044</v>
      </c>
      <c r="BC628" s="10">
        <f t="shared" si="286"/>
        <v>0</v>
      </c>
      <c r="BD628" s="10">
        <f t="shared" si="287"/>
        <v>0</v>
      </c>
      <c r="BE628" s="10">
        <v>20.89</v>
      </c>
      <c r="BF628" s="10">
        <v>8.3000000000000007</v>
      </c>
      <c r="BG628" s="107">
        <v>46176</v>
      </c>
      <c r="BH628" s="107">
        <f t="shared" si="291"/>
        <v>46206</v>
      </c>
      <c r="BI628" s="23">
        <v>6</v>
      </c>
      <c r="BJ628" s="6"/>
      <c r="BK628" s="6"/>
      <c r="BL628" s="6">
        <f>VLOOKUP(A628,[2]Sheet1!$D$2:$H$933,5,0)</f>
        <v>0</v>
      </c>
      <c r="BM628" s="6" t="s">
        <v>3828</v>
      </c>
      <c r="BN628" s="6" t="s">
        <v>3829</v>
      </c>
      <c r="BO628" s="6" t="s">
        <v>3820</v>
      </c>
      <c r="BP628" s="6" t="s">
        <v>3821</v>
      </c>
      <c r="BQ628" s="6" t="s">
        <v>3830</v>
      </c>
      <c r="BR628" t="s">
        <v>3823</v>
      </c>
      <c r="BS628" t="s">
        <v>3824</v>
      </c>
      <c r="BT628" t="s">
        <v>3825</v>
      </c>
      <c r="BU628" t="s">
        <v>3826</v>
      </c>
      <c r="BV628" t="s">
        <v>3827</v>
      </c>
      <c r="BW628" t="s">
        <v>3835</v>
      </c>
      <c r="BX628">
        <v>0</v>
      </c>
      <c r="BY628" t="s">
        <v>3867</v>
      </c>
      <c r="BZ628" t="s">
        <v>3871</v>
      </c>
    </row>
    <row r="629" spans="1:78" x14ac:dyDescent="0.25">
      <c r="A629" s="7" t="s">
        <v>2583</v>
      </c>
      <c r="B629" s="7" t="s">
        <v>181</v>
      </c>
      <c r="C629" s="7" t="s">
        <v>2581</v>
      </c>
      <c r="D629" s="8" t="s">
        <v>2582</v>
      </c>
      <c r="E629" s="7" t="s">
        <v>2584</v>
      </c>
      <c r="F629" s="9">
        <v>44896</v>
      </c>
      <c r="G629" s="9" t="s">
        <v>717</v>
      </c>
      <c r="H629" s="9" t="s">
        <v>92</v>
      </c>
      <c r="I629" s="8" t="s">
        <v>78</v>
      </c>
      <c r="J629" s="10">
        <v>596.33000000000004</v>
      </c>
      <c r="K629" s="10">
        <v>674</v>
      </c>
      <c r="L629" s="10">
        <f t="shared" si="292"/>
        <v>77.669999999999959</v>
      </c>
      <c r="M629" s="10">
        <v>266.95</v>
      </c>
      <c r="N629" s="10">
        <v>302</v>
      </c>
      <c r="O629" s="10">
        <f t="shared" si="293"/>
        <v>35.050000000000011</v>
      </c>
      <c r="P629" s="11">
        <v>22618.99954723056</v>
      </c>
      <c r="Q629" s="11">
        <v>50527.769245176998</v>
      </c>
      <c r="R629" s="11">
        <v>28000</v>
      </c>
      <c r="S629" s="11">
        <v>13488388</v>
      </c>
      <c r="T629" s="11">
        <v>1618606</v>
      </c>
      <c r="U629" s="12">
        <f t="shared" si="294"/>
        <v>0.11999995848280758</v>
      </c>
      <c r="V629" s="13">
        <f>L629*R629</f>
        <v>2174759.9999999991</v>
      </c>
      <c r="W629" s="10">
        <f t="shared" si="295"/>
        <v>260971.10971007048</v>
      </c>
      <c r="X629" s="15"/>
      <c r="Y629" s="15"/>
      <c r="Z629" s="11">
        <f t="shared" si="296"/>
        <v>15663148</v>
      </c>
      <c r="AA629" s="14"/>
      <c r="AB629" s="14"/>
      <c r="AC629" s="11">
        <f t="shared" si="297"/>
        <v>15663148</v>
      </c>
      <c r="AD629" s="10">
        <f t="shared" si="298"/>
        <v>300</v>
      </c>
      <c r="AE629" s="15">
        <v>80085</v>
      </c>
      <c r="AF629" s="16">
        <v>14416</v>
      </c>
      <c r="AG629" s="15">
        <f t="shared" si="299"/>
        <v>10515.000000000004</v>
      </c>
      <c r="AH629" s="15">
        <f t="shared" si="300"/>
        <v>1892.7000000000005</v>
      </c>
      <c r="AI629" s="15">
        <f t="shared" si="301"/>
        <v>90600</v>
      </c>
      <c r="AJ629" s="15">
        <f t="shared" si="302"/>
        <v>16308</v>
      </c>
      <c r="AK629" s="10">
        <v>80085</v>
      </c>
      <c r="AL629" s="15">
        <f t="shared" si="303"/>
        <v>90600</v>
      </c>
      <c r="AM629" s="15">
        <f t="shared" si="304"/>
        <v>15753748</v>
      </c>
      <c r="AN629" s="15">
        <f t="shared" si="305"/>
        <v>1895886</v>
      </c>
      <c r="AO629" s="15">
        <f t="shared" si="281"/>
        <v>2009681</v>
      </c>
      <c r="AP629" s="17">
        <f t="shared" si="306"/>
        <v>17763429</v>
      </c>
      <c r="AQ629" s="15">
        <v>9584822</v>
      </c>
      <c r="AR629" s="15">
        <v>23195</v>
      </c>
      <c r="AS629" s="18">
        <f t="shared" si="282"/>
        <v>8178607</v>
      </c>
      <c r="AT629" s="19">
        <v>0</v>
      </c>
      <c r="AU629" s="8">
        <v>8800</v>
      </c>
      <c r="AV629" s="13">
        <f t="shared" si="283"/>
        <v>2657600</v>
      </c>
      <c r="AW629" s="18">
        <f t="shared" si="284"/>
        <v>15753748</v>
      </c>
      <c r="AX629" s="15">
        <f t="shared" si="307"/>
        <v>15754000</v>
      </c>
      <c r="AY629" s="20">
        <v>0.06</v>
      </c>
      <c r="AZ629" s="13">
        <f t="shared" si="308"/>
        <v>945240</v>
      </c>
      <c r="BA629" s="15">
        <f t="shared" si="309"/>
        <v>945300</v>
      </c>
      <c r="BB629" s="21">
        <f t="shared" si="285"/>
        <v>9123907</v>
      </c>
      <c r="BC629" s="10">
        <f t="shared" si="286"/>
        <v>13.024667549846553</v>
      </c>
      <c r="BD629" s="10">
        <f t="shared" si="287"/>
        <v>13.129799587937821</v>
      </c>
      <c r="BE629" s="10">
        <v>62.62</v>
      </c>
      <c r="BF629" s="10">
        <v>28.06</v>
      </c>
      <c r="BG629" s="107">
        <v>46176</v>
      </c>
      <c r="BH629" s="107">
        <f t="shared" si="291"/>
        <v>46206</v>
      </c>
      <c r="BI629" s="23">
        <v>6</v>
      </c>
      <c r="BJ629" s="6"/>
      <c r="BK629" s="6"/>
      <c r="BL629" s="6">
        <f>VLOOKUP(A629,[2]Sheet1!$D$2:$H$933,5,0)</f>
        <v>0</v>
      </c>
      <c r="BM629" s="6" t="s">
        <v>3828</v>
      </c>
      <c r="BN629" s="6" t="s">
        <v>3829</v>
      </c>
      <c r="BO629" s="6" t="s">
        <v>3820</v>
      </c>
      <c r="BP629" s="6" t="s">
        <v>3821</v>
      </c>
      <c r="BQ629" s="6" t="s">
        <v>3830</v>
      </c>
      <c r="BR629" t="s">
        <v>3823</v>
      </c>
      <c r="BS629" t="s">
        <v>3824</v>
      </c>
      <c r="BT629" t="s">
        <v>3825</v>
      </c>
      <c r="BU629" t="s">
        <v>3826</v>
      </c>
      <c r="BV629" t="s">
        <v>3827</v>
      </c>
      <c r="BW629" t="s">
        <v>3835</v>
      </c>
      <c r="BX629">
        <v>0</v>
      </c>
      <c r="BY629" t="s">
        <v>3869</v>
      </c>
      <c r="BZ629" t="s">
        <v>3872</v>
      </c>
    </row>
    <row r="630" spans="1:78" x14ac:dyDescent="0.25">
      <c r="A630" s="7" t="s">
        <v>2587</v>
      </c>
      <c r="B630" s="7" t="s">
        <v>181</v>
      </c>
      <c r="C630" s="7" t="s">
        <v>2585</v>
      </c>
      <c r="D630" s="8" t="s">
        <v>2586</v>
      </c>
      <c r="E630" s="7" t="s">
        <v>2588</v>
      </c>
      <c r="F630" s="9">
        <v>45009</v>
      </c>
      <c r="G630" s="9" t="s">
        <v>527</v>
      </c>
      <c r="H630" s="9" t="s">
        <v>92</v>
      </c>
      <c r="I630" s="8" t="s">
        <v>67</v>
      </c>
      <c r="J630" s="10">
        <v>346.84</v>
      </c>
      <c r="K630" s="10">
        <v>346.84</v>
      </c>
      <c r="L630" s="10">
        <f t="shared" si="292"/>
        <v>0</v>
      </c>
      <c r="M630" s="10">
        <v>139.93</v>
      </c>
      <c r="N630" s="10">
        <v>139.93</v>
      </c>
      <c r="O630" s="10">
        <f t="shared" si="293"/>
        <v>0</v>
      </c>
      <c r="P630" s="11">
        <v>14972.935647560837</v>
      </c>
      <c r="Q630" s="11">
        <v>37112.935038948046</v>
      </c>
      <c r="R630" s="11">
        <v>28000</v>
      </c>
      <c r="S630" s="11">
        <v>5193213</v>
      </c>
      <c r="T630" s="11">
        <v>623186</v>
      </c>
      <c r="U630" s="12">
        <f t="shared" si="294"/>
        <v>0.12000008472596829</v>
      </c>
      <c r="V630" s="13">
        <f t="shared" ref="V630:V690" si="310">L630*P630</f>
        <v>0</v>
      </c>
      <c r="W630" s="10">
        <f t="shared" si="295"/>
        <v>0</v>
      </c>
      <c r="X630" s="10"/>
      <c r="Y630" s="10"/>
      <c r="Z630" s="11">
        <f t="shared" si="296"/>
        <v>5193213</v>
      </c>
      <c r="AA630" s="14"/>
      <c r="AB630" s="14"/>
      <c r="AC630" s="11">
        <f t="shared" si="297"/>
        <v>5193213</v>
      </c>
      <c r="AD630" s="10">
        <f t="shared" si="298"/>
        <v>300</v>
      </c>
      <c r="AE630" s="15">
        <v>41979</v>
      </c>
      <c r="AF630" s="16">
        <v>7556</v>
      </c>
      <c r="AG630" s="15">
        <f t="shared" si="299"/>
        <v>0</v>
      </c>
      <c r="AH630" s="15">
        <f t="shared" si="300"/>
        <v>0</v>
      </c>
      <c r="AI630" s="15">
        <f t="shared" si="301"/>
        <v>41979</v>
      </c>
      <c r="AJ630" s="15">
        <f t="shared" si="302"/>
        <v>7557</v>
      </c>
      <c r="AK630" s="10">
        <v>41979</v>
      </c>
      <c r="AL630" s="15">
        <f t="shared" si="303"/>
        <v>41979</v>
      </c>
      <c r="AM630" s="15">
        <f t="shared" si="304"/>
        <v>5235192</v>
      </c>
      <c r="AN630" s="15">
        <f t="shared" si="305"/>
        <v>630743</v>
      </c>
      <c r="AO630" s="15">
        <f t="shared" si="281"/>
        <v>690548</v>
      </c>
      <c r="AP630" s="17">
        <f t="shared" si="306"/>
        <v>5925740</v>
      </c>
      <c r="AQ630" s="15">
        <v>4469663</v>
      </c>
      <c r="AR630" s="15">
        <v>17826</v>
      </c>
      <c r="AS630" s="18">
        <f t="shared" si="282"/>
        <v>1456077</v>
      </c>
      <c r="AT630" s="19">
        <v>0</v>
      </c>
      <c r="AU630" s="8">
        <v>8800</v>
      </c>
      <c r="AV630" s="13">
        <f t="shared" si="283"/>
        <v>1231384</v>
      </c>
      <c r="AW630" s="18">
        <f t="shared" si="284"/>
        <v>5235192</v>
      </c>
      <c r="AX630" s="15">
        <f t="shared" si="307"/>
        <v>5236000</v>
      </c>
      <c r="AY630" s="20">
        <v>7.0000000000000007E-2</v>
      </c>
      <c r="AZ630" s="13">
        <f t="shared" si="308"/>
        <v>366520.00000000006</v>
      </c>
      <c r="BA630" s="15">
        <f t="shared" si="309"/>
        <v>366600</v>
      </c>
      <c r="BB630" s="21">
        <f t="shared" si="285"/>
        <v>1822677</v>
      </c>
      <c r="BC630" s="10">
        <f t="shared" si="286"/>
        <v>0</v>
      </c>
      <c r="BD630" s="10">
        <f t="shared" si="287"/>
        <v>0</v>
      </c>
      <c r="BE630" s="10">
        <v>32.22</v>
      </c>
      <c r="BF630" s="10">
        <v>13</v>
      </c>
      <c r="BG630" s="107">
        <v>46176</v>
      </c>
      <c r="BH630" s="107">
        <f t="shared" si="291"/>
        <v>46206</v>
      </c>
      <c r="BI630" s="23">
        <v>7</v>
      </c>
      <c r="BJ630" s="6"/>
      <c r="BK630" s="6"/>
      <c r="BL630" s="6">
        <f>VLOOKUP(A630,[2]Sheet1!$D$2:$H$933,5,0)</f>
        <v>0</v>
      </c>
      <c r="BM630" s="6" t="s">
        <v>3828</v>
      </c>
      <c r="BN630" s="6" t="s">
        <v>3829</v>
      </c>
      <c r="BO630" s="6" t="s">
        <v>3820</v>
      </c>
      <c r="BP630" s="6" t="s">
        <v>3821</v>
      </c>
      <c r="BQ630" s="6" t="s">
        <v>3830</v>
      </c>
      <c r="BR630" t="s">
        <v>3823</v>
      </c>
      <c r="BS630" t="s">
        <v>3824</v>
      </c>
      <c r="BT630" t="s">
        <v>3825</v>
      </c>
      <c r="BU630" t="s">
        <v>3826</v>
      </c>
      <c r="BV630" t="s">
        <v>3827</v>
      </c>
      <c r="BW630" t="s">
        <v>3835</v>
      </c>
      <c r="BX630">
        <v>0</v>
      </c>
      <c r="BY630" t="s">
        <v>3866</v>
      </c>
      <c r="BZ630" t="s">
        <v>3871</v>
      </c>
    </row>
    <row r="631" spans="1:78" x14ac:dyDescent="0.25">
      <c r="A631" s="7" t="s">
        <v>2591</v>
      </c>
      <c r="B631" s="7" t="s">
        <v>181</v>
      </c>
      <c r="C631" s="7" t="s">
        <v>2589</v>
      </c>
      <c r="D631" s="8" t="s">
        <v>2590</v>
      </c>
      <c r="E631" s="7" t="s">
        <v>2592</v>
      </c>
      <c r="F631" s="9">
        <v>45023</v>
      </c>
      <c r="G631" s="9" t="s">
        <v>527</v>
      </c>
      <c r="H631" s="9" t="s">
        <v>72</v>
      </c>
      <c r="I631" s="8" t="s">
        <v>78</v>
      </c>
      <c r="J631" s="10">
        <v>652.29999999999995</v>
      </c>
      <c r="K631" s="10">
        <v>652.29999999999995</v>
      </c>
      <c r="L631" s="10">
        <f t="shared" si="292"/>
        <v>0</v>
      </c>
      <c r="M631" s="10">
        <v>293.86</v>
      </c>
      <c r="N631" s="10">
        <v>293.86</v>
      </c>
      <c r="O631" s="10">
        <f t="shared" si="293"/>
        <v>0</v>
      </c>
      <c r="P631" s="11">
        <v>10309.000459911085</v>
      </c>
      <c r="Q631" s="11">
        <v>22883.553392772068</v>
      </c>
      <c r="R631" s="11">
        <v>20000</v>
      </c>
      <c r="S631" s="11">
        <v>6724561</v>
      </c>
      <c r="T631" s="11">
        <v>806948</v>
      </c>
      <c r="U631" s="12">
        <f t="shared" si="294"/>
        <v>0.12000010112184276</v>
      </c>
      <c r="V631" s="13">
        <f t="shared" si="310"/>
        <v>0</v>
      </c>
      <c r="W631" s="10">
        <f t="shared" si="295"/>
        <v>0</v>
      </c>
      <c r="X631" s="10"/>
      <c r="Y631" s="10"/>
      <c r="Z631" s="11">
        <f t="shared" si="296"/>
        <v>6724561</v>
      </c>
      <c r="AA631" s="14"/>
      <c r="AB631" s="14"/>
      <c r="AC631" s="11">
        <f t="shared" si="297"/>
        <v>6724561</v>
      </c>
      <c r="AD631" s="10">
        <f t="shared" si="298"/>
        <v>300</v>
      </c>
      <c r="AE631" s="15">
        <v>88158</v>
      </c>
      <c r="AF631" s="16">
        <v>15868</v>
      </c>
      <c r="AG631" s="15">
        <f t="shared" si="299"/>
        <v>0</v>
      </c>
      <c r="AH631" s="15">
        <f t="shared" si="300"/>
        <v>0</v>
      </c>
      <c r="AI631" s="15">
        <f t="shared" si="301"/>
        <v>88158</v>
      </c>
      <c r="AJ631" s="15">
        <f t="shared" si="302"/>
        <v>15869</v>
      </c>
      <c r="AK631" s="10">
        <v>88158</v>
      </c>
      <c r="AL631" s="15">
        <f t="shared" si="303"/>
        <v>88158</v>
      </c>
      <c r="AM631" s="15">
        <f t="shared" si="304"/>
        <v>6812719</v>
      </c>
      <c r="AN631" s="15">
        <f t="shared" si="305"/>
        <v>822817</v>
      </c>
      <c r="AO631" s="15">
        <f t="shared" si="281"/>
        <v>933293.72</v>
      </c>
      <c r="AP631" s="17">
        <f t="shared" si="306"/>
        <v>7746012.7199999997</v>
      </c>
      <c r="AQ631" s="15">
        <v>3203211</v>
      </c>
      <c r="AR631" s="15">
        <v>22318.720000000001</v>
      </c>
      <c r="AS631" s="18">
        <f t="shared" si="282"/>
        <v>4542802</v>
      </c>
      <c r="AT631" s="19">
        <v>0</v>
      </c>
      <c r="AU631" s="8">
        <v>8800</v>
      </c>
      <c r="AV631" s="13">
        <f t="shared" si="283"/>
        <v>2585968</v>
      </c>
      <c r="AW631" s="18">
        <f t="shared" si="284"/>
        <v>6812719</v>
      </c>
      <c r="AX631" s="15">
        <f t="shared" si="307"/>
        <v>6813000</v>
      </c>
      <c r="AY631" s="20">
        <v>7.0000000000000007E-2</v>
      </c>
      <c r="AZ631" s="13">
        <f t="shared" si="308"/>
        <v>476910.00000000006</v>
      </c>
      <c r="BA631" s="15">
        <f t="shared" si="309"/>
        <v>477000</v>
      </c>
      <c r="BB631" s="21">
        <f t="shared" si="285"/>
        <v>5019802</v>
      </c>
      <c r="BC631" s="10">
        <f t="shared" si="286"/>
        <v>0</v>
      </c>
      <c r="BD631" s="10">
        <f t="shared" si="287"/>
        <v>0</v>
      </c>
      <c r="BE631" s="10">
        <v>60.6</v>
      </c>
      <c r="BF631" s="10">
        <v>27.3</v>
      </c>
      <c r="BG631" s="107">
        <v>46176</v>
      </c>
      <c r="BH631" s="107">
        <f t="shared" si="291"/>
        <v>46206</v>
      </c>
      <c r="BI631" s="23">
        <v>7</v>
      </c>
      <c r="BJ631" s="6"/>
      <c r="BK631" s="6"/>
      <c r="BL631" s="6">
        <f>VLOOKUP(A631,[2]Sheet1!$D$2:$H$933,5,0)</f>
        <v>0</v>
      </c>
      <c r="BM631" s="6" t="s">
        <v>3828</v>
      </c>
      <c r="BN631" s="6" t="s">
        <v>3829</v>
      </c>
      <c r="BO631" s="6" t="s">
        <v>3820</v>
      </c>
      <c r="BP631" s="6" t="s">
        <v>3821</v>
      </c>
      <c r="BQ631" s="6" t="s">
        <v>3830</v>
      </c>
      <c r="BR631" t="s">
        <v>3823</v>
      </c>
      <c r="BS631" t="s">
        <v>3824</v>
      </c>
      <c r="BT631" t="s">
        <v>3825</v>
      </c>
      <c r="BU631" t="s">
        <v>3826</v>
      </c>
      <c r="BV631" t="s">
        <v>3827</v>
      </c>
      <c r="BW631" t="s">
        <v>3835</v>
      </c>
      <c r="BX631">
        <v>0</v>
      </c>
      <c r="BY631" t="s">
        <v>3864</v>
      </c>
      <c r="BZ631" t="s">
        <v>3871</v>
      </c>
    </row>
    <row r="632" spans="1:78" x14ac:dyDescent="0.25">
      <c r="A632" s="7" t="s">
        <v>2595</v>
      </c>
      <c r="B632" s="7" t="s">
        <v>181</v>
      </c>
      <c r="C632" s="7" t="s">
        <v>2593</v>
      </c>
      <c r="D632" s="8" t="s">
        <v>2594</v>
      </c>
      <c r="E632" s="7" t="s">
        <v>2596</v>
      </c>
      <c r="F632" s="9">
        <v>44901</v>
      </c>
      <c r="G632" s="9" t="s">
        <v>717</v>
      </c>
      <c r="H632" s="9" t="s">
        <v>66</v>
      </c>
      <c r="I632" s="8" t="s">
        <v>78</v>
      </c>
      <c r="J632" s="10">
        <v>381.05</v>
      </c>
      <c r="K632" s="10">
        <v>381.05</v>
      </c>
      <c r="L632" s="10">
        <f t="shared" si="292"/>
        <v>0</v>
      </c>
      <c r="M632" s="10">
        <v>160.38</v>
      </c>
      <c r="N632" s="10">
        <v>160.38</v>
      </c>
      <c r="O632" s="10">
        <f t="shared" si="293"/>
        <v>0</v>
      </c>
      <c r="P632" s="11">
        <v>21100</v>
      </c>
      <c r="Q632" s="11">
        <v>50131.905474498068</v>
      </c>
      <c r="R632" s="11">
        <v>22000</v>
      </c>
      <c r="S632" s="11">
        <v>8040155</v>
      </c>
      <c r="T632" s="11">
        <v>964818</v>
      </c>
      <c r="U632" s="12">
        <f t="shared" si="294"/>
        <v>0.119999925374573</v>
      </c>
      <c r="V632" s="13">
        <f t="shared" si="310"/>
        <v>0</v>
      </c>
      <c r="W632" s="10">
        <f t="shared" si="295"/>
        <v>0</v>
      </c>
      <c r="X632" s="10"/>
      <c r="Y632" s="10"/>
      <c r="Z632" s="11">
        <f t="shared" si="296"/>
        <v>8040155</v>
      </c>
      <c r="AA632" s="14"/>
      <c r="AB632" s="14"/>
      <c r="AC632" s="11">
        <f t="shared" si="297"/>
        <v>8040155</v>
      </c>
      <c r="AD632" s="10">
        <f t="shared" si="298"/>
        <v>300</v>
      </c>
      <c r="AE632" s="15">
        <v>48114</v>
      </c>
      <c r="AF632" s="16">
        <v>8660</v>
      </c>
      <c r="AG632" s="15">
        <f t="shared" si="299"/>
        <v>0</v>
      </c>
      <c r="AH632" s="15">
        <f t="shared" si="300"/>
        <v>0</v>
      </c>
      <c r="AI632" s="15">
        <f t="shared" si="301"/>
        <v>48114</v>
      </c>
      <c r="AJ632" s="15">
        <f t="shared" si="302"/>
        <v>8661</v>
      </c>
      <c r="AK632" s="10">
        <v>48114</v>
      </c>
      <c r="AL632" s="15">
        <f t="shared" si="303"/>
        <v>48114</v>
      </c>
      <c r="AM632" s="15">
        <f t="shared" si="304"/>
        <v>8088269</v>
      </c>
      <c r="AN632" s="15">
        <f t="shared" si="305"/>
        <v>973479</v>
      </c>
      <c r="AO632" s="15">
        <f t="shared" si="281"/>
        <v>1040367.36</v>
      </c>
      <c r="AP632" s="17">
        <f t="shared" si="306"/>
        <v>9128636.3599999994</v>
      </c>
      <c r="AQ632" s="15">
        <v>6852645</v>
      </c>
      <c r="AR632" s="15">
        <v>18774.36</v>
      </c>
      <c r="AS632" s="18">
        <f t="shared" si="282"/>
        <v>2275991</v>
      </c>
      <c r="AT632" s="19">
        <v>0</v>
      </c>
      <c r="AU632" s="8">
        <v>8800</v>
      </c>
      <c r="AV632" s="13">
        <f t="shared" si="283"/>
        <v>1411344</v>
      </c>
      <c r="AW632" s="18">
        <f t="shared" si="284"/>
        <v>8088269</v>
      </c>
      <c r="AX632" s="15">
        <f t="shared" si="307"/>
        <v>8089000</v>
      </c>
      <c r="AY632" s="20">
        <v>0.06</v>
      </c>
      <c r="AZ632" s="13">
        <f t="shared" si="308"/>
        <v>485340</v>
      </c>
      <c r="BA632" s="15">
        <f t="shared" si="309"/>
        <v>485400</v>
      </c>
      <c r="BB632" s="21">
        <f t="shared" si="285"/>
        <v>2761391</v>
      </c>
      <c r="BC632" s="10">
        <f t="shared" si="286"/>
        <v>0</v>
      </c>
      <c r="BD632" s="10">
        <f t="shared" si="287"/>
        <v>0</v>
      </c>
      <c r="BE632" s="10">
        <v>35.4</v>
      </c>
      <c r="BF632" s="10">
        <v>14.9</v>
      </c>
      <c r="BG632" s="107">
        <v>46176</v>
      </c>
      <c r="BH632" s="107">
        <f t="shared" si="291"/>
        <v>46206</v>
      </c>
      <c r="BI632" s="23">
        <v>6</v>
      </c>
      <c r="BJ632" s="6"/>
      <c r="BK632" s="6"/>
      <c r="BL632" s="6">
        <f>VLOOKUP(A632,[2]Sheet1!$D$2:$H$933,5,0)</f>
        <v>0</v>
      </c>
      <c r="BM632" s="6" t="s">
        <v>3828</v>
      </c>
      <c r="BN632" s="6" t="s">
        <v>3829</v>
      </c>
      <c r="BO632" s="6" t="s">
        <v>3820</v>
      </c>
      <c r="BP632" s="6" t="s">
        <v>3821</v>
      </c>
      <c r="BQ632" s="6" t="s">
        <v>3830</v>
      </c>
      <c r="BR632" t="s">
        <v>3823</v>
      </c>
      <c r="BS632" t="s">
        <v>3824</v>
      </c>
      <c r="BT632" t="s">
        <v>3825</v>
      </c>
      <c r="BU632" t="s">
        <v>3826</v>
      </c>
      <c r="BV632" t="s">
        <v>3827</v>
      </c>
      <c r="BW632" t="s">
        <v>3835</v>
      </c>
      <c r="BX632">
        <v>0</v>
      </c>
      <c r="BY632" t="s">
        <v>3869</v>
      </c>
      <c r="BZ632" t="s">
        <v>3872</v>
      </c>
    </row>
    <row r="633" spans="1:78" x14ac:dyDescent="0.25">
      <c r="A633" s="7" t="s">
        <v>2600</v>
      </c>
      <c r="B633" s="7" t="s">
        <v>181</v>
      </c>
      <c r="C633" s="7" t="s">
        <v>2598</v>
      </c>
      <c r="D633" s="8" t="s">
        <v>2599</v>
      </c>
      <c r="E633" s="7" t="s">
        <v>2601</v>
      </c>
      <c r="F633" s="9">
        <v>44896</v>
      </c>
      <c r="G633" s="9" t="s">
        <v>527</v>
      </c>
      <c r="H633" s="9" t="s">
        <v>87</v>
      </c>
      <c r="I633" s="8" t="s">
        <v>67</v>
      </c>
      <c r="J633" s="10">
        <v>224.85</v>
      </c>
      <c r="K633" s="10">
        <v>224.85</v>
      </c>
      <c r="L633" s="10">
        <f t="shared" si="292"/>
        <v>0</v>
      </c>
      <c r="M633" s="10">
        <v>89.34</v>
      </c>
      <c r="N633" s="10">
        <v>89.34</v>
      </c>
      <c r="O633" s="10">
        <f t="shared" si="293"/>
        <v>0</v>
      </c>
      <c r="P633" s="11">
        <v>22829.001556593284</v>
      </c>
      <c r="Q633" s="11">
        <v>57455.798074770537</v>
      </c>
      <c r="R633" s="11">
        <v>40000</v>
      </c>
      <c r="S633" s="11">
        <v>5133101</v>
      </c>
      <c r="T633" s="11">
        <v>615974</v>
      </c>
      <c r="U633" s="12">
        <f t="shared" si="294"/>
        <v>0.12000036625034263</v>
      </c>
      <c r="V633" s="13">
        <f t="shared" si="310"/>
        <v>0</v>
      </c>
      <c r="W633" s="10">
        <f t="shared" si="295"/>
        <v>0</v>
      </c>
      <c r="X633" s="10"/>
      <c r="Y633" s="10"/>
      <c r="Z633" s="11">
        <f t="shared" si="296"/>
        <v>5133101</v>
      </c>
      <c r="AA633" s="14"/>
      <c r="AB633" s="14"/>
      <c r="AC633" s="11">
        <f t="shared" si="297"/>
        <v>5133101</v>
      </c>
      <c r="AD633" s="10">
        <f t="shared" si="298"/>
        <v>300</v>
      </c>
      <c r="AE633" s="15">
        <v>26802</v>
      </c>
      <c r="AF633" s="16">
        <v>4824</v>
      </c>
      <c r="AG633" s="15">
        <f t="shared" si="299"/>
        <v>0</v>
      </c>
      <c r="AH633" s="15">
        <f t="shared" si="300"/>
        <v>0</v>
      </c>
      <c r="AI633" s="15">
        <f t="shared" si="301"/>
        <v>26802</v>
      </c>
      <c r="AJ633" s="15">
        <f t="shared" si="302"/>
        <v>4825</v>
      </c>
      <c r="AK633" s="10">
        <v>26802</v>
      </c>
      <c r="AL633" s="15">
        <f t="shared" si="303"/>
        <v>26802</v>
      </c>
      <c r="AM633" s="15">
        <f t="shared" si="304"/>
        <v>5159903</v>
      </c>
      <c r="AN633" s="15">
        <f t="shared" si="305"/>
        <v>620799</v>
      </c>
      <c r="AO633" s="15">
        <f t="shared" si="281"/>
        <v>669568</v>
      </c>
      <c r="AP633" s="17">
        <f t="shared" si="306"/>
        <v>5829471</v>
      </c>
      <c r="AQ633" s="15">
        <v>2034523</v>
      </c>
      <c r="AR633" s="15">
        <v>21967</v>
      </c>
      <c r="AS633" s="18">
        <f t="shared" si="282"/>
        <v>3794948</v>
      </c>
      <c r="AT633" s="19">
        <v>0</v>
      </c>
      <c r="AU633" s="8">
        <v>8800</v>
      </c>
      <c r="AV633" s="13">
        <f t="shared" si="283"/>
        <v>786192</v>
      </c>
      <c r="AW633" s="18">
        <f t="shared" si="284"/>
        <v>5159903</v>
      </c>
      <c r="AX633" s="15">
        <f t="shared" si="307"/>
        <v>5160000</v>
      </c>
      <c r="AY633" s="20">
        <v>0.05</v>
      </c>
      <c r="AZ633" s="13">
        <f t="shared" si="308"/>
        <v>258000</v>
      </c>
      <c r="BA633" s="15">
        <f t="shared" si="309"/>
        <v>258000</v>
      </c>
      <c r="BB633" s="21">
        <f t="shared" si="285"/>
        <v>4052948</v>
      </c>
      <c r="BC633" s="10">
        <f t="shared" si="286"/>
        <v>0</v>
      </c>
      <c r="BD633" s="10">
        <f t="shared" si="287"/>
        <v>0</v>
      </c>
      <c r="BE633" s="10">
        <v>20.89</v>
      </c>
      <c r="BF633" s="10">
        <v>8.3000000000000007</v>
      </c>
      <c r="BG633" s="107">
        <v>46176</v>
      </c>
      <c r="BH633" s="107">
        <f t="shared" si="291"/>
        <v>46206</v>
      </c>
      <c r="BI633" s="23">
        <v>5</v>
      </c>
      <c r="BJ633" s="6"/>
      <c r="BK633" s="6"/>
      <c r="BL633" s="6">
        <f>VLOOKUP(A633,[2]Sheet1!$D$2:$H$933,5,0)</f>
        <v>0</v>
      </c>
      <c r="BM633" s="6" t="s">
        <v>3828</v>
      </c>
      <c r="BN633" s="6" t="s">
        <v>3829</v>
      </c>
      <c r="BO633" s="6" t="s">
        <v>3820</v>
      </c>
      <c r="BP633" s="6" t="s">
        <v>3821</v>
      </c>
      <c r="BQ633" s="6" t="s">
        <v>3830</v>
      </c>
      <c r="BR633" t="s">
        <v>3823</v>
      </c>
      <c r="BS633" t="s">
        <v>3824</v>
      </c>
      <c r="BT633" t="s">
        <v>3825</v>
      </c>
      <c r="BU633" t="s">
        <v>3826</v>
      </c>
      <c r="BV633" t="s">
        <v>3827</v>
      </c>
      <c r="BW633" t="s">
        <v>3835</v>
      </c>
      <c r="BX633">
        <v>0</v>
      </c>
      <c r="BY633" t="s">
        <v>3859</v>
      </c>
      <c r="BZ633" t="s">
        <v>3871</v>
      </c>
    </row>
    <row r="634" spans="1:78" x14ac:dyDescent="0.25">
      <c r="A634" s="7" t="s">
        <v>2604</v>
      </c>
      <c r="B634" s="7" t="s">
        <v>181</v>
      </c>
      <c r="C634" s="7" t="s">
        <v>2602</v>
      </c>
      <c r="D634" s="8" t="s">
        <v>2603</v>
      </c>
      <c r="E634" s="7" t="s">
        <v>2605</v>
      </c>
      <c r="F634" s="9">
        <v>44906</v>
      </c>
      <c r="G634" s="9" t="s">
        <v>65</v>
      </c>
      <c r="H634" s="9" t="s">
        <v>87</v>
      </c>
      <c r="I634" s="8" t="s">
        <v>78</v>
      </c>
      <c r="J634" s="10">
        <v>196.12</v>
      </c>
      <c r="K634" s="10">
        <v>196.12</v>
      </c>
      <c r="L634" s="10">
        <f t="shared" si="292"/>
        <v>0</v>
      </c>
      <c r="M634" s="10">
        <v>82.13</v>
      </c>
      <c r="N634" s="10">
        <v>82.13</v>
      </c>
      <c r="O634" s="10">
        <f t="shared" si="293"/>
        <v>0</v>
      </c>
      <c r="P634" s="11">
        <v>22743.998572302673</v>
      </c>
      <c r="Q634" s="11">
        <v>54310.885182028491</v>
      </c>
      <c r="R634" s="11">
        <v>40000</v>
      </c>
      <c r="S634" s="11">
        <v>4460553</v>
      </c>
      <c r="T634" s="11">
        <v>535264</v>
      </c>
      <c r="U634" s="12">
        <f t="shared" si="294"/>
        <v>0.11999947091761941</v>
      </c>
      <c r="V634" s="13">
        <f t="shared" si="310"/>
        <v>0</v>
      </c>
      <c r="W634" s="10">
        <f t="shared" si="295"/>
        <v>0</v>
      </c>
      <c r="X634" s="10"/>
      <c r="Y634" s="10"/>
      <c r="Z634" s="11">
        <f t="shared" si="296"/>
        <v>4460553</v>
      </c>
      <c r="AA634" s="14"/>
      <c r="AB634" s="14"/>
      <c r="AC634" s="11">
        <f t="shared" si="297"/>
        <v>4460553</v>
      </c>
      <c r="AD634" s="10">
        <f t="shared" si="298"/>
        <v>300</v>
      </c>
      <c r="AE634" s="15">
        <v>24639</v>
      </c>
      <c r="AF634" s="16">
        <v>4436</v>
      </c>
      <c r="AG634" s="15">
        <f t="shared" si="299"/>
        <v>0</v>
      </c>
      <c r="AH634" s="15">
        <f t="shared" si="300"/>
        <v>0</v>
      </c>
      <c r="AI634" s="15">
        <f t="shared" si="301"/>
        <v>24639</v>
      </c>
      <c r="AJ634" s="15">
        <f t="shared" si="302"/>
        <v>4436</v>
      </c>
      <c r="AK634" s="10">
        <v>24639</v>
      </c>
      <c r="AL634" s="15">
        <f t="shared" si="303"/>
        <v>24639</v>
      </c>
      <c r="AM634" s="15">
        <f t="shared" si="304"/>
        <v>4485192</v>
      </c>
      <c r="AN634" s="15">
        <f t="shared" si="305"/>
        <v>539700</v>
      </c>
      <c r="AO634" s="15">
        <f t="shared" si="281"/>
        <v>585786.43999999994</v>
      </c>
      <c r="AP634" s="17">
        <f t="shared" si="306"/>
        <v>5070978.4399999995</v>
      </c>
      <c r="AQ634" s="15">
        <v>1686188</v>
      </c>
      <c r="AR634" s="15">
        <v>21447.439999999999</v>
      </c>
      <c r="AS634" s="18">
        <f t="shared" si="282"/>
        <v>3384790</v>
      </c>
      <c r="AT634" s="19">
        <v>0</v>
      </c>
      <c r="AU634" s="8">
        <v>8800</v>
      </c>
      <c r="AV634" s="13">
        <f t="shared" si="283"/>
        <v>722744</v>
      </c>
      <c r="AW634" s="18">
        <f t="shared" si="284"/>
        <v>4485192</v>
      </c>
      <c r="AX634" s="15">
        <f t="shared" si="307"/>
        <v>4486000</v>
      </c>
      <c r="AY634" s="20">
        <v>0.05</v>
      </c>
      <c r="AZ634" s="13">
        <f t="shared" si="308"/>
        <v>224300</v>
      </c>
      <c r="BA634" s="15">
        <f t="shared" si="309"/>
        <v>224300</v>
      </c>
      <c r="BB634" s="21">
        <f t="shared" si="285"/>
        <v>3609090</v>
      </c>
      <c r="BC634" s="10">
        <f t="shared" si="286"/>
        <v>0</v>
      </c>
      <c r="BD634" s="10">
        <f t="shared" si="287"/>
        <v>0</v>
      </c>
      <c r="BE634" s="10">
        <v>18.22</v>
      </c>
      <c r="BF634" s="10">
        <v>7.63</v>
      </c>
      <c r="BG634" s="107">
        <v>46176</v>
      </c>
      <c r="BH634" s="107">
        <f t="shared" si="291"/>
        <v>46206</v>
      </c>
      <c r="BI634" s="23">
        <v>5</v>
      </c>
      <c r="BJ634" s="6"/>
      <c r="BK634" s="6"/>
      <c r="BL634" s="6">
        <f>VLOOKUP(A634,[2]Sheet1!$D$2:$H$933,5,0)</f>
        <v>0</v>
      </c>
      <c r="BM634" s="6" t="s">
        <v>3828</v>
      </c>
      <c r="BN634" s="6" t="s">
        <v>3829</v>
      </c>
      <c r="BO634" s="6" t="s">
        <v>3820</v>
      </c>
      <c r="BP634" s="6" t="s">
        <v>3821</v>
      </c>
      <c r="BQ634" s="6" t="s">
        <v>3830</v>
      </c>
      <c r="BR634" t="s">
        <v>3823</v>
      </c>
      <c r="BS634" t="s">
        <v>3824</v>
      </c>
      <c r="BT634" t="s">
        <v>3825</v>
      </c>
      <c r="BU634" t="s">
        <v>3826</v>
      </c>
      <c r="BV634" t="s">
        <v>3827</v>
      </c>
      <c r="BW634" t="s">
        <v>3835</v>
      </c>
      <c r="BX634">
        <v>0</v>
      </c>
      <c r="BY634" t="s">
        <v>3864</v>
      </c>
      <c r="BZ634" t="s">
        <v>3860</v>
      </c>
    </row>
    <row r="635" spans="1:78" x14ac:dyDescent="0.25">
      <c r="A635" s="7" t="s">
        <v>2608</v>
      </c>
      <c r="B635" s="7" t="s">
        <v>181</v>
      </c>
      <c r="C635" s="7" t="s">
        <v>2606</v>
      </c>
      <c r="D635" s="8" t="s">
        <v>2607</v>
      </c>
      <c r="E635" s="7" t="s">
        <v>2609</v>
      </c>
      <c r="F635" s="9">
        <v>45012</v>
      </c>
      <c r="G635" s="9" t="s">
        <v>363</v>
      </c>
      <c r="H635" s="9" t="s">
        <v>92</v>
      </c>
      <c r="I635" s="8" t="s">
        <v>78</v>
      </c>
      <c r="J635" s="10">
        <v>697.51</v>
      </c>
      <c r="K635" s="10">
        <v>697.51</v>
      </c>
      <c r="L635" s="10">
        <f t="shared" si="292"/>
        <v>0</v>
      </c>
      <c r="M635" s="10">
        <v>317.54000000000002</v>
      </c>
      <c r="N635" s="10">
        <v>317.54000000000002</v>
      </c>
      <c r="O635" s="10">
        <f t="shared" si="293"/>
        <v>0</v>
      </c>
      <c r="P635" s="11">
        <v>9000</v>
      </c>
      <c r="Q635" s="11">
        <v>19769.446368961388</v>
      </c>
      <c r="R635" s="11">
        <v>28000</v>
      </c>
      <c r="S635" s="11">
        <v>6277590</v>
      </c>
      <c r="T635" s="11">
        <v>753312</v>
      </c>
      <c r="U635" s="12">
        <f t="shared" si="294"/>
        <v>0.12000019115616024</v>
      </c>
      <c r="V635" s="13">
        <f t="shared" si="310"/>
        <v>0</v>
      </c>
      <c r="W635" s="10">
        <f t="shared" si="295"/>
        <v>0</v>
      </c>
      <c r="X635" s="10"/>
      <c r="Y635" s="10"/>
      <c r="Z635" s="11">
        <f t="shared" si="296"/>
        <v>6277590</v>
      </c>
      <c r="AA635" s="14"/>
      <c r="AB635" s="14"/>
      <c r="AC635" s="11">
        <f t="shared" si="297"/>
        <v>6277590</v>
      </c>
      <c r="AD635" s="10">
        <f t="shared" si="298"/>
        <v>300</v>
      </c>
      <c r="AE635" s="15">
        <v>95262</v>
      </c>
      <c r="AF635" s="16">
        <v>17148</v>
      </c>
      <c r="AG635" s="15">
        <f t="shared" si="299"/>
        <v>0</v>
      </c>
      <c r="AH635" s="15">
        <f t="shared" si="300"/>
        <v>0</v>
      </c>
      <c r="AI635" s="15">
        <f t="shared" si="301"/>
        <v>95262</v>
      </c>
      <c r="AJ635" s="15">
        <f t="shared" si="302"/>
        <v>17148</v>
      </c>
      <c r="AK635" s="10">
        <v>95262</v>
      </c>
      <c r="AL635" s="15">
        <f t="shared" si="303"/>
        <v>95262</v>
      </c>
      <c r="AM635" s="15">
        <f t="shared" si="304"/>
        <v>6372852</v>
      </c>
      <c r="AN635" s="15">
        <f t="shared" si="305"/>
        <v>770460</v>
      </c>
      <c r="AO635" s="15">
        <f t="shared" ref="AO635:AO698" si="311">AN635+AL635+AR635</f>
        <v>882707</v>
      </c>
      <c r="AP635" s="17">
        <f t="shared" si="306"/>
        <v>7255559</v>
      </c>
      <c r="AQ635" s="15">
        <v>6271313</v>
      </c>
      <c r="AR635" s="15">
        <v>16985</v>
      </c>
      <c r="AS635" s="18">
        <f t="shared" ref="AS635:AS698" si="312">ROUND(AP635-AQ635,0)</f>
        <v>984246</v>
      </c>
      <c r="AT635" s="19">
        <v>0</v>
      </c>
      <c r="AU635" s="8">
        <v>8800</v>
      </c>
      <c r="AV635" s="13">
        <f t="shared" ref="AV635:AV698" si="313">AU635*N635</f>
        <v>2794352</v>
      </c>
      <c r="AW635" s="18">
        <f t="shared" ref="AW635:AW698" si="314">MAX(AM635,AT635,AV635)</f>
        <v>6372852</v>
      </c>
      <c r="AX635" s="15">
        <f t="shared" si="307"/>
        <v>6373000</v>
      </c>
      <c r="AY635" s="20">
        <v>0.05</v>
      </c>
      <c r="AZ635" s="13">
        <f t="shared" si="308"/>
        <v>318650</v>
      </c>
      <c r="BA635" s="15">
        <f t="shared" si="309"/>
        <v>318700</v>
      </c>
      <c r="BB635" s="21">
        <f t="shared" ref="BB635:BB698" si="315">BA635+AS635</f>
        <v>1302946</v>
      </c>
      <c r="BC635" s="10">
        <f t="shared" ref="BC635:BC698" si="316">L635/J635%</f>
        <v>0</v>
      </c>
      <c r="BD635" s="10">
        <f t="shared" ref="BD635:BD698" si="317">O635/M635%</f>
        <v>0</v>
      </c>
      <c r="BE635" s="10">
        <v>64.8</v>
      </c>
      <c r="BF635" s="10">
        <v>29.5</v>
      </c>
      <c r="BG635" s="107">
        <v>46176</v>
      </c>
      <c r="BH635" s="107">
        <f t="shared" si="291"/>
        <v>46206</v>
      </c>
      <c r="BI635" s="23">
        <v>5</v>
      </c>
      <c r="BJ635" s="6"/>
      <c r="BK635" s="6"/>
      <c r="BL635" s="6">
        <f>VLOOKUP(A635,[2]Sheet1!$D$2:$H$933,5,0)</f>
        <v>0</v>
      </c>
      <c r="BM635" s="6" t="s">
        <v>3828</v>
      </c>
      <c r="BN635" s="6" t="s">
        <v>3829</v>
      </c>
      <c r="BO635" s="6" t="s">
        <v>3820</v>
      </c>
      <c r="BP635" s="6" t="s">
        <v>3821</v>
      </c>
      <c r="BQ635" s="6" t="s">
        <v>3830</v>
      </c>
      <c r="BR635" t="s">
        <v>3823</v>
      </c>
      <c r="BS635" t="s">
        <v>3824</v>
      </c>
      <c r="BT635" t="s">
        <v>3825</v>
      </c>
      <c r="BU635" t="s">
        <v>3826</v>
      </c>
      <c r="BV635" t="s">
        <v>3827</v>
      </c>
      <c r="BW635" t="s">
        <v>3835</v>
      </c>
      <c r="BX635">
        <v>0</v>
      </c>
      <c r="BY635" t="s">
        <v>3870</v>
      </c>
      <c r="BZ635" t="s">
        <v>3860</v>
      </c>
    </row>
    <row r="636" spans="1:78" x14ac:dyDescent="0.25">
      <c r="A636" s="7" t="s">
        <v>2612</v>
      </c>
      <c r="B636" s="7" t="s">
        <v>181</v>
      </c>
      <c r="C636" s="7" t="s">
        <v>2610</v>
      </c>
      <c r="D636" s="8" t="s">
        <v>2611</v>
      </c>
      <c r="E636" s="7" t="s">
        <v>2613</v>
      </c>
      <c r="F636" s="9">
        <v>45236</v>
      </c>
      <c r="G636" s="9" t="s">
        <v>363</v>
      </c>
      <c r="H636" s="9" t="s">
        <v>87</v>
      </c>
      <c r="I636" s="8" t="s">
        <v>67</v>
      </c>
      <c r="J636" s="10">
        <v>516.66999999999996</v>
      </c>
      <c r="K636" s="10">
        <v>516.66999999999996</v>
      </c>
      <c r="L636" s="10">
        <f t="shared" si="292"/>
        <v>0</v>
      </c>
      <c r="M636" s="10">
        <v>208.82</v>
      </c>
      <c r="N636" s="10">
        <v>208.82</v>
      </c>
      <c r="O636" s="10">
        <f t="shared" si="293"/>
        <v>0</v>
      </c>
      <c r="P636" s="11">
        <v>21032.301081928505</v>
      </c>
      <c r="Q636" s="11">
        <v>52038.880375442968</v>
      </c>
      <c r="R636" s="11">
        <v>40000</v>
      </c>
      <c r="S636" s="11">
        <v>10866759</v>
      </c>
      <c r="T636" s="11">
        <v>1304010</v>
      </c>
      <c r="U636" s="12">
        <f t="shared" si="294"/>
        <v>0.1199999006143414</v>
      </c>
      <c r="V636" s="13">
        <f t="shared" si="310"/>
        <v>0</v>
      </c>
      <c r="W636" s="10">
        <f t="shared" si="295"/>
        <v>0</v>
      </c>
      <c r="X636" s="10"/>
      <c r="Y636" s="10"/>
      <c r="Z636" s="11">
        <f t="shared" si="296"/>
        <v>10866759</v>
      </c>
      <c r="AA636" s="14"/>
      <c r="AB636" s="14"/>
      <c r="AC636" s="11">
        <f t="shared" si="297"/>
        <v>10866759</v>
      </c>
      <c r="AD636" s="10">
        <f t="shared" si="298"/>
        <v>300</v>
      </c>
      <c r="AE636" s="15">
        <v>62646</v>
      </c>
      <c r="AF636" s="16">
        <v>11276</v>
      </c>
      <c r="AG636" s="15">
        <f t="shared" si="299"/>
        <v>0</v>
      </c>
      <c r="AH636" s="15">
        <f t="shared" si="300"/>
        <v>0</v>
      </c>
      <c r="AI636" s="15">
        <f t="shared" si="301"/>
        <v>62646</v>
      </c>
      <c r="AJ636" s="15">
        <f t="shared" si="302"/>
        <v>11277</v>
      </c>
      <c r="AK636" s="10">
        <v>62646</v>
      </c>
      <c r="AL636" s="15">
        <f t="shared" si="303"/>
        <v>62646</v>
      </c>
      <c r="AM636" s="15">
        <f t="shared" si="304"/>
        <v>10929405</v>
      </c>
      <c r="AN636" s="15">
        <f t="shared" si="305"/>
        <v>1315287</v>
      </c>
      <c r="AO636" s="15">
        <f t="shared" si="311"/>
        <v>1400620</v>
      </c>
      <c r="AP636" s="17">
        <f t="shared" si="306"/>
        <v>12330025</v>
      </c>
      <c r="AQ636" s="15">
        <v>7069385.6900000004</v>
      </c>
      <c r="AR636" s="15">
        <v>22687</v>
      </c>
      <c r="AS636" s="18">
        <f t="shared" si="312"/>
        <v>5260639</v>
      </c>
      <c r="AT636" s="19">
        <v>0</v>
      </c>
      <c r="AU636" s="8">
        <v>8800</v>
      </c>
      <c r="AV636" s="13">
        <f t="shared" si="313"/>
        <v>1837616</v>
      </c>
      <c r="AW636" s="18">
        <f t="shared" si="314"/>
        <v>10929405</v>
      </c>
      <c r="AX636" s="15">
        <f t="shared" si="307"/>
        <v>10930000</v>
      </c>
      <c r="AY636" s="20">
        <v>7.0000000000000007E-2</v>
      </c>
      <c r="AZ636" s="13">
        <f t="shared" si="308"/>
        <v>765100.00000000012</v>
      </c>
      <c r="BA636" s="15">
        <f t="shared" si="309"/>
        <v>765100</v>
      </c>
      <c r="BB636" s="21">
        <f t="shared" si="315"/>
        <v>6025739</v>
      </c>
      <c r="BC636" s="10">
        <f t="shared" si="316"/>
        <v>0</v>
      </c>
      <c r="BD636" s="10">
        <f t="shared" si="317"/>
        <v>0</v>
      </c>
      <c r="BE636" s="10">
        <v>48</v>
      </c>
      <c r="BF636" s="10">
        <v>19.399999999999999</v>
      </c>
      <c r="BG636" s="107">
        <v>46176</v>
      </c>
      <c r="BH636" s="107">
        <f t="shared" si="291"/>
        <v>46206</v>
      </c>
      <c r="BI636" s="23">
        <v>7</v>
      </c>
      <c r="BJ636" s="6"/>
      <c r="BK636" s="6"/>
      <c r="BL636" s="6">
        <f>VLOOKUP(A636,[2]Sheet1!$D$2:$H$933,5,0)</f>
        <v>0</v>
      </c>
      <c r="BM636" s="6" t="s">
        <v>3828</v>
      </c>
      <c r="BN636" s="6" t="s">
        <v>3829</v>
      </c>
      <c r="BO636" s="6" t="s">
        <v>3820</v>
      </c>
      <c r="BP636" s="6" t="s">
        <v>3821</v>
      </c>
      <c r="BQ636" s="6" t="s">
        <v>3830</v>
      </c>
      <c r="BR636" t="s">
        <v>3823</v>
      </c>
      <c r="BS636" t="s">
        <v>3824</v>
      </c>
      <c r="BT636" t="s">
        <v>3825</v>
      </c>
      <c r="BU636" t="s">
        <v>3826</v>
      </c>
      <c r="BV636" t="s">
        <v>3827</v>
      </c>
      <c r="BW636" t="s">
        <v>3835</v>
      </c>
      <c r="BX636">
        <v>0</v>
      </c>
      <c r="BY636" t="s">
        <v>3861</v>
      </c>
      <c r="BZ636" t="s">
        <v>3860</v>
      </c>
    </row>
    <row r="637" spans="1:78" x14ac:dyDescent="0.25">
      <c r="A637" s="7" t="s">
        <v>2616</v>
      </c>
      <c r="B637" s="7" t="s">
        <v>181</v>
      </c>
      <c r="C637" s="7" t="s">
        <v>2614</v>
      </c>
      <c r="D637" s="8" t="s">
        <v>2615</v>
      </c>
      <c r="E637" s="7" t="s">
        <v>2617</v>
      </c>
      <c r="F637" s="9">
        <v>45008</v>
      </c>
      <c r="G637" s="9" t="s">
        <v>65</v>
      </c>
      <c r="H637" s="9" t="s">
        <v>66</v>
      </c>
      <c r="I637" s="8" t="s">
        <v>78</v>
      </c>
      <c r="J637" s="10">
        <v>795.46</v>
      </c>
      <c r="K637" s="10">
        <v>795.46</v>
      </c>
      <c r="L637" s="10">
        <f t="shared" si="292"/>
        <v>0</v>
      </c>
      <c r="M637" s="10">
        <v>372.43</v>
      </c>
      <c r="N637" s="10">
        <v>372.43</v>
      </c>
      <c r="O637" s="10">
        <f t="shared" si="293"/>
        <v>0</v>
      </c>
      <c r="P637" s="11">
        <v>10469.000326854901</v>
      </c>
      <c r="Q637" s="11">
        <v>22360.365706307224</v>
      </c>
      <c r="R637" s="11">
        <v>22000</v>
      </c>
      <c r="S637" s="11">
        <v>8327671</v>
      </c>
      <c r="T637" s="11">
        <v>999320</v>
      </c>
      <c r="U637" s="12">
        <f t="shared" si="294"/>
        <v>0.11999993755757161</v>
      </c>
      <c r="V637" s="13">
        <f t="shared" si="310"/>
        <v>0</v>
      </c>
      <c r="W637" s="10">
        <f t="shared" si="295"/>
        <v>0</v>
      </c>
      <c r="X637" s="10"/>
      <c r="Y637" s="10"/>
      <c r="Z637" s="11">
        <f t="shared" si="296"/>
        <v>8327671</v>
      </c>
      <c r="AA637" s="14"/>
      <c r="AB637" s="14"/>
      <c r="AC637" s="11">
        <f t="shared" si="297"/>
        <v>8327671</v>
      </c>
      <c r="AD637" s="10">
        <f t="shared" si="298"/>
        <v>300</v>
      </c>
      <c r="AE637" s="15">
        <v>111729</v>
      </c>
      <c r="AF637" s="16">
        <v>20112</v>
      </c>
      <c r="AG637" s="15">
        <f t="shared" si="299"/>
        <v>0</v>
      </c>
      <c r="AH637" s="15">
        <f t="shared" si="300"/>
        <v>0</v>
      </c>
      <c r="AI637" s="15">
        <f t="shared" si="301"/>
        <v>111729</v>
      </c>
      <c r="AJ637" s="15">
        <f t="shared" si="302"/>
        <v>20112</v>
      </c>
      <c r="AK637" s="10">
        <v>111729</v>
      </c>
      <c r="AL637" s="15">
        <f t="shared" si="303"/>
        <v>111729</v>
      </c>
      <c r="AM637" s="15">
        <f t="shared" si="304"/>
        <v>8439400</v>
      </c>
      <c r="AN637" s="15">
        <f t="shared" si="305"/>
        <v>1019432</v>
      </c>
      <c r="AO637" s="15">
        <f t="shared" si="311"/>
        <v>1154581</v>
      </c>
      <c r="AP637" s="17">
        <f t="shared" si="306"/>
        <v>9593981</v>
      </c>
      <c r="AQ637" s="15">
        <v>4500000</v>
      </c>
      <c r="AR637" s="15">
        <v>23420</v>
      </c>
      <c r="AS637" s="18">
        <f t="shared" si="312"/>
        <v>5093981</v>
      </c>
      <c r="AT637" s="19">
        <v>0</v>
      </c>
      <c r="AU637" s="8">
        <v>8800</v>
      </c>
      <c r="AV637" s="13">
        <f t="shared" si="313"/>
        <v>3277384</v>
      </c>
      <c r="AW637" s="18">
        <f t="shared" si="314"/>
        <v>8439400</v>
      </c>
      <c r="AX637" s="15">
        <f t="shared" si="307"/>
        <v>8440000</v>
      </c>
      <c r="AY637" s="20">
        <v>7.0000000000000007E-2</v>
      </c>
      <c r="AZ637" s="13">
        <f t="shared" si="308"/>
        <v>590800</v>
      </c>
      <c r="BA637" s="15">
        <f t="shared" si="309"/>
        <v>590800</v>
      </c>
      <c r="BB637" s="21">
        <f t="shared" si="315"/>
        <v>5684781</v>
      </c>
      <c r="BC637" s="10">
        <f t="shared" si="316"/>
        <v>0</v>
      </c>
      <c r="BD637" s="10">
        <f t="shared" si="317"/>
        <v>0</v>
      </c>
      <c r="BE637" s="10">
        <v>73.900000000000006</v>
      </c>
      <c r="BF637" s="10">
        <v>34.6</v>
      </c>
      <c r="BG637" s="107">
        <v>46176</v>
      </c>
      <c r="BH637" s="107">
        <f t="shared" si="291"/>
        <v>46206</v>
      </c>
      <c r="BI637" s="23">
        <v>7</v>
      </c>
      <c r="BJ637" s="6"/>
      <c r="BK637" s="6"/>
      <c r="BL637" s="6">
        <f>VLOOKUP(A637,[2]Sheet1!$D$2:$H$933,5,0)</f>
        <v>0</v>
      </c>
      <c r="BM637" s="6" t="s">
        <v>3828</v>
      </c>
      <c r="BN637" s="6" t="s">
        <v>3829</v>
      </c>
      <c r="BO637" s="6" t="s">
        <v>3820</v>
      </c>
      <c r="BP637" s="6" t="s">
        <v>3821</v>
      </c>
      <c r="BQ637" s="6" t="s">
        <v>3830</v>
      </c>
      <c r="BR637" t="s">
        <v>3823</v>
      </c>
      <c r="BS637" t="s">
        <v>3824</v>
      </c>
      <c r="BT637" t="s">
        <v>3825</v>
      </c>
      <c r="BU637" t="s">
        <v>3826</v>
      </c>
      <c r="BV637" t="s">
        <v>3827</v>
      </c>
      <c r="BW637" t="s">
        <v>3835</v>
      </c>
      <c r="BX637">
        <v>0</v>
      </c>
      <c r="BY637" t="s">
        <v>3870</v>
      </c>
      <c r="BZ637" t="s">
        <v>3860</v>
      </c>
    </row>
    <row r="638" spans="1:78" x14ac:dyDescent="0.25">
      <c r="A638" s="65" t="s">
        <v>2620</v>
      </c>
      <c r="B638" s="7" t="s">
        <v>181</v>
      </c>
      <c r="C638" s="65" t="s">
        <v>2618</v>
      </c>
      <c r="D638" s="66" t="s">
        <v>2619</v>
      </c>
      <c r="E638" s="7" t="s">
        <v>2621</v>
      </c>
      <c r="F638" s="67">
        <v>44905</v>
      </c>
      <c r="G638" s="9" t="s">
        <v>404</v>
      </c>
      <c r="H638" s="9" t="s">
        <v>72</v>
      </c>
      <c r="I638" s="66" t="s">
        <v>78</v>
      </c>
      <c r="J638" s="68">
        <v>556.5</v>
      </c>
      <c r="K638" s="10">
        <v>556.5</v>
      </c>
      <c r="L638" s="10">
        <f t="shared" si="292"/>
        <v>0</v>
      </c>
      <c r="M638" s="68">
        <v>257.26</v>
      </c>
      <c r="N638" s="10">
        <v>257.26</v>
      </c>
      <c r="O638" s="10">
        <f t="shared" si="293"/>
        <v>0</v>
      </c>
      <c r="P638" s="69">
        <v>7705.8508535489664</v>
      </c>
      <c r="Q638" s="69">
        <v>16669.151830832623</v>
      </c>
      <c r="R638" s="11">
        <v>20000</v>
      </c>
      <c r="S638" s="69">
        <v>4288306</v>
      </c>
      <c r="T638" s="69">
        <v>514598</v>
      </c>
      <c r="U638" s="70">
        <f t="shared" si="294"/>
        <v>0.12000029848616213</v>
      </c>
      <c r="V638" s="13">
        <f t="shared" si="310"/>
        <v>0</v>
      </c>
      <c r="W638" s="10">
        <f t="shared" si="295"/>
        <v>0</v>
      </c>
      <c r="X638" s="68"/>
      <c r="Y638" s="68"/>
      <c r="Z638" s="11">
        <f t="shared" si="296"/>
        <v>4288306</v>
      </c>
      <c r="AA638" s="14"/>
      <c r="AB638" s="14"/>
      <c r="AC638" s="11">
        <f t="shared" si="297"/>
        <v>4288306</v>
      </c>
      <c r="AD638" s="10">
        <f t="shared" si="298"/>
        <v>300</v>
      </c>
      <c r="AE638" s="71">
        <v>77178</v>
      </c>
      <c r="AF638" s="16">
        <v>13892</v>
      </c>
      <c r="AG638" s="15">
        <f t="shared" si="299"/>
        <v>0</v>
      </c>
      <c r="AH638" s="71">
        <f t="shared" si="300"/>
        <v>0</v>
      </c>
      <c r="AI638" s="15">
        <f t="shared" si="301"/>
        <v>77178</v>
      </c>
      <c r="AJ638" s="15">
        <f t="shared" si="302"/>
        <v>13893</v>
      </c>
      <c r="AK638" s="68">
        <v>77178</v>
      </c>
      <c r="AL638" s="15">
        <f t="shared" si="303"/>
        <v>77178</v>
      </c>
      <c r="AM638" s="15">
        <f t="shared" si="304"/>
        <v>4365484</v>
      </c>
      <c r="AN638" s="15">
        <f t="shared" si="305"/>
        <v>528491</v>
      </c>
      <c r="AO638" s="15">
        <f t="shared" si="311"/>
        <v>626371</v>
      </c>
      <c r="AP638" s="17">
        <f t="shared" si="306"/>
        <v>4991855</v>
      </c>
      <c r="AQ638" s="15">
        <v>685971</v>
      </c>
      <c r="AR638" s="15">
        <v>20702</v>
      </c>
      <c r="AS638" s="18">
        <f t="shared" si="312"/>
        <v>4305884</v>
      </c>
      <c r="AT638" s="19">
        <v>0</v>
      </c>
      <c r="AU638" s="8">
        <v>8800</v>
      </c>
      <c r="AV638" s="13">
        <f t="shared" si="313"/>
        <v>2263888</v>
      </c>
      <c r="AW638" s="18">
        <f t="shared" si="314"/>
        <v>4365484</v>
      </c>
      <c r="AX638" s="15">
        <f t="shared" si="307"/>
        <v>4366000</v>
      </c>
      <c r="AY638" s="20">
        <v>0.05</v>
      </c>
      <c r="AZ638" s="13">
        <f t="shared" si="308"/>
        <v>218300</v>
      </c>
      <c r="BA638" s="15">
        <f t="shared" si="309"/>
        <v>218300</v>
      </c>
      <c r="BB638" s="21">
        <f t="shared" si="315"/>
        <v>4524184</v>
      </c>
      <c r="BC638" s="10">
        <f t="shared" si="316"/>
        <v>0</v>
      </c>
      <c r="BD638" s="10">
        <f t="shared" si="317"/>
        <v>0</v>
      </c>
      <c r="BE638" s="10">
        <v>51.7</v>
      </c>
      <c r="BF638" s="10">
        <v>23.9</v>
      </c>
      <c r="BG638" s="107">
        <v>46176</v>
      </c>
      <c r="BH638" s="107">
        <f t="shared" si="291"/>
        <v>46206</v>
      </c>
      <c r="BI638" s="23">
        <v>5</v>
      </c>
      <c r="BJ638" s="6"/>
      <c r="BK638" s="6"/>
      <c r="BL638" s="6">
        <f>VLOOKUP(A638,[2]Sheet1!$D$2:$H$933,5,0)</f>
        <v>0</v>
      </c>
      <c r="BM638" s="6" t="s">
        <v>3828</v>
      </c>
      <c r="BN638" s="6" t="s">
        <v>3829</v>
      </c>
      <c r="BO638" s="6" t="s">
        <v>3820</v>
      </c>
      <c r="BP638" s="6" t="s">
        <v>3821</v>
      </c>
      <c r="BQ638" s="6" t="s">
        <v>3830</v>
      </c>
      <c r="BR638" t="s">
        <v>3823</v>
      </c>
      <c r="BS638" t="s">
        <v>3824</v>
      </c>
      <c r="BT638" t="s">
        <v>3825</v>
      </c>
      <c r="BU638" t="s">
        <v>3826</v>
      </c>
      <c r="BV638" t="s">
        <v>3827</v>
      </c>
      <c r="BW638" t="s">
        <v>3835</v>
      </c>
      <c r="BX638">
        <v>0</v>
      </c>
      <c r="BY638" t="s">
        <v>3868</v>
      </c>
      <c r="BZ638" t="s">
        <v>3863</v>
      </c>
    </row>
    <row r="639" spans="1:78" x14ac:dyDescent="0.25">
      <c r="A639" s="7" t="s">
        <v>2624</v>
      </c>
      <c r="B639" s="7" t="s">
        <v>181</v>
      </c>
      <c r="C639" s="7" t="s">
        <v>2622</v>
      </c>
      <c r="D639" s="8" t="s">
        <v>2623</v>
      </c>
      <c r="E639" s="7" t="s">
        <v>2625</v>
      </c>
      <c r="F639" s="9">
        <v>45171</v>
      </c>
      <c r="G639" s="9" t="s">
        <v>363</v>
      </c>
      <c r="H639" s="9" t="s">
        <v>87</v>
      </c>
      <c r="I639" s="8" t="s">
        <v>67</v>
      </c>
      <c r="J639" s="10">
        <v>344.45</v>
      </c>
      <c r="K639" s="10">
        <v>344.45</v>
      </c>
      <c r="L639" s="10">
        <f t="shared" si="292"/>
        <v>0</v>
      </c>
      <c r="M639" s="10">
        <v>137.24</v>
      </c>
      <c r="N639" s="10">
        <v>137.24</v>
      </c>
      <c r="O639" s="10">
        <f t="shared" si="293"/>
        <v>0</v>
      </c>
      <c r="P639" s="11">
        <v>20308.941791261434</v>
      </c>
      <c r="Q639" s="11">
        <v>50972.129116875542</v>
      </c>
      <c r="R639" s="11">
        <v>40000</v>
      </c>
      <c r="S639" s="11">
        <v>6995415</v>
      </c>
      <c r="T639" s="11">
        <v>839452</v>
      </c>
      <c r="U639" s="12">
        <f t="shared" si="294"/>
        <v>0.12000031449170635</v>
      </c>
      <c r="V639" s="13">
        <f t="shared" si="310"/>
        <v>0</v>
      </c>
      <c r="W639" s="10">
        <f t="shared" si="295"/>
        <v>0</v>
      </c>
      <c r="X639" s="10"/>
      <c r="Y639" s="10"/>
      <c r="Z639" s="11">
        <f t="shared" si="296"/>
        <v>6995415</v>
      </c>
      <c r="AA639" s="14"/>
      <c r="AB639" s="14"/>
      <c r="AC639" s="11">
        <f t="shared" si="297"/>
        <v>6995415</v>
      </c>
      <c r="AD639" s="10">
        <f t="shared" si="298"/>
        <v>300</v>
      </c>
      <c r="AE639" s="15">
        <v>41172</v>
      </c>
      <c r="AF639" s="16">
        <v>7410</v>
      </c>
      <c r="AG639" s="15">
        <f t="shared" si="299"/>
        <v>0</v>
      </c>
      <c r="AH639" s="15">
        <f t="shared" si="300"/>
        <v>0</v>
      </c>
      <c r="AI639" s="15">
        <f t="shared" si="301"/>
        <v>41172</v>
      </c>
      <c r="AJ639" s="15">
        <f t="shared" si="302"/>
        <v>7411</v>
      </c>
      <c r="AK639" s="10">
        <v>41172</v>
      </c>
      <c r="AL639" s="15">
        <f t="shared" si="303"/>
        <v>41172</v>
      </c>
      <c r="AM639" s="15">
        <f t="shared" si="304"/>
        <v>7036587</v>
      </c>
      <c r="AN639" s="15">
        <f t="shared" si="305"/>
        <v>846863</v>
      </c>
      <c r="AO639" s="15">
        <f t="shared" si="311"/>
        <v>910678.96</v>
      </c>
      <c r="AP639" s="17">
        <f t="shared" si="306"/>
        <v>7947265.96</v>
      </c>
      <c r="AQ639" s="15">
        <v>1951456</v>
      </c>
      <c r="AR639" s="15">
        <v>22643.96</v>
      </c>
      <c r="AS639" s="18">
        <f t="shared" si="312"/>
        <v>5995810</v>
      </c>
      <c r="AT639" s="19">
        <v>0</v>
      </c>
      <c r="AU639" s="8">
        <v>8800</v>
      </c>
      <c r="AV639" s="13">
        <f t="shared" si="313"/>
        <v>1207712</v>
      </c>
      <c r="AW639" s="18">
        <f t="shared" si="314"/>
        <v>7036587</v>
      </c>
      <c r="AX639" s="15">
        <f t="shared" si="307"/>
        <v>7037000</v>
      </c>
      <c r="AY639" s="20">
        <v>0.06</v>
      </c>
      <c r="AZ639" s="13">
        <f t="shared" si="308"/>
        <v>422220</v>
      </c>
      <c r="BA639" s="15">
        <f t="shared" si="309"/>
        <v>422300</v>
      </c>
      <c r="BB639" s="21">
        <f t="shared" si="315"/>
        <v>6418110</v>
      </c>
      <c r="BC639" s="10">
        <f t="shared" si="316"/>
        <v>0</v>
      </c>
      <c r="BD639" s="10">
        <f t="shared" si="317"/>
        <v>0</v>
      </c>
      <c r="BE639" s="10">
        <v>32</v>
      </c>
      <c r="BF639" s="10">
        <v>12.75</v>
      </c>
      <c r="BG639" s="107">
        <v>46176</v>
      </c>
      <c r="BH639" s="107">
        <f t="shared" si="291"/>
        <v>46206</v>
      </c>
      <c r="BI639" s="23">
        <v>6</v>
      </c>
      <c r="BJ639" s="6"/>
      <c r="BK639" s="6"/>
      <c r="BL639" s="6">
        <f>VLOOKUP(A639,[2]Sheet1!$D$2:$H$933,5,0)</f>
        <v>0</v>
      </c>
      <c r="BM639" s="6" t="s">
        <v>3828</v>
      </c>
      <c r="BN639" s="6" t="s">
        <v>3829</v>
      </c>
      <c r="BO639" s="6" t="s">
        <v>3820</v>
      </c>
      <c r="BP639" s="6" t="s">
        <v>3821</v>
      </c>
      <c r="BQ639" s="6" t="s">
        <v>3830</v>
      </c>
      <c r="BR639" t="s">
        <v>3823</v>
      </c>
      <c r="BS639" t="s">
        <v>3824</v>
      </c>
      <c r="BT639" t="s">
        <v>3825</v>
      </c>
      <c r="BU639" t="s">
        <v>3826</v>
      </c>
      <c r="BV639" t="s">
        <v>3827</v>
      </c>
      <c r="BW639" t="s">
        <v>3835</v>
      </c>
      <c r="BX639">
        <v>0</v>
      </c>
      <c r="BY639" t="s">
        <v>3864</v>
      </c>
      <c r="BZ639" t="s">
        <v>3860</v>
      </c>
    </row>
    <row r="640" spans="1:78" x14ac:dyDescent="0.25">
      <c r="A640" s="7" t="s">
        <v>2628</v>
      </c>
      <c r="B640" s="7" t="s">
        <v>181</v>
      </c>
      <c r="C640" s="7" t="s">
        <v>2626</v>
      </c>
      <c r="D640" s="8" t="s">
        <v>2627</v>
      </c>
      <c r="E640" s="7" t="s">
        <v>2629</v>
      </c>
      <c r="F640" s="9">
        <v>45026</v>
      </c>
      <c r="G640" s="9" t="s">
        <v>65</v>
      </c>
      <c r="H640" s="9" t="s">
        <v>66</v>
      </c>
      <c r="I640" s="8" t="s">
        <v>78</v>
      </c>
      <c r="J640" s="10">
        <v>489.76</v>
      </c>
      <c r="K640" s="10">
        <v>489.76</v>
      </c>
      <c r="L640" s="10">
        <f t="shared" si="292"/>
        <v>0</v>
      </c>
      <c r="M640" s="10">
        <v>219.59</v>
      </c>
      <c r="N640" s="10">
        <v>219.59</v>
      </c>
      <c r="O640" s="10">
        <f t="shared" si="293"/>
        <v>0</v>
      </c>
      <c r="P640" s="11">
        <v>17672.560029402157</v>
      </c>
      <c r="Q640" s="11">
        <v>39415.788514959699</v>
      </c>
      <c r="R640" s="11">
        <v>22000</v>
      </c>
      <c r="S640" s="11">
        <v>8655313</v>
      </c>
      <c r="T640" s="11">
        <v>1038638</v>
      </c>
      <c r="U640" s="12">
        <f t="shared" si="294"/>
        <v>0.12000005083582765</v>
      </c>
      <c r="V640" s="13">
        <f t="shared" si="310"/>
        <v>0</v>
      </c>
      <c r="W640" s="10">
        <f t="shared" si="295"/>
        <v>0</v>
      </c>
      <c r="X640" s="10"/>
      <c r="Y640" s="10"/>
      <c r="Z640" s="11">
        <f t="shared" si="296"/>
        <v>8655313</v>
      </c>
      <c r="AA640" s="14"/>
      <c r="AB640" s="14"/>
      <c r="AC640" s="11">
        <f t="shared" si="297"/>
        <v>8655313</v>
      </c>
      <c r="AD640" s="10">
        <f t="shared" si="298"/>
        <v>300</v>
      </c>
      <c r="AE640" s="15">
        <v>65877</v>
      </c>
      <c r="AF640" s="16">
        <v>11858</v>
      </c>
      <c r="AG640" s="15">
        <f t="shared" si="299"/>
        <v>0</v>
      </c>
      <c r="AH640" s="15">
        <f t="shared" si="300"/>
        <v>0</v>
      </c>
      <c r="AI640" s="15">
        <f t="shared" si="301"/>
        <v>65877</v>
      </c>
      <c r="AJ640" s="15">
        <f t="shared" si="302"/>
        <v>11858</v>
      </c>
      <c r="AK640" s="10">
        <v>65877</v>
      </c>
      <c r="AL640" s="15">
        <f t="shared" si="303"/>
        <v>65877</v>
      </c>
      <c r="AM640" s="15">
        <f t="shared" si="304"/>
        <v>8721190</v>
      </c>
      <c r="AN640" s="15">
        <f t="shared" si="305"/>
        <v>1050496</v>
      </c>
      <c r="AO640" s="15">
        <f t="shared" si="311"/>
        <v>1141490</v>
      </c>
      <c r="AP640" s="17">
        <f t="shared" si="306"/>
        <v>9862680</v>
      </c>
      <c r="AQ640" s="15">
        <v>3646393</v>
      </c>
      <c r="AR640" s="15">
        <v>25117</v>
      </c>
      <c r="AS640" s="18">
        <f t="shared" si="312"/>
        <v>6216287</v>
      </c>
      <c r="AT640" s="19">
        <v>0</v>
      </c>
      <c r="AU640" s="8">
        <v>8800</v>
      </c>
      <c r="AV640" s="13">
        <f t="shared" si="313"/>
        <v>1932392</v>
      </c>
      <c r="AW640" s="18">
        <f t="shared" si="314"/>
        <v>8721190</v>
      </c>
      <c r="AX640" s="15">
        <f t="shared" si="307"/>
        <v>8722000</v>
      </c>
      <c r="AY640" s="20">
        <v>7.0000000000000007E-2</v>
      </c>
      <c r="AZ640" s="13">
        <f t="shared" si="308"/>
        <v>610540</v>
      </c>
      <c r="BA640" s="15">
        <f t="shared" si="309"/>
        <v>610600</v>
      </c>
      <c r="BB640" s="21">
        <f t="shared" si="315"/>
        <v>6826887</v>
      </c>
      <c r="BC640" s="10">
        <f t="shared" si="316"/>
        <v>0</v>
      </c>
      <c r="BD640" s="10">
        <f t="shared" si="317"/>
        <v>0</v>
      </c>
      <c r="BE640" s="10">
        <v>45.5</v>
      </c>
      <c r="BF640" s="10">
        <v>20.399999999999999</v>
      </c>
      <c r="BG640" s="107">
        <v>46176</v>
      </c>
      <c r="BH640" s="107">
        <f t="shared" si="291"/>
        <v>46206</v>
      </c>
      <c r="BI640" s="23">
        <v>7</v>
      </c>
      <c r="BJ640" s="6"/>
      <c r="BK640" s="6"/>
      <c r="BL640" s="6">
        <f>VLOOKUP(A640,[2]Sheet1!$D$2:$H$933,5,0)</f>
        <v>0</v>
      </c>
      <c r="BM640" s="6" t="s">
        <v>3828</v>
      </c>
      <c r="BN640" s="6" t="s">
        <v>3829</v>
      </c>
      <c r="BO640" s="6" t="s">
        <v>3820</v>
      </c>
      <c r="BP640" s="6" t="s">
        <v>3821</v>
      </c>
      <c r="BQ640" s="6" t="s">
        <v>3830</v>
      </c>
      <c r="BR640" t="s">
        <v>3823</v>
      </c>
      <c r="BS640" t="s">
        <v>3824</v>
      </c>
      <c r="BT640" t="s">
        <v>3825</v>
      </c>
      <c r="BU640" t="s">
        <v>3826</v>
      </c>
      <c r="BV640" t="s">
        <v>3827</v>
      </c>
      <c r="BW640" t="s">
        <v>3835</v>
      </c>
      <c r="BX640">
        <v>0</v>
      </c>
      <c r="BY640" t="s">
        <v>3861</v>
      </c>
      <c r="BZ640" t="s">
        <v>3860</v>
      </c>
    </row>
    <row r="641" spans="1:78" x14ac:dyDescent="0.25">
      <c r="A641" s="7" t="s">
        <v>2632</v>
      </c>
      <c r="B641" s="7" t="s">
        <v>181</v>
      </c>
      <c r="C641" s="7" t="s">
        <v>2630</v>
      </c>
      <c r="D641" s="8" t="s">
        <v>2631</v>
      </c>
      <c r="E641" s="7" t="s">
        <v>2633</v>
      </c>
      <c r="F641" s="9">
        <v>44895</v>
      </c>
      <c r="G641" s="9" t="s">
        <v>527</v>
      </c>
      <c r="H641" s="9" t="s">
        <v>72</v>
      </c>
      <c r="I641" s="8" t="s">
        <v>635</v>
      </c>
      <c r="J641" s="10">
        <v>796.25</v>
      </c>
      <c r="K641" s="10">
        <v>796.25</v>
      </c>
      <c r="L641" s="10">
        <f t="shared" si="292"/>
        <v>0</v>
      </c>
      <c r="M641" s="10">
        <v>120.56</v>
      </c>
      <c r="N641" s="10">
        <v>120.56</v>
      </c>
      <c r="O641" s="10">
        <f t="shared" si="293"/>
        <v>0</v>
      </c>
      <c r="P641" s="11">
        <v>10449.700470957614</v>
      </c>
      <c r="Q641" s="11">
        <v>69016.041804910419</v>
      </c>
      <c r="R641" s="11">
        <v>20000</v>
      </c>
      <c r="S641" s="11">
        <v>8320574</v>
      </c>
      <c r="T641" s="11">
        <v>998468</v>
      </c>
      <c r="U641" s="12">
        <f t="shared" si="294"/>
        <v>0.11999989423806579</v>
      </c>
      <c r="V641" s="13">
        <f t="shared" si="310"/>
        <v>0</v>
      </c>
      <c r="W641" s="10">
        <f t="shared" si="295"/>
        <v>0</v>
      </c>
      <c r="X641" s="10"/>
      <c r="Y641" s="10"/>
      <c r="Z641" s="11">
        <f t="shared" si="296"/>
        <v>8320574</v>
      </c>
      <c r="AA641" s="14">
        <v>147372</v>
      </c>
      <c r="AB641" s="14">
        <v>17684</v>
      </c>
      <c r="AC641" s="11">
        <f t="shared" si="297"/>
        <v>8173202</v>
      </c>
      <c r="AD641" s="10">
        <f t="shared" si="298"/>
        <v>300</v>
      </c>
      <c r="AE641" s="15">
        <v>36168</v>
      </c>
      <c r="AF641" s="16">
        <v>6510</v>
      </c>
      <c r="AG641" s="15">
        <f t="shared" si="299"/>
        <v>0</v>
      </c>
      <c r="AH641" s="15">
        <f t="shared" si="300"/>
        <v>0</v>
      </c>
      <c r="AI641" s="15">
        <f t="shared" si="301"/>
        <v>36168</v>
      </c>
      <c r="AJ641" s="15">
        <f t="shared" si="302"/>
        <v>6511</v>
      </c>
      <c r="AK641" s="10">
        <v>36168</v>
      </c>
      <c r="AL641" s="15">
        <f t="shared" si="303"/>
        <v>36168</v>
      </c>
      <c r="AM641" s="15">
        <f t="shared" si="304"/>
        <v>8209370</v>
      </c>
      <c r="AN641" s="15">
        <f t="shared" si="305"/>
        <v>987295</v>
      </c>
      <c r="AO641" s="15">
        <f t="shared" si="311"/>
        <v>1040172</v>
      </c>
      <c r="AP641" s="17">
        <f t="shared" si="306"/>
        <v>9249542</v>
      </c>
      <c r="AQ641" s="15">
        <v>7983614</v>
      </c>
      <c r="AR641" s="15">
        <v>16709</v>
      </c>
      <c r="AS641" s="18">
        <f t="shared" si="312"/>
        <v>1265928</v>
      </c>
      <c r="AT641" s="19">
        <v>0</v>
      </c>
      <c r="AU641" s="8">
        <v>8800</v>
      </c>
      <c r="AV641" s="13">
        <f t="shared" si="313"/>
        <v>1060928</v>
      </c>
      <c r="AW641" s="18">
        <f t="shared" si="314"/>
        <v>8209370</v>
      </c>
      <c r="AX641" s="15">
        <f t="shared" si="307"/>
        <v>8210000</v>
      </c>
      <c r="AY641" s="20">
        <v>0.05</v>
      </c>
      <c r="AZ641" s="13">
        <f t="shared" si="308"/>
        <v>410500</v>
      </c>
      <c r="BA641" s="15">
        <f t="shared" si="309"/>
        <v>410500</v>
      </c>
      <c r="BB641" s="21">
        <f t="shared" si="315"/>
        <v>1676428</v>
      </c>
      <c r="BC641" s="10">
        <f t="shared" si="316"/>
        <v>0</v>
      </c>
      <c r="BD641" s="10">
        <f t="shared" si="317"/>
        <v>0</v>
      </c>
      <c r="BE641" s="10">
        <v>73.97</v>
      </c>
      <c r="BF641" s="10">
        <v>11.2</v>
      </c>
      <c r="BG641" s="107">
        <v>46176</v>
      </c>
      <c r="BH641" s="107">
        <f t="shared" si="291"/>
        <v>46206</v>
      </c>
      <c r="BI641" s="23">
        <v>5</v>
      </c>
      <c r="BJ641" s="6"/>
      <c r="BK641" s="6"/>
      <c r="BL641" s="6">
        <f>VLOOKUP(A641,[2]Sheet1!$D$2:$H$933,5,0)</f>
        <v>0</v>
      </c>
      <c r="BM641" s="6" t="s">
        <v>3828</v>
      </c>
      <c r="BN641" s="6" t="s">
        <v>3829</v>
      </c>
      <c r="BO641" s="6" t="s">
        <v>3820</v>
      </c>
      <c r="BP641" s="6" t="s">
        <v>3821</v>
      </c>
      <c r="BQ641" s="6" t="s">
        <v>3830</v>
      </c>
      <c r="BR641" t="s">
        <v>3823</v>
      </c>
      <c r="BS641" t="s">
        <v>3824</v>
      </c>
      <c r="BT641" t="s">
        <v>3825</v>
      </c>
      <c r="BU641" t="s">
        <v>3826</v>
      </c>
      <c r="BV641" t="s">
        <v>3827</v>
      </c>
      <c r="BW641" t="s">
        <v>3835</v>
      </c>
      <c r="BX641">
        <v>0</v>
      </c>
      <c r="BY641" t="s">
        <v>3869</v>
      </c>
      <c r="BZ641" t="s">
        <v>3871</v>
      </c>
    </row>
    <row r="642" spans="1:78" x14ac:dyDescent="0.25">
      <c r="A642" s="7" t="s">
        <v>2636</v>
      </c>
      <c r="B642" s="7" t="s">
        <v>181</v>
      </c>
      <c r="C642" s="7" t="s">
        <v>2634</v>
      </c>
      <c r="D642" s="8" t="s">
        <v>2635</v>
      </c>
      <c r="E642" s="7" t="s">
        <v>2637</v>
      </c>
      <c r="F642" s="9">
        <v>45026</v>
      </c>
      <c r="G642" s="9" t="s">
        <v>65</v>
      </c>
      <c r="H642" s="9" t="s">
        <v>66</v>
      </c>
      <c r="I642" s="8" t="s">
        <v>78</v>
      </c>
      <c r="J642" s="10">
        <v>680.5</v>
      </c>
      <c r="K642" s="10">
        <v>680.5</v>
      </c>
      <c r="L642" s="10">
        <f t="shared" si="292"/>
        <v>0</v>
      </c>
      <c r="M642" s="10">
        <v>301.93</v>
      </c>
      <c r="N642" s="10">
        <v>301.93</v>
      </c>
      <c r="O642" s="10">
        <f t="shared" si="293"/>
        <v>0</v>
      </c>
      <c r="P642" s="11">
        <v>12297.000734753858</v>
      </c>
      <c r="Q642" s="11">
        <v>27715.394296691284</v>
      </c>
      <c r="R642" s="11">
        <v>22000</v>
      </c>
      <c r="S642" s="11">
        <v>8368109</v>
      </c>
      <c r="T642" s="11">
        <v>1004174</v>
      </c>
      <c r="U642" s="12">
        <f t="shared" si="294"/>
        <v>0.12000010994120655</v>
      </c>
      <c r="V642" s="13">
        <f t="shared" si="310"/>
        <v>0</v>
      </c>
      <c r="W642" s="10">
        <f t="shared" si="295"/>
        <v>0</v>
      </c>
      <c r="X642" s="10"/>
      <c r="Y642" s="10"/>
      <c r="Z642" s="11">
        <f t="shared" si="296"/>
        <v>8368109</v>
      </c>
      <c r="AA642" s="14"/>
      <c r="AB642" s="14"/>
      <c r="AC642" s="11">
        <f t="shared" si="297"/>
        <v>8368109</v>
      </c>
      <c r="AD642" s="10">
        <f t="shared" si="298"/>
        <v>300</v>
      </c>
      <c r="AE642" s="15">
        <v>90579</v>
      </c>
      <c r="AF642" s="16">
        <v>16304</v>
      </c>
      <c r="AG642" s="15">
        <f t="shared" si="299"/>
        <v>0</v>
      </c>
      <c r="AH642" s="15">
        <f t="shared" si="300"/>
        <v>0</v>
      </c>
      <c r="AI642" s="15">
        <f t="shared" si="301"/>
        <v>90579</v>
      </c>
      <c r="AJ642" s="15">
        <f t="shared" si="302"/>
        <v>16305</v>
      </c>
      <c r="AK642" s="10">
        <v>90579</v>
      </c>
      <c r="AL642" s="15">
        <f t="shared" si="303"/>
        <v>90579</v>
      </c>
      <c r="AM642" s="15">
        <f t="shared" si="304"/>
        <v>8458688</v>
      </c>
      <c r="AN642" s="15">
        <f t="shared" si="305"/>
        <v>1020479</v>
      </c>
      <c r="AO642" s="15">
        <f t="shared" si="311"/>
        <v>1137002</v>
      </c>
      <c r="AP642" s="17">
        <f t="shared" si="306"/>
        <v>9595690</v>
      </c>
      <c r="AQ642" s="15">
        <v>3216080</v>
      </c>
      <c r="AR642" s="15">
        <v>25944</v>
      </c>
      <c r="AS642" s="18">
        <f t="shared" si="312"/>
        <v>6379610</v>
      </c>
      <c r="AT642" s="19">
        <v>0</v>
      </c>
      <c r="AU642" s="8">
        <v>8800</v>
      </c>
      <c r="AV642" s="13">
        <f t="shared" si="313"/>
        <v>2656984</v>
      </c>
      <c r="AW642" s="18">
        <f t="shared" si="314"/>
        <v>8458688</v>
      </c>
      <c r="AX642" s="15">
        <f t="shared" si="307"/>
        <v>8459000</v>
      </c>
      <c r="AY642" s="20">
        <v>0.06</v>
      </c>
      <c r="AZ642" s="13">
        <f t="shared" si="308"/>
        <v>507540</v>
      </c>
      <c r="BA642" s="15">
        <f t="shared" si="309"/>
        <v>507600</v>
      </c>
      <c r="BB642" s="21">
        <f t="shared" si="315"/>
        <v>6887210</v>
      </c>
      <c r="BC642" s="10">
        <f t="shared" si="316"/>
        <v>0</v>
      </c>
      <c r="BD642" s="10">
        <f t="shared" si="317"/>
        <v>0</v>
      </c>
      <c r="BE642" s="10">
        <v>63.22</v>
      </c>
      <c r="BF642" s="10">
        <v>28.05</v>
      </c>
      <c r="BG642" s="107">
        <v>46176</v>
      </c>
      <c r="BH642" s="107">
        <f t="shared" si="291"/>
        <v>46206</v>
      </c>
      <c r="BI642" s="23">
        <v>6</v>
      </c>
      <c r="BJ642" s="6"/>
      <c r="BK642" s="6"/>
      <c r="BL642" s="6">
        <f>VLOOKUP(A642,[2]Sheet1!$D$2:$H$933,5,0)</f>
        <v>0</v>
      </c>
      <c r="BM642" s="6" t="s">
        <v>3828</v>
      </c>
      <c r="BN642" s="6" t="s">
        <v>3829</v>
      </c>
      <c r="BO642" s="6" t="s">
        <v>3820</v>
      </c>
      <c r="BP642" s="6" t="s">
        <v>3821</v>
      </c>
      <c r="BQ642" s="6" t="s">
        <v>3830</v>
      </c>
      <c r="BR642" t="s">
        <v>3823</v>
      </c>
      <c r="BS642" t="s">
        <v>3824</v>
      </c>
      <c r="BT642" t="s">
        <v>3825</v>
      </c>
      <c r="BU642" t="s">
        <v>3826</v>
      </c>
      <c r="BV642" t="s">
        <v>3827</v>
      </c>
      <c r="BW642" t="s">
        <v>3835</v>
      </c>
      <c r="BX642">
        <v>0</v>
      </c>
      <c r="BY642" t="s">
        <v>3861</v>
      </c>
      <c r="BZ642" t="s">
        <v>3860</v>
      </c>
    </row>
    <row r="643" spans="1:78" x14ac:dyDescent="0.25">
      <c r="A643" s="7" t="s">
        <v>2640</v>
      </c>
      <c r="B643" s="7" t="s">
        <v>181</v>
      </c>
      <c r="C643" s="7" t="s">
        <v>2638</v>
      </c>
      <c r="D643" s="8" t="s">
        <v>2639</v>
      </c>
      <c r="E643" s="7" t="s">
        <v>2641</v>
      </c>
      <c r="F643" s="9">
        <v>44938</v>
      </c>
      <c r="G643" s="9" t="s">
        <v>404</v>
      </c>
      <c r="H643" s="9" t="s">
        <v>72</v>
      </c>
      <c r="I643" s="8" t="s">
        <v>78</v>
      </c>
      <c r="J643" s="10">
        <v>682.44</v>
      </c>
      <c r="K643" s="10">
        <v>682.44</v>
      </c>
      <c r="L643" s="10">
        <f t="shared" si="292"/>
        <v>0</v>
      </c>
      <c r="M643" s="10">
        <v>312.16000000000003</v>
      </c>
      <c r="N643" s="10">
        <v>312.16000000000003</v>
      </c>
      <c r="O643" s="10">
        <f t="shared" si="293"/>
        <v>0</v>
      </c>
      <c r="P643" s="11">
        <v>12649.999999999998</v>
      </c>
      <c r="Q643" s="11">
        <v>27655.260123013835</v>
      </c>
      <c r="R643" s="11">
        <v>20000</v>
      </c>
      <c r="S643" s="11">
        <v>8632866</v>
      </c>
      <c r="T643" s="11">
        <v>1035944</v>
      </c>
      <c r="U643" s="12">
        <f t="shared" si="294"/>
        <v>0.1200000092669109</v>
      </c>
      <c r="V643" s="13">
        <f t="shared" si="310"/>
        <v>0</v>
      </c>
      <c r="W643" s="10">
        <f t="shared" si="295"/>
        <v>0</v>
      </c>
      <c r="X643" s="10"/>
      <c r="Y643" s="10"/>
      <c r="Z643" s="11">
        <f t="shared" si="296"/>
        <v>8632866</v>
      </c>
      <c r="AA643" s="14"/>
      <c r="AB643" s="14"/>
      <c r="AC643" s="11">
        <f t="shared" si="297"/>
        <v>8632866</v>
      </c>
      <c r="AD643" s="10">
        <f t="shared" si="298"/>
        <v>300</v>
      </c>
      <c r="AE643" s="15">
        <v>93648</v>
      </c>
      <c r="AF643" s="16">
        <v>16856</v>
      </c>
      <c r="AG643" s="15">
        <f t="shared" si="299"/>
        <v>0</v>
      </c>
      <c r="AH643" s="15">
        <f t="shared" si="300"/>
        <v>0</v>
      </c>
      <c r="AI643" s="15">
        <f t="shared" si="301"/>
        <v>93648.000000000015</v>
      </c>
      <c r="AJ643" s="15">
        <f t="shared" si="302"/>
        <v>16857</v>
      </c>
      <c r="AK643" s="10">
        <v>93648</v>
      </c>
      <c r="AL643" s="15">
        <f t="shared" si="303"/>
        <v>93648.000000000015</v>
      </c>
      <c r="AM643" s="15">
        <f t="shared" si="304"/>
        <v>8726514</v>
      </c>
      <c r="AN643" s="15">
        <f t="shared" si="305"/>
        <v>1052801</v>
      </c>
      <c r="AO643" s="15">
        <f t="shared" si="311"/>
        <v>1172401</v>
      </c>
      <c r="AP643" s="17">
        <f t="shared" si="306"/>
        <v>9898915</v>
      </c>
      <c r="AQ643" s="15">
        <v>3481229</v>
      </c>
      <c r="AR643" s="15">
        <v>25952</v>
      </c>
      <c r="AS643" s="18">
        <f t="shared" si="312"/>
        <v>6417686</v>
      </c>
      <c r="AT643" s="19">
        <v>0</v>
      </c>
      <c r="AU643" s="8">
        <v>8800</v>
      </c>
      <c r="AV643" s="13">
        <f t="shared" si="313"/>
        <v>2747008</v>
      </c>
      <c r="AW643" s="18">
        <f t="shared" si="314"/>
        <v>8726514</v>
      </c>
      <c r="AX643" s="15">
        <f t="shared" si="307"/>
        <v>8727000</v>
      </c>
      <c r="AY643" s="20">
        <v>0.05</v>
      </c>
      <c r="AZ643" s="13">
        <f t="shared" si="308"/>
        <v>436350</v>
      </c>
      <c r="BA643" s="15">
        <f t="shared" si="309"/>
        <v>436400</v>
      </c>
      <c r="BB643" s="21">
        <f t="shared" si="315"/>
        <v>6854086</v>
      </c>
      <c r="BC643" s="10">
        <f t="shared" si="316"/>
        <v>0</v>
      </c>
      <c r="BD643" s="10">
        <f t="shared" si="317"/>
        <v>0</v>
      </c>
      <c r="BE643" s="10">
        <v>63.4</v>
      </c>
      <c r="BF643" s="10">
        <v>29</v>
      </c>
      <c r="BG643" s="107">
        <v>46176</v>
      </c>
      <c r="BH643" s="107">
        <f t="shared" si="291"/>
        <v>46206</v>
      </c>
      <c r="BI643" s="23">
        <v>5</v>
      </c>
      <c r="BJ643" s="6"/>
      <c r="BK643" s="6"/>
      <c r="BL643" s="6">
        <f>VLOOKUP(A643,[2]Sheet1!$D$2:$H$933,5,0)</f>
        <v>0</v>
      </c>
      <c r="BM643" s="6" t="s">
        <v>3828</v>
      </c>
      <c r="BN643" s="6" t="s">
        <v>3829</v>
      </c>
      <c r="BO643" s="6" t="s">
        <v>3820</v>
      </c>
      <c r="BP643" s="6" t="s">
        <v>3821</v>
      </c>
      <c r="BQ643" s="6" t="s">
        <v>3830</v>
      </c>
      <c r="BR643" t="s">
        <v>3823</v>
      </c>
      <c r="BS643" t="s">
        <v>3824</v>
      </c>
      <c r="BT643" t="s">
        <v>3825</v>
      </c>
      <c r="BU643" t="s">
        <v>3826</v>
      </c>
      <c r="BV643" t="s">
        <v>3827</v>
      </c>
      <c r="BW643" t="s">
        <v>3835</v>
      </c>
      <c r="BX643">
        <v>0</v>
      </c>
      <c r="BY643" t="s">
        <v>3861</v>
      </c>
      <c r="BZ643" t="s">
        <v>3863</v>
      </c>
    </row>
    <row r="644" spans="1:78" x14ac:dyDescent="0.25">
      <c r="A644" s="7" t="s">
        <v>2644</v>
      </c>
      <c r="B644" s="7" t="s">
        <v>181</v>
      </c>
      <c r="C644" s="7" t="s">
        <v>2642</v>
      </c>
      <c r="D644" s="8" t="s">
        <v>2643</v>
      </c>
      <c r="E644" s="7" t="s">
        <v>2645</v>
      </c>
      <c r="F644" s="9">
        <v>44896</v>
      </c>
      <c r="G644" s="9" t="s">
        <v>404</v>
      </c>
      <c r="H644" s="9" t="s">
        <v>72</v>
      </c>
      <c r="I644" s="8" t="s">
        <v>78</v>
      </c>
      <c r="J644" s="10">
        <v>652.29999999999995</v>
      </c>
      <c r="K644" s="10">
        <v>652.29999999999995</v>
      </c>
      <c r="L644" s="10">
        <f t="shared" si="292"/>
        <v>0</v>
      </c>
      <c r="M644" s="10">
        <v>293.86</v>
      </c>
      <c r="N644" s="10">
        <v>293.86</v>
      </c>
      <c r="O644" s="10">
        <f t="shared" si="293"/>
        <v>0</v>
      </c>
      <c r="P644" s="11">
        <v>12780.630078184886</v>
      </c>
      <c r="Q644" s="11">
        <v>28369.989110460763</v>
      </c>
      <c r="R644" s="11">
        <v>20000</v>
      </c>
      <c r="S644" s="11">
        <v>8336805</v>
      </c>
      <c r="T644" s="11">
        <v>1000418</v>
      </c>
      <c r="U644" s="12">
        <f t="shared" si="294"/>
        <v>0.12000016793004034</v>
      </c>
      <c r="V644" s="13">
        <f t="shared" si="310"/>
        <v>0</v>
      </c>
      <c r="W644" s="10">
        <f t="shared" si="295"/>
        <v>0</v>
      </c>
      <c r="X644" s="10"/>
      <c r="Y644" s="10"/>
      <c r="Z644" s="11">
        <f t="shared" si="296"/>
        <v>8336805</v>
      </c>
      <c r="AA644" s="14"/>
      <c r="AB644" s="14"/>
      <c r="AC644" s="11">
        <f t="shared" si="297"/>
        <v>8336805</v>
      </c>
      <c r="AD644" s="10">
        <f t="shared" si="298"/>
        <v>300</v>
      </c>
      <c r="AE644" s="15">
        <v>88158</v>
      </c>
      <c r="AF644" s="16">
        <v>15868</v>
      </c>
      <c r="AG644" s="15">
        <f t="shared" si="299"/>
        <v>0</v>
      </c>
      <c r="AH644" s="15">
        <f t="shared" si="300"/>
        <v>0</v>
      </c>
      <c r="AI644" s="15">
        <f t="shared" si="301"/>
        <v>88158</v>
      </c>
      <c r="AJ644" s="15">
        <f t="shared" si="302"/>
        <v>15869</v>
      </c>
      <c r="AK644" s="10">
        <v>88158</v>
      </c>
      <c r="AL644" s="15">
        <f t="shared" si="303"/>
        <v>88158</v>
      </c>
      <c r="AM644" s="15">
        <f t="shared" si="304"/>
        <v>8424963</v>
      </c>
      <c r="AN644" s="15">
        <f t="shared" si="305"/>
        <v>1016287</v>
      </c>
      <c r="AO644" s="15">
        <f t="shared" si="311"/>
        <v>1124291.6399999999</v>
      </c>
      <c r="AP644" s="17">
        <f t="shared" si="306"/>
        <v>9549254.6400000006</v>
      </c>
      <c r="AQ644" s="15">
        <v>6732086.8499999996</v>
      </c>
      <c r="AR644" s="15">
        <v>19846.64</v>
      </c>
      <c r="AS644" s="18">
        <f t="shared" si="312"/>
        <v>2817168</v>
      </c>
      <c r="AT644" s="19">
        <v>0</v>
      </c>
      <c r="AU644" s="8">
        <v>8800</v>
      </c>
      <c r="AV644" s="13">
        <f t="shared" si="313"/>
        <v>2585968</v>
      </c>
      <c r="AW644" s="18">
        <f t="shared" si="314"/>
        <v>8424963</v>
      </c>
      <c r="AX644" s="15">
        <f t="shared" si="307"/>
        <v>8425000</v>
      </c>
      <c r="AY644" s="20">
        <v>0.05</v>
      </c>
      <c r="AZ644" s="13">
        <f t="shared" si="308"/>
        <v>421250</v>
      </c>
      <c r="BA644" s="15">
        <f t="shared" si="309"/>
        <v>421300</v>
      </c>
      <c r="BB644" s="21">
        <f t="shared" si="315"/>
        <v>3238468</v>
      </c>
      <c r="BC644" s="10">
        <f t="shared" si="316"/>
        <v>0</v>
      </c>
      <c r="BD644" s="10">
        <f t="shared" si="317"/>
        <v>0</v>
      </c>
      <c r="BE644" s="10">
        <v>60.6</v>
      </c>
      <c r="BF644" s="10">
        <v>27.3</v>
      </c>
      <c r="BG644" s="107">
        <v>46176</v>
      </c>
      <c r="BH644" s="107">
        <f t="shared" si="291"/>
        <v>46206</v>
      </c>
      <c r="BI644" s="23">
        <v>5</v>
      </c>
      <c r="BJ644" s="6" t="s">
        <v>350</v>
      </c>
      <c r="BK644" s="6"/>
      <c r="BL644" s="6">
        <f>VLOOKUP(A644,[2]Sheet1!$D$2:$H$933,5,0)</f>
        <v>0</v>
      </c>
      <c r="BM644" s="6" t="s">
        <v>3828</v>
      </c>
      <c r="BN644" s="6" t="s">
        <v>3829</v>
      </c>
      <c r="BO644" s="6" t="s">
        <v>3820</v>
      </c>
      <c r="BP644" s="6" t="s">
        <v>3821</v>
      </c>
      <c r="BQ644" s="6" t="s">
        <v>3830</v>
      </c>
      <c r="BR644" t="s">
        <v>3823</v>
      </c>
      <c r="BS644" t="s">
        <v>3824</v>
      </c>
      <c r="BT644" t="s">
        <v>3825</v>
      </c>
      <c r="BU644" t="s">
        <v>3826</v>
      </c>
      <c r="BV644" t="s">
        <v>3827</v>
      </c>
      <c r="BW644" t="s">
        <v>3835</v>
      </c>
      <c r="BX644">
        <v>0</v>
      </c>
      <c r="BY644" t="s">
        <v>3868</v>
      </c>
      <c r="BZ644" t="s">
        <v>3863</v>
      </c>
    </row>
    <row r="645" spans="1:78" x14ac:dyDescent="0.25">
      <c r="A645" s="7" t="s">
        <v>2648</v>
      </c>
      <c r="B645" s="7" t="s">
        <v>181</v>
      </c>
      <c r="C645" s="7" t="s">
        <v>2646</v>
      </c>
      <c r="D645" s="8" t="s">
        <v>2647</v>
      </c>
      <c r="E645" s="7" t="s">
        <v>2649</v>
      </c>
      <c r="F645" s="9">
        <v>45000</v>
      </c>
      <c r="G645" s="9" t="s">
        <v>363</v>
      </c>
      <c r="H645" s="9" t="s">
        <v>87</v>
      </c>
      <c r="I645" s="8" t="s">
        <v>67</v>
      </c>
      <c r="J645" s="10">
        <v>344.45</v>
      </c>
      <c r="K645" s="10">
        <v>344.45</v>
      </c>
      <c r="L645" s="10">
        <f t="shared" si="292"/>
        <v>0</v>
      </c>
      <c r="M645" s="10">
        <v>137.24</v>
      </c>
      <c r="N645" s="10">
        <v>137.24</v>
      </c>
      <c r="O645" s="10">
        <f t="shared" si="293"/>
        <v>0</v>
      </c>
      <c r="P645" s="11">
        <v>22924.499927420526</v>
      </c>
      <c r="Q645" s="11">
        <v>57536.753133197315</v>
      </c>
      <c r="R645" s="11">
        <v>40000</v>
      </c>
      <c r="S645" s="11">
        <v>7896344</v>
      </c>
      <c r="T645" s="11">
        <v>947562</v>
      </c>
      <c r="U645" s="12">
        <f t="shared" si="294"/>
        <v>0.1200000911814379</v>
      </c>
      <c r="V645" s="13">
        <f t="shared" si="310"/>
        <v>0</v>
      </c>
      <c r="W645" s="10">
        <f t="shared" si="295"/>
        <v>0</v>
      </c>
      <c r="X645" s="10"/>
      <c r="Y645" s="10"/>
      <c r="Z645" s="11">
        <f t="shared" si="296"/>
        <v>7896344</v>
      </c>
      <c r="AA645" s="14"/>
      <c r="AB645" s="14"/>
      <c r="AC645" s="11">
        <f t="shared" si="297"/>
        <v>7896344</v>
      </c>
      <c r="AD645" s="10">
        <f t="shared" si="298"/>
        <v>300</v>
      </c>
      <c r="AE645" s="15">
        <v>41172</v>
      </c>
      <c r="AF645" s="16">
        <v>7410</v>
      </c>
      <c r="AG645" s="15">
        <f t="shared" si="299"/>
        <v>0</v>
      </c>
      <c r="AH645" s="15">
        <f t="shared" si="300"/>
        <v>0</v>
      </c>
      <c r="AI645" s="15">
        <f t="shared" si="301"/>
        <v>41172</v>
      </c>
      <c r="AJ645" s="15">
        <f t="shared" si="302"/>
        <v>7411</v>
      </c>
      <c r="AK645" s="10">
        <v>41172</v>
      </c>
      <c r="AL645" s="15">
        <f t="shared" si="303"/>
        <v>41172</v>
      </c>
      <c r="AM645" s="15">
        <f t="shared" si="304"/>
        <v>7937516</v>
      </c>
      <c r="AN645" s="15">
        <f t="shared" si="305"/>
        <v>954973</v>
      </c>
      <c r="AO645" s="15">
        <f t="shared" si="311"/>
        <v>1020532</v>
      </c>
      <c r="AP645" s="17">
        <f t="shared" si="306"/>
        <v>8958048</v>
      </c>
      <c r="AQ645" s="15">
        <v>3761201</v>
      </c>
      <c r="AR645" s="15">
        <v>24387</v>
      </c>
      <c r="AS645" s="18">
        <f t="shared" si="312"/>
        <v>5196847</v>
      </c>
      <c r="AT645" s="19">
        <v>0</v>
      </c>
      <c r="AU645" s="8">
        <v>8800</v>
      </c>
      <c r="AV645" s="13">
        <f t="shared" si="313"/>
        <v>1207712</v>
      </c>
      <c r="AW645" s="18">
        <f t="shared" si="314"/>
        <v>7937516</v>
      </c>
      <c r="AX645" s="15">
        <f t="shared" si="307"/>
        <v>7938000</v>
      </c>
      <c r="AY645" s="20">
        <v>7.0000000000000007E-2</v>
      </c>
      <c r="AZ645" s="13">
        <f t="shared" si="308"/>
        <v>555660</v>
      </c>
      <c r="BA645" s="15">
        <f t="shared" si="309"/>
        <v>555700</v>
      </c>
      <c r="BB645" s="21">
        <f t="shared" si="315"/>
        <v>5752547</v>
      </c>
      <c r="BC645" s="10">
        <f t="shared" si="316"/>
        <v>0</v>
      </c>
      <c r="BD645" s="10">
        <f t="shared" si="317"/>
        <v>0</v>
      </c>
      <c r="BE645" s="10">
        <v>32</v>
      </c>
      <c r="BF645" s="10">
        <v>12.75</v>
      </c>
      <c r="BG645" s="107">
        <v>46176</v>
      </c>
      <c r="BH645" s="107">
        <f t="shared" si="291"/>
        <v>46206</v>
      </c>
      <c r="BI645" s="23">
        <v>7</v>
      </c>
      <c r="BJ645" s="6"/>
      <c r="BK645" s="6"/>
      <c r="BL645" s="6">
        <f>VLOOKUP(A645,[2]Sheet1!$D$2:$H$933,5,0)</f>
        <v>0</v>
      </c>
      <c r="BM645" s="6" t="s">
        <v>3828</v>
      </c>
      <c r="BN645" s="6" t="s">
        <v>3829</v>
      </c>
      <c r="BO645" s="6" t="s">
        <v>3820</v>
      </c>
      <c r="BP645" s="6" t="s">
        <v>3821</v>
      </c>
      <c r="BQ645" s="6" t="s">
        <v>3830</v>
      </c>
      <c r="BR645" t="s">
        <v>3823</v>
      </c>
      <c r="BS645" t="s">
        <v>3824</v>
      </c>
      <c r="BT645" t="s">
        <v>3825</v>
      </c>
      <c r="BU645" t="s">
        <v>3826</v>
      </c>
      <c r="BV645" t="s">
        <v>3827</v>
      </c>
      <c r="BW645" t="s">
        <v>3835</v>
      </c>
      <c r="BX645">
        <v>0</v>
      </c>
      <c r="BY645" t="s">
        <v>3870</v>
      </c>
      <c r="BZ645" t="s">
        <v>3860</v>
      </c>
    </row>
    <row r="646" spans="1:78" x14ac:dyDescent="0.25">
      <c r="A646" s="7" t="s">
        <v>2652</v>
      </c>
      <c r="B646" s="7" t="s">
        <v>181</v>
      </c>
      <c r="C646" s="7" t="s">
        <v>2650</v>
      </c>
      <c r="D646" s="8" t="s">
        <v>2651</v>
      </c>
      <c r="E646" s="7" t="s">
        <v>2653</v>
      </c>
      <c r="F646" s="9">
        <v>45013</v>
      </c>
      <c r="G646" s="9" t="s">
        <v>527</v>
      </c>
      <c r="H646" s="9" t="s">
        <v>87</v>
      </c>
      <c r="I646" s="8" t="s">
        <v>67</v>
      </c>
      <c r="J646" s="10">
        <v>281.06</v>
      </c>
      <c r="K646" s="10">
        <v>281.06</v>
      </c>
      <c r="L646" s="10">
        <f t="shared" si="292"/>
        <v>0</v>
      </c>
      <c r="M646" s="10">
        <v>114.1</v>
      </c>
      <c r="N646" s="10">
        <v>114.1</v>
      </c>
      <c r="O646" s="10">
        <f t="shared" si="293"/>
        <v>0</v>
      </c>
      <c r="P646" s="11">
        <v>18422.539671244573</v>
      </c>
      <c r="Q646" s="11">
        <v>45379.833479404035</v>
      </c>
      <c r="R646" s="11">
        <v>40000</v>
      </c>
      <c r="S646" s="11">
        <v>5177839</v>
      </c>
      <c r="T646" s="11">
        <v>621342</v>
      </c>
      <c r="U646" s="12">
        <f t="shared" si="294"/>
        <v>0.12000025493260799</v>
      </c>
      <c r="V646" s="13">
        <f t="shared" si="310"/>
        <v>0</v>
      </c>
      <c r="W646" s="10">
        <f t="shared" si="295"/>
        <v>0</v>
      </c>
      <c r="X646" s="10"/>
      <c r="Y646" s="10"/>
      <c r="Z646" s="11">
        <f t="shared" si="296"/>
        <v>5177839</v>
      </c>
      <c r="AA646" s="14"/>
      <c r="AB646" s="14"/>
      <c r="AC646" s="11">
        <f t="shared" si="297"/>
        <v>5177839</v>
      </c>
      <c r="AD646" s="10">
        <f t="shared" si="298"/>
        <v>300</v>
      </c>
      <c r="AE646" s="15">
        <v>34230</v>
      </c>
      <c r="AF646" s="16">
        <v>6162</v>
      </c>
      <c r="AG646" s="15">
        <f t="shared" si="299"/>
        <v>0</v>
      </c>
      <c r="AH646" s="15">
        <f t="shared" si="300"/>
        <v>0</v>
      </c>
      <c r="AI646" s="15">
        <f t="shared" si="301"/>
        <v>34230</v>
      </c>
      <c r="AJ646" s="15">
        <f t="shared" si="302"/>
        <v>6162</v>
      </c>
      <c r="AK646" s="10">
        <v>34230</v>
      </c>
      <c r="AL646" s="15">
        <f t="shared" si="303"/>
        <v>34230</v>
      </c>
      <c r="AM646" s="15">
        <f t="shared" si="304"/>
        <v>5212069</v>
      </c>
      <c r="AN646" s="15">
        <f t="shared" si="305"/>
        <v>627504</v>
      </c>
      <c r="AO646" s="15">
        <f t="shared" si="311"/>
        <v>686817.04</v>
      </c>
      <c r="AP646" s="17">
        <f t="shared" si="306"/>
        <v>5898886.04</v>
      </c>
      <c r="AQ646" s="15">
        <v>632360</v>
      </c>
      <c r="AR646" s="15">
        <v>25083.040000000001</v>
      </c>
      <c r="AS646" s="18">
        <f t="shared" si="312"/>
        <v>5266526</v>
      </c>
      <c r="AT646" s="19">
        <v>0</v>
      </c>
      <c r="AU646" s="8">
        <v>8800</v>
      </c>
      <c r="AV646" s="13">
        <f t="shared" si="313"/>
        <v>1004080</v>
      </c>
      <c r="AW646" s="18">
        <f t="shared" si="314"/>
        <v>5212069</v>
      </c>
      <c r="AX646" s="15">
        <f t="shared" si="307"/>
        <v>5213000</v>
      </c>
      <c r="AY646" s="20">
        <v>7.0000000000000007E-2</v>
      </c>
      <c r="AZ646" s="13">
        <f t="shared" si="308"/>
        <v>364910.00000000006</v>
      </c>
      <c r="BA646" s="15">
        <f t="shared" si="309"/>
        <v>365000</v>
      </c>
      <c r="BB646" s="21">
        <f t="shared" si="315"/>
        <v>5631526</v>
      </c>
      <c r="BC646" s="10">
        <f t="shared" si="316"/>
        <v>0</v>
      </c>
      <c r="BD646" s="10">
        <f t="shared" si="317"/>
        <v>0</v>
      </c>
      <c r="BE646" s="10">
        <v>26.11</v>
      </c>
      <c r="BF646" s="10">
        <v>10.6</v>
      </c>
      <c r="BG646" s="107">
        <v>46176</v>
      </c>
      <c r="BH646" s="107">
        <f t="shared" si="291"/>
        <v>46206</v>
      </c>
      <c r="BI646" s="23">
        <v>7</v>
      </c>
      <c r="BJ646" s="6"/>
      <c r="BK646" s="6"/>
      <c r="BL646" s="6">
        <f>VLOOKUP(A646,[2]Sheet1!$D$2:$H$933,5,0)</f>
        <v>0</v>
      </c>
      <c r="BM646" s="6" t="s">
        <v>3828</v>
      </c>
      <c r="BN646" s="6" t="s">
        <v>3829</v>
      </c>
      <c r="BO646" s="6" t="s">
        <v>3820</v>
      </c>
      <c r="BP646" s="6" t="s">
        <v>3821</v>
      </c>
      <c r="BQ646" s="6" t="s">
        <v>3830</v>
      </c>
      <c r="BR646" t="s">
        <v>3823</v>
      </c>
      <c r="BS646" t="s">
        <v>3824</v>
      </c>
      <c r="BT646" t="s">
        <v>3825</v>
      </c>
      <c r="BU646" t="s">
        <v>3826</v>
      </c>
      <c r="BV646" t="s">
        <v>3827</v>
      </c>
      <c r="BW646" t="s">
        <v>3835</v>
      </c>
      <c r="BX646">
        <v>0</v>
      </c>
      <c r="BY646" t="s">
        <v>3861</v>
      </c>
      <c r="BZ646" t="s">
        <v>3871</v>
      </c>
    </row>
    <row r="647" spans="1:78" x14ac:dyDescent="0.25">
      <c r="A647" s="7" t="s">
        <v>2656</v>
      </c>
      <c r="B647" s="7" t="s">
        <v>181</v>
      </c>
      <c r="C647" s="7" t="s">
        <v>2654</v>
      </c>
      <c r="D647" s="8" t="s">
        <v>2655</v>
      </c>
      <c r="E647" s="7" t="s">
        <v>2657</v>
      </c>
      <c r="F647" s="9">
        <v>44995</v>
      </c>
      <c r="G647" s="9" t="s">
        <v>404</v>
      </c>
      <c r="H647" s="9" t="s">
        <v>87</v>
      </c>
      <c r="I647" s="8" t="s">
        <v>78</v>
      </c>
      <c r="J647" s="10">
        <v>880.5</v>
      </c>
      <c r="K647" s="10">
        <v>880.5</v>
      </c>
      <c r="L647" s="10">
        <f t="shared" si="292"/>
        <v>0</v>
      </c>
      <c r="M647" s="10">
        <v>402.57</v>
      </c>
      <c r="N647" s="10">
        <v>402.57</v>
      </c>
      <c r="O647" s="10">
        <f t="shared" si="293"/>
        <v>0</v>
      </c>
      <c r="P647" s="11">
        <v>22300</v>
      </c>
      <c r="Q647" s="11">
        <v>48774.498844921378</v>
      </c>
      <c r="R647" s="11">
        <v>40000</v>
      </c>
      <c r="S647" s="11">
        <v>19635150</v>
      </c>
      <c r="T647" s="11">
        <v>2356218</v>
      </c>
      <c r="U647" s="12">
        <f t="shared" si="294"/>
        <v>0.12</v>
      </c>
      <c r="V647" s="13">
        <f t="shared" si="310"/>
        <v>0</v>
      </c>
      <c r="W647" s="10">
        <f t="shared" si="295"/>
        <v>0</v>
      </c>
      <c r="X647" s="10"/>
      <c r="Y647" s="10"/>
      <c r="Z647" s="11">
        <f t="shared" si="296"/>
        <v>19635150</v>
      </c>
      <c r="AA647" s="14"/>
      <c r="AB647" s="14"/>
      <c r="AC647" s="11">
        <f t="shared" si="297"/>
        <v>19635150</v>
      </c>
      <c r="AD647" s="10">
        <f t="shared" si="298"/>
        <v>300</v>
      </c>
      <c r="AE647" s="15">
        <v>120771</v>
      </c>
      <c r="AF647" s="16">
        <v>21738</v>
      </c>
      <c r="AG647" s="15">
        <f t="shared" si="299"/>
        <v>0</v>
      </c>
      <c r="AH647" s="15">
        <f t="shared" si="300"/>
        <v>0</v>
      </c>
      <c r="AI647" s="15">
        <f t="shared" si="301"/>
        <v>120771</v>
      </c>
      <c r="AJ647" s="15">
        <f t="shared" si="302"/>
        <v>21739</v>
      </c>
      <c r="AK647" s="10">
        <v>120771</v>
      </c>
      <c r="AL647" s="15">
        <f t="shared" si="303"/>
        <v>120771</v>
      </c>
      <c r="AM647" s="15">
        <f t="shared" si="304"/>
        <v>19755921</v>
      </c>
      <c r="AN647" s="15">
        <f t="shared" si="305"/>
        <v>2377957</v>
      </c>
      <c r="AO647" s="15">
        <f t="shared" si="311"/>
        <v>2516260.84</v>
      </c>
      <c r="AP647" s="17">
        <f t="shared" si="306"/>
        <v>22272181.84</v>
      </c>
      <c r="AQ647" s="15">
        <v>19763167</v>
      </c>
      <c r="AR647" s="15">
        <v>17532.84</v>
      </c>
      <c r="AS647" s="18">
        <f t="shared" si="312"/>
        <v>2509015</v>
      </c>
      <c r="AT647" s="19">
        <v>0</v>
      </c>
      <c r="AU647" s="8">
        <v>8800</v>
      </c>
      <c r="AV647" s="13">
        <f t="shared" si="313"/>
        <v>3542616</v>
      </c>
      <c r="AW647" s="18">
        <f t="shared" si="314"/>
        <v>19755921</v>
      </c>
      <c r="AX647" s="15">
        <f t="shared" si="307"/>
        <v>19756000</v>
      </c>
      <c r="AY647" s="20">
        <v>7.0000000000000007E-2</v>
      </c>
      <c r="AZ647" s="13">
        <f t="shared" si="308"/>
        <v>1382920.0000000002</v>
      </c>
      <c r="BA647" s="15">
        <f t="shared" si="309"/>
        <v>1383000</v>
      </c>
      <c r="BB647" s="21">
        <f t="shared" si="315"/>
        <v>3892015</v>
      </c>
      <c r="BC647" s="10">
        <f t="shared" si="316"/>
        <v>0</v>
      </c>
      <c r="BD647" s="10">
        <f t="shared" si="317"/>
        <v>0</v>
      </c>
      <c r="BE647" s="10">
        <v>81.8</v>
      </c>
      <c r="BF647" s="10">
        <v>37.4</v>
      </c>
      <c r="BG647" s="107">
        <v>46176</v>
      </c>
      <c r="BH647" s="107">
        <f t="shared" si="291"/>
        <v>46206</v>
      </c>
      <c r="BI647" s="23">
        <v>7</v>
      </c>
      <c r="BJ647" s="91"/>
      <c r="BK647" s="6"/>
      <c r="BL647" s="6">
        <f>VLOOKUP(A647,[2]Sheet1!$D$2:$H$933,5,0)</f>
        <v>0</v>
      </c>
      <c r="BM647" s="6" t="s">
        <v>3828</v>
      </c>
      <c r="BN647" s="6" t="s">
        <v>3829</v>
      </c>
      <c r="BO647" s="6" t="s">
        <v>3820</v>
      </c>
      <c r="BP647" s="6" t="s">
        <v>3821</v>
      </c>
      <c r="BQ647" s="6" t="s">
        <v>3830</v>
      </c>
      <c r="BR647" t="s">
        <v>3823</v>
      </c>
      <c r="BS647" t="s">
        <v>3824</v>
      </c>
      <c r="BT647" t="s">
        <v>3825</v>
      </c>
      <c r="BU647" t="s">
        <v>3826</v>
      </c>
      <c r="BV647" t="s">
        <v>3827</v>
      </c>
      <c r="BW647" t="s">
        <v>3835</v>
      </c>
      <c r="BX647">
        <v>0</v>
      </c>
      <c r="BY647" t="s">
        <v>3865</v>
      </c>
      <c r="BZ647" t="s">
        <v>3863</v>
      </c>
    </row>
    <row r="648" spans="1:78" x14ac:dyDescent="0.25">
      <c r="A648" s="7" t="s">
        <v>2660</v>
      </c>
      <c r="B648" s="7" t="s">
        <v>181</v>
      </c>
      <c r="C648" s="7" t="s">
        <v>2658</v>
      </c>
      <c r="D648" s="8" t="s">
        <v>2659</v>
      </c>
      <c r="E648" s="7" t="s">
        <v>2661</v>
      </c>
      <c r="F648" s="9">
        <v>44973</v>
      </c>
      <c r="G648" s="9" t="s">
        <v>65</v>
      </c>
      <c r="H648" s="9" t="s">
        <v>66</v>
      </c>
      <c r="I648" s="8" t="s">
        <v>78</v>
      </c>
      <c r="J648" s="10">
        <v>489.76</v>
      </c>
      <c r="K648" s="10">
        <v>489.76</v>
      </c>
      <c r="L648" s="10">
        <f t="shared" si="292"/>
        <v>0</v>
      </c>
      <c r="M648" s="10">
        <v>219.59</v>
      </c>
      <c r="N648" s="10">
        <v>219.59</v>
      </c>
      <c r="O648" s="10">
        <f t="shared" si="293"/>
        <v>0</v>
      </c>
      <c r="P648" s="11">
        <v>13736.903789611239</v>
      </c>
      <c r="Q648" s="11">
        <v>30637.943440047362</v>
      </c>
      <c r="R648" s="11">
        <v>22000</v>
      </c>
      <c r="S648" s="11">
        <v>6727786</v>
      </c>
      <c r="T648" s="11">
        <v>807336</v>
      </c>
      <c r="U648" s="12">
        <f t="shared" si="294"/>
        <v>0.12000024971067748</v>
      </c>
      <c r="V648" s="13">
        <f t="shared" si="310"/>
        <v>0</v>
      </c>
      <c r="W648" s="10">
        <f t="shared" si="295"/>
        <v>0</v>
      </c>
      <c r="X648" s="10"/>
      <c r="Y648" s="10"/>
      <c r="Z648" s="11">
        <f t="shared" si="296"/>
        <v>6727786</v>
      </c>
      <c r="AA648" s="14"/>
      <c r="AB648" s="14"/>
      <c r="AC648" s="11">
        <f t="shared" si="297"/>
        <v>6727786</v>
      </c>
      <c r="AD648" s="10">
        <f t="shared" si="298"/>
        <v>300</v>
      </c>
      <c r="AE648" s="15">
        <v>65877</v>
      </c>
      <c r="AF648" s="16">
        <v>11858</v>
      </c>
      <c r="AG648" s="15">
        <f t="shared" si="299"/>
        <v>0</v>
      </c>
      <c r="AH648" s="15">
        <f t="shared" si="300"/>
        <v>0</v>
      </c>
      <c r="AI648" s="15">
        <f t="shared" si="301"/>
        <v>65877</v>
      </c>
      <c r="AJ648" s="15">
        <f t="shared" si="302"/>
        <v>11858</v>
      </c>
      <c r="AK648" s="10">
        <v>65877</v>
      </c>
      <c r="AL648" s="15">
        <f t="shared" si="303"/>
        <v>65877</v>
      </c>
      <c r="AM648" s="15">
        <f t="shared" si="304"/>
        <v>6793663</v>
      </c>
      <c r="AN648" s="15">
        <f t="shared" si="305"/>
        <v>819194</v>
      </c>
      <c r="AO648" s="15">
        <f t="shared" si="311"/>
        <v>908822</v>
      </c>
      <c r="AP648" s="17">
        <f t="shared" si="306"/>
        <v>7702485</v>
      </c>
      <c r="AQ648" s="15">
        <v>2814472</v>
      </c>
      <c r="AR648" s="15">
        <v>23751</v>
      </c>
      <c r="AS648" s="18">
        <f t="shared" si="312"/>
        <v>4888013</v>
      </c>
      <c r="AT648" s="19">
        <v>0</v>
      </c>
      <c r="AU648" s="8">
        <v>8800</v>
      </c>
      <c r="AV648" s="13">
        <f t="shared" si="313"/>
        <v>1932392</v>
      </c>
      <c r="AW648" s="18">
        <f t="shared" si="314"/>
        <v>6793663</v>
      </c>
      <c r="AX648" s="15">
        <f t="shared" si="307"/>
        <v>6794000</v>
      </c>
      <c r="AY648" s="20">
        <v>7.0000000000000007E-2</v>
      </c>
      <c r="AZ648" s="13">
        <f t="shared" si="308"/>
        <v>475580.00000000006</v>
      </c>
      <c r="BA648" s="15">
        <f t="shared" si="309"/>
        <v>475600</v>
      </c>
      <c r="BB648" s="21">
        <f t="shared" si="315"/>
        <v>5363613</v>
      </c>
      <c r="BC648" s="10">
        <f t="shared" si="316"/>
        <v>0</v>
      </c>
      <c r="BD648" s="10">
        <f t="shared" si="317"/>
        <v>0</v>
      </c>
      <c r="BE648" s="10">
        <v>45.5</v>
      </c>
      <c r="BF648" s="10">
        <v>20.399999999999999</v>
      </c>
      <c r="BG648" s="107">
        <v>46176</v>
      </c>
      <c r="BH648" s="107">
        <f t="shared" si="291"/>
        <v>46206</v>
      </c>
      <c r="BI648" s="23">
        <v>7</v>
      </c>
      <c r="BJ648" s="6"/>
      <c r="BK648" s="6"/>
      <c r="BL648" s="6">
        <f>VLOOKUP(A648,[2]Sheet1!$D$2:$H$933,5,0)</f>
        <v>0</v>
      </c>
      <c r="BM648" s="6" t="s">
        <v>3828</v>
      </c>
      <c r="BN648" s="6" t="s">
        <v>3829</v>
      </c>
      <c r="BO648" s="6" t="s">
        <v>3820</v>
      </c>
      <c r="BP648" s="6" t="s">
        <v>3821</v>
      </c>
      <c r="BQ648" s="6" t="s">
        <v>3830</v>
      </c>
      <c r="BR648" t="s">
        <v>3823</v>
      </c>
      <c r="BS648" t="s">
        <v>3824</v>
      </c>
      <c r="BT648" t="s">
        <v>3825</v>
      </c>
      <c r="BU648" t="s">
        <v>3826</v>
      </c>
      <c r="BV648" t="s">
        <v>3827</v>
      </c>
      <c r="BW648" t="s">
        <v>3835</v>
      </c>
      <c r="BX648">
        <v>0</v>
      </c>
      <c r="BY648" t="s">
        <v>3868</v>
      </c>
      <c r="BZ648" t="s">
        <v>3860</v>
      </c>
    </row>
    <row r="649" spans="1:78" x14ac:dyDescent="0.25">
      <c r="A649" s="7" t="s">
        <v>2664</v>
      </c>
      <c r="B649" s="7" t="s">
        <v>181</v>
      </c>
      <c r="C649" s="7" t="s">
        <v>2662</v>
      </c>
      <c r="D649" s="8" t="s">
        <v>2663</v>
      </c>
      <c r="E649" s="7" t="s">
        <v>2665</v>
      </c>
      <c r="F649" s="9">
        <v>45064</v>
      </c>
      <c r="G649" s="9" t="s">
        <v>717</v>
      </c>
      <c r="H649" s="9" t="s">
        <v>72</v>
      </c>
      <c r="I649" s="8" t="s">
        <v>78</v>
      </c>
      <c r="J649" s="10">
        <v>1013.54</v>
      </c>
      <c r="K649" s="10">
        <v>1013.54</v>
      </c>
      <c r="L649" s="10">
        <f t="shared" si="292"/>
        <v>0</v>
      </c>
      <c r="M649" s="10">
        <v>460.7</v>
      </c>
      <c r="N649" s="10">
        <v>460.7</v>
      </c>
      <c r="O649" s="10">
        <f t="shared" si="293"/>
        <v>0</v>
      </c>
      <c r="P649" s="11">
        <v>6652.0827989028558</v>
      </c>
      <c r="Q649" s="11">
        <v>14634.582157586283</v>
      </c>
      <c r="R649" s="11">
        <v>20000</v>
      </c>
      <c r="S649" s="11">
        <v>6742152</v>
      </c>
      <c r="T649" s="11">
        <v>809060</v>
      </c>
      <c r="U649" s="12">
        <f t="shared" si="294"/>
        <v>0.12000026104424819</v>
      </c>
      <c r="V649" s="13">
        <f t="shared" si="310"/>
        <v>0</v>
      </c>
      <c r="W649" s="10">
        <f t="shared" si="295"/>
        <v>0</v>
      </c>
      <c r="X649" s="10"/>
      <c r="Y649" s="10"/>
      <c r="Z649" s="11">
        <f t="shared" si="296"/>
        <v>6742152</v>
      </c>
      <c r="AA649" s="14"/>
      <c r="AB649" s="14"/>
      <c r="AC649" s="11">
        <f t="shared" si="297"/>
        <v>6742152</v>
      </c>
      <c r="AD649" s="10">
        <f t="shared" si="298"/>
        <v>300</v>
      </c>
      <c r="AE649" s="15">
        <v>138210</v>
      </c>
      <c r="AF649" s="16">
        <v>24878</v>
      </c>
      <c r="AG649" s="15">
        <f t="shared" si="299"/>
        <v>0</v>
      </c>
      <c r="AH649" s="15">
        <f t="shared" si="300"/>
        <v>0</v>
      </c>
      <c r="AI649" s="15">
        <f t="shared" si="301"/>
        <v>138210</v>
      </c>
      <c r="AJ649" s="15">
        <f t="shared" si="302"/>
        <v>24878</v>
      </c>
      <c r="AK649" s="10">
        <v>138210</v>
      </c>
      <c r="AL649" s="15">
        <f t="shared" si="303"/>
        <v>138210</v>
      </c>
      <c r="AM649" s="15">
        <f t="shared" si="304"/>
        <v>6880362</v>
      </c>
      <c r="AN649" s="15">
        <f t="shared" si="305"/>
        <v>833938</v>
      </c>
      <c r="AO649" s="15">
        <f t="shared" si="311"/>
        <v>998778</v>
      </c>
      <c r="AP649" s="17">
        <f t="shared" si="306"/>
        <v>7879140</v>
      </c>
      <c r="AQ649" s="15">
        <v>784000</v>
      </c>
      <c r="AR649" s="15">
        <v>26630</v>
      </c>
      <c r="AS649" s="18">
        <f t="shared" si="312"/>
        <v>7095140</v>
      </c>
      <c r="AT649" s="19">
        <v>0</v>
      </c>
      <c r="AU649" s="8">
        <v>8800</v>
      </c>
      <c r="AV649" s="13">
        <f t="shared" si="313"/>
        <v>4054160</v>
      </c>
      <c r="AW649" s="18">
        <f t="shared" si="314"/>
        <v>6880362</v>
      </c>
      <c r="AX649" s="15">
        <f t="shared" si="307"/>
        <v>6881000</v>
      </c>
      <c r="AY649" s="20">
        <v>7.0000000000000007E-2</v>
      </c>
      <c r="AZ649" s="13">
        <f t="shared" si="308"/>
        <v>481670.00000000006</v>
      </c>
      <c r="BA649" s="15">
        <f t="shared" si="309"/>
        <v>481700</v>
      </c>
      <c r="BB649" s="21">
        <f t="shared" si="315"/>
        <v>7576840</v>
      </c>
      <c r="BC649" s="10">
        <f t="shared" si="316"/>
        <v>0</v>
      </c>
      <c r="BD649" s="10">
        <f t="shared" si="317"/>
        <v>0</v>
      </c>
      <c r="BE649" s="10">
        <v>94.16</v>
      </c>
      <c r="BF649" s="10">
        <v>42.8</v>
      </c>
      <c r="BG649" s="107">
        <v>46176</v>
      </c>
      <c r="BH649" s="107">
        <f t="shared" si="291"/>
        <v>46206</v>
      </c>
      <c r="BI649" s="23">
        <v>7</v>
      </c>
      <c r="BJ649" s="6"/>
      <c r="BK649" s="6"/>
      <c r="BL649" s="6">
        <f>VLOOKUP(A649,[2]Sheet1!$D$2:$H$933,5,0)</f>
        <v>0</v>
      </c>
      <c r="BM649" s="6" t="s">
        <v>3828</v>
      </c>
      <c r="BN649" s="6" t="s">
        <v>3829</v>
      </c>
      <c r="BO649" s="6" t="s">
        <v>3820</v>
      </c>
      <c r="BP649" s="6" t="s">
        <v>3821</v>
      </c>
      <c r="BQ649" s="6" t="s">
        <v>3830</v>
      </c>
      <c r="BR649" t="s">
        <v>3823</v>
      </c>
      <c r="BS649" t="s">
        <v>3824</v>
      </c>
      <c r="BT649" t="s">
        <v>3825</v>
      </c>
      <c r="BU649" t="s">
        <v>3826</v>
      </c>
      <c r="BV649" t="s">
        <v>3827</v>
      </c>
      <c r="BW649" t="s">
        <v>3835</v>
      </c>
      <c r="BX649">
        <v>0</v>
      </c>
      <c r="BY649" t="s">
        <v>3861</v>
      </c>
      <c r="BZ649" t="s">
        <v>3872</v>
      </c>
    </row>
    <row r="650" spans="1:78" x14ac:dyDescent="0.25">
      <c r="A650" s="7" t="s">
        <v>2668</v>
      </c>
      <c r="B650" s="7" t="s">
        <v>181</v>
      </c>
      <c r="C650" s="7" t="s">
        <v>2666</v>
      </c>
      <c r="D650" s="8" t="s">
        <v>2667</v>
      </c>
      <c r="E650" s="7" t="s">
        <v>2669</v>
      </c>
      <c r="F650" s="9">
        <v>44948</v>
      </c>
      <c r="G650" s="9" t="s">
        <v>65</v>
      </c>
      <c r="H650" s="9" t="s">
        <v>66</v>
      </c>
      <c r="I650" s="8" t="s">
        <v>78</v>
      </c>
      <c r="J650" s="10">
        <v>477.28</v>
      </c>
      <c r="K650" s="10">
        <v>477.28</v>
      </c>
      <c r="L650" s="10">
        <f t="shared" si="292"/>
        <v>0</v>
      </c>
      <c r="M650" s="10">
        <v>220.66</v>
      </c>
      <c r="N650" s="10">
        <v>220.66</v>
      </c>
      <c r="O650" s="10">
        <f t="shared" si="293"/>
        <v>0</v>
      </c>
      <c r="P650" s="11">
        <v>11722.60308414348</v>
      </c>
      <c r="Q650" s="11">
        <v>25355.587782108221</v>
      </c>
      <c r="R650" s="11">
        <v>22000</v>
      </c>
      <c r="S650" s="11">
        <v>5594964</v>
      </c>
      <c r="T650" s="11">
        <v>671396</v>
      </c>
      <c r="U650" s="12">
        <f t="shared" si="294"/>
        <v>0.12000005719429115</v>
      </c>
      <c r="V650" s="13">
        <f t="shared" si="310"/>
        <v>0</v>
      </c>
      <c r="W650" s="10">
        <f t="shared" si="295"/>
        <v>0</v>
      </c>
      <c r="X650" s="10"/>
      <c r="Y650" s="10"/>
      <c r="Z650" s="11">
        <f t="shared" si="296"/>
        <v>5594964</v>
      </c>
      <c r="AA650" s="14"/>
      <c r="AB650" s="14"/>
      <c r="AC650" s="11">
        <f t="shared" si="297"/>
        <v>5594964</v>
      </c>
      <c r="AD650" s="10">
        <f t="shared" si="298"/>
        <v>300</v>
      </c>
      <c r="AE650" s="15">
        <v>66198</v>
      </c>
      <c r="AF650" s="16">
        <v>11916</v>
      </c>
      <c r="AG650" s="15">
        <f t="shared" si="299"/>
        <v>0</v>
      </c>
      <c r="AH650" s="15">
        <f t="shared" si="300"/>
        <v>0</v>
      </c>
      <c r="AI650" s="15">
        <f t="shared" si="301"/>
        <v>66198</v>
      </c>
      <c r="AJ650" s="15">
        <f t="shared" si="302"/>
        <v>11916</v>
      </c>
      <c r="AK650" s="10">
        <v>66198</v>
      </c>
      <c r="AL650" s="15">
        <f t="shared" si="303"/>
        <v>66198</v>
      </c>
      <c r="AM650" s="15">
        <f t="shared" si="304"/>
        <v>5661162</v>
      </c>
      <c r="AN650" s="15">
        <f t="shared" si="305"/>
        <v>683312</v>
      </c>
      <c r="AO650" s="15">
        <f t="shared" si="311"/>
        <v>775087</v>
      </c>
      <c r="AP650" s="17">
        <f t="shared" si="306"/>
        <v>6436249</v>
      </c>
      <c r="AQ650" s="15">
        <v>938143</v>
      </c>
      <c r="AR650" s="15">
        <v>25577</v>
      </c>
      <c r="AS650" s="18">
        <f t="shared" si="312"/>
        <v>5498106</v>
      </c>
      <c r="AT650" s="19">
        <v>0</v>
      </c>
      <c r="AU650" s="8">
        <v>8800</v>
      </c>
      <c r="AV650" s="13">
        <f t="shared" si="313"/>
        <v>1941808</v>
      </c>
      <c r="AW650" s="18">
        <f t="shared" si="314"/>
        <v>5661162</v>
      </c>
      <c r="AX650" s="15">
        <f t="shared" si="307"/>
        <v>5662000</v>
      </c>
      <c r="AY650" s="20">
        <v>0.06</v>
      </c>
      <c r="AZ650" s="13">
        <f t="shared" si="308"/>
        <v>339720</v>
      </c>
      <c r="BA650" s="15">
        <f t="shared" si="309"/>
        <v>339800</v>
      </c>
      <c r="BB650" s="21">
        <f t="shared" si="315"/>
        <v>5837906</v>
      </c>
      <c r="BC650" s="10">
        <f t="shared" si="316"/>
        <v>0</v>
      </c>
      <c r="BD650" s="10">
        <f t="shared" si="317"/>
        <v>0</v>
      </c>
      <c r="BE650" s="10">
        <v>44.34</v>
      </c>
      <c r="BF650" s="10">
        <v>20.5</v>
      </c>
      <c r="BG650" s="107">
        <v>46176</v>
      </c>
      <c r="BH650" s="107">
        <f t="shared" si="291"/>
        <v>46206</v>
      </c>
      <c r="BI650" s="23">
        <v>6</v>
      </c>
      <c r="BJ650" s="6"/>
      <c r="BK650" s="6"/>
      <c r="BL650" s="6">
        <f>VLOOKUP(A650,[2]Sheet1!$D$2:$H$933,5,0)</f>
        <v>0</v>
      </c>
      <c r="BM650" s="6" t="s">
        <v>3828</v>
      </c>
      <c r="BN650" s="6" t="s">
        <v>3829</v>
      </c>
      <c r="BO650" s="6" t="s">
        <v>3820</v>
      </c>
      <c r="BP650" s="6" t="s">
        <v>3821</v>
      </c>
      <c r="BQ650" s="6" t="s">
        <v>3830</v>
      </c>
      <c r="BR650" t="s">
        <v>3823</v>
      </c>
      <c r="BS650" t="s">
        <v>3824</v>
      </c>
      <c r="BT650" t="s">
        <v>3825</v>
      </c>
      <c r="BU650" t="s">
        <v>3826</v>
      </c>
      <c r="BV650" t="s">
        <v>3827</v>
      </c>
      <c r="BW650" t="s">
        <v>3835</v>
      </c>
      <c r="BX650">
        <v>0</v>
      </c>
      <c r="BY650" t="s">
        <v>3861</v>
      </c>
      <c r="BZ650" t="s">
        <v>3860</v>
      </c>
    </row>
    <row r="651" spans="1:78" x14ac:dyDescent="0.25">
      <c r="A651" s="7" t="s">
        <v>2672</v>
      </c>
      <c r="B651" s="7" t="s">
        <v>181</v>
      </c>
      <c r="C651" s="7" t="s">
        <v>2670</v>
      </c>
      <c r="D651" s="8" t="s">
        <v>2671</v>
      </c>
      <c r="E651" s="7" t="s">
        <v>2673</v>
      </c>
      <c r="F651" s="9">
        <v>44906</v>
      </c>
      <c r="G651" s="9" t="s">
        <v>404</v>
      </c>
      <c r="H651" s="9" t="s">
        <v>66</v>
      </c>
      <c r="I651" s="8" t="s">
        <v>78</v>
      </c>
      <c r="J651" s="10">
        <v>775.01</v>
      </c>
      <c r="K651" s="10">
        <v>775.01</v>
      </c>
      <c r="L651" s="10">
        <f t="shared" si="292"/>
        <v>0</v>
      </c>
      <c r="M651" s="10">
        <v>353.06</v>
      </c>
      <c r="N651" s="10">
        <v>353.06</v>
      </c>
      <c r="O651" s="10">
        <f t="shared" si="293"/>
        <v>0</v>
      </c>
      <c r="P651" s="11">
        <v>8650.0006451529662</v>
      </c>
      <c r="Q651" s="11">
        <v>18987.812269869144</v>
      </c>
      <c r="R651" s="11">
        <v>22000</v>
      </c>
      <c r="S651" s="11">
        <v>6703837</v>
      </c>
      <c r="T651" s="11">
        <v>804460</v>
      </c>
      <c r="U651" s="12">
        <f t="shared" si="294"/>
        <v>0.11999993436594596</v>
      </c>
      <c r="V651" s="13">
        <f t="shared" si="310"/>
        <v>0</v>
      </c>
      <c r="W651" s="10">
        <f t="shared" si="295"/>
        <v>0</v>
      </c>
      <c r="X651" s="10"/>
      <c r="Y651" s="10"/>
      <c r="Z651" s="11">
        <f t="shared" si="296"/>
        <v>6703837</v>
      </c>
      <c r="AA651" s="14"/>
      <c r="AB651" s="14"/>
      <c r="AC651" s="11">
        <f t="shared" si="297"/>
        <v>6703837</v>
      </c>
      <c r="AD651" s="10">
        <f t="shared" si="298"/>
        <v>300</v>
      </c>
      <c r="AE651" s="15">
        <v>105918</v>
      </c>
      <c r="AF651" s="16">
        <v>19066</v>
      </c>
      <c r="AG651" s="15">
        <f t="shared" si="299"/>
        <v>0</v>
      </c>
      <c r="AH651" s="15">
        <f t="shared" si="300"/>
        <v>0</v>
      </c>
      <c r="AI651" s="15">
        <f t="shared" si="301"/>
        <v>105918</v>
      </c>
      <c r="AJ651" s="15">
        <f t="shared" si="302"/>
        <v>19066</v>
      </c>
      <c r="AK651" s="10">
        <v>105918</v>
      </c>
      <c r="AL651" s="15">
        <f t="shared" si="303"/>
        <v>105918</v>
      </c>
      <c r="AM651" s="15">
        <f t="shared" si="304"/>
        <v>6809755</v>
      </c>
      <c r="AN651" s="15">
        <f t="shared" si="305"/>
        <v>823526</v>
      </c>
      <c r="AO651" s="15">
        <f t="shared" si="311"/>
        <v>947235</v>
      </c>
      <c r="AP651" s="17">
        <f t="shared" si="306"/>
        <v>7756990</v>
      </c>
      <c r="AQ651" s="15">
        <v>6757466.9900000002</v>
      </c>
      <c r="AR651" s="15">
        <v>17791</v>
      </c>
      <c r="AS651" s="18">
        <f t="shared" si="312"/>
        <v>999523</v>
      </c>
      <c r="AT651" s="19">
        <v>0</v>
      </c>
      <c r="AU651" s="8">
        <v>8800</v>
      </c>
      <c r="AV651" s="13">
        <f t="shared" si="313"/>
        <v>3106928</v>
      </c>
      <c r="AW651" s="18">
        <f t="shared" si="314"/>
        <v>6809755</v>
      </c>
      <c r="AX651" s="15">
        <f t="shared" si="307"/>
        <v>6810000</v>
      </c>
      <c r="AY651" s="20">
        <v>0.05</v>
      </c>
      <c r="AZ651" s="13">
        <f t="shared" si="308"/>
        <v>340500</v>
      </c>
      <c r="BA651" s="15">
        <f t="shared" si="309"/>
        <v>340500</v>
      </c>
      <c r="BB651" s="21">
        <f t="shared" si="315"/>
        <v>1340023</v>
      </c>
      <c r="BC651" s="10">
        <f t="shared" si="316"/>
        <v>0</v>
      </c>
      <c r="BD651" s="10">
        <f t="shared" si="317"/>
        <v>0</v>
      </c>
      <c r="BE651" s="10">
        <v>72</v>
      </c>
      <c r="BF651" s="10">
        <v>32.799999999999997</v>
      </c>
      <c r="BG651" s="107">
        <v>46176</v>
      </c>
      <c r="BH651" s="107">
        <f t="shared" si="291"/>
        <v>46206</v>
      </c>
      <c r="BI651" s="23">
        <v>5</v>
      </c>
      <c r="BJ651" s="6"/>
      <c r="BK651" s="6"/>
      <c r="BL651" s="6">
        <f>VLOOKUP(A651,[2]Sheet1!$D$2:$H$933,5,0)</f>
        <v>0</v>
      </c>
      <c r="BM651" s="6" t="s">
        <v>3828</v>
      </c>
      <c r="BN651" s="6" t="s">
        <v>3829</v>
      </c>
      <c r="BO651" s="6" t="s">
        <v>3820</v>
      </c>
      <c r="BP651" s="6" t="s">
        <v>3821</v>
      </c>
      <c r="BQ651" s="6" t="s">
        <v>3830</v>
      </c>
      <c r="BR651" t="s">
        <v>3823</v>
      </c>
      <c r="BS651" t="s">
        <v>3824</v>
      </c>
      <c r="BT651" t="s">
        <v>3825</v>
      </c>
      <c r="BU651" t="s">
        <v>3826</v>
      </c>
      <c r="BV651" t="s">
        <v>3827</v>
      </c>
      <c r="BW651" t="s">
        <v>3835</v>
      </c>
      <c r="BX651">
        <v>0</v>
      </c>
      <c r="BY651" t="s">
        <v>3867</v>
      </c>
      <c r="BZ651" t="s">
        <v>3863</v>
      </c>
    </row>
    <row r="652" spans="1:78" x14ac:dyDescent="0.25">
      <c r="A652" s="7" t="s">
        <v>2676</v>
      </c>
      <c r="B652" s="7" t="s">
        <v>181</v>
      </c>
      <c r="C652" s="7" t="s">
        <v>2674</v>
      </c>
      <c r="D652" s="8" t="s">
        <v>2675</v>
      </c>
      <c r="E652" s="7" t="s">
        <v>1445</v>
      </c>
      <c r="F652" s="9">
        <v>44925</v>
      </c>
      <c r="G652" s="9" t="s">
        <v>527</v>
      </c>
      <c r="H652" s="9" t="s">
        <v>72</v>
      </c>
      <c r="I652" s="8" t="s">
        <v>635</v>
      </c>
      <c r="J652" s="10">
        <v>2373.2600000000002</v>
      </c>
      <c r="K652" s="10">
        <v>2250.86</v>
      </c>
      <c r="L652" s="10">
        <f t="shared" si="292"/>
        <v>-122.40000000000009</v>
      </c>
      <c r="M652" s="10">
        <v>361.67</v>
      </c>
      <c r="N652" s="10">
        <v>343</v>
      </c>
      <c r="O652" s="10">
        <f t="shared" si="293"/>
        <v>-18.670000000000016</v>
      </c>
      <c r="P652" s="11">
        <v>9408.5637477562505</v>
      </c>
      <c r="Q652" s="11">
        <v>61738.513009096685</v>
      </c>
      <c r="R652" s="11">
        <v>20000</v>
      </c>
      <c r="S652" s="11">
        <v>22328968</v>
      </c>
      <c r="T652" s="11">
        <v>2679476</v>
      </c>
      <c r="U652" s="12">
        <f t="shared" si="294"/>
        <v>0.1199999928344203</v>
      </c>
      <c r="V652" s="13">
        <f t="shared" si="310"/>
        <v>-1151608.202725366</v>
      </c>
      <c r="W652" s="10">
        <f t="shared" si="295"/>
        <v>-138192.97607510356</v>
      </c>
      <c r="X652" s="15"/>
      <c r="Y652" s="15"/>
      <c r="Z652" s="11">
        <f t="shared" si="296"/>
        <v>21177359.797274634</v>
      </c>
      <c r="AA652" s="14"/>
      <c r="AB652" s="14"/>
      <c r="AC652" s="11">
        <f t="shared" si="297"/>
        <v>21177359.797274634</v>
      </c>
      <c r="AD652" s="10">
        <f t="shared" si="298"/>
        <v>300</v>
      </c>
      <c r="AE652" s="15">
        <v>108501</v>
      </c>
      <c r="AF652" s="16">
        <v>19530</v>
      </c>
      <c r="AG652" s="15">
        <f t="shared" si="299"/>
        <v>-5601.0000000000045</v>
      </c>
      <c r="AH652" s="15">
        <f t="shared" si="300"/>
        <v>-1008.1800000000007</v>
      </c>
      <c r="AI652" s="15">
        <f t="shared" si="301"/>
        <v>102900</v>
      </c>
      <c r="AJ652" s="15">
        <f t="shared" si="302"/>
        <v>18522</v>
      </c>
      <c r="AK652" s="10">
        <v>108501</v>
      </c>
      <c r="AL652" s="15">
        <f t="shared" si="303"/>
        <v>102900</v>
      </c>
      <c r="AM652" s="15">
        <f t="shared" si="304"/>
        <v>21280260</v>
      </c>
      <c r="AN652" s="15">
        <f t="shared" si="305"/>
        <v>2559806</v>
      </c>
      <c r="AO652" s="15">
        <f t="shared" si="311"/>
        <v>2680507.6</v>
      </c>
      <c r="AP652" s="17">
        <f t="shared" si="306"/>
        <v>23960767.600000001</v>
      </c>
      <c r="AQ652" s="15">
        <v>19562847.039999999</v>
      </c>
      <c r="AR652" s="15">
        <v>17801.599999999999</v>
      </c>
      <c r="AS652" s="18">
        <f t="shared" si="312"/>
        <v>4397921</v>
      </c>
      <c r="AT652" s="19">
        <v>0</v>
      </c>
      <c r="AU652" s="8">
        <v>8800</v>
      </c>
      <c r="AV652" s="13">
        <f t="shared" si="313"/>
        <v>3018400</v>
      </c>
      <c r="AW652" s="18">
        <f t="shared" si="314"/>
        <v>21280260</v>
      </c>
      <c r="AX652" s="15">
        <f t="shared" si="307"/>
        <v>21281000</v>
      </c>
      <c r="AY652" s="20">
        <v>0.06</v>
      </c>
      <c r="AZ652" s="13">
        <f t="shared" si="308"/>
        <v>1276860</v>
      </c>
      <c r="BA652" s="15">
        <f t="shared" si="309"/>
        <v>1276900</v>
      </c>
      <c r="BB652" s="21">
        <f t="shared" si="315"/>
        <v>5674821</v>
      </c>
      <c r="BC652" s="10">
        <f t="shared" si="316"/>
        <v>-5.1574627305899936</v>
      </c>
      <c r="BD652" s="10">
        <f t="shared" si="317"/>
        <v>-5.1621644040147139</v>
      </c>
      <c r="BE652" s="10">
        <v>209.11</v>
      </c>
      <c r="BF652" s="10">
        <v>31.87</v>
      </c>
      <c r="BG652" s="107">
        <v>46176</v>
      </c>
      <c r="BH652" s="107">
        <f t="shared" si="291"/>
        <v>46206</v>
      </c>
      <c r="BI652" s="23">
        <v>6</v>
      </c>
      <c r="BJ652" s="6"/>
      <c r="BK652" s="6"/>
      <c r="BL652" s="6">
        <f>VLOOKUP(A652,[2]Sheet1!$D$2:$H$933,5,0)</f>
        <v>0</v>
      </c>
      <c r="BM652" s="6" t="s">
        <v>3828</v>
      </c>
      <c r="BN652" s="6" t="s">
        <v>3829</v>
      </c>
      <c r="BO652" s="6" t="s">
        <v>3820</v>
      </c>
      <c r="BP652" s="6" t="s">
        <v>3821</v>
      </c>
      <c r="BQ652" s="6" t="s">
        <v>3830</v>
      </c>
      <c r="BR652" t="s">
        <v>3823</v>
      </c>
      <c r="BS652" t="s">
        <v>3824</v>
      </c>
      <c r="BT652" t="s">
        <v>3825</v>
      </c>
      <c r="BU652" t="s">
        <v>3826</v>
      </c>
      <c r="BV652" t="s">
        <v>3827</v>
      </c>
      <c r="BW652" t="s">
        <v>3835</v>
      </c>
      <c r="BX652">
        <v>0</v>
      </c>
      <c r="BY652" t="s">
        <v>3864</v>
      </c>
      <c r="BZ652" t="s">
        <v>3871</v>
      </c>
    </row>
    <row r="653" spans="1:78" x14ac:dyDescent="0.25">
      <c r="A653" s="7" t="s">
        <v>2679</v>
      </c>
      <c r="B653" s="7" t="s">
        <v>181</v>
      </c>
      <c r="C653" s="7" t="s">
        <v>2677</v>
      </c>
      <c r="D653" s="8" t="s">
        <v>2678</v>
      </c>
      <c r="E653" s="7" t="s">
        <v>2680</v>
      </c>
      <c r="F653" s="9">
        <v>45096</v>
      </c>
      <c r="G653" s="9" t="s">
        <v>527</v>
      </c>
      <c r="H653" s="9" t="s">
        <v>92</v>
      </c>
      <c r="I653" s="8" t="s">
        <v>67</v>
      </c>
      <c r="J653" s="10">
        <v>388.7</v>
      </c>
      <c r="K653" s="10">
        <v>388.7</v>
      </c>
      <c r="L653" s="10">
        <f t="shared" si="292"/>
        <v>0</v>
      </c>
      <c r="M653" s="10">
        <v>156.08000000000001</v>
      </c>
      <c r="N653" s="10">
        <v>156.08000000000001</v>
      </c>
      <c r="O653" s="10">
        <f t="shared" si="293"/>
        <v>0</v>
      </c>
      <c r="P653" s="11">
        <v>17886.074093130948</v>
      </c>
      <c r="Q653" s="11">
        <v>44543.291901588927</v>
      </c>
      <c r="R653" s="11">
        <v>28000</v>
      </c>
      <c r="S653" s="11">
        <v>6952317</v>
      </c>
      <c r="T653" s="11">
        <v>834278</v>
      </c>
      <c r="U653" s="12">
        <f t="shared" si="294"/>
        <v>0.11999999424652241</v>
      </c>
      <c r="V653" s="13">
        <f t="shared" si="310"/>
        <v>0</v>
      </c>
      <c r="W653" s="10">
        <f t="shared" si="295"/>
        <v>0</v>
      </c>
      <c r="X653" s="10"/>
      <c r="Y653" s="10"/>
      <c r="Z653" s="11">
        <f t="shared" si="296"/>
        <v>6952317</v>
      </c>
      <c r="AA653" s="14"/>
      <c r="AB653" s="14"/>
      <c r="AC653" s="11">
        <f t="shared" si="297"/>
        <v>6952317</v>
      </c>
      <c r="AD653" s="10">
        <f t="shared" si="298"/>
        <v>300</v>
      </c>
      <c r="AE653" s="15">
        <v>46824</v>
      </c>
      <c r="AF653" s="16">
        <v>8428</v>
      </c>
      <c r="AG653" s="15">
        <f t="shared" si="299"/>
        <v>0</v>
      </c>
      <c r="AH653" s="15">
        <f t="shared" si="300"/>
        <v>0</v>
      </c>
      <c r="AI653" s="15">
        <f t="shared" si="301"/>
        <v>46824.000000000007</v>
      </c>
      <c r="AJ653" s="15">
        <f t="shared" si="302"/>
        <v>8429</v>
      </c>
      <c r="AK653" s="10">
        <v>46824</v>
      </c>
      <c r="AL653" s="15">
        <f t="shared" si="303"/>
        <v>46824.000000000007</v>
      </c>
      <c r="AM653" s="15">
        <f t="shared" si="304"/>
        <v>6999141</v>
      </c>
      <c r="AN653" s="15">
        <f t="shared" si="305"/>
        <v>842707</v>
      </c>
      <c r="AO653" s="15">
        <f t="shared" si="311"/>
        <v>915158</v>
      </c>
      <c r="AP653" s="17">
        <f t="shared" si="306"/>
        <v>7914299</v>
      </c>
      <c r="AQ653" s="15">
        <v>2328368</v>
      </c>
      <c r="AR653" s="15">
        <v>25627</v>
      </c>
      <c r="AS653" s="18">
        <f t="shared" si="312"/>
        <v>5585931</v>
      </c>
      <c r="AT653" s="19">
        <v>0</v>
      </c>
      <c r="AU653" s="8">
        <v>8800</v>
      </c>
      <c r="AV653" s="13">
        <f t="shared" si="313"/>
        <v>1373504</v>
      </c>
      <c r="AW653" s="18">
        <f t="shared" si="314"/>
        <v>6999141</v>
      </c>
      <c r="AX653" s="15">
        <f t="shared" si="307"/>
        <v>7000000</v>
      </c>
      <c r="AY653" s="20">
        <v>0.05</v>
      </c>
      <c r="AZ653" s="13">
        <f t="shared" si="308"/>
        <v>350000</v>
      </c>
      <c r="BA653" s="15">
        <f t="shared" si="309"/>
        <v>350000</v>
      </c>
      <c r="BB653" s="21">
        <f t="shared" si="315"/>
        <v>5935931</v>
      </c>
      <c r="BC653" s="10">
        <f t="shared" si="316"/>
        <v>0</v>
      </c>
      <c r="BD653" s="10">
        <f t="shared" si="317"/>
        <v>0</v>
      </c>
      <c r="BE653" s="10">
        <v>36.11</v>
      </c>
      <c r="BF653" s="10">
        <v>14.5</v>
      </c>
      <c r="BG653" s="107">
        <v>46176</v>
      </c>
      <c r="BH653" s="107">
        <f t="shared" si="291"/>
        <v>46206</v>
      </c>
      <c r="BI653" s="23">
        <v>5</v>
      </c>
      <c r="BJ653" s="6"/>
      <c r="BK653" s="6"/>
      <c r="BL653" s="6">
        <f>VLOOKUP(A653,[2]Sheet1!$D$2:$H$933,5,0)</f>
        <v>0</v>
      </c>
      <c r="BM653" s="6" t="s">
        <v>3828</v>
      </c>
      <c r="BN653" s="6" t="s">
        <v>3829</v>
      </c>
      <c r="BO653" s="6" t="s">
        <v>3820</v>
      </c>
      <c r="BP653" s="6" t="s">
        <v>3821</v>
      </c>
      <c r="BQ653" s="6" t="s">
        <v>3830</v>
      </c>
      <c r="BR653" t="s">
        <v>3823</v>
      </c>
      <c r="BS653" t="s">
        <v>3824</v>
      </c>
      <c r="BT653" t="s">
        <v>3825</v>
      </c>
      <c r="BU653" t="s">
        <v>3826</v>
      </c>
      <c r="BV653" t="s">
        <v>3827</v>
      </c>
      <c r="BW653" t="s">
        <v>3835</v>
      </c>
      <c r="BX653">
        <v>0</v>
      </c>
      <c r="BY653" t="s">
        <v>3868</v>
      </c>
      <c r="BZ653" t="s">
        <v>3871</v>
      </c>
    </row>
    <row r="654" spans="1:78" x14ac:dyDescent="0.25">
      <c r="A654" s="7" t="s">
        <v>2683</v>
      </c>
      <c r="B654" s="7" t="s">
        <v>181</v>
      </c>
      <c r="C654" s="7" t="s">
        <v>2681</v>
      </c>
      <c r="D654" s="8" t="s">
        <v>2682</v>
      </c>
      <c r="E654" s="7" t="s">
        <v>2684</v>
      </c>
      <c r="F654" s="9">
        <v>44866</v>
      </c>
      <c r="G654" s="9" t="s">
        <v>527</v>
      </c>
      <c r="H654" s="9" t="s">
        <v>72</v>
      </c>
      <c r="I654" s="8" t="s">
        <v>78</v>
      </c>
      <c r="J654" s="10">
        <v>556.5</v>
      </c>
      <c r="K654" s="10">
        <v>556.5</v>
      </c>
      <c r="L654" s="10">
        <f t="shared" si="292"/>
        <v>0</v>
      </c>
      <c r="M654" s="10">
        <v>256.18</v>
      </c>
      <c r="N654" s="10">
        <v>256.18</v>
      </c>
      <c r="O654" s="10">
        <f t="shared" si="293"/>
        <v>0</v>
      </c>
      <c r="P654" s="11">
        <v>11320.098831985624</v>
      </c>
      <c r="Q654" s="11">
        <v>24590.658911702707</v>
      </c>
      <c r="R654" s="11">
        <v>20000</v>
      </c>
      <c r="S654" s="11">
        <v>6299635</v>
      </c>
      <c r="T654" s="11">
        <v>755956</v>
      </c>
      <c r="U654" s="12">
        <f t="shared" si="294"/>
        <v>0.1199999682521289</v>
      </c>
      <c r="V654" s="13">
        <f t="shared" si="310"/>
        <v>0</v>
      </c>
      <c r="W654" s="10">
        <f t="shared" si="295"/>
        <v>0</v>
      </c>
      <c r="X654" s="10"/>
      <c r="Y654" s="10"/>
      <c r="Z654" s="11">
        <f t="shared" si="296"/>
        <v>6299635</v>
      </c>
      <c r="AA654" s="14"/>
      <c r="AB654" s="14"/>
      <c r="AC654" s="11">
        <f t="shared" si="297"/>
        <v>6299635</v>
      </c>
      <c r="AD654" s="10">
        <f t="shared" si="298"/>
        <v>300</v>
      </c>
      <c r="AE654" s="15">
        <v>76854</v>
      </c>
      <c r="AF654" s="16">
        <v>13834</v>
      </c>
      <c r="AG654" s="15">
        <f t="shared" si="299"/>
        <v>0</v>
      </c>
      <c r="AH654" s="15">
        <f t="shared" si="300"/>
        <v>0</v>
      </c>
      <c r="AI654" s="15">
        <f t="shared" si="301"/>
        <v>76854</v>
      </c>
      <c r="AJ654" s="15">
        <f t="shared" si="302"/>
        <v>13834</v>
      </c>
      <c r="AK654" s="10">
        <v>76854</v>
      </c>
      <c r="AL654" s="15">
        <f t="shared" si="303"/>
        <v>76854</v>
      </c>
      <c r="AM654" s="15">
        <f t="shared" si="304"/>
        <v>6376489</v>
      </c>
      <c r="AN654" s="15">
        <f t="shared" si="305"/>
        <v>769790</v>
      </c>
      <c r="AO654" s="15">
        <f t="shared" si="311"/>
        <v>871657</v>
      </c>
      <c r="AP654" s="17">
        <f t="shared" si="306"/>
        <v>7248146</v>
      </c>
      <c r="AQ654" s="15">
        <v>2055591</v>
      </c>
      <c r="AR654" s="15">
        <v>25013</v>
      </c>
      <c r="AS654" s="18">
        <f t="shared" si="312"/>
        <v>5192555</v>
      </c>
      <c r="AT654" s="19">
        <v>0</v>
      </c>
      <c r="AU654" s="8">
        <v>8800</v>
      </c>
      <c r="AV654" s="13">
        <f t="shared" si="313"/>
        <v>2254384</v>
      </c>
      <c r="AW654" s="18">
        <f t="shared" si="314"/>
        <v>6376489</v>
      </c>
      <c r="AX654" s="15">
        <f t="shared" si="307"/>
        <v>6377000</v>
      </c>
      <c r="AY654" s="20">
        <v>0.06</v>
      </c>
      <c r="AZ654" s="13">
        <f t="shared" si="308"/>
        <v>382620</v>
      </c>
      <c r="BA654" s="15">
        <f t="shared" si="309"/>
        <v>382700</v>
      </c>
      <c r="BB654" s="21">
        <f t="shared" si="315"/>
        <v>5575255</v>
      </c>
      <c r="BC654" s="10">
        <f t="shared" si="316"/>
        <v>0</v>
      </c>
      <c r="BD654" s="10">
        <f t="shared" si="317"/>
        <v>0</v>
      </c>
      <c r="BE654" s="10">
        <v>51.7</v>
      </c>
      <c r="BF654" s="10">
        <v>23.8</v>
      </c>
      <c r="BG654" s="107">
        <v>46176</v>
      </c>
      <c r="BH654" s="107">
        <f t="shared" si="291"/>
        <v>46206</v>
      </c>
      <c r="BI654" s="23">
        <v>6</v>
      </c>
      <c r="BJ654" s="6"/>
      <c r="BK654" s="6"/>
      <c r="BL654" s="6">
        <f>VLOOKUP(A654,[2]Sheet1!$D$2:$H$933,5,0)</f>
        <v>0</v>
      </c>
      <c r="BM654" s="6" t="s">
        <v>3828</v>
      </c>
      <c r="BN654" s="6" t="s">
        <v>3829</v>
      </c>
      <c r="BO654" s="6" t="s">
        <v>3820</v>
      </c>
      <c r="BP654" s="6" t="s">
        <v>3821</v>
      </c>
      <c r="BQ654" s="6" t="s">
        <v>3830</v>
      </c>
      <c r="BR654" t="s">
        <v>3823</v>
      </c>
      <c r="BS654" t="s">
        <v>3824</v>
      </c>
      <c r="BT654" t="s">
        <v>3825</v>
      </c>
      <c r="BU654" t="s">
        <v>3826</v>
      </c>
      <c r="BV654" t="s">
        <v>3827</v>
      </c>
      <c r="BW654" t="s">
        <v>3835</v>
      </c>
      <c r="BX654">
        <v>0</v>
      </c>
      <c r="BY654" t="s">
        <v>3859</v>
      </c>
      <c r="BZ654" t="s">
        <v>3871</v>
      </c>
    </row>
    <row r="655" spans="1:78" x14ac:dyDescent="0.25">
      <c r="A655" s="7" t="s">
        <v>2687</v>
      </c>
      <c r="B655" s="7" t="s">
        <v>181</v>
      </c>
      <c r="C655" s="7" t="s">
        <v>2685</v>
      </c>
      <c r="D655" s="8" t="s">
        <v>2686</v>
      </c>
      <c r="E655" s="7" t="s">
        <v>2688</v>
      </c>
      <c r="F655" s="9">
        <v>44930</v>
      </c>
      <c r="G655" s="9" t="s">
        <v>717</v>
      </c>
      <c r="H655" s="9" t="s">
        <v>72</v>
      </c>
      <c r="I655" s="8" t="s">
        <v>78</v>
      </c>
      <c r="J655" s="10">
        <v>764.24</v>
      </c>
      <c r="K655" s="10">
        <v>764.24</v>
      </c>
      <c r="L655" s="10">
        <f t="shared" si="292"/>
        <v>0</v>
      </c>
      <c r="M655" s="10">
        <v>333.68</v>
      </c>
      <c r="N655" s="10">
        <v>347</v>
      </c>
      <c r="O655" s="10">
        <f t="shared" si="293"/>
        <v>13.319999999999993</v>
      </c>
      <c r="P655" s="11">
        <v>12154.000052339579</v>
      </c>
      <c r="Q655" s="11">
        <v>27836.768760489093</v>
      </c>
      <c r="R655" s="11">
        <v>20000</v>
      </c>
      <c r="S655" s="11">
        <v>9288573</v>
      </c>
      <c r="T655" s="11">
        <v>1114630</v>
      </c>
      <c r="U655" s="12">
        <f t="shared" si="294"/>
        <v>0.12000013349736284</v>
      </c>
      <c r="V655" s="13">
        <f t="shared" si="310"/>
        <v>0</v>
      </c>
      <c r="W655" s="10">
        <f t="shared" si="295"/>
        <v>0</v>
      </c>
      <c r="X655" s="10">
        <v>922845</v>
      </c>
      <c r="Y655" s="15">
        <f>X655*12%</f>
        <v>110741.4</v>
      </c>
      <c r="Z655" s="11">
        <f t="shared" si="296"/>
        <v>10211418</v>
      </c>
      <c r="AA655" s="14"/>
      <c r="AB655" s="14"/>
      <c r="AC655" s="11">
        <f t="shared" si="297"/>
        <v>10211418</v>
      </c>
      <c r="AD655" s="10">
        <f t="shared" si="298"/>
        <v>300</v>
      </c>
      <c r="AE655" s="15">
        <v>100104</v>
      </c>
      <c r="AF655" s="16">
        <v>18018</v>
      </c>
      <c r="AG655" s="15">
        <f t="shared" si="299"/>
        <v>3995.9999999999982</v>
      </c>
      <c r="AH655" s="15">
        <f t="shared" si="300"/>
        <v>719.27999999999963</v>
      </c>
      <c r="AI655" s="15">
        <f t="shared" si="301"/>
        <v>104100</v>
      </c>
      <c r="AJ655" s="15">
        <f t="shared" si="302"/>
        <v>18738</v>
      </c>
      <c r="AK655" s="10">
        <v>100104</v>
      </c>
      <c r="AL655" s="15">
        <f t="shared" si="303"/>
        <v>104100</v>
      </c>
      <c r="AM655" s="15">
        <f t="shared" si="304"/>
        <v>10315518</v>
      </c>
      <c r="AN655" s="15">
        <f t="shared" si="305"/>
        <v>1244110</v>
      </c>
      <c r="AO655" s="15">
        <f t="shared" si="311"/>
        <v>1366538</v>
      </c>
      <c r="AP655" s="17">
        <f t="shared" si="306"/>
        <v>11682056</v>
      </c>
      <c r="AQ655" s="15">
        <v>7677857</v>
      </c>
      <c r="AR655" s="15">
        <v>18328</v>
      </c>
      <c r="AS655" s="18">
        <f t="shared" si="312"/>
        <v>4004199</v>
      </c>
      <c r="AT655" s="19">
        <v>0</v>
      </c>
      <c r="AU655" s="8">
        <v>8800</v>
      </c>
      <c r="AV655" s="13">
        <f t="shared" si="313"/>
        <v>3053600</v>
      </c>
      <c r="AW655" s="18">
        <f t="shared" si="314"/>
        <v>10315518</v>
      </c>
      <c r="AX655" s="15">
        <f t="shared" si="307"/>
        <v>10316000</v>
      </c>
      <c r="AY655" s="20">
        <v>0.05</v>
      </c>
      <c r="AZ655" s="13">
        <f t="shared" si="308"/>
        <v>515800</v>
      </c>
      <c r="BA655" s="15">
        <f t="shared" si="309"/>
        <v>515800</v>
      </c>
      <c r="BB655" s="21">
        <f t="shared" si="315"/>
        <v>4519999</v>
      </c>
      <c r="BC655" s="10">
        <f t="shared" si="316"/>
        <v>0</v>
      </c>
      <c r="BD655" s="10">
        <f t="shared" si="317"/>
        <v>3.9918484775833112</v>
      </c>
      <c r="BE655" s="10">
        <v>71</v>
      </c>
      <c r="BF655" s="10">
        <v>32.24</v>
      </c>
      <c r="BG655" s="107">
        <v>46176</v>
      </c>
      <c r="BH655" s="107">
        <f t="shared" si="291"/>
        <v>46206</v>
      </c>
      <c r="BI655" s="23">
        <v>5</v>
      </c>
      <c r="BJ655" s="6"/>
      <c r="BK655" s="6"/>
      <c r="BL655" s="6">
        <f>VLOOKUP(A655,[2]Sheet1!$D$2:$H$933,5,0)</f>
        <v>0</v>
      </c>
      <c r="BM655" s="6" t="s">
        <v>3828</v>
      </c>
      <c r="BN655" s="6" t="s">
        <v>3829</v>
      </c>
      <c r="BO655" s="6" t="s">
        <v>3820</v>
      </c>
      <c r="BP655" s="6" t="s">
        <v>3821</v>
      </c>
      <c r="BQ655" s="6" t="s">
        <v>3830</v>
      </c>
      <c r="BR655" t="s">
        <v>3823</v>
      </c>
      <c r="BS655" t="s">
        <v>3824</v>
      </c>
      <c r="BT655" t="s">
        <v>3825</v>
      </c>
      <c r="BU655" t="s">
        <v>3826</v>
      </c>
      <c r="BV655" t="s">
        <v>3827</v>
      </c>
      <c r="BW655" t="s">
        <v>3835</v>
      </c>
      <c r="BX655">
        <v>0</v>
      </c>
      <c r="BY655" t="s">
        <v>3868</v>
      </c>
      <c r="BZ655" t="s">
        <v>3872</v>
      </c>
    </row>
    <row r="656" spans="1:78" x14ac:dyDescent="0.25">
      <c r="A656" s="7" t="s">
        <v>2691</v>
      </c>
      <c r="B656" s="7" t="s">
        <v>181</v>
      </c>
      <c r="C656" s="7" t="s">
        <v>2689</v>
      </c>
      <c r="D656" s="8" t="s">
        <v>2690</v>
      </c>
      <c r="E656" s="7" t="s">
        <v>2692</v>
      </c>
      <c r="F656" s="9">
        <v>45163</v>
      </c>
      <c r="G656" s="9" t="s">
        <v>363</v>
      </c>
      <c r="H656" s="9" t="s">
        <v>87</v>
      </c>
      <c r="I656" s="8" t="s">
        <v>67</v>
      </c>
      <c r="J656" s="10">
        <v>516.66999999999996</v>
      </c>
      <c r="K656" s="10">
        <v>516.66999999999996</v>
      </c>
      <c r="L656" s="10">
        <f t="shared" si="292"/>
        <v>0</v>
      </c>
      <c r="M656" s="10">
        <v>208.82</v>
      </c>
      <c r="N656" s="10">
        <v>208.82</v>
      </c>
      <c r="O656" s="10">
        <f t="shared" si="293"/>
        <v>0</v>
      </c>
      <c r="P656" s="11">
        <v>13483.999458068014</v>
      </c>
      <c r="Q656" s="11">
        <v>33362.599367876639</v>
      </c>
      <c r="R656" s="11">
        <v>40000</v>
      </c>
      <c r="S656" s="11">
        <v>6966778</v>
      </c>
      <c r="T656" s="11">
        <v>836014</v>
      </c>
      <c r="U656" s="12">
        <f t="shared" si="294"/>
        <v>0.12000009186456063</v>
      </c>
      <c r="V656" s="13">
        <f t="shared" si="310"/>
        <v>0</v>
      </c>
      <c r="W656" s="10">
        <f t="shared" si="295"/>
        <v>0</v>
      </c>
      <c r="X656" s="10"/>
      <c r="Y656" s="10"/>
      <c r="Z656" s="11">
        <f t="shared" si="296"/>
        <v>6966778</v>
      </c>
      <c r="AA656" s="14"/>
      <c r="AB656" s="14"/>
      <c r="AC656" s="11">
        <f t="shared" si="297"/>
        <v>6966778</v>
      </c>
      <c r="AD656" s="10">
        <f t="shared" si="298"/>
        <v>300</v>
      </c>
      <c r="AE656" s="15">
        <v>62646</v>
      </c>
      <c r="AF656" s="16">
        <v>11276</v>
      </c>
      <c r="AG656" s="15">
        <f t="shared" si="299"/>
        <v>0</v>
      </c>
      <c r="AH656" s="15">
        <f t="shared" si="300"/>
        <v>0</v>
      </c>
      <c r="AI656" s="15">
        <f t="shared" si="301"/>
        <v>62646</v>
      </c>
      <c r="AJ656" s="15">
        <f t="shared" si="302"/>
        <v>11277</v>
      </c>
      <c r="AK656" s="10">
        <v>62646</v>
      </c>
      <c r="AL656" s="15">
        <f t="shared" si="303"/>
        <v>62646</v>
      </c>
      <c r="AM656" s="15">
        <f t="shared" si="304"/>
        <v>7029424</v>
      </c>
      <c r="AN656" s="15">
        <f t="shared" si="305"/>
        <v>847291</v>
      </c>
      <c r="AO656" s="15">
        <f t="shared" si="311"/>
        <v>937089</v>
      </c>
      <c r="AP656" s="17">
        <f t="shared" si="306"/>
        <v>7966513</v>
      </c>
      <c r="AQ656" s="15">
        <v>1560553.52</v>
      </c>
      <c r="AR656" s="15">
        <v>27152</v>
      </c>
      <c r="AS656" s="18">
        <f t="shared" si="312"/>
        <v>6405959</v>
      </c>
      <c r="AT656" s="19">
        <v>0</v>
      </c>
      <c r="AU656" s="8">
        <v>8800</v>
      </c>
      <c r="AV656" s="13">
        <f t="shared" si="313"/>
        <v>1837616</v>
      </c>
      <c r="AW656" s="18">
        <f t="shared" si="314"/>
        <v>7029424</v>
      </c>
      <c r="AX656" s="15">
        <f t="shared" si="307"/>
        <v>7030000</v>
      </c>
      <c r="AY656" s="20">
        <v>0.05</v>
      </c>
      <c r="AZ656" s="13">
        <f t="shared" si="308"/>
        <v>351500</v>
      </c>
      <c r="BA656" s="15">
        <f t="shared" si="309"/>
        <v>351500</v>
      </c>
      <c r="BB656" s="21">
        <f t="shared" si="315"/>
        <v>6757459</v>
      </c>
      <c r="BC656" s="10">
        <f t="shared" si="316"/>
        <v>0</v>
      </c>
      <c r="BD656" s="10">
        <f t="shared" si="317"/>
        <v>0</v>
      </c>
      <c r="BE656" s="10">
        <v>48</v>
      </c>
      <c r="BF656" s="10">
        <v>19.399999999999999</v>
      </c>
      <c r="BG656" s="107">
        <v>46176</v>
      </c>
      <c r="BH656" s="107">
        <f t="shared" si="291"/>
        <v>46206</v>
      </c>
      <c r="BI656" s="23">
        <v>5</v>
      </c>
      <c r="BJ656" s="6"/>
      <c r="BK656" s="6"/>
      <c r="BL656" s="6">
        <f>VLOOKUP(A656,[2]Sheet1!$D$2:$H$933,5,0)</f>
        <v>0</v>
      </c>
      <c r="BM656" s="6" t="s">
        <v>3828</v>
      </c>
      <c r="BN656" s="6" t="s">
        <v>3829</v>
      </c>
      <c r="BO656" s="6" t="s">
        <v>3820</v>
      </c>
      <c r="BP656" s="6" t="s">
        <v>3821</v>
      </c>
      <c r="BQ656" s="6" t="s">
        <v>3830</v>
      </c>
      <c r="BR656" t="s">
        <v>3823</v>
      </c>
      <c r="BS656" t="s">
        <v>3824</v>
      </c>
      <c r="BT656" t="s">
        <v>3825</v>
      </c>
      <c r="BU656" t="s">
        <v>3826</v>
      </c>
      <c r="BV656" t="s">
        <v>3827</v>
      </c>
      <c r="BW656" t="s">
        <v>3835</v>
      </c>
      <c r="BX656">
        <v>0</v>
      </c>
      <c r="BY656" t="s">
        <v>3861</v>
      </c>
      <c r="BZ656" t="s">
        <v>3860</v>
      </c>
    </row>
    <row r="657" spans="1:78" x14ac:dyDescent="0.25">
      <c r="A657" s="7" t="s">
        <v>2695</v>
      </c>
      <c r="B657" s="7" t="s">
        <v>181</v>
      </c>
      <c r="C657" s="7" t="s">
        <v>2693</v>
      </c>
      <c r="D657" s="8" t="s">
        <v>2694</v>
      </c>
      <c r="E657" s="7" t="s">
        <v>2696</v>
      </c>
      <c r="F657" s="9">
        <v>44996</v>
      </c>
      <c r="G657" s="9" t="s">
        <v>527</v>
      </c>
      <c r="H657" s="9" t="s">
        <v>66</v>
      </c>
      <c r="I657" s="8" t="s">
        <v>78</v>
      </c>
      <c r="J657" s="10">
        <v>1080.71</v>
      </c>
      <c r="K657" s="10">
        <v>1080.71</v>
      </c>
      <c r="L657" s="10">
        <f t="shared" si="292"/>
        <v>0</v>
      </c>
      <c r="M657" s="10">
        <v>489.76</v>
      </c>
      <c r="N657" s="10">
        <v>489.76</v>
      </c>
      <c r="O657" s="10">
        <f t="shared" si="293"/>
        <v>0</v>
      </c>
      <c r="P657" s="11">
        <v>8798.000388633398</v>
      </c>
      <c r="Q657" s="11">
        <v>19413.76796798432</v>
      </c>
      <c r="R657" s="11">
        <v>22000</v>
      </c>
      <c r="S657" s="11">
        <v>9508087</v>
      </c>
      <c r="T657" s="11">
        <v>1140972</v>
      </c>
      <c r="U657" s="12">
        <f t="shared" si="294"/>
        <v>0.12000016407085884</v>
      </c>
      <c r="V657" s="13">
        <f t="shared" si="310"/>
        <v>0</v>
      </c>
      <c r="W657" s="10">
        <f t="shared" si="295"/>
        <v>0</v>
      </c>
      <c r="X657" s="10"/>
      <c r="Y657" s="10"/>
      <c r="Z657" s="11">
        <f t="shared" si="296"/>
        <v>9508087</v>
      </c>
      <c r="AA657" s="14"/>
      <c r="AB657" s="14"/>
      <c r="AC657" s="11">
        <f t="shared" si="297"/>
        <v>9508087</v>
      </c>
      <c r="AD657" s="10">
        <f t="shared" si="298"/>
        <v>300</v>
      </c>
      <c r="AE657" s="15">
        <v>146928</v>
      </c>
      <c r="AF657" s="16">
        <v>26448</v>
      </c>
      <c r="AG657" s="15">
        <f t="shared" si="299"/>
        <v>0</v>
      </c>
      <c r="AH657" s="15">
        <f t="shared" si="300"/>
        <v>0</v>
      </c>
      <c r="AI657" s="15">
        <f t="shared" si="301"/>
        <v>146928</v>
      </c>
      <c r="AJ657" s="15">
        <f t="shared" si="302"/>
        <v>26448</v>
      </c>
      <c r="AK657" s="10">
        <v>146928</v>
      </c>
      <c r="AL657" s="15">
        <f t="shared" si="303"/>
        <v>146928</v>
      </c>
      <c r="AM657" s="15">
        <f t="shared" si="304"/>
        <v>9655015</v>
      </c>
      <c r="AN657" s="15">
        <f t="shared" si="305"/>
        <v>1167420</v>
      </c>
      <c r="AO657" s="15">
        <f t="shared" si="311"/>
        <v>1334071.24</v>
      </c>
      <c r="AP657" s="17">
        <f t="shared" si="306"/>
        <v>10989086.24</v>
      </c>
      <c r="AQ657" s="15">
        <f>6352000+1800000</f>
        <v>8152000</v>
      </c>
      <c r="AR657" s="15">
        <v>19723.240000000002</v>
      </c>
      <c r="AS657" s="18">
        <f t="shared" si="312"/>
        <v>2837086</v>
      </c>
      <c r="AT657" s="19">
        <v>0</v>
      </c>
      <c r="AU657" s="8">
        <v>8800</v>
      </c>
      <c r="AV657" s="13">
        <f t="shared" si="313"/>
        <v>4309888</v>
      </c>
      <c r="AW657" s="18">
        <f t="shared" si="314"/>
        <v>9655015</v>
      </c>
      <c r="AX657" s="15">
        <f t="shared" si="307"/>
        <v>9656000</v>
      </c>
      <c r="AY657" s="20">
        <v>0.06</v>
      </c>
      <c r="AZ657" s="13">
        <f t="shared" si="308"/>
        <v>579360</v>
      </c>
      <c r="BA657" s="15">
        <f t="shared" si="309"/>
        <v>579400</v>
      </c>
      <c r="BB657" s="21">
        <f t="shared" si="315"/>
        <v>3416486</v>
      </c>
      <c r="BC657" s="10">
        <f t="shared" si="316"/>
        <v>0</v>
      </c>
      <c r="BD657" s="10">
        <f t="shared" si="317"/>
        <v>0</v>
      </c>
      <c r="BE657" s="10">
        <v>100.4</v>
      </c>
      <c r="BF657" s="10">
        <v>45.5</v>
      </c>
      <c r="BG657" s="107">
        <v>46176</v>
      </c>
      <c r="BH657" s="107">
        <f t="shared" si="291"/>
        <v>46206</v>
      </c>
      <c r="BI657" s="23">
        <v>6</v>
      </c>
      <c r="BJ657" s="6"/>
      <c r="BK657" s="6"/>
      <c r="BL657" s="6">
        <f>VLOOKUP(A657,[2]Sheet1!$D$2:$H$933,5,0)</f>
        <v>0</v>
      </c>
      <c r="BM657" s="6" t="s">
        <v>3828</v>
      </c>
      <c r="BN657" s="6" t="s">
        <v>3829</v>
      </c>
      <c r="BO657" s="6" t="s">
        <v>3820</v>
      </c>
      <c r="BP657" s="6" t="s">
        <v>3821</v>
      </c>
      <c r="BQ657" s="6" t="s">
        <v>3830</v>
      </c>
      <c r="BR657" t="s">
        <v>3823</v>
      </c>
      <c r="BS657" t="s">
        <v>3824</v>
      </c>
      <c r="BT657" t="s">
        <v>3825</v>
      </c>
      <c r="BU657" t="s">
        <v>3826</v>
      </c>
      <c r="BV657" t="s">
        <v>3827</v>
      </c>
      <c r="BW657" t="s">
        <v>3835</v>
      </c>
      <c r="BX657">
        <v>0</v>
      </c>
      <c r="BY657" t="s">
        <v>3859</v>
      </c>
      <c r="BZ657" t="s">
        <v>3871</v>
      </c>
    </row>
    <row r="658" spans="1:78" x14ac:dyDescent="0.25">
      <c r="A658" s="7" t="s">
        <v>2699</v>
      </c>
      <c r="B658" s="7" t="s">
        <v>181</v>
      </c>
      <c r="C658" s="7" t="s">
        <v>2697</v>
      </c>
      <c r="D658" s="8" t="s">
        <v>2698</v>
      </c>
      <c r="E658" s="7" t="s">
        <v>2700</v>
      </c>
      <c r="F658" s="9">
        <v>44963</v>
      </c>
      <c r="G658" s="9" t="s">
        <v>404</v>
      </c>
      <c r="H658" s="9" t="s">
        <v>72</v>
      </c>
      <c r="I658" s="8" t="s">
        <v>78</v>
      </c>
      <c r="J658" s="10">
        <v>652.29999999999995</v>
      </c>
      <c r="K658" s="10">
        <v>652.29999999999995</v>
      </c>
      <c r="L658" s="10">
        <f t="shared" si="292"/>
        <v>0</v>
      </c>
      <c r="M658" s="10">
        <v>289.01</v>
      </c>
      <c r="N658" s="10">
        <v>289.01</v>
      </c>
      <c r="O658" s="10">
        <f t="shared" si="293"/>
        <v>0</v>
      </c>
      <c r="P658" s="11">
        <v>11200</v>
      </c>
      <c r="Q658" s="11">
        <v>25278.571675720563</v>
      </c>
      <c r="R658" s="11">
        <v>20000</v>
      </c>
      <c r="S658" s="11">
        <v>7305760</v>
      </c>
      <c r="T658" s="11">
        <v>876692</v>
      </c>
      <c r="U658" s="12">
        <f t="shared" si="294"/>
        <v>0.12000010950263901</v>
      </c>
      <c r="V658" s="13">
        <f t="shared" si="310"/>
        <v>0</v>
      </c>
      <c r="W658" s="10">
        <f t="shared" si="295"/>
        <v>0</v>
      </c>
      <c r="X658" s="10"/>
      <c r="Y658" s="10"/>
      <c r="Z658" s="11">
        <f t="shared" si="296"/>
        <v>7305760</v>
      </c>
      <c r="AA658" s="14"/>
      <c r="AB658" s="14"/>
      <c r="AC658" s="11">
        <f t="shared" si="297"/>
        <v>7305760</v>
      </c>
      <c r="AD658" s="10">
        <f t="shared" si="298"/>
        <v>300</v>
      </c>
      <c r="AE658" s="15">
        <v>86703</v>
      </c>
      <c r="AF658" s="16">
        <v>15606</v>
      </c>
      <c r="AG658" s="15">
        <f t="shared" si="299"/>
        <v>0</v>
      </c>
      <c r="AH658" s="15">
        <f t="shared" si="300"/>
        <v>0</v>
      </c>
      <c r="AI658" s="15">
        <f t="shared" si="301"/>
        <v>86703</v>
      </c>
      <c r="AJ658" s="15">
        <f t="shared" si="302"/>
        <v>15607</v>
      </c>
      <c r="AK658" s="10">
        <v>86703</v>
      </c>
      <c r="AL658" s="15">
        <f t="shared" si="303"/>
        <v>86703</v>
      </c>
      <c r="AM658" s="15">
        <f t="shared" si="304"/>
        <v>7392463</v>
      </c>
      <c r="AN658" s="15">
        <f t="shared" si="305"/>
        <v>892299</v>
      </c>
      <c r="AO658" s="15">
        <f t="shared" si="311"/>
        <v>999992</v>
      </c>
      <c r="AP658" s="17">
        <f t="shared" si="306"/>
        <v>8392455</v>
      </c>
      <c r="AQ658" s="15">
        <v>5684039</v>
      </c>
      <c r="AR658" s="15">
        <v>20990</v>
      </c>
      <c r="AS658" s="18">
        <f t="shared" si="312"/>
        <v>2708416</v>
      </c>
      <c r="AT658" s="19">
        <v>0</v>
      </c>
      <c r="AU658" s="8">
        <v>8800</v>
      </c>
      <c r="AV658" s="13">
        <f t="shared" si="313"/>
        <v>2543288</v>
      </c>
      <c r="AW658" s="18">
        <f t="shared" si="314"/>
        <v>7392463</v>
      </c>
      <c r="AX658" s="15">
        <f t="shared" si="307"/>
        <v>7393000</v>
      </c>
      <c r="AY658" s="20">
        <v>7.0000000000000007E-2</v>
      </c>
      <c r="AZ658" s="13">
        <f t="shared" si="308"/>
        <v>517510.00000000006</v>
      </c>
      <c r="BA658" s="15">
        <f t="shared" si="309"/>
        <v>517600</v>
      </c>
      <c r="BB658" s="21">
        <f t="shared" si="315"/>
        <v>3226016</v>
      </c>
      <c r="BC658" s="10">
        <f t="shared" si="316"/>
        <v>0</v>
      </c>
      <c r="BD658" s="10">
        <f t="shared" si="317"/>
        <v>0</v>
      </c>
      <c r="BE658" s="10">
        <v>60.6</v>
      </c>
      <c r="BF658" s="10">
        <v>26.85</v>
      </c>
      <c r="BG658" s="107">
        <v>46176</v>
      </c>
      <c r="BH658" s="107">
        <f t="shared" si="291"/>
        <v>46206</v>
      </c>
      <c r="BI658" s="23">
        <v>7</v>
      </c>
      <c r="BJ658" s="6"/>
      <c r="BK658" s="6"/>
      <c r="BL658" s="6">
        <f>VLOOKUP(A658,[2]Sheet1!$D$2:$H$933,5,0)</f>
        <v>0</v>
      </c>
      <c r="BM658" s="6" t="s">
        <v>3828</v>
      </c>
      <c r="BN658" s="6" t="s">
        <v>3829</v>
      </c>
      <c r="BO658" s="6" t="s">
        <v>3820</v>
      </c>
      <c r="BP658" s="6" t="s">
        <v>3821</v>
      </c>
      <c r="BQ658" s="6" t="s">
        <v>3830</v>
      </c>
      <c r="BR658" t="s">
        <v>3823</v>
      </c>
      <c r="BS658" t="s">
        <v>3824</v>
      </c>
      <c r="BT658" t="s">
        <v>3825</v>
      </c>
      <c r="BU658" t="s">
        <v>3826</v>
      </c>
      <c r="BV658" t="s">
        <v>3827</v>
      </c>
      <c r="BW658" t="s">
        <v>3835</v>
      </c>
      <c r="BX658">
        <v>0</v>
      </c>
      <c r="BY658" t="s">
        <v>3861</v>
      </c>
      <c r="BZ658" t="s">
        <v>3863</v>
      </c>
    </row>
    <row r="659" spans="1:78" x14ac:dyDescent="0.25">
      <c r="A659" s="7" t="s">
        <v>2703</v>
      </c>
      <c r="B659" s="7" t="s">
        <v>181</v>
      </c>
      <c r="C659" s="7" t="s">
        <v>2701</v>
      </c>
      <c r="D659" s="8" t="s">
        <v>2702</v>
      </c>
      <c r="E659" s="7" t="s">
        <v>2704</v>
      </c>
      <c r="F659" s="9">
        <v>45014</v>
      </c>
      <c r="G659" s="9" t="s">
        <v>527</v>
      </c>
      <c r="H659" s="9" t="s">
        <v>87</v>
      </c>
      <c r="I659" s="8" t="s">
        <v>67</v>
      </c>
      <c r="J659" s="10">
        <v>224.85</v>
      </c>
      <c r="K659" s="10">
        <v>224.85</v>
      </c>
      <c r="L659" s="10">
        <f t="shared" si="292"/>
        <v>0</v>
      </c>
      <c r="M659" s="10">
        <v>89.34</v>
      </c>
      <c r="N659" s="10">
        <v>89.34</v>
      </c>
      <c r="O659" s="10">
        <f t="shared" si="293"/>
        <v>0</v>
      </c>
      <c r="P659" s="11">
        <v>22620</v>
      </c>
      <c r="Q659" s="11">
        <v>56929.785090664875</v>
      </c>
      <c r="R659" s="11">
        <v>40000</v>
      </c>
      <c r="S659" s="11">
        <v>5086107</v>
      </c>
      <c r="T659" s="11">
        <v>610334</v>
      </c>
      <c r="U659" s="12">
        <f t="shared" si="294"/>
        <v>0.1200002280722761</v>
      </c>
      <c r="V659" s="13">
        <f t="shared" si="310"/>
        <v>0</v>
      </c>
      <c r="W659" s="10">
        <f t="shared" si="295"/>
        <v>0</v>
      </c>
      <c r="X659" s="10"/>
      <c r="Y659" s="10"/>
      <c r="Z659" s="11">
        <f t="shared" si="296"/>
        <v>5086107</v>
      </c>
      <c r="AA659" s="14"/>
      <c r="AB659" s="14"/>
      <c r="AC659" s="11">
        <f t="shared" si="297"/>
        <v>5086107</v>
      </c>
      <c r="AD659" s="10">
        <f t="shared" si="298"/>
        <v>300</v>
      </c>
      <c r="AE659" s="15">
        <v>26802</v>
      </c>
      <c r="AF659" s="16">
        <v>4824</v>
      </c>
      <c r="AG659" s="15">
        <f t="shared" si="299"/>
        <v>0</v>
      </c>
      <c r="AH659" s="15">
        <f t="shared" si="300"/>
        <v>0</v>
      </c>
      <c r="AI659" s="15">
        <f t="shared" si="301"/>
        <v>26802</v>
      </c>
      <c r="AJ659" s="15">
        <f t="shared" si="302"/>
        <v>4825</v>
      </c>
      <c r="AK659" s="10">
        <v>26802</v>
      </c>
      <c r="AL659" s="15">
        <f t="shared" si="303"/>
        <v>26802</v>
      </c>
      <c r="AM659" s="15">
        <f t="shared" si="304"/>
        <v>5112909</v>
      </c>
      <c r="AN659" s="15">
        <f t="shared" si="305"/>
        <v>615159</v>
      </c>
      <c r="AO659" s="15">
        <f t="shared" si="311"/>
        <v>664528</v>
      </c>
      <c r="AP659" s="17">
        <f t="shared" si="306"/>
        <v>5777437</v>
      </c>
      <c r="AQ659" s="15">
        <v>2422626</v>
      </c>
      <c r="AR659" s="15">
        <v>22567</v>
      </c>
      <c r="AS659" s="18">
        <f t="shared" si="312"/>
        <v>3354811</v>
      </c>
      <c r="AT659" s="19">
        <v>0</v>
      </c>
      <c r="AU659" s="8">
        <v>8800</v>
      </c>
      <c r="AV659" s="13">
        <f t="shared" si="313"/>
        <v>786192</v>
      </c>
      <c r="AW659" s="18">
        <f t="shared" si="314"/>
        <v>5112909</v>
      </c>
      <c r="AX659" s="15">
        <f t="shared" si="307"/>
        <v>5113000</v>
      </c>
      <c r="AY659" s="20">
        <v>7.0000000000000007E-2</v>
      </c>
      <c r="AZ659" s="13">
        <f t="shared" si="308"/>
        <v>357910.00000000006</v>
      </c>
      <c r="BA659" s="15">
        <f t="shared" si="309"/>
        <v>358000</v>
      </c>
      <c r="BB659" s="21">
        <f t="shared" si="315"/>
        <v>3712811</v>
      </c>
      <c r="BC659" s="10">
        <f t="shared" si="316"/>
        <v>0</v>
      </c>
      <c r="BD659" s="10">
        <f t="shared" si="317"/>
        <v>0</v>
      </c>
      <c r="BE659" s="10">
        <v>20.89</v>
      </c>
      <c r="BF659" s="10">
        <v>8.3000000000000007</v>
      </c>
      <c r="BG659" s="107">
        <v>46176</v>
      </c>
      <c r="BH659" s="107">
        <f t="shared" si="291"/>
        <v>46206</v>
      </c>
      <c r="BI659" s="23">
        <v>7</v>
      </c>
      <c r="BJ659" s="6"/>
      <c r="BK659" s="6"/>
      <c r="BL659" s="6">
        <f>VLOOKUP(A659,[2]Sheet1!$D$2:$H$933,5,0)</f>
        <v>0</v>
      </c>
      <c r="BM659" s="6" t="s">
        <v>3828</v>
      </c>
      <c r="BN659" s="6" t="s">
        <v>3829</v>
      </c>
      <c r="BO659" s="6" t="s">
        <v>3820</v>
      </c>
      <c r="BP659" s="6" t="s">
        <v>3821</v>
      </c>
      <c r="BQ659" s="6" t="s">
        <v>3830</v>
      </c>
      <c r="BR659" t="s">
        <v>3823</v>
      </c>
      <c r="BS659" t="s">
        <v>3824</v>
      </c>
      <c r="BT659" t="s">
        <v>3825</v>
      </c>
      <c r="BU659" t="s">
        <v>3826</v>
      </c>
      <c r="BV659" t="s">
        <v>3827</v>
      </c>
      <c r="BW659" t="s">
        <v>3835</v>
      </c>
      <c r="BX659">
        <v>0</v>
      </c>
      <c r="BY659" t="s">
        <v>3859</v>
      </c>
      <c r="BZ659" t="s">
        <v>3871</v>
      </c>
    </row>
    <row r="660" spans="1:78" x14ac:dyDescent="0.25">
      <c r="A660" s="7" t="s">
        <v>2707</v>
      </c>
      <c r="B660" s="7" t="s">
        <v>181</v>
      </c>
      <c r="C660" s="7" t="s">
        <v>2705</v>
      </c>
      <c r="D660" s="8" t="s">
        <v>2706</v>
      </c>
      <c r="E660" s="7" t="s">
        <v>2708</v>
      </c>
      <c r="F660" s="9">
        <v>44903</v>
      </c>
      <c r="G660" s="9" t="s">
        <v>404</v>
      </c>
      <c r="H660" s="9" t="s">
        <v>72</v>
      </c>
      <c r="I660" s="8" t="s">
        <v>78</v>
      </c>
      <c r="J660" s="10">
        <v>652.29999999999995</v>
      </c>
      <c r="K660" s="10">
        <v>652.29999999999995</v>
      </c>
      <c r="L660" s="10">
        <f t="shared" si="292"/>
        <v>0</v>
      </c>
      <c r="M660" s="10">
        <v>293.86</v>
      </c>
      <c r="N660" s="10">
        <v>293.86</v>
      </c>
      <c r="O660" s="10">
        <f t="shared" si="293"/>
        <v>0</v>
      </c>
      <c r="P660" s="11">
        <v>11037.999386785223</v>
      </c>
      <c r="Q660" s="11">
        <v>24501.759341182875</v>
      </c>
      <c r="R660" s="11">
        <v>20000</v>
      </c>
      <c r="S660" s="11">
        <v>7200087</v>
      </c>
      <c r="T660" s="11">
        <v>864012</v>
      </c>
      <c r="U660" s="12">
        <f t="shared" si="294"/>
        <v>0.12000021666404864</v>
      </c>
      <c r="V660" s="13">
        <f t="shared" si="310"/>
        <v>0</v>
      </c>
      <c r="W660" s="10">
        <f t="shared" si="295"/>
        <v>0</v>
      </c>
      <c r="X660" s="10"/>
      <c r="Y660" s="10"/>
      <c r="Z660" s="11">
        <f t="shared" si="296"/>
        <v>7200087</v>
      </c>
      <c r="AA660" s="14"/>
      <c r="AB660" s="14"/>
      <c r="AC660" s="11">
        <f t="shared" si="297"/>
        <v>7200087</v>
      </c>
      <c r="AD660" s="10">
        <f t="shared" si="298"/>
        <v>300</v>
      </c>
      <c r="AE660" s="15">
        <v>88158</v>
      </c>
      <c r="AF660" s="16">
        <v>15868</v>
      </c>
      <c r="AG660" s="15">
        <f t="shared" si="299"/>
        <v>0</v>
      </c>
      <c r="AH660" s="15">
        <f t="shared" si="300"/>
        <v>0</v>
      </c>
      <c r="AI660" s="15">
        <f t="shared" si="301"/>
        <v>88158</v>
      </c>
      <c r="AJ660" s="15">
        <f t="shared" si="302"/>
        <v>15869</v>
      </c>
      <c r="AK660" s="10">
        <v>88158</v>
      </c>
      <c r="AL660" s="15">
        <f t="shared" si="303"/>
        <v>88158</v>
      </c>
      <c r="AM660" s="15">
        <f t="shared" si="304"/>
        <v>7288245</v>
      </c>
      <c r="AN660" s="15">
        <f t="shared" si="305"/>
        <v>879881</v>
      </c>
      <c r="AO660" s="15">
        <f t="shared" si="311"/>
        <v>995764</v>
      </c>
      <c r="AP660" s="17">
        <f t="shared" si="306"/>
        <v>8284009</v>
      </c>
      <c r="AQ660" s="15">
        <v>1680000</v>
      </c>
      <c r="AR660" s="15">
        <v>27725</v>
      </c>
      <c r="AS660" s="18">
        <f t="shared" si="312"/>
        <v>6604009</v>
      </c>
      <c r="AT660" s="19">
        <v>0</v>
      </c>
      <c r="AU660" s="8">
        <v>8800</v>
      </c>
      <c r="AV660" s="13">
        <f t="shared" si="313"/>
        <v>2585968</v>
      </c>
      <c r="AW660" s="18">
        <f t="shared" si="314"/>
        <v>7288245</v>
      </c>
      <c r="AX660" s="15">
        <f t="shared" si="307"/>
        <v>7289000</v>
      </c>
      <c r="AY660" s="20">
        <v>7.0000000000000007E-2</v>
      </c>
      <c r="AZ660" s="13">
        <f t="shared" si="308"/>
        <v>510230.00000000006</v>
      </c>
      <c r="BA660" s="15">
        <f t="shared" si="309"/>
        <v>510300</v>
      </c>
      <c r="BB660" s="21">
        <f t="shared" si="315"/>
        <v>7114309</v>
      </c>
      <c r="BC660" s="10">
        <f t="shared" si="316"/>
        <v>0</v>
      </c>
      <c r="BD660" s="10">
        <f t="shared" si="317"/>
        <v>0</v>
      </c>
      <c r="BE660" s="10">
        <v>60.6</v>
      </c>
      <c r="BF660" s="10">
        <v>27.3</v>
      </c>
      <c r="BG660" s="107">
        <v>46176</v>
      </c>
      <c r="BH660" s="107">
        <f t="shared" si="291"/>
        <v>46206</v>
      </c>
      <c r="BI660" s="23">
        <v>7</v>
      </c>
      <c r="BJ660" s="6"/>
      <c r="BK660" s="6"/>
      <c r="BL660" s="6">
        <f>VLOOKUP(A660,[2]Sheet1!$D$2:$H$933,5,0)</f>
        <v>0</v>
      </c>
      <c r="BM660" s="6" t="s">
        <v>3828</v>
      </c>
      <c r="BN660" s="6" t="s">
        <v>3829</v>
      </c>
      <c r="BO660" s="6" t="s">
        <v>3820</v>
      </c>
      <c r="BP660" s="6" t="s">
        <v>3821</v>
      </c>
      <c r="BQ660" s="6" t="s">
        <v>3830</v>
      </c>
      <c r="BR660" t="s">
        <v>3823</v>
      </c>
      <c r="BS660" t="s">
        <v>3824</v>
      </c>
      <c r="BT660" t="s">
        <v>3825</v>
      </c>
      <c r="BU660" t="s">
        <v>3826</v>
      </c>
      <c r="BV660" t="s">
        <v>3827</v>
      </c>
      <c r="BW660" t="s">
        <v>3835</v>
      </c>
      <c r="BX660">
        <v>0</v>
      </c>
      <c r="BY660" t="s">
        <v>3869</v>
      </c>
      <c r="BZ660" t="s">
        <v>3863</v>
      </c>
    </row>
    <row r="661" spans="1:78" x14ac:dyDescent="0.25">
      <c r="A661" s="7" t="s">
        <v>2711</v>
      </c>
      <c r="B661" s="7" t="s">
        <v>181</v>
      </c>
      <c r="C661" s="7" t="s">
        <v>2709</v>
      </c>
      <c r="D661" s="8" t="s">
        <v>2710</v>
      </c>
      <c r="E661" s="7" t="s">
        <v>2712</v>
      </c>
      <c r="F661" s="9">
        <v>45107</v>
      </c>
      <c r="G661" s="9" t="s">
        <v>65</v>
      </c>
      <c r="H661" s="9" t="s">
        <v>87</v>
      </c>
      <c r="I661" s="8" t="s">
        <v>78</v>
      </c>
      <c r="J661" s="10">
        <v>802.13</v>
      </c>
      <c r="K661" s="10">
        <v>802.13</v>
      </c>
      <c r="L661" s="10">
        <f t="shared" si="292"/>
        <v>0</v>
      </c>
      <c r="M661" s="10">
        <v>360.59</v>
      </c>
      <c r="N661" s="10">
        <v>360.59</v>
      </c>
      <c r="O661" s="10">
        <f t="shared" si="293"/>
        <v>0</v>
      </c>
      <c r="P661" s="11">
        <v>9999.9987533192871</v>
      </c>
      <c r="Q661" s="11">
        <v>22244.929143903049</v>
      </c>
      <c r="R661" s="11">
        <v>40000</v>
      </c>
      <c r="S661" s="11">
        <v>8021299</v>
      </c>
      <c r="T661" s="11">
        <v>962556</v>
      </c>
      <c r="U661" s="12">
        <f t="shared" si="294"/>
        <v>0.12000001496017042</v>
      </c>
      <c r="V661" s="13">
        <f t="shared" si="310"/>
        <v>0</v>
      </c>
      <c r="W661" s="10">
        <f t="shared" si="295"/>
        <v>0</v>
      </c>
      <c r="X661" s="10"/>
      <c r="Y661" s="10"/>
      <c r="Z661" s="11">
        <f t="shared" si="296"/>
        <v>8021299</v>
      </c>
      <c r="AA661" s="14"/>
      <c r="AB661" s="14"/>
      <c r="AC661" s="11">
        <f t="shared" si="297"/>
        <v>8021299</v>
      </c>
      <c r="AD661" s="10">
        <f t="shared" si="298"/>
        <v>300</v>
      </c>
      <c r="AE661" s="15">
        <v>108177</v>
      </c>
      <c r="AF661" s="16">
        <v>19472</v>
      </c>
      <c r="AG661" s="15">
        <f t="shared" si="299"/>
        <v>0</v>
      </c>
      <c r="AH661" s="15">
        <f t="shared" si="300"/>
        <v>0</v>
      </c>
      <c r="AI661" s="15">
        <f t="shared" si="301"/>
        <v>108176.99999999999</v>
      </c>
      <c r="AJ661" s="15">
        <f t="shared" si="302"/>
        <v>19472</v>
      </c>
      <c r="AK661" s="10">
        <v>108177</v>
      </c>
      <c r="AL661" s="15">
        <f t="shared" si="303"/>
        <v>108176.99999999999</v>
      </c>
      <c r="AM661" s="15">
        <f t="shared" si="304"/>
        <v>8129476</v>
      </c>
      <c r="AN661" s="15">
        <f t="shared" si="305"/>
        <v>982028</v>
      </c>
      <c r="AO661" s="15">
        <f t="shared" si="311"/>
        <v>1109140</v>
      </c>
      <c r="AP661" s="17">
        <f t="shared" si="306"/>
        <v>9238616</v>
      </c>
      <c r="AQ661" s="15">
        <v>8021300</v>
      </c>
      <c r="AR661" s="15">
        <v>18935</v>
      </c>
      <c r="AS661" s="18">
        <f t="shared" si="312"/>
        <v>1217316</v>
      </c>
      <c r="AT661" s="19">
        <v>8459640</v>
      </c>
      <c r="AU661" s="8">
        <v>8800</v>
      </c>
      <c r="AV661" s="13">
        <f t="shared" si="313"/>
        <v>3173192</v>
      </c>
      <c r="AW661" s="18">
        <f t="shared" si="314"/>
        <v>8459640</v>
      </c>
      <c r="AX661" s="15">
        <f t="shared" si="307"/>
        <v>8460000</v>
      </c>
      <c r="AY661" s="20">
        <v>7.0000000000000007E-2</v>
      </c>
      <c r="AZ661" s="13">
        <f t="shared" si="308"/>
        <v>592200</v>
      </c>
      <c r="BA661" s="15">
        <f t="shared" si="309"/>
        <v>592200</v>
      </c>
      <c r="BB661" s="21">
        <f t="shared" si="315"/>
        <v>1809516</v>
      </c>
      <c r="BC661" s="10">
        <f t="shared" si="316"/>
        <v>0</v>
      </c>
      <c r="BD661" s="10">
        <f t="shared" si="317"/>
        <v>0</v>
      </c>
      <c r="BE661" s="10">
        <v>74.52</v>
      </c>
      <c r="BF661" s="10">
        <v>33.5</v>
      </c>
      <c r="BG661" s="107">
        <v>46176</v>
      </c>
      <c r="BH661" s="107">
        <f t="shared" si="291"/>
        <v>46206</v>
      </c>
      <c r="BI661" s="23">
        <v>7</v>
      </c>
      <c r="BJ661" s="6"/>
      <c r="BK661" s="6"/>
      <c r="BL661" s="6">
        <f>VLOOKUP(A661,[2]Sheet1!$D$2:$H$933,5,0)</f>
        <v>0</v>
      </c>
      <c r="BM661" s="6" t="s">
        <v>3828</v>
      </c>
      <c r="BN661" s="6" t="s">
        <v>3829</v>
      </c>
      <c r="BO661" s="6" t="s">
        <v>3820</v>
      </c>
      <c r="BP661" s="6" t="s">
        <v>3821</v>
      </c>
      <c r="BQ661" s="6" t="s">
        <v>3830</v>
      </c>
      <c r="BR661" t="s">
        <v>3823</v>
      </c>
      <c r="BS661" t="s">
        <v>3824</v>
      </c>
      <c r="BT661" t="s">
        <v>3825</v>
      </c>
      <c r="BU661" t="s">
        <v>3826</v>
      </c>
      <c r="BV661" t="s">
        <v>3827</v>
      </c>
      <c r="BW661" t="s">
        <v>3835</v>
      </c>
      <c r="BX661">
        <v>0</v>
      </c>
      <c r="BY661" t="s">
        <v>3869</v>
      </c>
      <c r="BZ661" t="s">
        <v>3860</v>
      </c>
    </row>
    <row r="662" spans="1:78" x14ac:dyDescent="0.25">
      <c r="A662" s="7" t="s">
        <v>2715</v>
      </c>
      <c r="B662" s="7" t="s">
        <v>181</v>
      </c>
      <c r="C662" s="7" t="s">
        <v>2713</v>
      </c>
      <c r="D662" s="8" t="s">
        <v>2714</v>
      </c>
      <c r="E662" s="7" t="s">
        <v>2716</v>
      </c>
      <c r="F662" s="9">
        <v>44958</v>
      </c>
      <c r="G662" s="9" t="s">
        <v>404</v>
      </c>
      <c r="H662" s="9" t="s">
        <v>66</v>
      </c>
      <c r="I662" s="8" t="s">
        <v>78</v>
      </c>
      <c r="J662" s="10">
        <v>775.01</v>
      </c>
      <c r="K662" s="10">
        <v>775.01</v>
      </c>
      <c r="L662" s="10">
        <f t="shared" si="292"/>
        <v>0</v>
      </c>
      <c r="M662" s="10">
        <v>358.44</v>
      </c>
      <c r="N662" s="10">
        <v>358.44</v>
      </c>
      <c r="O662" s="10">
        <f t="shared" si="293"/>
        <v>0</v>
      </c>
      <c r="P662" s="11">
        <v>14600</v>
      </c>
      <c r="Q662" s="11">
        <v>31567.754714875573</v>
      </c>
      <c r="R662" s="11">
        <v>22000</v>
      </c>
      <c r="S662" s="11">
        <v>11315146</v>
      </c>
      <c r="T662" s="11">
        <v>1357816</v>
      </c>
      <c r="U662" s="12">
        <f t="shared" si="294"/>
        <v>0.11999986566677973</v>
      </c>
      <c r="V662" s="13">
        <f t="shared" si="310"/>
        <v>0</v>
      </c>
      <c r="W662" s="10">
        <f t="shared" si="295"/>
        <v>0</v>
      </c>
      <c r="X662" s="10"/>
      <c r="Y662" s="10"/>
      <c r="Z662" s="11">
        <f t="shared" si="296"/>
        <v>11315146</v>
      </c>
      <c r="AA662" s="14"/>
      <c r="AB662" s="14"/>
      <c r="AC662" s="11">
        <f t="shared" si="297"/>
        <v>11315146</v>
      </c>
      <c r="AD662" s="10">
        <f t="shared" si="298"/>
        <v>300</v>
      </c>
      <c r="AE662" s="15">
        <v>107532</v>
      </c>
      <c r="AF662" s="16">
        <v>19356</v>
      </c>
      <c r="AG662" s="15">
        <f t="shared" si="299"/>
        <v>0</v>
      </c>
      <c r="AH662" s="15">
        <f t="shared" si="300"/>
        <v>0</v>
      </c>
      <c r="AI662" s="15">
        <f t="shared" si="301"/>
        <v>107532</v>
      </c>
      <c r="AJ662" s="15">
        <f t="shared" si="302"/>
        <v>19356</v>
      </c>
      <c r="AK662" s="10">
        <v>107532</v>
      </c>
      <c r="AL662" s="15">
        <f t="shared" si="303"/>
        <v>107532</v>
      </c>
      <c r="AM662" s="15">
        <f t="shared" si="304"/>
        <v>11422678</v>
      </c>
      <c r="AN662" s="15">
        <f t="shared" si="305"/>
        <v>1377172</v>
      </c>
      <c r="AO662" s="15">
        <f t="shared" si="311"/>
        <v>1503889</v>
      </c>
      <c r="AP662" s="17">
        <f t="shared" si="306"/>
        <v>12926567</v>
      </c>
      <c r="AQ662" s="15">
        <v>10772018</v>
      </c>
      <c r="AR662" s="15">
        <v>19185</v>
      </c>
      <c r="AS662" s="18">
        <f t="shared" si="312"/>
        <v>2154549</v>
      </c>
      <c r="AT662" s="19">
        <v>0</v>
      </c>
      <c r="AU662" s="8">
        <v>8800</v>
      </c>
      <c r="AV662" s="13">
        <f t="shared" si="313"/>
        <v>3154272</v>
      </c>
      <c r="AW662" s="18">
        <f t="shared" si="314"/>
        <v>11422678</v>
      </c>
      <c r="AX662" s="15">
        <f t="shared" si="307"/>
        <v>11423000</v>
      </c>
      <c r="AY662" s="20">
        <v>5.67E-2</v>
      </c>
      <c r="AZ662" s="13">
        <f t="shared" si="308"/>
        <v>647684.1</v>
      </c>
      <c r="BA662" s="15">
        <f t="shared" si="309"/>
        <v>647700</v>
      </c>
      <c r="BB662" s="21">
        <f t="shared" si="315"/>
        <v>2802249</v>
      </c>
      <c r="BC662" s="10">
        <f t="shared" si="316"/>
        <v>0</v>
      </c>
      <c r="BD662" s="10">
        <f t="shared" si="317"/>
        <v>0</v>
      </c>
      <c r="BE662" s="10">
        <v>72</v>
      </c>
      <c r="BF662" s="10">
        <v>33.299999999999997</v>
      </c>
      <c r="BG662" s="107">
        <v>46176</v>
      </c>
      <c r="BH662" s="107">
        <f t="shared" si="291"/>
        <v>46206</v>
      </c>
      <c r="BI662" s="23">
        <v>5.67</v>
      </c>
      <c r="BJ662" s="6"/>
      <c r="BK662" s="6"/>
      <c r="BL662" s="6">
        <f>VLOOKUP(A662,[2]Sheet1!$D$2:$H$933,5,0)</f>
        <v>0</v>
      </c>
      <c r="BM662" s="6" t="s">
        <v>3828</v>
      </c>
      <c r="BN662" s="6" t="s">
        <v>3829</v>
      </c>
      <c r="BO662" s="6" t="s">
        <v>3820</v>
      </c>
      <c r="BP662" s="6" t="s">
        <v>3821</v>
      </c>
      <c r="BQ662" s="6" t="s">
        <v>3830</v>
      </c>
      <c r="BR662" t="s">
        <v>3823</v>
      </c>
      <c r="BS662" t="s">
        <v>3824</v>
      </c>
      <c r="BT662" t="s">
        <v>3825</v>
      </c>
      <c r="BU662" t="s">
        <v>3826</v>
      </c>
      <c r="BV662" t="s">
        <v>3827</v>
      </c>
      <c r="BW662" t="s">
        <v>3835</v>
      </c>
      <c r="BX662">
        <v>0</v>
      </c>
      <c r="BY662" t="s">
        <v>3864</v>
      </c>
      <c r="BZ662" t="s">
        <v>3863</v>
      </c>
    </row>
    <row r="663" spans="1:78" x14ac:dyDescent="0.25">
      <c r="A663" s="65" t="s">
        <v>2719</v>
      </c>
      <c r="B663" s="7" t="s">
        <v>181</v>
      </c>
      <c r="C663" s="7" t="s">
        <v>2717</v>
      </c>
      <c r="D663" s="8" t="s">
        <v>2718</v>
      </c>
      <c r="E663" s="7" t="s">
        <v>2720</v>
      </c>
      <c r="F663" s="9">
        <v>45089</v>
      </c>
      <c r="G663" s="9" t="s">
        <v>404</v>
      </c>
      <c r="H663" s="9" t="s">
        <v>87</v>
      </c>
      <c r="I663" s="8" t="s">
        <v>78</v>
      </c>
      <c r="J663" s="10">
        <v>889.11</v>
      </c>
      <c r="K663" s="10">
        <v>889.11</v>
      </c>
      <c r="L663" s="10">
        <f t="shared" si="292"/>
        <v>0</v>
      </c>
      <c r="M663" s="10">
        <v>404.73</v>
      </c>
      <c r="N663" s="10">
        <v>404.73</v>
      </c>
      <c r="O663" s="10">
        <f t="shared" si="293"/>
        <v>0</v>
      </c>
      <c r="P663" s="11">
        <v>9726.8751897965376</v>
      </c>
      <c r="Q663" s="11">
        <v>21367.978652434955</v>
      </c>
      <c r="R663" s="11">
        <v>40000</v>
      </c>
      <c r="S663" s="11">
        <v>8648262</v>
      </c>
      <c r="T663" s="11">
        <v>1037794</v>
      </c>
      <c r="U663" s="12">
        <f t="shared" si="294"/>
        <v>0.12000029601323364</v>
      </c>
      <c r="V663" s="13">
        <f t="shared" si="310"/>
        <v>0</v>
      </c>
      <c r="W663" s="10">
        <f t="shared" si="295"/>
        <v>0</v>
      </c>
      <c r="X663" s="10"/>
      <c r="Y663" s="10"/>
      <c r="Z663" s="11">
        <f t="shared" si="296"/>
        <v>8648262</v>
      </c>
      <c r="AA663" s="14"/>
      <c r="AB663" s="14"/>
      <c r="AC663" s="11">
        <f t="shared" si="297"/>
        <v>8648262</v>
      </c>
      <c r="AD663" s="10">
        <f t="shared" si="298"/>
        <v>300</v>
      </c>
      <c r="AE663" s="15">
        <v>121419</v>
      </c>
      <c r="AF663" s="16">
        <v>21856</v>
      </c>
      <c r="AG663" s="15">
        <f t="shared" si="299"/>
        <v>0</v>
      </c>
      <c r="AH663" s="15">
        <f t="shared" si="300"/>
        <v>0</v>
      </c>
      <c r="AI663" s="15">
        <f t="shared" si="301"/>
        <v>121419</v>
      </c>
      <c r="AJ663" s="15">
        <f t="shared" si="302"/>
        <v>21856</v>
      </c>
      <c r="AK663" s="10">
        <v>121419</v>
      </c>
      <c r="AL663" s="15">
        <f t="shared" si="303"/>
        <v>121419</v>
      </c>
      <c r="AM663" s="15">
        <f t="shared" si="304"/>
        <v>8769681</v>
      </c>
      <c r="AN663" s="15">
        <f t="shared" si="305"/>
        <v>1059650</v>
      </c>
      <c r="AO663" s="15">
        <f t="shared" si="311"/>
        <v>1209998</v>
      </c>
      <c r="AP663" s="17">
        <f t="shared" si="306"/>
        <v>9979679</v>
      </c>
      <c r="AQ663" s="15">
        <v>2897788</v>
      </c>
      <c r="AR663" s="15">
        <v>28929</v>
      </c>
      <c r="AS663" s="18">
        <f t="shared" si="312"/>
        <v>7081891</v>
      </c>
      <c r="AT663" s="19">
        <v>0</v>
      </c>
      <c r="AU663" s="8">
        <v>8800</v>
      </c>
      <c r="AV663" s="13">
        <f t="shared" si="313"/>
        <v>3561624</v>
      </c>
      <c r="AW663" s="18">
        <f t="shared" si="314"/>
        <v>8769681</v>
      </c>
      <c r="AX663" s="15">
        <f t="shared" si="307"/>
        <v>8770000</v>
      </c>
      <c r="AY663" s="20">
        <v>0.05</v>
      </c>
      <c r="AZ663" s="13">
        <f t="shared" si="308"/>
        <v>438500</v>
      </c>
      <c r="BA663" s="15">
        <f t="shared" si="309"/>
        <v>438500</v>
      </c>
      <c r="BB663" s="21">
        <f t="shared" si="315"/>
        <v>7520391</v>
      </c>
      <c r="BC663" s="10">
        <f t="shared" si="316"/>
        <v>0</v>
      </c>
      <c r="BD663" s="10">
        <f t="shared" si="317"/>
        <v>0</v>
      </c>
      <c r="BE663" s="10">
        <v>82.6</v>
      </c>
      <c r="BF663" s="10">
        <v>37.6</v>
      </c>
      <c r="BG663" s="107">
        <v>46176</v>
      </c>
      <c r="BH663" s="107">
        <f t="shared" si="291"/>
        <v>46206</v>
      </c>
      <c r="BI663" s="23">
        <v>5</v>
      </c>
      <c r="BJ663" s="6"/>
      <c r="BK663" s="6"/>
      <c r="BL663" s="6">
        <f>VLOOKUP(A663,[2]Sheet1!$D$2:$H$933,5,0)</f>
        <v>0</v>
      </c>
      <c r="BM663" s="6" t="s">
        <v>3828</v>
      </c>
      <c r="BN663" s="6" t="s">
        <v>3829</v>
      </c>
      <c r="BO663" s="6" t="s">
        <v>3820</v>
      </c>
      <c r="BP663" s="6" t="s">
        <v>3821</v>
      </c>
      <c r="BQ663" s="6" t="s">
        <v>3830</v>
      </c>
      <c r="BR663" t="s">
        <v>3823</v>
      </c>
      <c r="BS663" t="s">
        <v>3824</v>
      </c>
      <c r="BT663" t="s">
        <v>3825</v>
      </c>
      <c r="BU663" t="s">
        <v>3826</v>
      </c>
      <c r="BV663" t="s">
        <v>3827</v>
      </c>
      <c r="BW663" t="s">
        <v>3835</v>
      </c>
      <c r="BX663">
        <v>0</v>
      </c>
      <c r="BY663" t="s">
        <v>3868</v>
      </c>
      <c r="BZ663" t="s">
        <v>3863</v>
      </c>
    </row>
    <row r="664" spans="1:78" x14ac:dyDescent="0.25">
      <c r="A664" s="7" t="s">
        <v>2723</v>
      </c>
      <c r="B664" s="7" t="s">
        <v>181</v>
      </c>
      <c r="C664" s="7" t="s">
        <v>2721</v>
      </c>
      <c r="D664" s="8" t="s">
        <v>2722</v>
      </c>
      <c r="E664" s="7" t="s">
        <v>2724</v>
      </c>
      <c r="F664" s="9">
        <v>45061</v>
      </c>
      <c r="G664" s="9" t="s">
        <v>363</v>
      </c>
      <c r="H664" s="9" t="s">
        <v>92</v>
      </c>
      <c r="I664" s="8" t="s">
        <v>78</v>
      </c>
      <c r="J664" s="10">
        <v>697.51</v>
      </c>
      <c r="K664" s="10">
        <v>697.51</v>
      </c>
      <c r="L664" s="10">
        <f t="shared" si="292"/>
        <v>0</v>
      </c>
      <c r="M664" s="10">
        <v>317.54000000000002</v>
      </c>
      <c r="N664" s="10">
        <v>317.54000000000002</v>
      </c>
      <c r="O664" s="10">
        <f t="shared" si="293"/>
        <v>0</v>
      </c>
      <c r="P664" s="11">
        <v>15000</v>
      </c>
      <c r="Q664" s="11">
        <v>32949.077281602316</v>
      </c>
      <c r="R664" s="11">
        <v>28000</v>
      </c>
      <c r="S664" s="11">
        <v>10462650</v>
      </c>
      <c r="T664" s="11">
        <v>1255520</v>
      </c>
      <c r="U664" s="12">
        <f t="shared" si="294"/>
        <v>0.12000019115616024</v>
      </c>
      <c r="V664" s="13">
        <f t="shared" si="310"/>
        <v>0</v>
      </c>
      <c r="W664" s="10">
        <f t="shared" si="295"/>
        <v>0</v>
      </c>
      <c r="X664" s="10"/>
      <c r="Y664" s="10"/>
      <c r="Z664" s="11">
        <f t="shared" si="296"/>
        <v>10462650</v>
      </c>
      <c r="AA664" s="14"/>
      <c r="AB664" s="14"/>
      <c r="AC664" s="11">
        <f t="shared" si="297"/>
        <v>10462650</v>
      </c>
      <c r="AD664" s="10">
        <f t="shared" si="298"/>
        <v>300</v>
      </c>
      <c r="AE664" s="15">
        <v>95262</v>
      </c>
      <c r="AF664" s="16">
        <v>17148</v>
      </c>
      <c r="AG664" s="15">
        <f t="shared" si="299"/>
        <v>0</v>
      </c>
      <c r="AH664" s="15">
        <f t="shared" si="300"/>
        <v>0</v>
      </c>
      <c r="AI664" s="15">
        <f t="shared" si="301"/>
        <v>95262</v>
      </c>
      <c r="AJ664" s="15">
        <f t="shared" si="302"/>
        <v>17148</v>
      </c>
      <c r="AK664" s="10">
        <v>95262</v>
      </c>
      <c r="AL664" s="15">
        <f t="shared" si="303"/>
        <v>95262</v>
      </c>
      <c r="AM664" s="15">
        <f t="shared" si="304"/>
        <v>10557912</v>
      </c>
      <c r="AN664" s="15">
        <f t="shared" si="305"/>
        <v>1272668</v>
      </c>
      <c r="AO664" s="15">
        <f t="shared" si="311"/>
        <v>1397054</v>
      </c>
      <c r="AP664" s="17">
        <f t="shared" si="306"/>
        <v>11954966</v>
      </c>
      <c r="AQ664" s="15">
        <v>4687267</v>
      </c>
      <c r="AR664" s="15">
        <v>29124</v>
      </c>
      <c r="AS664" s="18">
        <f t="shared" si="312"/>
        <v>7267699</v>
      </c>
      <c r="AT664" s="19">
        <v>0</v>
      </c>
      <c r="AU664" s="8">
        <v>8800</v>
      </c>
      <c r="AV664" s="13">
        <f t="shared" si="313"/>
        <v>2794352</v>
      </c>
      <c r="AW664" s="18">
        <f t="shared" si="314"/>
        <v>10557912</v>
      </c>
      <c r="AX664" s="15">
        <f t="shared" si="307"/>
        <v>10558000</v>
      </c>
      <c r="AY664" s="20">
        <v>7.0000000000000007E-2</v>
      </c>
      <c r="AZ664" s="13">
        <f t="shared" si="308"/>
        <v>739060.00000000012</v>
      </c>
      <c r="BA664" s="15">
        <f t="shared" si="309"/>
        <v>739100</v>
      </c>
      <c r="BB664" s="21">
        <f t="shared" si="315"/>
        <v>8006799</v>
      </c>
      <c r="BC664" s="10">
        <f t="shared" si="316"/>
        <v>0</v>
      </c>
      <c r="BD664" s="10">
        <f t="shared" si="317"/>
        <v>0</v>
      </c>
      <c r="BE664" s="10">
        <v>64.8</v>
      </c>
      <c r="BF664" s="10">
        <v>29.5</v>
      </c>
      <c r="BG664" s="107">
        <v>46176</v>
      </c>
      <c r="BH664" s="107">
        <f t="shared" si="291"/>
        <v>46206</v>
      </c>
      <c r="BI664" s="23">
        <v>7</v>
      </c>
      <c r="BJ664" s="6"/>
      <c r="BK664" s="6"/>
      <c r="BL664" s="6">
        <f>VLOOKUP(A664,[2]Sheet1!$D$2:$H$933,5,0)</f>
        <v>0</v>
      </c>
      <c r="BM664" s="6" t="s">
        <v>3828</v>
      </c>
      <c r="BN664" s="6" t="s">
        <v>3829</v>
      </c>
      <c r="BO664" s="6" t="s">
        <v>3820</v>
      </c>
      <c r="BP664" s="6" t="s">
        <v>3821</v>
      </c>
      <c r="BQ664" s="6" t="s">
        <v>3830</v>
      </c>
      <c r="BR664" t="s">
        <v>3823</v>
      </c>
      <c r="BS664" t="s">
        <v>3824</v>
      </c>
      <c r="BT664" t="s">
        <v>3825</v>
      </c>
      <c r="BU664" t="s">
        <v>3826</v>
      </c>
      <c r="BV664" t="s">
        <v>3827</v>
      </c>
      <c r="BW664" t="s">
        <v>3835</v>
      </c>
      <c r="BX664">
        <v>0</v>
      </c>
      <c r="BY664" t="s">
        <v>3866</v>
      </c>
      <c r="BZ664" t="s">
        <v>3860</v>
      </c>
    </row>
    <row r="665" spans="1:78" x14ac:dyDescent="0.25">
      <c r="A665" s="7" t="s">
        <v>2727</v>
      </c>
      <c r="B665" s="7" t="s">
        <v>181</v>
      </c>
      <c r="C665" s="7" t="s">
        <v>2725</v>
      </c>
      <c r="D665" s="8" t="s">
        <v>2726</v>
      </c>
      <c r="E665" s="7" t="s">
        <v>2728</v>
      </c>
      <c r="F665" s="9">
        <v>45003</v>
      </c>
      <c r="G665" s="9" t="s">
        <v>363</v>
      </c>
      <c r="H665" s="9" t="s">
        <v>87</v>
      </c>
      <c r="I665" s="8" t="s">
        <v>67</v>
      </c>
      <c r="J665" s="10">
        <v>220.06</v>
      </c>
      <c r="K665" s="10">
        <v>220.06</v>
      </c>
      <c r="L665" s="10">
        <f t="shared" si="292"/>
        <v>0</v>
      </c>
      <c r="M665" s="10">
        <v>88.26</v>
      </c>
      <c r="N665" s="10">
        <v>88.26</v>
      </c>
      <c r="O665" s="10">
        <f t="shared" si="293"/>
        <v>0</v>
      </c>
      <c r="P665" s="11">
        <v>23005.784785967462</v>
      </c>
      <c r="Q665" s="11">
        <v>57360.673011556763</v>
      </c>
      <c r="R665" s="11">
        <v>40000</v>
      </c>
      <c r="S665" s="11">
        <v>5062653</v>
      </c>
      <c r="T665" s="11">
        <v>607520</v>
      </c>
      <c r="U665" s="12">
        <f t="shared" si="294"/>
        <v>0.12000032394082707</v>
      </c>
      <c r="V665" s="13">
        <f t="shared" si="310"/>
        <v>0</v>
      </c>
      <c r="W665" s="10">
        <f t="shared" si="295"/>
        <v>0</v>
      </c>
      <c r="X665" s="10"/>
      <c r="Y665" s="10"/>
      <c r="Z665" s="11">
        <f t="shared" si="296"/>
        <v>5062653</v>
      </c>
      <c r="AA665" s="14"/>
      <c r="AB665" s="14"/>
      <c r="AC665" s="11">
        <f t="shared" si="297"/>
        <v>5062653</v>
      </c>
      <c r="AD665" s="10">
        <f t="shared" si="298"/>
        <v>300</v>
      </c>
      <c r="AE665" s="15">
        <v>26478</v>
      </c>
      <c r="AF665" s="16">
        <v>4766</v>
      </c>
      <c r="AG665" s="15">
        <f t="shared" si="299"/>
        <v>0</v>
      </c>
      <c r="AH665" s="15">
        <f t="shared" si="300"/>
        <v>0</v>
      </c>
      <c r="AI665" s="15">
        <f t="shared" si="301"/>
        <v>26478</v>
      </c>
      <c r="AJ665" s="15">
        <f t="shared" si="302"/>
        <v>4767</v>
      </c>
      <c r="AK665" s="10">
        <v>26478</v>
      </c>
      <c r="AL665" s="15">
        <f t="shared" si="303"/>
        <v>26478</v>
      </c>
      <c r="AM665" s="15">
        <f t="shared" si="304"/>
        <v>5089131</v>
      </c>
      <c r="AN665" s="15">
        <f t="shared" si="305"/>
        <v>612287</v>
      </c>
      <c r="AO665" s="15">
        <f t="shared" si="311"/>
        <v>664003.12</v>
      </c>
      <c r="AP665" s="17">
        <f t="shared" si="306"/>
        <v>5753134.1200000001</v>
      </c>
      <c r="AQ665" s="15">
        <v>1596069</v>
      </c>
      <c r="AR665" s="15">
        <v>25238.12</v>
      </c>
      <c r="AS665" s="18">
        <f t="shared" si="312"/>
        <v>4157065</v>
      </c>
      <c r="AT665" s="19">
        <v>0</v>
      </c>
      <c r="AU665" s="8">
        <v>8800</v>
      </c>
      <c r="AV665" s="13">
        <f t="shared" si="313"/>
        <v>776688</v>
      </c>
      <c r="AW665" s="18">
        <f t="shared" si="314"/>
        <v>5089131</v>
      </c>
      <c r="AX665" s="15">
        <f t="shared" si="307"/>
        <v>5090000</v>
      </c>
      <c r="AY665" s="20">
        <v>0.05</v>
      </c>
      <c r="AZ665" s="13">
        <f t="shared" si="308"/>
        <v>254500</v>
      </c>
      <c r="BA665" s="15">
        <f t="shared" si="309"/>
        <v>254500</v>
      </c>
      <c r="BB665" s="21">
        <f t="shared" si="315"/>
        <v>4411565</v>
      </c>
      <c r="BC665" s="10">
        <f t="shared" si="316"/>
        <v>0</v>
      </c>
      <c r="BD665" s="10">
        <f t="shared" si="317"/>
        <v>0</v>
      </c>
      <c r="BE665" s="10">
        <v>20.440000000000001</v>
      </c>
      <c r="BF665" s="10">
        <v>8.1999999999999993</v>
      </c>
      <c r="BG665" s="107">
        <v>46176</v>
      </c>
      <c r="BH665" s="107">
        <f t="shared" si="291"/>
        <v>46206</v>
      </c>
      <c r="BI665" s="23">
        <v>5</v>
      </c>
      <c r="BJ665" s="6"/>
      <c r="BK665" s="6"/>
      <c r="BL665" s="6">
        <f>VLOOKUP(A665,[2]Sheet1!$D$2:$H$933,5,0)</f>
        <v>0</v>
      </c>
      <c r="BM665" s="6" t="s">
        <v>3828</v>
      </c>
      <c r="BN665" s="6" t="s">
        <v>3829</v>
      </c>
      <c r="BO665" s="6" t="s">
        <v>3820</v>
      </c>
      <c r="BP665" s="6" t="s">
        <v>3821</v>
      </c>
      <c r="BQ665" s="6" t="s">
        <v>3830</v>
      </c>
      <c r="BR665" t="s">
        <v>3823</v>
      </c>
      <c r="BS665" t="s">
        <v>3824</v>
      </c>
      <c r="BT665" t="s">
        <v>3825</v>
      </c>
      <c r="BU665" t="s">
        <v>3826</v>
      </c>
      <c r="BV665" t="s">
        <v>3827</v>
      </c>
      <c r="BW665" t="s">
        <v>3835</v>
      </c>
      <c r="BX665">
        <v>0</v>
      </c>
      <c r="BY665" t="s">
        <v>3870</v>
      </c>
      <c r="BZ665" t="s">
        <v>3860</v>
      </c>
    </row>
    <row r="666" spans="1:78" x14ac:dyDescent="0.25">
      <c r="A666" s="7" t="s">
        <v>2731</v>
      </c>
      <c r="B666" s="7" t="s">
        <v>181</v>
      </c>
      <c r="C666" s="7" t="s">
        <v>2729</v>
      </c>
      <c r="D666" s="8" t="s">
        <v>2730</v>
      </c>
      <c r="E666" s="7" t="s">
        <v>2732</v>
      </c>
      <c r="F666" s="9">
        <v>44872</v>
      </c>
      <c r="G666" s="9" t="s">
        <v>717</v>
      </c>
      <c r="H666" s="9" t="s">
        <v>66</v>
      </c>
      <c r="I666" s="8" t="s">
        <v>78</v>
      </c>
      <c r="J666" s="10">
        <v>1064.3399999999999</v>
      </c>
      <c r="K666" s="10">
        <v>1064.3399999999999</v>
      </c>
      <c r="L666" s="10">
        <f t="shared" si="292"/>
        <v>0</v>
      </c>
      <c r="M666" s="10">
        <v>482.23</v>
      </c>
      <c r="N666" s="10">
        <v>482.23</v>
      </c>
      <c r="O666" s="10">
        <f t="shared" si="293"/>
        <v>0</v>
      </c>
      <c r="P666" s="11">
        <v>14900.000000000002</v>
      </c>
      <c r="Q666" s="11">
        <v>32886.104141177442</v>
      </c>
      <c r="R666" s="11">
        <v>22000</v>
      </c>
      <c r="S666" s="11">
        <v>15858666</v>
      </c>
      <c r="T666" s="11">
        <v>1903040</v>
      </c>
      <c r="U666" s="12">
        <f t="shared" si="294"/>
        <v>0.1200000050445605</v>
      </c>
      <c r="V666" s="13">
        <f t="shared" si="310"/>
        <v>0</v>
      </c>
      <c r="W666" s="10">
        <f t="shared" si="295"/>
        <v>0</v>
      </c>
      <c r="X666" s="10"/>
      <c r="Y666" s="10"/>
      <c r="Z666" s="11">
        <f t="shared" si="296"/>
        <v>15858666</v>
      </c>
      <c r="AA666" s="14"/>
      <c r="AB666" s="14"/>
      <c r="AC666" s="11">
        <f t="shared" si="297"/>
        <v>15858666</v>
      </c>
      <c r="AD666" s="10">
        <f t="shared" si="298"/>
        <v>300</v>
      </c>
      <c r="AE666" s="15">
        <v>144669</v>
      </c>
      <c r="AF666" s="16">
        <v>26040</v>
      </c>
      <c r="AG666" s="15">
        <f t="shared" si="299"/>
        <v>0</v>
      </c>
      <c r="AH666" s="15">
        <f t="shared" si="300"/>
        <v>0</v>
      </c>
      <c r="AI666" s="15">
        <f t="shared" si="301"/>
        <v>144669</v>
      </c>
      <c r="AJ666" s="15">
        <f t="shared" si="302"/>
        <v>26041</v>
      </c>
      <c r="AK666" s="10">
        <v>144669</v>
      </c>
      <c r="AL666" s="15">
        <f t="shared" si="303"/>
        <v>144669</v>
      </c>
      <c r="AM666" s="15">
        <f t="shared" si="304"/>
        <v>16003335</v>
      </c>
      <c r="AN666" s="15">
        <f t="shared" si="305"/>
        <v>1929081</v>
      </c>
      <c r="AO666" s="15">
        <f t="shared" si="311"/>
        <v>2093384</v>
      </c>
      <c r="AP666" s="17">
        <f t="shared" si="306"/>
        <v>18096719</v>
      </c>
      <c r="AQ666" s="15">
        <v>15842807</v>
      </c>
      <c r="AR666" s="15">
        <v>19634</v>
      </c>
      <c r="AS666" s="18">
        <f t="shared" si="312"/>
        <v>2253912</v>
      </c>
      <c r="AT666" s="19">
        <v>0</v>
      </c>
      <c r="AU666" s="8">
        <v>8800</v>
      </c>
      <c r="AV666" s="13">
        <f t="shared" si="313"/>
        <v>4243624</v>
      </c>
      <c r="AW666" s="18">
        <f t="shared" si="314"/>
        <v>16003335</v>
      </c>
      <c r="AX666" s="15">
        <f t="shared" si="307"/>
        <v>16004000</v>
      </c>
      <c r="AY666" s="20">
        <v>0.06</v>
      </c>
      <c r="AZ666" s="13">
        <f t="shared" si="308"/>
        <v>960240</v>
      </c>
      <c r="BA666" s="15">
        <f t="shared" si="309"/>
        <v>960300</v>
      </c>
      <c r="BB666" s="21">
        <f t="shared" si="315"/>
        <v>3214212</v>
      </c>
      <c r="BC666" s="10">
        <f t="shared" si="316"/>
        <v>0</v>
      </c>
      <c r="BD666" s="10">
        <f t="shared" si="317"/>
        <v>0</v>
      </c>
      <c r="BE666" s="10">
        <v>98.88</v>
      </c>
      <c r="BF666" s="10">
        <v>44.8</v>
      </c>
      <c r="BG666" s="107">
        <v>46176</v>
      </c>
      <c r="BH666" s="107">
        <f t="shared" si="291"/>
        <v>46206</v>
      </c>
      <c r="BI666" s="23">
        <v>6</v>
      </c>
      <c r="BJ666" s="6"/>
      <c r="BK666" s="6"/>
      <c r="BL666" s="6">
        <f>VLOOKUP(A666,[2]Sheet1!$D$2:$H$933,5,0)</f>
        <v>0</v>
      </c>
      <c r="BM666" s="6" t="s">
        <v>3828</v>
      </c>
      <c r="BN666" s="6" t="s">
        <v>3829</v>
      </c>
      <c r="BO666" s="6" t="s">
        <v>3820</v>
      </c>
      <c r="BP666" s="6" t="s">
        <v>3821</v>
      </c>
      <c r="BQ666" s="6" t="s">
        <v>3830</v>
      </c>
      <c r="BR666" t="s">
        <v>3823</v>
      </c>
      <c r="BS666" t="s">
        <v>3824</v>
      </c>
      <c r="BT666" t="s">
        <v>3825</v>
      </c>
      <c r="BU666" t="s">
        <v>3826</v>
      </c>
      <c r="BV666" t="s">
        <v>3827</v>
      </c>
      <c r="BW666" t="s">
        <v>3835</v>
      </c>
      <c r="BX666">
        <v>0</v>
      </c>
      <c r="BY666" t="s">
        <v>3866</v>
      </c>
      <c r="BZ666" t="s">
        <v>3872</v>
      </c>
    </row>
    <row r="667" spans="1:78" x14ac:dyDescent="0.25">
      <c r="A667" s="7" t="s">
        <v>2735</v>
      </c>
      <c r="B667" s="7" t="s">
        <v>181</v>
      </c>
      <c r="C667" s="7" t="s">
        <v>2733</v>
      </c>
      <c r="D667" s="8" t="s">
        <v>2734</v>
      </c>
      <c r="E667" s="7" t="s">
        <v>2724</v>
      </c>
      <c r="F667" s="9">
        <v>45065</v>
      </c>
      <c r="G667" s="9" t="s">
        <v>363</v>
      </c>
      <c r="H667" s="9" t="s">
        <v>92</v>
      </c>
      <c r="I667" s="8" t="s">
        <v>78</v>
      </c>
      <c r="J667" s="10">
        <v>714.73</v>
      </c>
      <c r="K667" s="10">
        <v>714.73</v>
      </c>
      <c r="L667" s="10">
        <f t="shared" si="292"/>
        <v>0</v>
      </c>
      <c r="M667" s="10">
        <v>317.54000000000002</v>
      </c>
      <c r="N667" s="10">
        <v>317.54000000000002</v>
      </c>
      <c r="O667" s="10">
        <f t="shared" si="293"/>
        <v>0</v>
      </c>
      <c r="P667" s="11">
        <v>14000</v>
      </c>
      <c r="Q667" s="11">
        <v>31511.683567424574</v>
      </c>
      <c r="R667" s="11">
        <v>28000</v>
      </c>
      <c r="S667" s="11">
        <v>10006220</v>
      </c>
      <c r="T667" s="11">
        <v>1200746</v>
      </c>
      <c r="U667" s="12">
        <f t="shared" si="294"/>
        <v>0.11999996002486453</v>
      </c>
      <c r="V667" s="13">
        <f t="shared" si="310"/>
        <v>0</v>
      </c>
      <c r="W667" s="10">
        <f t="shared" si="295"/>
        <v>0</v>
      </c>
      <c r="X667" s="10"/>
      <c r="Y667" s="10"/>
      <c r="Z667" s="11">
        <f t="shared" si="296"/>
        <v>10006220</v>
      </c>
      <c r="AA667" s="14"/>
      <c r="AB667" s="14"/>
      <c r="AC667" s="11">
        <f t="shared" si="297"/>
        <v>10006220</v>
      </c>
      <c r="AD667" s="10">
        <f t="shared" si="298"/>
        <v>300</v>
      </c>
      <c r="AE667" s="15">
        <v>95262</v>
      </c>
      <c r="AF667" s="16">
        <v>17148</v>
      </c>
      <c r="AG667" s="15">
        <f t="shared" si="299"/>
        <v>0</v>
      </c>
      <c r="AH667" s="15">
        <f t="shared" si="300"/>
        <v>0</v>
      </c>
      <c r="AI667" s="15">
        <f t="shared" si="301"/>
        <v>95262</v>
      </c>
      <c r="AJ667" s="15">
        <f t="shared" si="302"/>
        <v>17148</v>
      </c>
      <c r="AK667" s="10">
        <v>95262</v>
      </c>
      <c r="AL667" s="15">
        <f t="shared" si="303"/>
        <v>95262</v>
      </c>
      <c r="AM667" s="15">
        <f t="shared" si="304"/>
        <v>10101482</v>
      </c>
      <c r="AN667" s="15">
        <f t="shared" si="305"/>
        <v>1217894</v>
      </c>
      <c r="AO667" s="15">
        <f t="shared" si="311"/>
        <v>1342404</v>
      </c>
      <c r="AP667" s="17">
        <f t="shared" si="306"/>
        <v>11443886</v>
      </c>
      <c r="AQ667" s="15">
        <v>4202612</v>
      </c>
      <c r="AR667" s="15">
        <v>29248</v>
      </c>
      <c r="AS667" s="18">
        <f t="shared" si="312"/>
        <v>7241274</v>
      </c>
      <c r="AT667" s="19">
        <v>0</v>
      </c>
      <c r="AU667" s="8">
        <v>8800</v>
      </c>
      <c r="AV667" s="13">
        <f t="shared" si="313"/>
        <v>2794352</v>
      </c>
      <c r="AW667" s="18">
        <f t="shared" si="314"/>
        <v>10101482</v>
      </c>
      <c r="AX667" s="15">
        <f t="shared" si="307"/>
        <v>10102000</v>
      </c>
      <c r="AY667" s="20">
        <v>7.0000000000000007E-2</v>
      </c>
      <c r="AZ667" s="13">
        <f t="shared" si="308"/>
        <v>707140.00000000012</v>
      </c>
      <c r="BA667" s="15">
        <f t="shared" si="309"/>
        <v>707200</v>
      </c>
      <c r="BB667" s="21">
        <f t="shared" si="315"/>
        <v>7948474</v>
      </c>
      <c r="BC667" s="10">
        <f t="shared" si="316"/>
        <v>0</v>
      </c>
      <c r="BD667" s="10">
        <f t="shared" si="317"/>
        <v>0</v>
      </c>
      <c r="BE667" s="10">
        <v>66.400000000000006</v>
      </c>
      <c r="BF667" s="10">
        <v>29.5</v>
      </c>
      <c r="BG667" s="107">
        <v>46176</v>
      </c>
      <c r="BH667" s="107">
        <f t="shared" si="291"/>
        <v>46206</v>
      </c>
      <c r="BI667" s="23">
        <v>7</v>
      </c>
      <c r="BJ667" s="6"/>
      <c r="BK667" s="6"/>
      <c r="BL667" s="6">
        <f>VLOOKUP(A667,[2]Sheet1!$D$2:$H$933,5,0)</f>
        <v>0</v>
      </c>
      <c r="BM667" s="6" t="s">
        <v>3828</v>
      </c>
      <c r="BN667" s="6" t="s">
        <v>3829</v>
      </c>
      <c r="BO667" s="6" t="s">
        <v>3820</v>
      </c>
      <c r="BP667" s="6" t="s">
        <v>3821</v>
      </c>
      <c r="BQ667" s="6" t="s">
        <v>3830</v>
      </c>
      <c r="BR667" t="s">
        <v>3823</v>
      </c>
      <c r="BS667" t="s">
        <v>3824</v>
      </c>
      <c r="BT667" t="s">
        <v>3825</v>
      </c>
      <c r="BU667" t="s">
        <v>3826</v>
      </c>
      <c r="BV667" t="s">
        <v>3827</v>
      </c>
      <c r="BW667" t="s">
        <v>3835</v>
      </c>
      <c r="BX667">
        <v>0</v>
      </c>
      <c r="BY667" t="s">
        <v>3866</v>
      </c>
      <c r="BZ667" t="s">
        <v>3860</v>
      </c>
    </row>
    <row r="668" spans="1:78" x14ac:dyDescent="0.25">
      <c r="A668" s="7" t="s">
        <v>2738</v>
      </c>
      <c r="B668" s="7" t="s">
        <v>181</v>
      </c>
      <c r="C668" s="7" t="s">
        <v>2736</v>
      </c>
      <c r="D668" s="8" t="s">
        <v>2737</v>
      </c>
      <c r="E668" s="7" t="s">
        <v>981</v>
      </c>
      <c r="F668" s="9">
        <v>45045</v>
      </c>
      <c r="G668" s="9" t="s">
        <v>717</v>
      </c>
      <c r="H668" s="9" t="s">
        <v>87</v>
      </c>
      <c r="I668" s="8" t="s">
        <v>78</v>
      </c>
      <c r="J668" s="10">
        <v>663.06</v>
      </c>
      <c r="K668" s="10">
        <v>663.06</v>
      </c>
      <c r="L668" s="10">
        <f t="shared" si="292"/>
        <v>0</v>
      </c>
      <c r="M668" s="10">
        <v>298.16000000000003</v>
      </c>
      <c r="N668" s="10">
        <v>298.16000000000003</v>
      </c>
      <c r="O668" s="10">
        <f t="shared" si="293"/>
        <v>0</v>
      </c>
      <c r="P668" s="11">
        <v>10000</v>
      </c>
      <c r="Q668" s="11">
        <v>22238.395492353098</v>
      </c>
      <c r="R668" s="11">
        <v>40000</v>
      </c>
      <c r="S668" s="11">
        <v>6630600</v>
      </c>
      <c r="T668" s="11">
        <v>795674</v>
      </c>
      <c r="U668" s="12">
        <f t="shared" si="294"/>
        <v>0.12000030163182819</v>
      </c>
      <c r="V668" s="13">
        <f t="shared" si="310"/>
        <v>0</v>
      </c>
      <c r="W668" s="10">
        <f t="shared" si="295"/>
        <v>0</v>
      </c>
      <c r="X668" s="10"/>
      <c r="Y668" s="10"/>
      <c r="Z668" s="11">
        <f t="shared" si="296"/>
        <v>6630600</v>
      </c>
      <c r="AA668" s="14"/>
      <c r="AB668" s="14"/>
      <c r="AC668" s="11">
        <f t="shared" si="297"/>
        <v>6630600</v>
      </c>
      <c r="AD668" s="10">
        <f t="shared" si="298"/>
        <v>300</v>
      </c>
      <c r="AE668" s="15">
        <v>89448</v>
      </c>
      <c r="AF668" s="16">
        <v>16100</v>
      </c>
      <c r="AG668" s="15">
        <f t="shared" si="299"/>
        <v>0</v>
      </c>
      <c r="AH668" s="15">
        <f t="shared" si="300"/>
        <v>0</v>
      </c>
      <c r="AI668" s="15">
        <f t="shared" si="301"/>
        <v>89448.000000000015</v>
      </c>
      <c r="AJ668" s="15">
        <f t="shared" si="302"/>
        <v>16101</v>
      </c>
      <c r="AK668" s="10">
        <v>89448</v>
      </c>
      <c r="AL668" s="15">
        <f t="shared" si="303"/>
        <v>89448.000000000015</v>
      </c>
      <c r="AM668" s="15">
        <f t="shared" si="304"/>
        <v>6720048</v>
      </c>
      <c r="AN668" s="15">
        <f t="shared" si="305"/>
        <v>811775</v>
      </c>
      <c r="AO668" s="15">
        <f t="shared" si="311"/>
        <v>930751</v>
      </c>
      <c r="AP668" s="17">
        <f t="shared" si="306"/>
        <v>7650799</v>
      </c>
      <c r="AQ668" s="15">
        <v>743646</v>
      </c>
      <c r="AR668" s="15">
        <v>29528</v>
      </c>
      <c r="AS668" s="18">
        <f t="shared" si="312"/>
        <v>6907153</v>
      </c>
      <c r="AT668" s="19">
        <v>0</v>
      </c>
      <c r="AU668" s="8">
        <v>8800</v>
      </c>
      <c r="AV668" s="13">
        <f t="shared" si="313"/>
        <v>2623808</v>
      </c>
      <c r="AW668" s="18">
        <f t="shared" si="314"/>
        <v>6720048</v>
      </c>
      <c r="AX668" s="15">
        <f t="shared" si="307"/>
        <v>6721000</v>
      </c>
      <c r="AY668" s="20">
        <v>7.0000000000000007E-2</v>
      </c>
      <c r="AZ668" s="13">
        <f t="shared" si="308"/>
        <v>470470.00000000006</v>
      </c>
      <c r="BA668" s="15">
        <f t="shared" si="309"/>
        <v>470500</v>
      </c>
      <c r="BB668" s="21">
        <f t="shared" si="315"/>
        <v>7377653</v>
      </c>
      <c r="BC668" s="10">
        <f t="shared" si="316"/>
        <v>0</v>
      </c>
      <c r="BD668" s="10">
        <f t="shared" si="317"/>
        <v>0</v>
      </c>
      <c r="BE668" s="10">
        <v>61.6</v>
      </c>
      <c r="BF668" s="10">
        <v>27.7</v>
      </c>
      <c r="BG668" s="107">
        <v>46176</v>
      </c>
      <c r="BH668" s="107">
        <f t="shared" si="291"/>
        <v>46206</v>
      </c>
      <c r="BI668" s="23">
        <v>7</v>
      </c>
      <c r="BJ668" s="6"/>
      <c r="BK668" s="6"/>
      <c r="BL668" s="6">
        <f>VLOOKUP(A668,[2]Sheet1!$D$2:$H$933,5,0)</f>
        <v>0</v>
      </c>
      <c r="BM668" s="6" t="s">
        <v>3828</v>
      </c>
      <c r="BN668" s="6" t="s">
        <v>3829</v>
      </c>
      <c r="BO668" s="6" t="s">
        <v>3820</v>
      </c>
      <c r="BP668" s="6" t="s">
        <v>3821</v>
      </c>
      <c r="BQ668" s="6" t="s">
        <v>3830</v>
      </c>
      <c r="BR668" t="s">
        <v>3823</v>
      </c>
      <c r="BS668" t="s">
        <v>3824</v>
      </c>
      <c r="BT668" t="s">
        <v>3825</v>
      </c>
      <c r="BU668" t="s">
        <v>3826</v>
      </c>
      <c r="BV668" t="s">
        <v>3827</v>
      </c>
      <c r="BW668" t="s">
        <v>3835</v>
      </c>
      <c r="BX668">
        <v>0</v>
      </c>
      <c r="BY668" t="s">
        <v>3861</v>
      </c>
      <c r="BZ668" t="s">
        <v>3872</v>
      </c>
    </row>
    <row r="669" spans="1:78" x14ac:dyDescent="0.25">
      <c r="A669" s="31" t="s">
        <v>2741</v>
      </c>
      <c r="B669" s="31" t="s">
        <v>181</v>
      </c>
      <c r="C669" s="31" t="s">
        <v>2739</v>
      </c>
      <c r="D669" s="32" t="s">
        <v>2740</v>
      </c>
      <c r="E669" s="31" t="s">
        <v>2366</v>
      </c>
      <c r="F669" s="33">
        <v>45019</v>
      </c>
      <c r="G669" s="33" t="s">
        <v>404</v>
      </c>
      <c r="H669" s="33" t="s">
        <v>87</v>
      </c>
      <c r="I669" s="32" t="s">
        <v>78</v>
      </c>
      <c r="J669" s="34">
        <v>875.11</v>
      </c>
      <c r="K669" s="34">
        <v>875.11</v>
      </c>
      <c r="L669" s="34">
        <f t="shared" si="292"/>
        <v>0</v>
      </c>
      <c r="M669" s="34">
        <v>404.73</v>
      </c>
      <c r="N669" s="34">
        <v>404.73</v>
      </c>
      <c r="O669" s="34">
        <f t="shared" si="293"/>
        <v>0</v>
      </c>
      <c r="P669" s="35">
        <v>19500</v>
      </c>
      <c r="Q669" s="35">
        <v>42163.034615669705</v>
      </c>
      <c r="R669" s="35">
        <v>40000</v>
      </c>
      <c r="S669" s="35">
        <v>17064645</v>
      </c>
      <c r="T669" s="35">
        <v>2047760</v>
      </c>
      <c r="U669" s="36">
        <f t="shared" si="294"/>
        <v>0.12000015236179833</v>
      </c>
      <c r="V669" s="37">
        <f t="shared" si="310"/>
        <v>0</v>
      </c>
      <c r="W669" s="34">
        <f t="shared" si="295"/>
        <v>0</v>
      </c>
      <c r="X669" s="34"/>
      <c r="Y669" s="34"/>
      <c r="Z669" s="35">
        <f t="shared" si="296"/>
        <v>17064645</v>
      </c>
      <c r="AA669" s="38">
        <v>51919</v>
      </c>
      <c r="AB669" s="38">
        <v>6230</v>
      </c>
      <c r="AC669" s="35">
        <f t="shared" si="297"/>
        <v>17012726</v>
      </c>
      <c r="AD669" s="34">
        <f t="shared" si="298"/>
        <v>300</v>
      </c>
      <c r="AE669" s="39">
        <v>121419</v>
      </c>
      <c r="AF669" s="40">
        <v>21856</v>
      </c>
      <c r="AG669" s="39">
        <f t="shared" si="299"/>
        <v>0</v>
      </c>
      <c r="AH669" s="39">
        <f t="shared" si="300"/>
        <v>0</v>
      </c>
      <c r="AI669" s="39">
        <f t="shared" si="301"/>
        <v>121419</v>
      </c>
      <c r="AJ669" s="39">
        <f t="shared" si="302"/>
        <v>21856</v>
      </c>
      <c r="AK669" s="34">
        <v>121419</v>
      </c>
      <c r="AL669" s="39">
        <f t="shared" si="303"/>
        <v>121419</v>
      </c>
      <c r="AM669" s="39">
        <f t="shared" si="304"/>
        <v>17134145</v>
      </c>
      <c r="AN669" s="39">
        <f t="shared" si="305"/>
        <v>2063386</v>
      </c>
      <c r="AO669" s="39">
        <f t="shared" si="311"/>
        <v>2214631</v>
      </c>
      <c r="AP669" s="41">
        <f t="shared" si="306"/>
        <v>19348776</v>
      </c>
      <c r="AQ669" s="39">
        <v>11141524</v>
      </c>
      <c r="AR669" s="15">
        <v>29826</v>
      </c>
      <c r="AS669" s="42">
        <f t="shared" si="312"/>
        <v>8207252</v>
      </c>
      <c r="AT669" s="43">
        <v>0</v>
      </c>
      <c r="AU669" s="32">
        <v>8800</v>
      </c>
      <c r="AV669" s="37">
        <f t="shared" si="313"/>
        <v>3561624</v>
      </c>
      <c r="AW669" s="42">
        <f t="shared" si="314"/>
        <v>17134145</v>
      </c>
      <c r="AX669" s="39">
        <f t="shared" si="307"/>
        <v>17135000</v>
      </c>
      <c r="AY669" s="44">
        <v>7.0000000000000007E-2</v>
      </c>
      <c r="AZ669" s="37">
        <f t="shared" si="308"/>
        <v>1199450</v>
      </c>
      <c r="BA669" s="39">
        <f t="shared" si="309"/>
        <v>1199500</v>
      </c>
      <c r="BB669" s="45">
        <f t="shared" si="315"/>
        <v>9406752</v>
      </c>
      <c r="BC669" s="34">
        <f t="shared" si="316"/>
        <v>0</v>
      </c>
      <c r="BD669" s="34">
        <f t="shared" si="317"/>
        <v>0</v>
      </c>
      <c r="BE669" s="34">
        <v>81.3</v>
      </c>
      <c r="BF669" s="34">
        <v>37.6</v>
      </c>
      <c r="BG669" s="107">
        <v>46176</v>
      </c>
      <c r="BH669" s="108">
        <f t="shared" si="291"/>
        <v>46206</v>
      </c>
      <c r="BI669" s="46">
        <v>7</v>
      </c>
      <c r="BJ669" s="47" t="s">
        <v>208</v>
      </c>
      <c r="BK669" s="47"/>
      <c r="BL669" s="6">
        <f>VLOOKUP(A669,[2]Sheet1!$D$2:$H$933,5,0)</f>
        <v>0</v>
      </c>
      <c r="BM669" s="6" t="s">
        <v>3828</v>
      </c>
      <c r="BN669" s="6" t="s">
        <v>3829</v>
      </c>
      <c r="BO669" s="6" t="s">
        <v>3820</v>
      </c>
      <c r="BP669" s="6" t="s">
        <v>3821</v>
      </c>
      <c r="BQ669" s="6" t="s">
        <v>3830</v>
      </c>
      <c r="BR669" t="s">
        <v>3823</v>
      </c>
      <c r="BS669" t="s">
        <v>3824</v>
      </c>
      <c r="BT669" t="s">
        <v>3825</v>
      </c>
      <c r="BU669" t="s">
        <v>3826</v>
      </c>
      <c r="BV669" t="s">
        <v>3827</v>
      </c>
      <c r="BW669" t="s">
        <v>3835</v>
      </c>
      <c r="BX669" s="101"/>
      <c r="BY669" t="s">
        <v>3864</v>
      </c>
      <c r="BZ669" t="s">
        <v>3863</v>
      </c>
    </row>
    <row r="670" spans="1:78" x14ac:dyDescent="0.25">
      <c r="A670" s="7" t="s">
        <v>2744</v>
      </c>
      <c r="B670" s="7" t="s">
        <v>181</v>
      </c>
      <c r="C670" s="7" t="s">
        <v>2742</v>
      </c>
      <c r="D670" s="8" t="s">
        <v>2743</v>
      </c>
      <c r="E670" s="7" t="s">
        <v>2745</v>
      </c>
      <c r="F670" s="9">
        <v>44901</v>
      </c>
      <c r="G670" s="9" t="s">
        <v>717</v>
      </c>
      <c r="H670" s="9" t="s">
        <v>72</v>
      </c>
      <c r="I670" s="8" t="s">
        <v>78</v>
      </c>
      <c r="J670" s="10">
        <v>1006.43</v>
      </c>
      <c r="K670" s="10">
        <v>1006.43</v>
      </c>
      <c r="L670" s="10">
        <f t="shared" si="292"/>
        <v>0</v>
      </c>
      <c r="M670" s="10">
        <v>461.13</v>
      </c>
      <c r="N670" s="10">
        <v>461.13</v>
      </c>
      <c r="O670" s="10">
        <f t="shared" si="293"/>
        <v>0</v>
      </c>
      <c r="P670" s="11">
        <v>13539.999801277785</v>
      </c>
      <c r="Q670" s="11">
        <v>29551.45403682259</v>
      </c>
      <c r="R670" s="11">
        <v>20000</v>
      </c>
      <c r="S670" s="11">
        <v>13627062</v>
      </c>
      <c r="T670" s="11">
        <v>1635244</v>
      </c>
      <c r="U670" s="12">
        <f t="shared" si="294"/>
        <v>0.11999974756113974</v>
      </c>
      <c r="V670" s="13">
        <f t="shared" si="310"/>
        <v>0</v>
      </c>
      <c r="W670" s="10">
        <f t="shared" si="295"/>
        <v>0</v>
      </c>
      <c r="X670" s="10"/>
      <c r="Y670" s="10"/>
      <c r="Z670" s="11">
        <f t="shared" si="296"/>
        <v>13627062</v>
      </c>
      <c r="AA670" s="14"/>
      <c r="AB670" s="14"/>
      <c r="AC670" s="11">
        <f t="shared" si="297"/>
        <v>13627062</v>
      </c>
      <c r="AD670" s="10">
        <f t="shared" si="298"/>
        <v>300</v>
      </c>
      <c r="AE670" s="15">
        <v>138339</v>
      </c>
      <c r="AF670" s="16">
        <v>24902</v>
      </c>
      <c r="AG670" s="15">
        <f t="shared" si="299"/>
        <v>0</v>
      </c>
      <c r="AH670" s="15">
        <f t="shared" si="300"/>
        <v>0</v>
      </c>
      <c r="AI670" s="15">
        <f t="shared" si="301"/>
        <v>138339</v>
      </c>
      <c r="AJ670" s="15">
        <f t="shared" si="302"/>
        <v>24902</v>
      </c>
      <c r="AK670" s="10">
        <v>138339</v>
      </c>
      <c r="AL670" s="15">
        <f t="shared" si="303"/>
        <v>138339</v>
      </c>
      <c r="AM670" s="15">
        <f t="shared" si="304"/>
        <v>13765401</v>
      </c>
      <c r="AN670" s="15">
        <f t="shared" si="305"/>
        <v>1660146</v>
      </c>
      <c r="AO670" s="15">
        <f t="shared" si="311"/>
        <v>1828833</v>
      </c>
      <c r="AP670" s="17">
        <f t="shared" si="306"/>
        <v>15594234</v>
      </c>
      <c r="AQ670" s="15">
        <v>7631153</v>
      </c>
      <c r="AR670" s="15">
        <v>30348</v>
      </c>
      <c r="AS670" s="18">
        <f t="shared" si="312"/>
        <v>7963081</v>
      </c>
      <c r="AT670" s="19">
        <v>0</v>
      </c>
      <c r="AU670" s="8">
        <v>8800</v>
      </c>
      <c r="AV670" s="13">
        <f t="shared" si="313"/>
        <v>4057944</v>
      </c>
      <c r="AW670" s="18">
        <f t="shared" si="314"/>
        <v>13765401</v>
      </c>
      <c r="AX670" s="15">
        <f t="shared" si="307"/>
        <v>13766000</v>
      </c>
      <c r="AY670" s="20">
        <v>7.0000000000000007E-2</v>
      </c>
      <c r="AZ670" s="13">
        <f t="shared" si="308"/>
        <v>963620.00000000012</v>
      </c>
      <c r="BA670" s="15">
        <f t="shared" si="309"/>
        <v>963700</v>
      </c>
      <c r="BB670" s="21">
        <f t="shared" si="315"/>
        <v>8926781</v>
      </c>
      <c r="BC670" s="10">
        <f t="shared" si="316"/>
        <v>0</v>
      </c>
      <c r="BD670" s="10">
        <f t="shared" si="317"/>
        <v>0</v>
      </c>
      <c r="BE670" s="10">
        <v>93.5</v>
      </c>
      <c r="BF670" s="10">
        <v>42.84</v>
      </c>
      <c r="BG670" s="107">
        <v>46176</v>
      </c>
      <c r="BH670" s="107">
        <f t="shared" si="291"/>
        <v>46206</v>
      </c>
      <c r="BI670" s="23">
        <v>7</v>
      </c>
      <c r="BJ670" s="6"/>
      <c r="BK670" s="6"/>
      <c r="BL670" s="6">
        <f>VLOOKUP(A670,[2]Sheet1!$D$2:$H$933,5,0)</f>
        <v>0</v>
      </c>
      <c r="BM670" s="6" t="s">
        <v>3828</v>
      </c>
      <c r="BN670" s="6" t="s">
        <v>3829</v>
      </c>
      <c r="BO670" s="6" t="s">
        <v>3820</v>
      </c>
      <c r="BP670" s="6" t="s">
        <v>3821</v>
      </c>
      <c r="BQ670" s="6" t="s">
        <v>3830</v>
      </c>
      <c r="BR670" t="s">
        <v>3823</v>
      </c>
      <c r="BS670" t="s">
        <v>3824</v>
      </c>
      <c r="BT670" t="s">
        <v>3825</v>
      </c>
      <c r="BU670" t="s">
        <v>3826</v>
      </c>
      <c r="BV670" t="s">
        <v>3827</v>
      </c>
      <c r="BW670" t="s">
        <v>3835</v>
      </c>
      <c r="BX670">
        <v>0</v>
      </c>
      <c r="BY670" t="s">
        <v>3869</v>
      </c>
      <c r="BZ670" t="s">
        <v>3872</v>
      </c>
    </row>
    <row r="671" spans="1:78" x14ac:dyDescent="0.25">
      <c r="A671" s="7" t="s">
        <v>2748</v>
      </c>
      <c r="B671" s="7" t="s">
        <v>181</v>
      </c>
      <c r="C671" s="7" t="s">
        <v>2746</v>
      </c>
      <c r="D671" s="8" t="s">
        <v>2747</v>
      </c>
      <c r="E671" s="7" t="s">
        <v>2749</v>
      </c>
      <c r="F671" s="9">
        <v>44896</v>
      </c>
      <c r="G671" s="9" t="s">
        <v>404</v>
      </c>
      <c r="H671" s="9" t="s">
        <v>72</v>
      </c>
      <c r="I671" s="8" t="s">
        <v>78</v>
      </c>
      <c r="J671" s="10">
        <v>664.14</v>
      </c>
      <c r="K671" s="10">
        <v>664.14</v>
      </c>
      <c r="L671" s="10">
        <f t="shared" si="292"/>
        <v>0</v>
      </c>
      <c r="M671" s="10">
        <v>293.86</v>
      </c>
      <c r="N671" s="10">
        <v>293.86</v>
      </c>
      <c r="O671" s="10">
        <f t="shared" si="293"/>
        <v>0</v>
      </c>
      <c r="P671" s="11">
        <v>9000</v>
      </c>
      <c r="Q671" s="11">
        <v>20340.502279997276</v>
      </c>
      <c r="R671" s="11">
        <v>20000</v>
      </c>
      <c r="S671" s="11">
        <v>5977260</v>
      </c>
      <c r="T671" s="11">
        <v>717272</v>
      </c>
      <c r="U671" s="12">
        <f t="shared" si="294"/>
        <v>0.12000013384058916</v>
      </c>
      <c r="V671" s="13">
        <f t="shared" si="310"/>
        <v>0</v>
      </c>
      <c r="W671" s="10">
        <f t="shared" si="295"/>
        <v>0</v>
      </c>
      <c r="X671" s="10"/>
      <c r="Y671" s="10"/>
      <c r="Z671" s="11">
        <f t="shared" si="296"/>
        <v>5977260</v>
      </c>
      <c r="AA671" s="14"/>
      <c r="AB671" s="14"/>
      <c r="AC671" s="11">
        <f t="shared" si="297"/>
        <v>5977260</v>
      </c>
      <c r="AD671" s="10">
        <f t="shared" si="298"/>
        <v>300</v>
      </c>
      <c r="AE671" s="15">
        <v>88158</v>
      </c>
      <c r="AF671" s="16">
        <v>15868</v>
      </c>
      <c r="AG671" s="15">
        <f t="shared" si="299"/>
        <v>0</v>
      </c>
      <c r="AH671" s="15">
        <f t="shared" si="300"/>
        <v>0</v>
      </c>
      <c r="AI671" s="15">
        <f t="shared" si="301"/>
        <v>88158</v>
      </c>
      <c r="AJ671" s="15">
        <f t="shared" si="302"/>
        <v>15869</v>
      </c>
      <c r="AK671" s="10">
        <v>88158</v>
      </c>
      <c r="AL671" s="15">
        <f t="shared" si="303"/>
        <v>88158</v>
      </c>
      <c r="AM671" s="15">
        <f t="shared" si="304"/>
        <v>6065418</v>
      </c>
      <c r="AN671" s="15">
        <f t="shared" si="305"/>
        <v>733141</v>
      </c>
      <c r="AO671" s="15">
        <f t="shared" si="311"/>
        <v>849382</v>
      </c>
      <c r="AP671" s="17">
        <f t="shared" si="306"/>
        <v>6914800</v>
      </c>
      <c r="AQ671" s="15">
        <v>1338903</v>
      </c>
      <c r="AR671" s="15">
        <v>28083</v>
      </c>
      <c r="AS671" s="18">
        <f t="shared" si="312"/>
        <v>5575897</v>
      </c>
      <c r="AT671" s="19">
        <v>0</v>
      </c>
      <c r="AU671" s="8">
        <v>8800</v>
      </c>
      <c r="AV671" s="13">
        <f t="shared" si="313"/>
        <v>2585968</v>
      </c>
      <c r="AW671" s="18">
        <f t="shared" si="314"/>
        <v>6065418</v>
      </c>
      <c r="AX671" s="15">
        <f t="shared" si="307"/>
        <v>6066000</v>
      </c>
      <c r="AY671" s="20">
        <v>7.0000000000000007E-2</v>
      </c>
      <c r="AZ671" s="13">
        <f t="shared" si="308"/>
        <v>424620.00000000006</v>
      </c>
      <c r="BA671" s="15">
        <f t="shared" si="309"/>
        <v>424700</v>
      </c>
      <c r="BB671" s="21">
        <f t="shared" si="315"/>
        <v>6000597</v>
      </c>
      <c r="BC671" s="10">
        <f t="shared" si="316"/>
        <v>0</v>
      </c>
      <c r="BD671" s="10">
        <f t="shared" si="317"/>
        <v>0</v>
      </c>
      <c r="BE671" s="10">
        <v>61.7</v>
      </c>
      <c r="BF671" s="10">
        <v>27.3</v>
      </c>
      <c r="BG671" s="107">
        <v>46176</v>
      </c>
      <c r="BH671" s="107">
        <f t="shared" si="291"/>
        <v>46206</v>
      </c>
      <c r="BI671" s="23">
        <v>7</v>
      </c>
      <c r="BJ671" s="6"/>
      <c r="BK671" s="6"/>
      <c r="BL671" s="6">
        <f>VLOOKUP(A671,[2]Sheet1!$D$2:$H$933,5,0)</f>
        <v>0</v>
      </c>
      <c r="BM671" s="6" t="s">
        <v>3828</v>
      </c>
      <c r="BN671" s="6" t="s">
        <v>3829</v>
      </c>
      <c r="BO671" s="6" t="s">
        <v>3820</v>
      </c>
      <c r="BP671" s="6" t="s">
        <v>3821</v>
      </c>
      <c r="BQ671" s="6" t="s">
        <v>3830</v>
      </c>
      <c r="BR671" t="s">
        <v>3823</v>
      </c>
      <c r="BS671" t="s">
        <v>3824</v>
      </c>
      <c r="BT671" t="s">
        <v>3825</v>
      </c>
      <c r="BU671" t="s">
        <v>3826</v>
      </c>
      <c r="BV671" t="s">
        <v>3827</v>
      </c>
      <c r="BW671" t="s">
        <v>3835</v>
      </c>
      <c r="BX671">
        <v>0</v>
      </c>
      <c r="BY671" t="s">
        <v>3869</v>
      </c>
      <c r="BZ671" t="s">
        <v>3863</v>
      </c>
    </row>
    <row r="672" spans="1:78" x14ac:dyDescent="0.25">
      <c r="A672" s="7" t="s">
        <v>2752</v>
      </c>
      <c r="B672" s="7" t="s">
        <v>181</v>
      </c>
      <c r="C672" s="7" t="s">
        <v>2750</v>
      </c>
      <c r="D672" s="8" t="s">
        <v>2751</v>
      </c>
      <c r="E672" s="7" t="s">
        <v>2753</v>
      </c>
      <c r="F672" s="9">
        <v>45094</v>
      </c>
      <c r="G672" s="9" t="s">
        <v>363</v>
      </c>
      <c r="H672" s="9" t="s">
        <v>92</v>
      </c>
      <c r="I672" s="8" t="s">
        <v>78</v>
      </c>
      <c r="J672" s="10">
        <v>697.51</v>
      </c>
      <c r="K672" s="10">
        <v>697.51</v>
      </c>
      <c r="L672" s="10">
        <f t="shared" si="292"/>
        <v>0</v>
      </c>
      <c r="M672" s="10">
        <v>317.54000000000002</v>
      </c>
      <c r="N672" s="10">
        <v>317.54000000000002</v>
      </c>
      <c r="O672" s="10">
        <f t="shared" si="293"/>
        <v>0</v>
      </c>
      <c r="P672" s="11">
        <v>16200.001433671203</v>
      </c>
      <c r="Q672" s="11">
        <v>35585.006613340047</v>
      </c>
      <c r="R672" s="11">
        <v>28000</v>
      </c>
      <c r="S672" s="11">
        <v>11299663</v>
      </c>
      <c r="T672" s="11">
        <v>1355962</v>
      </c>
      <c r="U672" s="12">
        <f t="shared" si="294"/>
        <v>0.12000021593564339</v>
      </c>
      <c r="V672" s="13">
        <f t="shared" si="310"/>
        <v>0</v>
      </c>
      <c r="W672" s="10">
        <f t="shared" si="295"/>
        <v>0</v>
      </c>
      <c r="X672" s="10"/>
      <c r="Y672" s="10"/>
      <c r="Z672" s="11">
        <f t="shared" si="296"/>
        <v>11299663</v>
      </c>
      <c r="AA672" s="14"/>
      <c r="AB672" s="14"/>
      <c r="AC672" s="11">
        <f t="shared" si="297"/>
        <v>11299663</v>
      </c>
      <c r="AD672" s="10">
        <f t="shared" si="298"/>
        <v>300</v>
      </c>
      <c r="AE672" s="15">
        <v>95262</v>
      </c>
      <c r="AF672" s="16">
        <v>17148</v>
      </c>
      <c r="AG672" s="15">
        <f t="shared" si="299"/>
        <v>0</v>
      </c>
      <c r="AH672" s="15">
        <f t="shared" si="300"/>
        <v>0</v>
      </c>
      <c r="AI672" s="15">
        <f t="shared" si="301"/>
        <v>95262</v>
      </c>
      <c r="AJ672" s="15">
        <f t="shared" si="302"/>
        <v>17148</v>
      </c>
      <c r="AK672" s="10">
        <v>95262</v>
      </c>
      <c r="AL672" s="15">
        <f t="shared" si="303"/>
        <v>95262</v>
      </c>
      <c r="AM672" s="15">
        <f t="shared" si="304"/>
        <v>11394925</v>
      </c>
      <c r="AN672" s="15">
        <f t="shared" si="305"/>
        <v>1373110</v>
      </c>
      <c r="AO672" s="15">
        <f t="shared" si="311"/>
        <v>1488803.6</v>
      </c>
      <c r="AP672" s="17">
        <f t="shared" si="306"/>
        <v>12883728.6</v>
      </c>
      <c r="AQ672" s="15">
        <v>11401666.73</v>
      </c>
      <c r="AR672" s="15">
        <v>20431.599999999999</v>
      </c>
      <c r="AS672" s="18">
        <f t="shared" si="312"/>
        <v>1482062</v>
      </c>
      <c r="AT672" s="19">
        <v>0</v>
      </c>
      <c r="AU672" s="8">
        <v>8800</v>
      </c>
      <c r="AV672" s="13">
        <f t="shared" si="313"/>
        <v>2794352</v>
      </c>
      <c r="AW672" s="18">
        <f t="shared" si="314"/>
        <v>11394925</v>
      </c>
      <c r="AX672" s="15">
        <f t="shared" si="307"/>
        <v>11395000</v>
      </c>
      <c r="AY672" s="20">
        <v>7.0000000000000007E-2</v>
      </c>
      <c r="AZ672" s="13">
        <f t="shared" si="308"/>
        <v>797650.00000000012</v>
      </c>
      <c r="BA672" s="15">
        <f t="shared" si="309"/>
        <v>797700</v>
      </c>
      <c r="BB672" s="21">
        <f t="shared" si="315"/>
        <v>2279762</v>
      </c>
      <c r="BC672" s="10">
        <f t="shared" si="316"/>
        <v>0</v>
      </c>
      <c r="BD672" s="10">
        <f t="shared" si="317"/>
        <v>0</v>
      </c>
      <c r="BE672" s="10">
        <v>64.8</v>
      </c>
      <c r="BF672" s="10">
        <v>29.5</v>
      </c>
      <c r="BG672" s="107">
        <v>46176</v>
      </c>
      <c r="BH672" s="107">
        <f t="shared" si="291"/>
        <v>46206</v>
      </c>
      <c r="BI672" s="23">
        <v>7</v>
      </c>
      <c r="BJ672" s="6"/>
      <c r="BK672" s="6"/>
      <c r="BL672" s="6">
        <f>VLOOKUP(A672,[2]Sheet1!$D$2:$H$933,5,0)</f>
        <v>0</v>
      </c>
      <c r="BM672" s="6" t="s">
        <v>3828</v>
      </c>
      <c r="BN672" s="6" t="s">
        <v>3829</v>
      </c>
      <c r="BO672" s="6" t="s">
        <v>3820</v>
      </c>
      <c r="BP672" s="6" t="s">
        <v>3821</v>
      </c>
      <c r="BQ672" s="6" t="s">
        <v>3830</v>
      </c>
      <c r="BR672" t="s">
        <v>3823</v>
      </c>
      <c r="BS672" t="s">
        <v>3824</v>
      </c>
      <c r="BT672" t="s">
        <v>3825</v>
      </c>
      <c r="BU672" t="s">
        <v>3826</v>
      </c>
      <c r="BV672" t="s">
        <v>3827</v>
      </c>
      <c r="BW672" t="s">
        <v>3835</v>
      </c>
      <c r="BX672">
        <v>0</v>
      </c>
      <c r="BY672" t="s">
        <v>3862</v>
      </c>
      <c r="BZ672" t="s">
        <v>3860</v>
      </c>
    </row>
    <row r="673" spans="1:78" x14ac:dyDescent="0.25">
      <c r="A673" s="7" t="s">
        <v>2756</v>
      </c>
      <c r="B673" s="7" t="s">
        <v>181</v>
      </c>
      <c r="C673" s="7" t="s">
        <v>2754</v>
      </c>
      <c r="D673" s="8" t="s">
        <v>2755</v>
      </c>
      <c r="E673" s="7" t="s">
        <v>2692</v>
      </c>
      <c r="F673" s="9">
        <v>45247</v>
      </c>
      <c r="G673" s="9" t="s">
        <v>527</v>
      </c>
      <c r="H673" s="9" t="s">
        <v>87</v>
      </c>
      <c r="I673" s="8" t="s">
        <v>67</v>
      </c>
      <c r="J673" s="10">
        <v>388.7</v>
      </c>
      <c r="K673" s="10">
        <v>388.7</v>
      </c>
      <c r="L673" s="10">
        <f t="shared" si="292"/>
        <v>0</v>
      </c>
      <c r="M673" s="10">
        <v>156.08000000000001</v>
      </c>
      <c r="N673" s="10">
        <v>156.08000000000001</v>
      </c>
      <c r="O673" s="10">
        <f t="shared" si="293"/>
        <v>0</v>
      </c>
      <c r="P673" s="11">
        <v>20281.998970928737</v>
      </c>
      <c r="Q673" s="11">
        <v>50510.07816504356</v>
      </c>
      <c r="R673" s="11">
        <v>40000</v>
      </c>
      <c r="S673" s="11">
        <v>7883613</v>
      </c>
      <c r="T673" s="11">
        <v>946034</v>
      </c>
      <c r="U673" s="12">
        <f t="shared" si="294"/>
        <v>0.12000005581197352</v>
      </c>
      <c r="V673" s="13">
        <f t="shared" si="310"/>
        <v>0</v>
      </c>
      <c r="W673" s="10">
        <f t="shared" si="295"/>
        <v>0</v>
      </c>
      <c r="X673" s="10"/>
      <c r="Y673" s="10"/>
      <c r="Z673" s="11">
        <f t="shared" si="296"/>
        <v>7883613</v>
      </c>
      <c r="AA673" s="14"/>
      <c r="AB673" s="14"/>
      <c r="AC673" s="11">
        <f t="shared" si="297"/>
        <v>7883613</v>
      </c>
      <c r="AD673" s="10">
        <f t="shared" si="298"/>
        <v>300</v>
      </c>
      <c r="AE673" s="15">
        <v>46824</v>
      </c>
      <c r="AF673" s="16">
        <v>8428</v>
      </c>
      <c r="AG673" s="15">
        <f t="shared" si="299"/>
        <v>0</v>
      </c>
      <c r="AH673" s="15">
        <f t="shared" si="300"/>
        <v>0</v>
      </c>
      <c r="AI673" s="15">
        <f t="shared" si="301"/>
        <v>46824.000000000007</v>
      </c>
      <c r="AJ673" s="15">
        <f t="shared" si="302"/>
        <v>8429</v>
      </c>
      <c r="AK673" s="10">
        <v>46824</v>
      </c>
      <c r="AL673" s="15">
        <f t="shared" si="303"/>
        <v>46824.000000000007</v>
      </c>
      <c r="AM673" s="15">
        <f t="shared" si="304"/>
        <v>7930437</v>
      </c>
      <c r="AN673" s="15">
        <f t="shared" si="305"/>
        <v>954463</v>
      </c>
      <c r="AO673" s="15">
        <f t="shared" si="311"/>
        <v>1032011</v>
      </c>
      <c r="AP673" s="17">
        <f t="shared" si="306"/>
        <v>8962448</v>
      </c>
      <c r="AQ673" s="15">
        <v>2240000</v>
      </c>
      <c r="AR673" s="15">
        <v>30724</v>
      </c>
      <c r="AS673" s="18">
        <f t="shared" si="312"/>
        <v>6722448</v>
      </c>
      <c r="AT673" s="19">
        <v>0</v>
      </c>
      <c r="AU673" s="8">
        <v>8800</v>
      </c>
      <c r="AV673" s="13">
        <f t="shared" si="313"/>
        <v>1373504</v>
      </c>
      <c r="AW673" s="18">
        <f t="shared" si="314"/>
        <v>7930437</v>
      </c>
      <c r="AX673" s="15">
        <f t="shared" si="307"/>
        <v>7931000</v>
      </c>
      <c r="AY673" s="20">
        <v>0.05</v>
      </c>
      <c r="AZ673" s="13">
        <f t="shared" si="308"/>
        <v>396550</v>
      </c>
      <c r="BA673" s="15">
        <f t="shared" si="309"/>
        <v>396600</v>
      </c>
      <c r="BB673" s="21">
        <f t="shared" si="315"/>
        <v>7119048</v>
      </c>
      <c r="BC673" s="10">
        <f t="shared" si="316"/>
        <v>0</v>
      </c>
      <c r="BD673" s="10">
        <f t="shared" si="317"/>
        <v>0</v>
      </c>
      <c r="BE673" s="10">
        <v>36.11</v>
      </c>
      <c r="BF673" s="10">
        <v>14.5</v>
      </c>
      <c r="BG673" s="107">
        <v>46176</v>
      </c>
      <c r="BH673" s="107">
        <f t="shared" si="291"/>
        <v>46206</v>
      </c>
      <c r="BI673" s="23">
        <v>5</v>
      </c>
      <c r="BJ673" s="6"/>
      <c r="BK673" s="6"/>
      <c r="BL673" s="6">
        <f>VLOOKUP(A673,[2]Sheet1!$D$2:$H$933,5,0)</f>
        <v>0</v>
      </c>
      <c r="BM673" s="6" t="s">
        <v>3828</v>
      </c>
      <c r="BN673" s="6" t="s">
        <v>3829</v>
      </c>
      <c r="BO673" s="6" t="s">
        <v>3820</v>
      </c>
      <c r="BP673" s="6" t="s">
        <v>3821</v>
      </c>
      <c r="BQ673" s="6" t="s">
        <v>3830</v>
      </c>
      <c r="BR673" t="s">
        <v>3823</v>
      </c>
      <c r="BS673" t="s">
        <v>3824</v>
      </c>
      <c r="BT673" t="s">
        <v>3825</v>
      </c>
      <c r="BU673" t="s">
        <v>3826</v>
      </c>
      <c r="BV673" t="s">
        <v>3827</v>
      </c>
      <c r="BW673" t="s">
        <v>3835</v>
      </c>
      <c r="BX673">
        <v>0</v>
      </c>
      <c r="BY673" t="s">
        <v>3861</v>
      </c>
      <c r="BZ673" t="s">
        <v>3871</v>
      </c>
    </row>
    <row r="674" spans="1:78" x14ac:dyDescent="0.25">
      <c r="A674" s="7" t="s">
        <v>2759</v>
      </c>
      <c r="B674" s="7" t="s">
        <v>181</v>
      </c>
      <c r="C674" s="7" t="s">
        <v>2757</v>
      </c>
      <c r="D674" s="8" t="s">
        <v>2758</v>
      </c>
      <c r="E674" s="7" t="s">
        <v>2760</v>
      </c>
      <c r="F674" s="9">
        <v>44996</v>
      </c>
      <c r="G674" s="9" t="s">
        <v>77</v>
      </c>
      <c r="H674" s="9" t="s">
        <v>92</v>
      </c>
      <c r="I674" s="8" t="s">
        <v>78</v>
      </c>
      <c r="J674" s="10">
        <v>580.17999999999995</v>
      </c>
      <c r="K674" s="10">
        <v>580.17999999999995</v>
      </c>
      <c r="L674" s="10">
        <f t="shared" si="292"/>
        <v>0</v>
      </c>
      <c r="M674" s="10">
        <v>256.61</v>
      </c>
      <c r="N674" s="10">
        <v>256.61</v>
      </c>
      <c r="O674" s="10">
        <f t="shared" si="293"/>
        <v>0</v>
      </c>
      <c r="P674" s="11">
        <v>11931.521252025235</v>
      </c>
      <c r="Q674" s="11">
        <v>26976.462335840381</v>
      </c>
      <c r="R674" s="11">
        <v>28000</v>
      </c>
      <c r="S674" s="11">
        <v>6922430</v>
      </c>
      <c r="T674" s="11">
        <v>830692</v>
      </c>
      <c r="U674" s="12">
        <f t="shared" si="294"/>
        <v>0.12000005778317729</v>
      </c>
      <c r="V674" s="13">
        <f t="shared" si="310"/>
        <v>0</v>
      </c>
      <c r="W674" s="10">
        <f t="shared" si="295"/>
        <v>0</v>
      </c>
      <c r="X674" s="10"/>
      <c r="Y674" s="10"/>
      <c r="Z674" s="11">
        <f t="shared" si="296"/>
        <v>6922430</v>
      </c>
      <c r="AA674" s="14"/>
      <c r="AB674" s="14"/>
      <c r="AC674" s="11">
        <f t="shared" si="297"/>
        <v>6922430</v>
      </c>
      <c r="AD674" s="10">
        <f t="shared" si="298"/>
        <v>300</v>
      </c>
      <c r="AE674" s="15">
        <v>76983</v>
      </c>
      <c r="AF674" s="16">
        <v>13856</v>
      </c>
      <c r="AG674" s="15">
        <f t="shared" si="299"/>
        <v>0</v>
      </c>
      <c r="AH674" s="15">
        <f t="shared" si="300"/>
        <v>0</v>
      </c>
      <c r="AI674" s="15">
        <f t="shared" si="301"/>
        <v>76983</v>
      </c>
      <c r="AJ674" s="15">
        <f t="shared" si="302"/>
        <v>13857</v>
      </c>
      <c r="AK674" s="10">
        <v>76983</v>
      </c>
      <c r="AL674" s="15">
        <f t="shared" si="303"/>
        <v>76983</v>
      </c>
      <c r="AM674" s="15">
        <f t="shared" si="304"/>
        <v>6999413</v>
      </c>
      <c r="AN674" s="15">
        <f t="shared" si="305"/>
        <v>844549</v>
      </c>
      <c r="AO674" s="15">
        <f t="shared" si="311"/>
        <v>950765</v>
      </c>
      <c r="AP674" s="17">
        <f t="shared" si="306"/>
        <v>7950178</v>
      </c>
      <c r="AQ674" s="15">
        <v>784000</v>
      </c>
      <c r="AR674" s="15">
        <v>29233</v>
      </c>
      <c r="AS674" s="18">
        <f t="shared" si="312"/>
        <v>7166178</v>
      </c>
      <c r="AT674" s="19">
        <v>0</v>
      </c>
      <c r="AU674" s="8">
        <v>8800</v>
      </c>
      <c r="AV674" s="13">
        <f t="shared" si="313"/>
        <v>2258168</v>
      </c>
      <c r="AW674" s="18">
        <f t="shared" si="314"/>
        <v>6999413</v>
      </c>
      <c r="AX674" s="15">
        <f t="shared" si="307"/>
        <v>7000000</v>
      </c>
      <c r="AY674" s="20">
        <v>7.0000000000000007E-2</v>
      </c>
      <c r="AZ674" s="13">
        <f t="shared" si="308"/>
        <v>490000.00000000006</v>
      </c>
      <c r="BA674" s="15">
        <f t="shared" si="309"/>
        <v>490000</v>
      </c>
      <c r="BB674" s="21">
        <f t="shared" si="315"/>
        <v>7656178</v>
      </c>
      <c r="BC674" s="10">
        <f t="shared" si="316"/>
        <v>0</v>
      </c>
      <c r="BD674" s="10">
        <f t="shared" si="317"/>
        <v>0</v>
      </c>
      <c r="BE674" s="10">
        <v>53.9</v>
      </c>
      <c r="BF674" s="10">
        <v>23.84</v>
      </c>
      <c r="BG674" s="107">
        <v>46176</v>
      </c>
      <c r="BH674" s="107">
        <f t="shared" si="291"/>
        <v>46206</v>
      </c>
      <c r="BI674" s="23">
        <v>7</v>
      </c>
      <c r="BJ674" s="6"/>
      <c r="BK674" s="6"/>
      <c r="BL674" s="6">
        <f>VLOOKUP(A674,[2]Sheet1!$D$2:$H$933,5,0)</f>
        <v>0</v>
      </c>
      <c r="BM674" s="6" t="s">
        <v>3828</v>
      </c>
      <c r="BN674" s="6" t="s">
        <v>3829</v>
      </c>
      <c r="BO674" s="6" t="s">
        <v>3820</v>
      </c>
      <c r="BP674" s="6" t="s">
        <v>3821</v>
      </c>
      <c r="BQ674" s="6" t="s">
        <v>3830</v>
      </c>
      <c r="BR674" t="s">
        <v>3823</v>
      </c>
      <c r="BS674" t="s">
        <v>3824</v>
      </c>
      <c r="BT674" t="s">
        <v>3825</v>
      </c>
      <c r="BU674" t="s">
        <v>3826</v>
      </c>
      <c r="BV674" t="s">
        <v>3827</v>
      </c>
      <c r="BW674" t="s">
        <v>3835</v>
      </c>
      <c r="BX674">
        <v>0</v>
      </c>
      <c r="BY674" t="s">
        <v>3866</v>
      </c>
      <c r="BZ674" t="s">
        <v>3863</v>
      </c>
    </row>
    <row r="675" spans="1:78" x14ac:dyDescent="0.25">
      <c r="A675" s="7" t="s">
        <v>2763</v>
      </c>
      <c r="B675" s="7" t="s">
        <v>181</v>
      </c>
      <c r="C675" s="7" t="s">
        <v>2761</v>
      </c>
      <c r="D675" s="8" t="s">
        <v>2762</v>
      </c>
      <c r="E675" s="7" t="s">
        <v>421</v>
      </c>
      <c r="F675" s="9">
        <v>44893</v>
      </c>
      <c r="G675" s="9" t="s">
        <v>717</v>
      </c>
      <c r="H675" s="9" t="s">
        <v>92</v>
      </c>
      <c r="I675" s="8" t="s">
        <v>78</v>
      </c>
      <c r="J675" s="10">
        <v>406.45</v>
      </c>
      <c r="K675" s="10">
        <v>406.45</v>
      </c>
      <c r="L675" s="10">
        <f t="shared" si="292"/>
        <v>0</v>
      </c>
      <c r="M675" s="10">
        <v>165.23</v>
      </c>
      <c r="N675" s="10">
        <v>165.23</v>
      </c>
      <c r="O675" s="10">
        <f t="shared" si="293"/>
        <v>0</v>
      </c>
      <c r="P675" s="11">
        <v>22146.000738098166</v>
      </c>
      <c r="Q675" s="11">
        <v>54477.044120317136</v>
      </c>
      <c r="R675" s="11">
        <v>28000</v>
      </c>
      <c r="S675" s="11">
        <v>9001242</v>
      </c>
      <c r="T675" s="11">
        <v>1080148</v>
      </c>
      <c r="U675" s="12">
        <f t="shared" si="294"/>
        <v>0.11999988446038891</v>
      </c>
      <c r="V675" s="13">
        <f t="shared" si="310"/>
        <v>0</v>
      </c>
      <c r="W675" s="10">
        <f t="shared" si="295"/>
        <v>0</v>
      </c>
      <c r="X675" s="10"/>
      <c r="Y675" s="10"/>
      <c r="Z675" s="11">
        <f t="shared" si="296"/>
        <v>9001242</v>
      </c>
      <c r="AA675" s="14"/>
      <c r="AB675" s="14"/>
      <c r="AC675" s="11">
        <f t="shared" si="297"/>
        <v>9001242</v>
      </c>
      <c r="AD675" s="10">
        <f t="shared" si="298"/>
        <v>300</v>
      </c>
      <c r="AE675" s="15">
        <v>49569</v>
      </c>
      <c r="AF675" s="16">
        <v>8922</v>
      </c>
      <c r="AG675" s="15">
        <f t="shared" si="299"/>
        <v>0</v>
      </c>
      <c r="AH675" s="15">
        <f t="shared" si="300"/>
        <v>0</v>
      </c>
      <c r="AI675" s="15">
        <f t="shared" si="301"/>
        <v>49569</v>
      </c>
      <c r="AJ675" s="15">
        <f t="shared" si="302"/>
        <v>8923</v>
      </c>
      <c r="AK675" s="10">
        <v>49569</v>
      </c>
      <c r="AL675" s="15">
        <f t="shared" si="303"/>
        <v>49569</v>
      </c>
      <c r="AM675" s="15">
        <f t="shared" si="304"/>
        <v>9050811</v>
      </c>
      <c r="AN675" s="15">
        <f t="shared" si="305"/>
        <v>1089071</v>
      </c>
      <c r="AO675" s="15">
        <f t="shared" si="311"/>
        <v>1160486</v>
      </c>
      <c r="AP675" s="17">
        <f t="shared" si="306"/>
        <v>10211297</v>
      </c>
      <c r="AQ675" s="15">
        <v>7800734</v>
      </c>
      <c r="AR675" s="15">
        <v>21846</v>
      </c>
      <c r="AS675" s="18">
        <f t="shared" si="312"/>
        <v>2410563</v>
      </c>
      <c r="AT675" s="19">
        <v>0</v>
      </c>
      <c r="AU675" s="8">
        <v>8800</v>
      </c>
      <c r="AV675" s="13">
        <f t="shared" si="313"/>
        <v>1454024</v>
      </c>
      <c r="AW675" s="18">
        <f t="shared" si="314"/>
        <v>9050811</v>
      </c>
      <c r="AX675" s="15">
        <f t="shared" si="307"/>
        <v>9051000</v>
      </c>
      <c r="AY675" s="20">
        <v>7.0000000000000007E-2</v>
      </c>
      <c r="AZ675" s="13">
        <f t="shared" si="308"/>
        <v>633570.00000000012</v>
      </c>
      <c r="BA675" s="15">
        <f t="shared" si="309"/>
        <v>633600</v>
      </c>
      <c r="BB675" s="21">
        <f t="shared" si="315"/>
        <v>3044163</v>
      </c>
      <c r="BC675" s="10">
        <f t="shared" si="316"/>
        <v>0</v>
      </c>
      <c r="BD675" s="10">
        <f t="shared" si="317"/>
        <v>0</v>
      </c>
      <c r="BE675" s="10">
        <v>37.76</v>
      </c>
      <c r="BF675" s="10">
        <v>15.35</v>
      </c>
      <c r="BG675" s="107">
        <v>46176</v>
      </c>
      <c r="BH675" s="107">
        <f t="shared" si="291"/>
        <v>46206</v>
      </c>
      <c r="BI675" s="23">
        <v>7</v>
      </c>
      <c r="BJ675" s="6"/>
      <c r="BK675" s="6"/>
      <c r="BL675" s="6">
        <f>VLOOKUP(A675,[2]Sheet1!$D$2:$H$933,5,0)</f>
        <v>0</v>
      </c>
      <c r="BM675" s="6" t="s">
        <v>3828</v>
      </c>
      <c r="BN675" s="6" t="s">
        <v>3829</v>
      </c>
      <c r="BO675" s="6" t="s">
        <v>3820</v>
      </c>
      <c r="BP675" s="6" t="s">
        <v>3821</v>
      </c>
      <c r="BQ675" s="6" t="s">
        <v>3830</v>
      </c>
      <c r="BR675" t="s">
        <v>3823</v>
      </c>
      <c r="BS675" t="s">
        <v>3824</v>
      </c>
      <c r="BT675" t="s">
        <v>3825</v>
      </c>
      <c r="BU675" t="s">
        <v>3826</v>
      </c>
      <c r="BV675" t="s">
        <v>3827</v>
      </c>
      <c r="BW675" t="s">
        <v>3835</v>
      </c>
      <c r="BX675">
        <v>0</v>
      </c>
      <c r="BY675" t="s">
        <v>3861</v>
      </c>
      <c r="BZ675" t="s">
        <v>3872</v>
      </c>
    </row>
    <row r="676" spans="1:78" x14ac:dyDescent="0.25">
      <c r="A676" s="7" t="s">
        <v>2766</v>
      </c>
      <c r="B676" s="7" t="s">
        <v>181</v>
      </c>
      <c r="C676" s="7" t="s">
        <v>2764</v>
      </c>
      <c r="D676" s="8" t="s">
        <v>2765</v>
      </c>
      <c r="E676" s="7" t="s">
        <v>2767</v>
      </c>
      <c r="F676" s="9">
        <v>44903</v>
      </c>
      <c r="G676" s="9" t="s">
        <v>717</v>
      </c>
      <c r="H676" s="9" t="s">
        <v>87</v>
      </c>
      <c r="I676" s="8" t="s">
        <v>78</v>
      </c>
      <c r="J676" s="10">
        <v>903.75</v>
      </c>
      <c r="K676" s="10">
        <v>903.75</v>
      </c>
      <c r="L676" s="10">
        <f t="shared" si="292"/>
        <v>0</v>
      </c>
      <c r="M676" s="10">
        <v>401.71</v>
      </c>
      <c r="N676" s="10">
        <v>401.71</v>
      </c>
      <c r="O676" s="10">
        <f t="shared" si="293"/>
        <v>0</v>
      </c>
      <c r="P676" s="11">
        <v>12000</v>
      </c>
      <c r="Q676" s="11">
        <v>26997.087451146352</v>
      </c>
      <c r="R676" s="11">
        <v>40000</v>
      </c>
      <c r="S676" s="11">
        <v>10845000</v>
      </c>
      <c r="T676" s="11">
        <v>1301400</v>
      </c>
      <c r="U676" s="12">
        <f t="shared" si="294"/>
        <v>0.12</v>
      </c>
      <c r="V676" s="13">
        <f t="shared" si="310"/>
        <v>0</v>
      </c>
      <c r="W676" s="10">
        <f t="shared" si="295"/>
        <v>0</v>
      </c>
      <c r="X676" s="10"/>
      <c r="Y676" s="10"/>
      <c r="Z676" s="11">
        <f t="shared" si="296"/>
        <v>10845000</v>
      </c>
      <c r="AA676" s="14">
        <v>3795750</v>
      </c>
      <c r="AB676" s="14">
        <v>455490</v>
      </c>
      <c r="AC676" s="11">
        <f t="shared" si="297"/>
        <v>7049250</v>
      </c>
      <c r="AD676" s="10">
        <f t="shared" si="298"/>
        <v>300</v>
      </c>
      <c r="AE676" s="15">
        <v>120513</v>
      </c>
      <c r="AF676" s="16">
        <v>21692</v>
      </c>
      <c r="AG676" s="15">
        <f t="shared" si="299"/>
        <v>0</v>
      </c>
      <c r="AH676" s="15">
        <f t="shared" si="300"/>
        <v>0</v>
      </c>
      <c r="AI676" s="15">
        <f t="shared" si="301"/>
        <v>120513</v>
      </c>
      <c r="AJ676" s="15">
        <f t="shared" si="302"/>
        <v>21693</v>
      </c>
      <c r="AK676" s="10">
        <v>120513</v>
      </c>
      <c r="AL676" s="15">
        <f t="shared" si="303"/>
        <v>120513</v>
      </c>
      <c r="AM676" s="15">
        <f t="shared" si="304"/>
        <v>7169763</v>
      </c>
      <c r="AN676" s="15">
        <f t="shared" si="305"/>
        <v>867603</v>
      </c>
      <c r="AO676" s="15">
        <f t="shared" si="311"/>
        <v>1013948</v>
      </c>
      <c r="AP676" s="17">
        <f t="shared" si="306"/>
        <v>8183711</v>
      </c>
      <c r="AQ676" s="15">
        <v>1483869</v>
      </c>
      <c r="AR676" s="15">
        <v>25832</v>
      </c>
      <c r="AS676" s="18">
        <f t="shared" si="312"/>
        <v>6699842</v>
      </c>
      <c r="AT676" s="19">
        <v>0</v>
      </c>
      <c r="AU676" s="8">
        <v>8800</v>
      </c>
      <c r="AV676" s="13">
        <f t="shared" si="313"/>
        <v>3535048</v>
      </c>
      <c r="AW676" s="18">
        <f t="shared" si="314"/>
        <v>7169763</v>
      </c>
      <c r="AX676" s="15">
        <f t="shared" si="307"/>
        <v>7170000</v>
      </c>
      <c r="AY676" s="20">
        <v>7.0000000000000007E-2</v>
      </c>
      <c r="AZ676" s="13">
        <f t="shared" si="308"/>
        <v>501900.00000000006</v>
      </c>
      <c r="BA676" s="15">
        <f t="shared" si="309"/>
        <v>501900</v>
      </c>
      <c r="BB676" s="21">
        <f t="shared" si="315"/>
        <v>7201742</v>
      </c>
      <c r="BC676" s="10">
        <f t="shared" si="316"/>
        <v>0</v>
      </c>
      <c r="BD676" s="10">
        <f t="shared" si="317"/>
        <v>0</v>
      </c>
      <c r="BE676" s="10">
        <v>83.96</v>
      </c>
      <c r="BF676" s="10">
        <v>37.32</v>
      </c>
      <c r="BG676" s="107">
        <v>46176</v>
      </c>
      <c r="BH676" s="107">
        <f t="shared" si="291"/>
        <v>46206</v>
      </c>
      <c r="BI676" s="23">
        <v>7</v>
      </c>
      <c r="BJ676" s="6"/>
      <c r="BK676" s="6"/>
      <c r="BL676" s="6">
        <f>VLOOKUP(A676,[2]Sheet1!$D$2:$H$933,5,0)</f>
        <v>0</v>
      </c>
      <c r="BM676" s="6" t="s">
        <v>3828</v>
      </c>
      <c r="BN676" s="6" t="s">
        <v>3829</v>
      </c>
      <c r="BO676" s="6" t="s">
        <v>3820</v>
      </c>
      <c r="BP676" s="6" t="s">
        <v>3821</v>
      </c>
      <c r="BQ676" s="6" t="s">
        <v>3830</v>
      </c>
      <c r="BR676" t="s">
        <v>3823</v>
      </c>
      <c r="BS676" t="s">
        <v>3824</v>
      </c>
      <c r="BT676" t="s">
        <v>3825</v>
      </c>
      <c r="BU676" t="s">
        <v>3826</v>
      </c>
      <c r="BV676" t="s">
        <v>3827</v>
      </c>
      <c r="BW676" t="s">
        <v>3835</v>
      </c>
      <c r="BX676">
        <v>0</v>
      </c>
      <c r="BY676" t="s">
        <v>3865</v>
      </c>
      <c r="BZ676" t="s">
        <v>3872</v>
      </c>
    </row>
    <row r="677" spans="1:78" x14ac:dyDescent="0.25">
      <c r="A677" s="7" t="s">
        <v>2770</v>
      </c>
      <c r="B677" s="7" t="s">
        <v>181</v>
      </c>
      <c r="C677" s="7" t="s">
        <v>2768</v>
      </c>
      <c r="D677" s="8" t="s">
        <v>2769</v>
      </c>
      <c r="E677" s="7" t="s">
        <v>2771</v>
      </c>
      <c r="F677" s="9">
        <v>45040</v>
      </c>
      <c r="G677" s="9" t="s">
        <v>527</v>
      </c>
      <c r="H677" s="9" t="s">
        <v>92</v>
      </c>
      <c r="I677" s="8" t="s">
        <v>67</v>
      </c>
      <c r="J677" s="10">
        <v>394.68</v>
      </c>
      <c r="K677" s="10">
        <v>394.68</v>
      </c>
      <c r="L677" s="10">
        <f t="shared" si="292"/>
        <v>0</v>
      </c>
      <c r="M677" s="10">
        <v>158.22999999999999</v>
      </c>
      <c r="N677" s="10">
        <v>158.22999999999999</v>
      </c>
      <c r="O677" s="10">
        <f t="shared" si="293"/>
        <v>0</v>
      </c>
      <c r="P677" s="11">
        <v>21445.999290564509</v>
      </c>
      <c r="Q677" s="11">
        <v>53493.692725778936</v>
      </c>
      <c r="R677" s="11">
        <v>28000</v>
      </c>
      <c r="S677" s="11">
        <v>8464307</v>
      </c>
      <c r="T677" s="11">
        <v>1015718</v>
      </c>
      <c r="U677" s="12">
        <f t="shared" si="294"/>
        <v>0.12000013704606886</v>
      </c>
      <c r="V677" s="13">
        <f t="shared" si="310"/>
        <v>0</v>
      </c>
      <c r="W677" s="10">
        <f t="shared" si="295"/>
        <v>0</v>
      </c>
      <c r="X677" s="10"/>
      <c r="Y677" s="10"/>
      <c r="Z677" s="11">
        <f t="shared" si="296"/>
        <v>8464307</v>
      </c>
      <c r="AA677" s="14"/>
      <c r="AB677" s="14"/>
      <c r="AC677" s="11">
        <f t="shared" si="297"/>
        <v>8464307</v>
      </c>
      <c r="AD677" s="10">
        <f t="shared" si="298"/>
        <v>300</v>
      </c>
      <c r="AE677" s="15">
        <v>47469</v>
      </c>
      <c r="AF677" s="16">
        <v>8544</v>
      </c>
      <c r="AG677" s="15">
        <f t="shared" si="299"/>
        <v>0</v>
      </c>
      <c r="AH677" s="15">
        <f t="shared" si="300"/>
        <v>0</v>
      </c>
      <c r="AI677" s="15">
        <f t="shared" si="301"/>
        <v>47469</v>
      </c>
      <c r="AJ677" s="15">
        <f t="shared" si="302"/>
        <v>8545</v>
      </c>
      <c r="AK677" s="10">
        <v>47469</v>
      </c>
      <c r="AL677" s="15">
        <f t="shared" si="303"/>
        <v>47469</v>
      </c>
      <c r="AM677" s="15">
        <f t="shared" si="304"/>
        <v>8511776</v>
      </c>
      <c r="AN677" s="15">
        <f t="shared" si="305"/>
        <v>1024263</v>
      </c>
      <c r="AO677" s="15">
        <f t="shared" si="311"/>
        <v>1102895</v>
      </c>
      <c r="AP677" s="17">
        <f t="shared" si="306"/>
        <v>9614671</v>
      </c>
      <c r="AQ677" s="15">
        <v>2263180</v>
      </c>
      <c r="AR677" s="15">
        <v>31163</v>
      </c>
      <c r="AS677" s="18">
        <f t="shared" si="312"/>
        <v>7351491</v>
      </c>
      <c r="AT677" s="19">
        <v>0</v>
      </c>
      <c r="AU677" s="8">
        <v>8800</v>
      </c>
      <c r="AV677" s="13">
        <f t="shared" si="313"/>
        <v>1392424</v>
      </c>
      <c r="AW677" s="18">
        <f t="shared" si="314"/>
        <v>8511776</v>
      </c>
      <c r="AX677" s="15">
        <f t="shared" si="307"/>
        <v>8512000</v>
      </c>
      <c r="AY677" s="20">
        <v>7.0000000000000007E-2</v>
      </c>
      <c r="AZ677" s="13">
        <f t="shared" si="308"/>
        <v>595840</v>
      </c>
      <c r="BA677" s="15">
        <f t="shared" si="309"/>
        <v>595900</v>
      </c>
      <c r="BB677" s="21">
        <f t="shared" si="315"/>
        <v>7947391</v>
      </c>
      <c r="BC677" s="10">
        <f t="shared" si="316"/>
        <v>0</v>
      </c>
      <c r="BD677" s="10">
        <f t="shared" si="317"/>
        <v>0</v>
      </c>
      <c r="BE677" s="10">
        <v>36.67</v>
      </c>
      <c r="BF677" s="10">
        <v>14.7</v>
      </c>
      <c r="BG677" s="107">
        <v>46176</v>
      </c>
      <c r="BH677" s="107">
        <f t="shared" si="291"/>
        <v>46206</v>
      </c>
      <c r="BI677" s="23">
        <v>7</v>
      </c>
      <c r="BJ677" s="6"/>
      <c r="BK677" s="6"/>
      <c r="BL677" s="6">
        <f>VLOOKUP(A677,[2]Sheet1!$D$2:$H$933,5,0)</f>
        <v>0</v>
      </c>
      <c r="BM677" s="6" t="s">
        <v>3828</v>
      </c>
      <c r="BN677" s="6" t="s">
        <v>3829</v>
      </c>
      <c r="BO677" s="6" t="s">
        <v>3820</v>
      </c>
      <c r="BP677" s="6" t="s">
        <v>3821</v>
      </c>
      <c r="BQ677" s="6" t="s">
        <v>3830</v>
      </c>
      <c r="BR677" t="s">
        <v>3823</v>
      </c>
      <c r="BS677" t="s">
        <v>3824</v>
      </c>
      <c r="BT677" t="s">
        <v>3825</v>
      </c>
      <c r="BU677" t="s">
        <v>3826</v>
      </c>
      <c r="BV677" t="s">
        <v>3827</v>
      </c>
      <c r="BW677" t="s">
        <v>3835</v>
      </c>
      <c r="BX677">
        <v>0</v>
      </c>
      <c r="BY677" t="s">
        <v>3859</v>
      </c>
      <c r="BZ677" t="s">
        <v>3871</v>
      </c>
    </row>
    <row r="678" spans="1:78" x14ac:dyDescent="0.25">
      <c r="A678" s="7" t="s">
        <v>2774</v>
      </c>
      <c r="B678" s="7" t="s">
        <v>181</v>
      </c>
      <c r="C678" s="7" t="s">
        <v>2772</v>
      </c>
      <c r="D678" s="8" t="s">
        <v>2773</v>
      </c>
      <c r="E678" s="7" t="s">
        <v>2775</v>
      </c>
      <c r="F678" s="9">
        <v>45058</v>
      </c>
      <c r="G678" s="9" t="s">
        <v>717</v>
      </c>
      <c r="H678" s="9" t="s">
        <v>72</v>
      </c>
      <c r="I678" s="8" t="s">
        <v>78</v>
      </c>
      <c r="J678" s="10">
        <v>1220.6400000000001</v>
      </c>
      <c r="K678" s="10">
        <v>1220.6400000000001</v>
      </c>
      <c r="L678" s="10">
        <f t="shared" si="292"/>
        <v>0</v>
      </c>
      <c r="M678" s="10">
        <v>557.58000000000004</v>
      </c>
      <c r="N678" s="10">
        <v>557.58000000000004</v>
      </c>
      <c r="O678" s="10">
        <f t="shared" si="293"/>
        <v>0</v>
      </c>
      <c r="P678" s="11">
        <v>7745.0001638484719</v>
      </c>
      <c r="Q678" s="11">
        <v>16955.158004232577</v>
      </c>
      <c r="R678" s="11">
        <v>20000</v>
      </c>
      <c r="S678" s="11">
        <v>9453857</v>
      </c>
      <c r="T678" s="11">
        <v>1134462</v>
      </c>
      <c r="U678" s="12">
        <f t="shared" si="294"/>
        <v>0.11999991114737614</v>
      </c>
      <c r="V678" s="13">
        <f t="shared" si="310"/>
        <v>0</v>
      </c>
      <c r="W678" s="10">
        <f t="shared" si="295"/>
        <v>0</v>
      </c>
      <c r="X678" s="10"/>
      <c r="Y678" s="10"/>
      <c r="Z678" s="11">
        <f t="shared" si="296"/>
        <v>9453857</v>
      </c>
      <c r="AA678" s="14"/>
      <c r="AB678" s="14"/>
      <c r="AC678" s="11">
        <f t="shared" si="297"/>
        <v>9453857</v>
      </c>
      <c r="AD678" s="10">
        <f t="shared" si="298"/>
        <v>300</v>
      </c>
      <c r="AE678" s="15">
        <v>167274</v>
      </c>
      <c r="AF678" s="16">
        <v>30110</v>
      </c>
      <c r="AG678" s="15">
        <f t="shared" si="299"/>
        <v>0</v>
      </c>
      <c r="AH678" s="15">
        <f t="shared" si="300"/>
        <v>0</v>
      </c>
      <c r="AI678" s="15">
        <f t="shared" si="301"/>
        <v>167274</v>
      </c>
      <c r="AJ678" s="15">
        <f t="shared" si="302"/>
        <v>30110</v>
      </c>
      <c r="AK678" s="10">
        <v>167274</v>
      </c>
      <c r="AL678" s="15">
        <f t="shared" si="303"/>
        <v>167274</v>
      </c>
      <c r="AM678" s="15">
        <f t="shared" si="304"/>
        <v>9621131</v>
      </c>
      <c r="AN678" s="15">
        <f t="shared" si="305"/>
        <v>1164572</v>
      </c>
      <c r="AO678" s="15">
        <f t="shared" si="311"/>
        <v>1363626</v>
      </c>
      <c r="AP678" s="17">
        <f t="shared" si="306"/>
        <v>10984757</v>
      </c>
      <c r="AQ678" s="15">
        <v>3136000</v>
      </c>
      <c r="AR678" s="15">
        <v>31780</v>
      </c>
      <c r="AS678" s="18">
        <f t="shared" si="312"/>
        <v>7848757</v>
      </c>
      <c r="AT678" s="19">
        <v>0</v>
      </c>
      <c r="AU678" s="8">
        <v>8800</v>
      </c>
      <c r="AV678" s="13">
        <f t="shared" si="313"/>
        <v>4906704</v>
      </c>
      <c r="AW678" s="18">
        <f t="shared" si="314"/>
        <v>9621131</v>
      </c>
      <c r="AX678" s="15">
        <f t="shared" si="307"/>
        <v>9622000</v>
      </c>
      <c r="AY678" s="20">
        <v>7.0000000000000007E-2</v>
      </c>
      <c r="AZ678" s="13">
        <f t="shared" si="308"/>
        <v>673540.00000000012</v>
      </c>
      <c r="BA678" s="15">
        <f t="shared" si="309"/>
        <v>673600</v>
      </c>
      <c r="BB678" s="21">
        <f t="shared" si="315"/>
        <v>8522357</v>
      </c>
      <c r="BC678" s="10">
        <f t="shared" si="316"/>
        <v>0</v>
      </c>
      <c r="BD678" s="10">
        <f t="shared" si="317"/>
        <v>0</v>
      </c>
      <c r="BE678" s="10">
        <v>113.4</v>
      </c>
      <c r="BF678" s="10">
        <v>51.8</v>
      </c>
      <c r="BG678" s="107">
        <v>46176</v>
      </c>
      <c r="BH678" s="107">
        <f t="shared" si="291"/>
        <v>46206</v>
      </c>
      <c r="BI678" s="23">
        <v>7</v>
      </c>
      <c r="BJ678" s="6"/>
      <c r="BK678" s="6"/>
      <c r="BL678" s="6">
        <f>VLOOKUP(A678,[2]Sheet1!$D$2:$H$933,5,0)</f>
        <v>0</v>
      </c>
      <c r="BM678" s="6" t="s">
        <v>3828</v>
      </c>
      <c r="BN678" s="6" t="s">
        <v>3829</v>
      </c>
      <c r="BO678" s="6" t="s">
        <v>3820</v>
      </c>
      <c r="BP678" s="6" t="s">
        <v>3821</v>
      </c>
      <c r="BQ678" s="6" t="s">
        <v>3830</v>
      </c>
      <c r="BR678" t="s">
        <v>3823</v>
      </c>
      <c r="BS678" t="s">
        <v>3824</v>
      </c>
      <c r="BT678" t="s">
        <v>3825</v>
      </c>
      <c r="BU678" t="s">
        <v>3826</v>
      </c>
      <c r="BV678" t="s">
        <v>3827</v>
      </c>
      <c r="BW678" t="s">
        <v>3835</v>
      </c>
      <c r="BX678">
        <v>0</v>
      </c>
      <c r="BY678" t="s">
        <v>3861</v>
      </c>
      <c r="BZ678" t="s">
        <v>3872</v>
      </c>
    </row>
    <row r="679" spans="1:78" x14ac:dyDescent="0.25">
      <c r="A679" s="7" t="s">
        <v>2778</v>
      </c>
      <c r="B679" s="7" t="s">
        <v>181</v>
      </c>
      <c r="C679" s="7" t="s">
        <v>2776</v>
      </c>
      <c r="D679" s="8" t="s">
        <v>2777</v>
      </c>
      <c r="E679" s="7" t="s">
        <v>2779</v>
      </c>
      <c r="F679" s="9">
        <v>45020</v>
      </c>
      <c r="G679" s="9" t="s">
        <v>65</v>
      </c>
      <c r="H679" s="9" t="s">
        <v>66</v>
      </c>
      <c r="I679" s="8" t="s">
        <v>78</v>
      </c>
      <c r="J679" s="10">
        <v>795.46</v>
      </c>
      <c r="K679" s="10">
        <v>795.46</v>
      </c>
      <c r="L679" s="10">
        <f t="shared" si="292"/>
        <v>0</v>
      </c>
      <c r="M679" s="10">
        <v>372.43</v>
      </c>
      <c r="N679" s="10">
        <v>372.43</v>
      </c>
      <c r="O679" s="10">
        <f t="shared" si="293"/>
        <v>0</v>
      </c>
      <c r="P679" s="11">
        <v>12630.660246901163</v>
      </c>
      <c r="Q679" s="11">
        <v>26977.378299277716</v>
      </c>
      <c r="R679" s="11">
        <v>22000</v>
      </c>
      <c r="S679" s="11">
        <v>10047185</v>
      </c>
      <c r="T679" s="11">
        <v>1205662</v>
      </c>
      <c r="U679" s="12">
        <f t="shared" si="294"/>
        <v>0.1199999800939268</v>
      </c>
      <c r="V679" s="13">
        <f t="shared" si="310"/>
        <v>0</v>
      </c>
      <c r="W679" s="10">
        <f t="shared" si="295"/>
        <v>0</v>
      </c>
      <c r="X679" s="10"/>
      <c r="Y679" s="10"/>
      <c r="Z679" s="11">
        <f t="shared" si="296"/>
        <v>10047185</v>
      </c>
      <c r="AA679" s="14"/>
      <c r="AB679" s="14"/>
      <c r="AC679" s="11">
        <f t="shared" si="297"/>
        <v>10047185</v>
      </c>
      <c r="AD679" s="10">
        <f t="shared" si="298"/>
        <v>300</v>
      </c>
      <c r="AE679" s="15">
        <v>111729</v>
      </c>
      <c r="AF679" s="16">
        <v>20112</v>
      </c>
      <c r="AG679" s="15">
        <f t="shared" si="299"/>
        <v>0</v>
      </c>
      <c r="AH679" s="15">
        <f t="shared" si="300"/>
        <v>0</v>
      </c>
      <c r="AI679" s="15">
        <f t="shared" si="301"/>
        <v>111729</v>
      </c>
      <c r="AJ679" s="15">
        <f t="shared" si="302"/>
        <v>20112</v>
      </c>
      <c r="AK679" s="10">
        <v>111729</v>
      </c>
      <c r="AL679" s="15">
        <f t="shared" si="303"/>
        <v>111729</v>
      </c>
      <c r="AM679" s="15">
        <f t="shared" si="304"/>
        <v>10158914</v>
      </c>
      <c r="AN679" s="15">
        <f t="shared" si="305"/>
        <v>1225774</v>
      </c>
      <c r="AO679" s="15">
        <f t="shared" si="311"/>
        <v>1362342</v>
      </c>
      <c r="AP679" s="17">
        <f t="shared" si="306"/>
        <v>11521256</v>
      </c>
      <c r="AQ679" s="15">
        <v>7457039</v>
      </c>
      <c r="AR679" s="15">
        <v>24839</v>
      </c>
      <c r="AS679" s="18">
        <f t="shared" si="312"/>
        <v>4064217</v>
      </c>
      <c r="AT679" s="19">
        <v>0</v>
      </c>
      <c r="AU679" s="8">
        <v>8800</v>
      </c>
      <c r="AV679" s="13">
        <f t="shared" si="313"/>
        <v>3277384</v>
      </c>
      <c r="AW679" s="18">
        <f t="shared" si="314"/>
        <v>10158914</v>
      </c>
      <c r="AX679" s="15">
        <f t="shared" si="307"/>
        <v>10159000</v>
      </c>
      <c r="AY679" s="20">
        <v>7.0000000000000007E-2</v>
      </c>
      <c r="AZ679" s="13">
        <f t="shared" si="308"/>
        <v>711130.00000000012</v>
      </c>
      <c r="BA679" s="15">
        <f t="shared" si="309"/>
        <v>711200</v>
      </c>
      <c r="BB679" s="21">
        <f t="shared" si="315"/>
        <v>4775417</v>
      </c>
      <c r="BC679" s="10">
        <f t="shared" si="316"/>
        <v>0</v>
      </c>
      <c r="BD679" s="10">
        <f t="shared" si="317"/>
        <v>0</v>
      </c>
      <c r="BE679" s="10">
        <v>73.900000000000006</v>
      </c>
      <c r="BF679" s="10">
        <v>34.6</v>
      </c>
      <c r="BG679" s="107">
        <v>46176</v>
      </c>
      <c r="BH679" s="107">
        <f t="shared" si="291"/>
        <v>46206</v>
      </c>
      <c r="BI679" s="23">
        <v>7</v>
      </c>
      <c r="BJ679" s="6"/>
      <c r="BK679" s="6"/>
      <c r="BL679" s="6">
        <f>VLOOKUP(A679,[2]Sheet1!$D$2:$H$933,5,0)</f>
        <v>0</v>
      </c>
      <c r="BM679" s="6" t="s">
        <v>3828</v>
      </c>
      <c r="BN679" s="6" t="s">
        <v>3829</v>
      </c>
      <c r="BO679" s="6" t="s">
        <v>3820</v>
      </c>
      <c r="BP679" s="6" t="s">
        <v>3821</v>
      </c>
      <c r="BQ679" s="6" t="s">
        <v>3830</v>
      </c>
      <c r="BR679" t="s">
        <v>3823</v>
      </c>
      <c r="BS679" t="s">
        <v>3824</v>
      </c>
      <c r="BT679" t="s">
        <v>3825</v>
      </c>
      <c r="BU679" t="s">
        <v>3826</v>
      </c>
      <c r="BV679" t="s">
        <v>3827</v>
      </c>
      <c r="BW679" t="s">
        <v>3835</v>
      </c>
      <c r="BX679">
        <v>0</v>
      </c>
      <c r="BY679" t="s">
        <v>3864</v>
      </c>
      <c r="BZ679" t="s">
        <v>3860</v>
      </c>
    </row>
    <row r="680" spans="1:78" x14ac:dyDescent="0.25">
      <c r="A680" s="7" t="s">
        <v>2782</v>
      </c>
      <c r="B680" s="7" t="s">
        <v>181</v>
      </c>
      <c r="C680" s="7" t="s">
        <v>2780</v>
      </c>
      <c r="D680" s="8" t="s">
        <v>2781</v>
      </c>
      <c r="E680" s="7" t="s">
        <v>2783</v>
      </c>
      <c r="F680" s="9">
        <v>45059</v>
      </c>
      <c r="G680" s="9" t="s">
        <v>363</v>
      </c>
      <c r="H680" s="9" t="s">
        <v>87</v>
      </c>
      <c r="I680" s="8" t="s">
        <v>67</v>
      </c>
      <c r="J680" s="10">
        <v>520.5</v>
      </c>
      <c r="K680" s="10">
        <v>520.5</v>
      </c>
      <c r="L680" s="10">
        <f t="shared" si="292"/>
        <v>0</v>
      </c>
      <c r="M680" s="10">
        <v>204.52</v>
      </c>
      <c r="N680" s="10">
        <v>204.52</v>
      </c>
      <c r="O680" s="10">
        <f t="shared" si="293"/>
        <v>0</v>
      </c>
      <c r="P680" s="11">
        <v>19212</v>
      </c>
      <c r="Q680" s="11">
        <v>48894.220614120866</v>
      </c>
      <c r="R680" s="11">
        <v>40000</v>
      </c>
      <c r="S680" s="11">
        <v>9999846</v>
      </c>
      <c r="T680" s="11">
        <v>1199982</v>
      </c>
      <c r="U680" s="12">
        <f t="shared" si="294"/>
        <v>0.12000004800073921</v>
      </c>
      <c r="V680" s="13">
        <f t="shared" si="310"/>
        <v>0</v>
      </c>
      <c r="W680" s="10">
        <f t="shared" si="295"/>
        <v>0</v>
      </c>
      <c r="X680" s="10"/>
      <c r="Y680" s="10"/>
      <c r="Z680" s="11">
        <f t="shared" si="296"/>
        <v>9999846</v>
      </c>
      <c r="AA680" s="14"/>
      <c r="AB680" s="14"/>
      <c r="AC680" s="11">
        <f t="shared" si="297"/>
        <v>9999846</v>
      </c>
      <c r="AD680" s="10">
        <f t="shared" si="298"/>
        <v>300</v>
      </c>
      <c r="AE680" s="15">
        <v>61356</v>
      </c>
      <c r="AF680" s="16">
        <v>11044</v>
      </c>
      <c r="AG680" s="15">
        <f t="shared" si="299"/>
        <v>0</v>
      </c>
      <c r="AH680" s="15">
        <f t="shared" si="300"/>
        <v>0</v>
      </c>
      <c r="AI680" s="15">
        <f t="shared" si="301"/>
        <v>61356</v>
      </c>
      <c r="AJ680" s="15">
        <f t="shared" si="302"/>
        <v>11045</v>
      </c>
      <c r="AK680" s="10">
        <v>61356</v>
      </c>
      <c r="AL680" s="15">
        <f t="shared" si="303"/>
        <v>61356</v>
      </c>
      <c r="AM680" s="15">
        <f t="shared" si="304"/>
        <v>10061202</v>
      </c>
      <c r="AN680" s="15">
        <f t="shared" si="305"/>
        <v>1211027</v>
      </c>
      <c r="AO680" s="15">
        <f t="shared" si="311"/>
        <v>1304316</v>
      </c>
      <c r="AP680" s="17">
        <f t="shared" si="306"/>
        <v>11365518</v>
      </c>
      <c r="AQ680" s="15">
        <v>3169727</v>
      </c>
      <c r="AR680" s="15">
        <v>31933</v>
      </c>
      <c r="AS680" s="18">
        <f t="shared" si="312"/>
        <v>8195791</v>
      </c>
      <c r="AT680" s="19">
        <v>0</v>
      </c>
      <c r="AU680" s="8">
        <v>8800</v>
      </c>
      <c r="AV680" s="13">
        <f t="shared" si="313"/>
        <v>1799776</v>
      </c>
      <c r="AW680" s="18">
        <f t="shared" si="314"/>
        <v>10061202</v>
      </c>
      <c r="AX680" s="15">
        <f t="shared" si="307"/>
        <v>10062000</v>
      </c>
      <c r="AY680" s="20">
        <v>0.05</v>
      </c>
      <c r="AZ680" s="13">
        <f t="shared" si="308"/>
        <v>503100</v>
      </c>
      <c r="BA680" s="15">
        <f t="shared" si="309"/>
        <v>503100</v>
      </c>
      <c r="BB680" s="21">
        <f t="shared" si="315"/>
        <v>8698891</v>
      </c>
      <c r="BC680" s="10">
        <f t="shared" si="316"/>
        <v>0</v>
      </c>
      <c r="BD680" s="10">
        <f t="shared" si="317"/>
        <v>0</v>
      </c>
      <c r="BE680" s="10">
        <v>48.36</v>
      </c>
      <c r="BF680" s="10">
        <v>19</v>
      </c>
      <c r="BG680" s="107">
        <v>46176</v>
      </c>
      <c r="BH680" s="107">
        <f t="shared" si="291"/>
        <v>46206</v>
      </c>
      <c r="BI680" s="23">
        <v>5</v>
      </c>
      <c r="BJ680" s="6"/>
      <c r="BK680" s="6"/>
      <c r="BL680" s="6">
        <f>VLOOKUP(A680,[2]Sheet1!$D$2:$H$933,5,0)</f>
        <v>0</v>
      </c>
      <c r="BM680" s="6" t="s">
        <v>3828</v>
      </c>
      <c r="BN680" s="6" t="s">
        <v>3829</v>
      </c>
      <c r="BO680" s="6" t="s">
        <v>3820</v>
      </c>
      <c r="BP680" s="6" t="s">
        <v>3821</v>
      </c>
      <c r="BQ680" s="6" t="s">
        <v>3830</v>
      </c>
      <c r="BR680" t="s">
        <v>3823</v>
      </c>
      <c r="BS680" t="s">
        <v>3824</v>
      </c>
      <c r="BT680" t="s">
        <v>3825</v>
      </c>
      <c r="BU680" t="s">
        <v>3826</v>
      </c>
      <c r="BV680" t="s">
        <v>3827</v>
      </c>
      <c r="BW680" t="s">
        <v>3835</v>
      </c>
      <c r="BX680">
        <v>0</v>
      </c>
      <c r="BY680" t="s">
        <v>3866</v>
      </c>
      <c r="BZ680" t="s">
        <v>3860</v>
      </c>
    </row>
    <row r="681" spans="1:78" x14ac:dyDescent="0.25">
      <c r="A681" s="7" t="s">
        <v>2786</v>
      </c>
      <c r="B681" s="7" t="s">
        <v>181</v>
      </c>
      <c r="C681" s="7" t="s">
        <v>2784</v>
      </c>
      <c r="D681" s="8" t="s">
        <v>2785</v>
      </c>
      <c r="E681" s="7" t="s">
        <v>2787</v>
      </c>
      <c r="F681" s="9">
        <v>45009</v>
      </c>
      <c r="G681" s="9" t="s">
        <v>363</v>
      </c>
      <c r="H681" s="9" t="s">
        <v>92</v>
      </c>
      <c r="I681" s="8" t="s">
        <v>78</v>
      </c>
      <c r="J681" s="10">
        <v>697.51</v>
      </c>
      <c r="K681" s="10">
        <v>697.51</v>
      </c>
      <c r="L681" s="10">
        <f t="shared" si="292"/>
        <v>0</v>
      </c>
      <c r="M681" s="10">
        <v>317.54000000000002</v>
      </c>
      <c r="N681" s="10">
        <v>317.54000000000002</v>
      </c>
      <c r="O681" s="10">
        <f t="shared" si="293"/>
        <v>0</v>
      </c>
      <c r="P681" s="11">
        <v>14498.999297501112</v>
      </c>
      <c r="Q681" s="11">
        <v>31848.576557284119</v>
      </c>
      <c r="R681" s="11">
        <v>28000</v>
      </c>
      <c r="S681" s="11">
        <v>10113197</v>
      </c>
      <c r="T681" s="11">
        <v>1213584</v>
      </c>
      <c r="U681" s="12">
        <f t="shared" si="294"/>
        <v>0.12000003559705205</v>
      </c>
      <c r="V681" s="13">
        <f t="shared" si="310"/>
        <v>0</v>
      </c>
      <c r="W681" s="10">
        <f t="shared" si="295"/>
        <v>0</v>
      </c>
      <c r="X681" s="10"/>
      <c r="Y681" s="10"/>
      <c r="Z681" s="11">
        <f t="shared" si="296"/>
        <v>10113197</v>
      </c>
      <c r="AA681" s="14"/>
      <c r="AB681" s="14"/>
      <c r="AC681" s="11">
        <f t="shared" si="297"/>
        <v>10113197</v>
      </c>
      <c r="AD681" s="10">
        <f t="shared" si="298"/>
        <v>300</v>
      </c>
      <c r="AE681" s="15">
        <v>95262</v>
      </c>
      <c r="AF681" s="16">
        <v>17148</v>
      </c>
      <c r="AG681" s="15">
        <f t="shared" si="299"/>
        <v>0</v>
      </c>
      <c r="AH681" s="15">
        <f t="shared" si="300"/>
        <v>0</v>
      </c>
      <c r="AI681" s="15">
        <f t="shared" si="301"/>
        <v>95262</v>
      </c>
      <c r="AJ681" s="15">
        <f t="shared" si="302"/>
        <v>17148</v>
      </c>
      <c r="AK681" s="10">
        <v>95262</v>
      </c>
      <c r="AL681" s="15">
        <f t="shared" si="303"/>
        <v>95262</v>
      </c>
      <c r="AM681" s="15">
        <f t="shared" si="304"/>
        <v>10208459</v>
      </c>
      <c r="AN681" s="15">
        <f t="shared" si="305"/>
        <v>1230732</v>
      </c>
      <c r="AO681" s="15">
        <f t="shared" si="311"/>
        <v>1357848</v>
      </c>
      <c r="AP681" s="17">
        <f t="shared" si="306"/>
        <v>11566307</v>
      </c>
      <c r="AQ681" s="15">
        <v>3983387</v>
      </c>
      <c r="AR681" s="15">
        <v>31854</v>
      </c>
      <c r="AS681" s="18">
        <f t="shared" si="312"/>
        <v>7582920</v>
      </c>
      <c r="AT681" s="19">
        <v>0</v>
      </c>
      <c r="AU681" s="8">
        <v>8800</v>
      </c>
      <c r="AV681" s="13">
        <f t="shared" si="313"/>
        <v>2794352</v>
      </c>
      <c r="AW681" s="18">
        <f t="shared" si="314"/>
        <v>10208459</v>
      </c>
      <c r="AX681" s="15">
        <f t="shared" si="307"/>
        <v>10209000</v>
      </c>
      <c r="AY681" s="20">
        <v>0.05</v>
      </c>
      <c r="AZ681" s="13">
        <f t="shared" si="308"/>
        <v>510450</v>
      </c>
      <c r="BA681" s="15">
        <f t="shared" si="309"/>
        <v>510500</v>
      </c>
      <c r="BB681" s="21">
        <f t="shared" si="315"/>
        <v>8093420</v>
      </c>
      <c r="BC681" s="10">
        <f t="shared" si="316"/>
        <v>0</v>
      </c>
      <c r="BD681" s="10">
        <f t="shared" si="317"/>
        <v>0</v>
      </c>
      <c r="BE681" s="10">
        <v>64.8</v>
      </c>
      <c r="BF681" s="10">
        <v>29.5</v>
      </c>
      <c r="BG681" s="107">
        <v>46176</v>
      </c>
      <c r="BH681" s="107">
        <f t="shared" ref="BH681:BH744" si="318">BG681+30</f>
        <v>46206</v>
      </c>
      <c r="BI681" s="23">
        <v>5</v>
      </c>
      <c r="BJ681" s="6"/>
      <c r="BK681" s="6"/>
      <c r="BL681" s="6">
        <f>VLOOKUP(A681,[2]Sheet1!$D$2:$H$933,5,0)</f>
        <v>0</v>
      </c>
      <c r="BM681" s="6" t="s">
        <v>3828</v>
      </c>
      <c r="BN681" s="6" t="s">
        <v>3829</v>
      </c>
      <c r="BO681" s="6" t="s">
        <v>3820</v>
      </c>
      <c r="BP681" s="6" t="s">
        <v>3821</v>
      </c>
      <c r="BQ681" s="6" t="s">
        <v>3830</v>
      </c>
      <c r="BR681" t="s">
        <v>3823</v>
      </c>
      <c r="BS681" t="s">
        <v>3824</v>
      </c>
      <c r="BT681" t="s">
        <v>3825</v>
      </c>
      <c r="BU681" t="s">
        <v>3826</v>
      </c>
      <c r="BV681" t="s">
        <v>3827</v>
      </c>
      <c r="BW681" t="s">
        <v>3835</v>
      </c>
      <c r="BX681">
        <v>0</v>
      </c>
      <c r="BY681" t="s">
        <v>3866</v>
      </c>
      <c r="BZ681" t="s">
        <v>3860</v>
      </c>
    </row>
    <row r="682" spans="1:78" x14ac:dyDescent="0.25">
      <c r="A682" s="48" t="s">
        <v>2790</v>
      </c>
      <c r="B682" s="48" t="s">
        <v>181</v>
      </c>
      <c r="C682" s="48" t="s">
        <v>2788</v>
      </c>
      <c r="D682" s="49" t="s">
        <v>2789</v>
      </c>
      <c r="E682" s="48" t="s">
        <v>2791</v>
      </c>
      <c r="F682" s="50">
        <v>45175</v>
      </c>
      <c r="G682" s="50" t="s">
        <v>527</v>
      </c>
      <c r="H682" s="50" t="s">
        <v>92</v>
      </c>
      <c r="I682" s="49" t="s">
        <v>67</v>
      </c>
      <c r="J682" s="51">
        <v>371.24</v>
      </c>
      <c r="K682" s="51">
        <v>371.24</v>
      </c>
      <c r="L682" s="51">
        <f t="shared" si="292"/>
        <v>0</v>
      </c>
      <c r="M682" s="51">
        <v>148.54</v>
      </c>
      <c r="N682" s="51">
        <v>148.54</v>
      </c>
      <c r="O682" s="51">
        <f t="shared" si="293"/>
        <v>0</v>
      </c>
      <c r="P682" s="52">
        <v>19909.928886973386</v>
      </c>
      <c r="Q682" s="52">
        <v>49760.078093442848</v>
      </c>
      <c r="R682" s="52">
        <v>28000</v>
      </c>
      <c r="S682" s="52">
        <v>7391362</v>
      </c>
      <c r="T682" s="52">
        <v>886964</v>
      </c>
      <c r="U682" s="53">
        <f t="shared" si="294"/>
        <v>0.12000007576411492</v>
      </c>
      <c r="V682" s="54">
        <f t="shared" si="310"/>
        <v>0</v>
      </c>
      <c r="W682" s="51">
        <f t="shared" si="295"/>
        <v>0</v>
      </c>
      <c r="X682" s="51"/>
      <c r="Y682" s="51"/>
      <c r="Z682" s="52">
        <f t="shared" si="296"/>
        <v>7391362</v>
      </c>
      <c r="AA682" s="56">
        <v>18072</v>
      </c>
      <c r="AB682" s="56">
        <v>2169</v>
      </c>
      <c r="AC682" s="52">
        <f t="shared" si="297"/>
        <v>7373290</v>
      </c>
      <c r="AD682" s="51">
        <f t="shared" si="298"/>
        <v>300</v>
      </c>
      <c r="AE682" s="55">
        <v>44562</v>
      </c>
      <c r="AF682" s="57">
        <v>8022</v>
      </c>
      <c r="AG682" s="55">
        <f t="shared" si="299"/>
        <v>0</v>
      </c>
      <c r="AH682" s="55">
        <f t="shared" si="300"/>
        <v>0</v>
      </c>
      <c r="AI682" s="55">
        <f t="shared" si="301"/>
        <v>44562</v>
      </c>
      <c r="AJ682" s="55">
        <f t="shared" si="302"/>
        <v>8022</v>
      </c>
      <c r="AK682" s="51">
        <v>44562</v>
      </c>
      <c r="AL682" s="55">
        <f t="shared" si="303"/>
        <v>44562</v>
      </c>
      <c r="AM682" s="55">
        <f t="shared" si="304"/>
        <v>7417852</v>
      </c>
      <c r="AN682" s="55">
        <f t="shared" si="305"/>
        <v>892817</v>
      </c>
      <c r="AO682" s="55">
        <f t="shared" si="311"/>
        <v>962764</v>
      </c>
      <c r="AP682" s="58">
        <f t="shared" si="306"/>
        <v>8380616</v>
      </c>
      <c r="AQ682" s="55">
        <v>4983442</v>
      </c>
      <c r="AR682" s="15">
        <v>25385</v>
      </c>
      <c r="AS682" s="59">
        <f t="shared" si="312"/>
        <v>3397174</v>
      </c>
      <c r="AT682" s="60">
        <v>0</v>
      </c>
      <c r="AU682" s="49">
        <v>8800</v>
      </c>
      <c r="AV682" s="54">
        <f t="shared" si="313"/>
        <v>1307152</v>
      </c>
      <c r="AW682" s="59">
        <f t="shared" si="314"/>
        <v>7417852</v>
      </c>
      <c r="AX682" s="55">
        <f t="shared" si="307"/>
        <v>7418000</v>
      </c>
      <c r="AY682" s="61">
        <v>0.05</v>
      </c>
      <c r="AZ682" s="54">
        <f t="shared" si="308"/>
        <v>370900</v>
      </c>
      <c r="BA682" s="55">
        <f t="shared" si="309"/>
        <v>370900</v>
      </c>
      <c r="BB682" s="62">
        <f t="shared" si="315"/>
        <v>3768074</v>
      </c>
      <c r="BC682" s="51">
        <f t="shared" si="316"/>
        <v>0</v>
      </c>
      <c r="BD682" s="51">
        <f t="shared" si="317"/>
        <v>0</v>
      </c>
      <c r="BE682" s="51">
        <v>34.49</v>
      </c>
      <c r="BF682" s="51">
        <v>13.8</v>
      </c>
      <c r="BG682" s="107">
        <v>46176</v>
      </c>
      <c r="BH682" s="109">
        <f t="shared" si="318"/>
        <v>46206</v>
      </c>
      <c r="BI682" s="63">
        <v>5</v>
      </c>
      <c r="BJ682" s="24" t="s">
        <v>350</v>
      </c>
      <c r="BK682" s="24"/>
      <c r="BL682" s="6">
        <f>VLOOKUP(A682,[2]Sheet1!$D$2:$H$933,5,0)</f>
        <v>0</v>
      </c>
      <c r="BM682" s="6" t="s">
        <v>3828</v>
      </c>
      <c r="BN682" s="6" t="s">
        <v>3829</v>
      </c>
      <c r="BO682" s="6" t="s">
        <v>3820</v>
      </c>
      <c r="BP682" s="6" t="s">
        <v>3821</v>
      </c>
      <c r="BQ682" s="6" t="s">
        <v>3830</v>
      </c>
      <c r="BR682" t="s">
        <v>3823</v>
      </c>
      <c r="BS682" t="s">
        <v>3824</v>
      </c>
      <c r="BT682" t="s">
        <v>3825</v>
      </c>
      <c r="BU682" t="s">
        <v>3826</v>
      </c>
      <c r="BV682" t="s">
        <v>3827</v>
      </c>
      <c r="BW682" t="s">
        <v>3835</v>
      </c>
      <c r="BX682">
        <v>0</v>
      </c>
      <c r="BY682" t="s">
        <v>3869</v>
      </c>
      <c r="BZ682" t="s">
        <v>3871</v>
      </c>
    </row>
    <row r="683" spans="1:78" x14ac:dyDescent="0.25">
      <c r="A683" s="7" t="s">
        <v>2794</v>
      </c>
      <c r="B683" s="7" t="s">
        <v>181</v>
      </c>
      <c r="C683" s="7" t="s">
        <v>2792</v>
      </c>
      <c r="D683" s="8" t="s">
        <v>2793</v>
      </c>
      <c r="E683" s="7" t="s">
        <v>2795</v>
      </c>
      <c r="F683" s="9">
        <v>45266</v>
      </c>
      <c r="G683" s="9" t="s">
        <v>527</v>
      </c>
      <c r="H683" s="9" t="s">
        <v>66</v>
      </c>
      <c r="I683" s="8" t="s">
        <v>67</v>
      </c>
      <c r="J683" s="10">
        <v>459.26</v>
      </c>
      <c r="K683" s="10">
        <v>441.8</v>
      </c>
      <c r="L683" s="10">
        <f t="shared" si="292"/>
        <v>-17.45999999999998</v>
      </c>
      <c r="M683" s="10">
        <v>177.61</v>
      </c>
      <c r="N683" s="10">
        <v>175.45</v>
      </c>
      <c r="O683" s="10">
        <f t="shared" si="293"/>
        <v>-2.160000000000025</v>
      </c>
      <c r="P683" s="11">
        <v>23092.000174193268</v>
      </c>
      <c r="Q683" s="11">
        <v>59710.782050560214</v>
      </c>
      <c r="R683" s="11">
        <v>22000</v>
      </c>
      <c r="S683" s="11">
        <v>10605232</v>
      </c>
      <c r="T683" s="11">
        <v>1272628</v>
      </c>
      <c r="U683" s="12">
        <f t="shared" si="294"/>
        <v>0.12000001508689297</v>
      </c>
      <c r="V683" s="13">
        <f t="shared" si="310"/>
        <v>-403186.32304141397</v>
      </c>
      <c r="W683" s="10">
        <f t="shared" si="295"/>
        <v>-48382.364847798577</v>
      </c>
      <c r="X683" s="15"/>
      <c r="Y683" s="15"/>
      <c r="Z683" s="11">
        <f t="shared" si="296"/>
        <v>10202045.676958585</v>
      </c>
      <c r="AA683" s="14"/>
      <c r="AB683" s="14"/>
      <c r="AC683" s="11">
        <f t="shared" si="297"/>
        <v>10202045.676958585</v>
      </c>
      <c r="AD683" s="10">
        <f t="shared" si="298"/>
        <v>300</v>
      </c>
      <c r="AE683" s="15">
        <v>53283</v>
      </c>
      <c r="AF683" s="16">
        <v>9590</v>
      </c>
      <c r="AG683" s="15">
        <f t="shared" si="299"/>
        <v>-648.0000000000075</v>
      </c>
      <c r="AH683" s="15">
        <f t="shared" si="300"/>
        <v>-116.64000000000135</v>
      </c>
      <c r="AI683" s="15">
        <f t="shared" si="301"/>
        <v>52635</v>
      </c>
      <c r="AJ683" s="15">
        <f t="shared" si="302"/>
        <v>9475</v>
      </c>
      <c r="AK683" s="10">
        <v>53283</v>
      </c>
      <c r="AL683" s="15">
        <f t="shared" si="303"/>
        <v>52635</v>
      </c>
      <c r="AM683" s="15">
        <f t="shared" si="304"/>
        <v>10254681</v>
      </c>
      <c r="AN683" s="15">
        <f t="shared" si="305"/>
        <v>1233721</v>
      </c>
      <c r="AO683" s="15">
        <f t="shared" si="311"/>
        <v>1318829</v>
      </c>
      <c r="AP683" s="17">
        <f t="shared" si="306"/>
        <v>11573510</v>
      </c>
      <c r="AQ683" s="15">
        <v>4157253.31</v>
      </c>
      <c r="AR683" s="15">
        <v>32473</v>
      </c>
      <c r="AS683" s="18">
        <f t="shared" si="312"/>
        <v>7416257</v>
      </c>
      <c r="AT683" s="19">
        <v>0</v>
      </c>
      <c r="AU683" s="8">
        <v>8800</v>
      </c>
      <c r="AV683" s="13">
        <f t="shared" si="313"/>
        <v>1543960</v>
      </c>
      <c r="AW683" s="18">
        <f t="shared" si="314"/>
        <v>10254681</v>
      </c>
      <c r="AX683" s="15">
        <f t="shared" si="307"/>
        <v>10255000</v>
      </c>
      <c r="AY683" s="20">
        <v>7.0000000000000007E-2</v>
      </c>
      <c r="AZ683" s="13">
        <f t="shared" si="308"/>
        <v>717850.00000000012</v>
      </c>
      <c r="BA683" s="15">
        <f t="shared" si="309"/>
        <v>717900</v>
      </c>
      <c r="BB683" s="21">
        <f t="shared" si="315"/>
        <v>8134157</v>
      </c>
      <c r="BC683" s="10">
        <f t="shared" si="316"/>
        <v>-3.8017680616644123</v>
      </c>
      <c r="BD683" s="10">
        <f t="shared" si="317"/>
        <v>-1.2161477394291</v>
      </c>
      <c r="BE683" s="10">
        <v>41.04</v>
      </c>
      <c r="BF683" s="10">
        <v>16.3</v>
      </c>
      <c r="BG683" s="107">
        <v>46176</v>
      </c>
      <c r="BH683" s="107">
        <f t="shared" si="318"/>
        <v>46206</v>
      </c>
      <c r="BI683" s="23">
        <v>7</v>
      </c>
      <c r="BJ683" s="6"/>
      <c r="BK683" s="6"/>
      <c r="BL683" s="6">
        <f>VLOOKUP(A683,[2]Sheet1!$D$2:$H$933,5,0)</f>
        <v>0</v>
      </c>
      <c r="BM683" s="6" t="s">
        <v>3828</v>
      </c>
      <c r="BN683" s="6" t="s">
        <v>3829</v>
      </c>
      <c r="BO683" s="6" t="s">
        <v>3820</v>
      </c>
      <c r="BP683" s="6" t="s">
        <v>3821</v>
      </c>
      <c r="BQ683" s="6" t="s">
        <v>3830</v>
      </c>
      <c r="BR683" t="s">
        <v>3823</v>
      </c>
      <c r="BS683" t="s">
        <v>3824</v>
      </c>
      <c r="BT683" t="s">
        <v>3825</v>
      </c>
      <c r="BU683" t="s">
        <v>3826</v>
      </c>
      <c r="BV683" t="s">
        <v>3827</v>
      </c>
      <c r="BW683" t="s">
        <v>3835</v>
      </c>
      <c r="BX683">
        <v>0</v>
      </c>
      <c r="BY683" t="s">
        <v>3866</v>
      </c>
      <c r="BZ683" t="s">
        <v>3871</v>
      </c>
    </row>
    <row r="684" spans="1:78" x14ac:dyDescent="0.25">
      <c r="A684" s="48" t="s">
        <v>2798</v>
      </c>
      <c r="B684" s="48" t="s">
        <v>181</v>
      </c>
      <c r="C684" s="48" t="s">
        <v>2796</v>
      </c>
      <c r="D684" s="49" t="s">
        <v>2797</v>
      </c>
      <c r="E684" s="48" t="s">
        <v>2799</v>
      </c>
      <c r="F684" s="50">
        <v>44944</v>
      </c>
      <c r="G684" s="50" t="s">
        <v>404</v>
      </c>
      <c r="H684" s="50" t="s">
        <v>87</v>
      </c>
      <c r="I684" s="49" t="s">
        <v>78</v>
      </c>
      <c r="J684" s="51">
        <v>718.39</v>
      </c>
      <c r="K684" s="51">
        <v>718.39</v>
      </c>
      <c r="L684" s="51">
        <f t="shared" si="292"/>
        <v>0</v>
      </c>
      <c r="M684" s="51">
        <v>331.53</v>
      </c>
      <c r="N684" s="51">
        <v>331.53</v>
      </c>
      <c r="O684" s="51">
        <f t="shared" si="293"/>
        <v>0</v>
      </c>
      <c r="P684" s="52">
        <v>16405.000069600079</v>
      </c>
      <c r="Q684" s="52">
        <v>35547.878020088683</v>
      </c>
      <c r="R684" s="52">
        <v>40000</v>
      </c>
      <c r="S684" s="52">
        <v>11785188</v>
      </c>
      <c r="T684" s="52">
        <v>1414222</v>
      </c>
      <c r="U684" s="53">
        <f t="shared" si="294"/>
        <v>0.11999995248272663</v>
      </c>
      <c r="V684" s="54">
        <f t="shared" si="310"/>
        <v>0</v>
      </c>
      <c r="W684" s="51">
        <f t="shared" si="295"/>
        <v>0</v>
      </c>
      <c r="X684" s="51"/>
      <c r="Y684" s="51"/>
      <c r="Z684" s="52">
        <f t="shared" si="296"/>
        <v>11785188</v>
      </c>
      <c r="AA684" s="56">
        <v>4124816</v>
      </c>
      <c r="AB684" s="56">
        <v>494978</v>
      </c>
      <c r="AC684" s="52">
        <f t="shared" si="297"/>
        <v>7660372</v>
      </c>
      <c r="AD684" s="51">
        <f t="shared" si="298"/>
        <v>300</v>
      </c>
      <c r="AE684" s="55">
        <v>99459</v>
      </c>
      <c r="AF684" s="57">
        <v>17902</v>
      </c>
      <c r="AG684" s="55">
        <f t="shared" si="299"/>
        <v>0</v>
      </c>
      <c r="AH684" s="55">
        <f t="shared" si="300"/>
        <v>0</v>
      </c>
      <c r="AI684" s="55">
        <f t="shared" si="301"/>
        <v>99458.999999999985</v>
      </c>
      <c r="AJ684" s="55">
        <f t="shared" si="302"/>
        <v>17903</v>
      </c>
      <c r="AK684" s="51">
        <v>99459</v>
      </c>
      <c r="AL684" s="55">
        <f t="shared" si="303"/>
        <v>99458.999999999985</v>
      </c>
      <c r="AM684" s="15">
        <f t="shared" si="304"/>
        <v>7759831</v>
      </c>
      <c r="AN684" s="15">
        <f t="shared" si="305"/>
        <v>937147</v>
      </c>
      <c r="AO684" s="55">
        <f t="shared" si="311"/>
        <v>1042717</v>
      </c>
      <c r="AP684" s="58">
        <f t="shared" si="306"/>
        <v>8802548</v>
      </c>
      <c r="AQ684" s="55">
        <v>7059972.9900000002</v>
      </c>
      <c r="AR684" s="15">
        <v>6111</v>
      </c>
      <c r="AS684" s="18">
        <f t="shared" si="312"/>
        <v>1742575</v>
      </c>
      <c r="AT684" s="60">
        <v>0</v>
      </c>
      <c r="AU684" s="49">
        <v>8800</v>
      </c>
      <c r="AV684" s="54">
        <f t="shared" si="313"/>
        <v>2917463.9999999995</v>
      </c>
      <c r="AW684" s="59">
        <f t="shared" si="314"/>
        <v>7759831</v>
      </c>
      <c r="AX684" s="55">
        <f t="shared" si="307"/>
        <v>7760000</v>
      </c>
      <c r="AY684" s="61">
        <v>0.05</v>
      </c>
      <c r="AZ684" s="54">
        <f t="shared" si="308"/>
        <v>388000</v>
      </c>
      <c r="BA684" s="55">
        <f t="shared" si="309"/>
        <v>388000</v>
      </c>
      <c r="BB684" s="62">
        <f t="shared" si="315"/>
        <v>2130575</v>
      </c>
      <c r="BC684" s="51">
        <f t="shared" si="316"/>
        <v>0</v>
      </c>
      <c r="BD684" s="51">
        <f t="shared" si="317"/>
        <v>0</v>
      </c>
      <c r="BE684" s="51">
        <v>66.739999999999995</v>
      </c>
      <c r="BF684" s="51">
        <v>30.8</v>
      </c>
      <c r="BG684" s="107">
        <v>46176</v>
      </c>
      <c r="BH684" s="109">
        <f t="shared" si="318"/>
        <v>46206</v>
      </c>
      <c r="BI684" s="63">
        <v>5</v>
      </c>
      <c r="BJ684" s="24" t="s">
        <v>350</v>
      </c>
      <c r="BK684" s="6"/>
      <c r="BL684" s="6">
        <f>VLOOKUP(A684,[2]Sheet1!$D$2:$H$933,5,0)</f>
        <v>0</v>
      </c>
      <c r="BM684" s="6" t="s">
        <v>3828</v>
      </c>
      <c r="BN684" s="6" t="s">
        <v>3829</v>
      </c>
      <c r="BO684" s="6" t="s">
        <v>3820</v>
      </c>
      <c r="BP684" s="6" t="s">
        <v>3821</v>
      </c>
      <c r="BQ684" s="6" t="s">
        <v>3830</v>
      </c>
      <c r="BR684" t="s">
        <v>3823</v>
      </c>
      <c r="BS684" t="s">
        <v>3824</v>
      </c>
      <c r="BT684" t="s">
        <v>3825</v>
      </c>
      <c r="BU684" t="s">
        <v>3826</v>
      </c>
      <c r="BV684" t="s">
        <v>3827</v>
      </c>
      <c r="BW684" t="s">
        <v>3835</v>
      </c>
      <c r="BX684">
        <v>0</v>
      </c>
      <c r="BY684" t="s">
        <v>3869</v>
      </c>
      <c r="BZ684" t="s">
        <v>3863</v>
      </c>
    </row>
    <row r="685" spans="1:78" x14ac:dyDescent="0.25">
      <c r="A685" s="7" t="s">
        <v>2802</v>
      </c>
      <c r="B685" s="7" t="s">
        <v>181</v>
      </c>
      <c r="C685" s="7" t="s">
        <v>2800</v>
      </c>
      <c r="D685" s="8" t="s">
        <v>2801</v>
      </c>
      <c r="E685" s="7" t="s">
        <v>2803</v>
      </c>
      <c r="F685" s="9">
        <v>45008</v>
      </c>
      <c r="G685" s="9" t="s">
        <v>65</v>
      </c>
      <c r="H685" s="9" t="s">
        <v>92</v>
      </c>
      <c r="I685" s="8" t="s">
        <v>78</v>
      </c>
      <c r="J685" s="10">
        <v>773.93</v>
      </c>
      <c r="K685" s="10">
        <v>773.93</v>
      </c>
      <c r="L685" s="10">
        <f t="shared" si="292"/>
        <v>0</v>
      </c>
      <c r="M685" s="10">
        <v>354.57</v>
      </c>
      <c r="N685" s="10">
        <v>354.57</v>
      </c>
      <c r="O685" s="10">
        <f t="shared" si="293"/>
        <v>0</v>
      </c>
      <c r="P685" s="11">
        <v>9000</v>
      </c>
      <c r="Q685" s="11">
        <v>19644.555376935445</v>
      </c>
      <c r="R685" s="11">
        <v>28000</v>
      </c>
      <c r="S685" s="11">
        <v>6965370</v>
      </c>
      <c r="T685" s="11">
        <v>835844</v>
      </c>
      <c r="U685" s="12">
        <f t="shared" si="294"/>
        <v>0.1199999425730435</v>
      </c>
      <c r="V685" s="13">
        <f t="shared" si="310"/>
        <v>0</v>
      </c>
      <c r="W685" s="10">
        <f t="shared" si="295"/>
        <v>0</v>
      </c>
      <c r="X685" s="10"/>
      <c r="Y685" s="10"/>
      <c r="Z685" s="11">
        <f t="shared" si="296"/>
        <v>6965370</v>
      </c>
      <c r="AA685" s="14"/>
      <c r="AB685" s="14"/>
      <c r="AC685" s="11">
        <f t="shared" si="297"/>
        <v>6965370</v>
      </c>
      <c r="AD685" s="10">
        <f t="shared" si="298"/>
        <v>300</v>
      </c>
      <c r="AE685" s="15">
        <v>106371</v>
      </c>
      <c r="AF685" s="16">
        <v>19146</v>
      </c>
      <c r="AG685" s="15">
        <f t="shared" si="299"/>
        <v>0</v>
      </c>
      <c r="AH685" s="15">
        <f t="shared" si="300"/>
        <v>0</v>
      </c>
      <c r="AI685" s="15">
        <f t="shared" si="301"/>
        <v>106371</v>
      </c>
      <c r="AJ685" s="15">
        <f t="shared" si="302"/>
        <v>19147</v>
      </c>
      <c r="AK685" s="10">
        <v>106371</v>
      </c>
      <c r="AL685" s="15">
        <f t="shared" si="303"/>
        <v>106371</v>
      </c>
      <c r="AM685" s="15">
        <f t="shared" si="304"/>
        <v>7071741</v>
      </c>
      <c r="AN685" s="15">
        <f t="shared" si="305"/>
        <v>854991</v>
      </c>
      <c r="AO685" s="15">
        <f t="shared" si="311"/>
        <v>993253.08</v>
      </c>
      <c r="AP685" s="17">
        <f t="shared" si="306"/>
        <v>8064994.0800000001</v>
      </c>
      <c r="AQ685" s="15">
        <v>858000</v>
      </c>
      <c r="AR685" s="15">
        <v>31891.08</v>
      </c>
      <c r="AS685" s="18">
        <f t="shared" si="312"/>
        <v>7206994</v>
      </c>
      <c r="AT685" s="19">
        <v>0</v>
      </c>
      <c r="AU685" s="8">
        <v>8800</v>
      </c>
      <c r="AV685" s="13">
        <f t="shared" si="313"/>
        <v>3120216</v>
      </c>
      <c r="AW685" s="18">
        <f t="shared" si="314"/>
        <v>7071741</v>
      </c>
      <c r="AX685" s="15">
        <f t="shared" si="307"/>
        <v>7072000</v>
      </c>
      <c r="AY685" s="20">
        <v>7.0000000000000007E-2</v>
      </c>
      <c r="AZ685" s="13">
        <f t="shared" si="308"/>
        <v>495040.00000000006</v>
      </c>
      <c r="BA685" s="15">
        <f t="shared" si="309"/>
        <v>495100</v>
      </c>
      <c r="BB685" s="21">
        <f t="shared" si="315"/>
        <v>7702094</v>
      </c>
      <c r="BC685" s="10">
        <f t="shared" si="316"/>
        <v>0</v>
      </c>
      <c r="BD685" s="10">
        <f t="shared" si="317"/>
        <v>0</v>
      </c>
      <c r="BE685" s="10">
        <v>71.900000000000006</v>
      </c>
      <c r="BF685" s="10">
        <v>32.94</v>
      </c>
      <c r="BG685" s="107">
        <v>46176</v>
      </c>
      <c r="BH685" s="107">
        <f t="shared" si="318"/>
        <v>46206</v>
      </c>
      <c r="BI685" s="23">
        <v>7</v>
      </c>
      <c r="BJ685" s="6"/>
      <c r="BK685" s="6"/>
      <c r="BL685" s="6">
        <f>VLOOKUP(A685,[2]Sheet1!$D$2:$H$933,5,0)</f>
        <v>0</v>
      </c>
      <c r="BM685" s="6" t="s">
        <v>3828</v>
      </c>
      <c r="BN685" s="6" t="s">
        <v>3829</v>
      </c>
      <c r="BO685" s="6" t="s">
        <v>3820</v>
      </c>
      <c r="BP685" s="6" t="s">
        <v>3821</v>
      </c>
      <c r="BQ685" s="6" t="s">
        <v>3830</v>
      </c>
      <c r="BR685" t="s">
        <v>3823</v>
      </c>
      <c r="BS685" t="s">
        <v>3824</v>
      </c>
      <c r="BT685" t="s">
        <v>3825</v>
      </c>
      <c r="BU685" t="s">
        <v>3826</v>
      </c>
      <c r="BV685" t="s">
        <v>3827</v>
      </c>
      <c r="BW685" t="s">
        <v>3835</v>
      </c>
      <c r="BX685">
        <v>0</v>
      </c>
      <c r="BY685" t="s">
        <v>3870</v>
      </c>
      <c r="BZ685" t="s">
        <v>3860</v>
      </c>
    </row>
    <row r="686" spans="1:78" x14ac:dyDescent="0.25">
      <c r="A686" s="7" t="s">
        <v>2806</v>
      </c>
      <c r="B686" s="7" t="s">
        <v>181</v>
      </c>
      <c r="C686" s="7" t="s">
        <v>2804</v>
      </c>
      <c r="D686" s="8" t="s">
        <v>2805</v>
      </c>
      <c r="E686" s="7" t="s">
        <v>2807</v>
      </c>
      <c r="F686" s="9">
        <v>44970</v>
      </c>
      <c r="G686" s="9" t="s">
        <v>527</v>
      </c>
      <c r="H686" s="9" t="s">
        <v>66</v>
      </c>
      <c r="I686" s="8" t="s">
        <v>78</v>
      </c>
      <c r="J686" s="10">
        <v>1130.22</v>
      </c>
      <c r="K686" s="10">
        <v>1130.22</v>
      </c>
      <c r="L686" s="10">
        <f t="shared" si="292"/>
        <v>0</v>
      </c>
      <c r="M686" s="10">
        <v>522.04999999999995</v>
      </c>
      <c r="N686" s="10">
        <v>522.04999999999995</v>
      </c>
      <c r="O686" s="10">
        <f t="shared" si="293"/>
        <v>0</v>
      </c>
      <c r="P686" s="11">
        <v>7200</v>
      </c>
      <c r="Q686" s="11">
        <v>15587.748299971268</v>
      </c>
      <c r="R686" s="11">
        <v>22000</v>
      </c>
      <c r="S686" s="11">
        <v>8137584</v>
      </c>
      <c r="T686" s="11">
        <v>976512</v>
      </c>
      <c r="U686" s="12">
        <f t="shared" si="294"/>
        <v>0.12000023594226493</v>
      </c>
      <c r="V686" s="13">
        <f t="shared" si="310"/>
        <v>0</v>
      </c>
      <c r="W686" s="10">
        <f t="shared" si="295"/>
        <v>0</v>
      </c>
      <c r="X686" s="10"/>
      <c r="Y686" s="10"/>
      <c r="Z686" s="11">
        <f t="shared" si="296"/>
        <v>8137584</v>
      </c>
      <c r="AA686" s="14"/>
      <c r="AB686" s="14"/>
      <c r="AC686" s="11">
        <f t="shared" si="297"/>
        <v>8137584</v>
      </c>
      <c r="AD686" s="10">
        <f t="shared" si="298"/>
        <v>300</v>
      </c>
      <c r="AE686" s="15">
        <v>156615</v>
      </c>
      <c r="AF686" s="16">
        <v>28190</v>
      </c>
      <c r="AG686" s="15">
        <f t="shared" si="299"/>
        <v>0</v>
      </c>
      <c r="AH686" s="15">
        <f t="shared" si="300"/>
        <v>0</v>
      </c>
      <c r="AI686" s="15">
        <f t="shared" si="301"/>
        <v>156615</v>
      </c>
      <c r="AJ686" s="15">
        <f t="shared" si="302"/>
        <v>28191</v>
      </c>
      <c r="AK686" s="10">
        <v>156615</v>
      </c>
      <c r="AL686" s="15">
        <f t="shared" si="303"/>
        <v>156615</v>
      </c>
      <c r="AM686" s="15">
        <f t="shared" si="304"/>
        <v>8294199</v>
      </c>
      <c r="AN686" s="15">
        <f t="shared" si="305"/>
        <v>1004703</v>
      </c>
      <c r="AO686" s="15">
        <f t="shared" si="311"/>
        <v>1193724.96</v>
      </c>
      <c r="AP686" s="17">
        <f t="shared" si="306"/>
        <v>9487923.9600000009</v>
      </c>
      <c r="AQ686" s="15">
        <v>1822818</v>
      </c>
      <c r="AR686" s="15">
        <v>32406.959999999999</v>
      </c>
      <c r="AS686" s="18">
        <f t="shared" si="312"/>
        <v>7665106</v>
      </c>
      <c r="AT686" s="19">
        <v>0</v>
      </c>
      <c r="AU686" s="8">
        <v>8800</v>
      </c>
      <c r="AV686" s="13">
        <f t="shared" si="313"/>
        <v>4594040</v>
      </c>
      <c r="AW686" s="18">
        <f t="shared" si="314"/>
        <v>8294199</v>
      </c>
      <c r="AX686" s="15">
        <f t="shared" si="307"/>
        <v>8295000</v>
      </c>
      <c r="AY686" s="20">
        <v>0.05</v>
      </c>
      <c r="AZ686" s="13">
        <f t="shared" si="308"/>
        <v>414750</v>
      </c>
      <c r="BA686" s="15">
        <f t="shared" si="309"/>
        <v>414800</v>
      </c>
      <c r="BB686" s="21">
        <f t="shared" si="315"/>
        <v>8079906</v>
      </c>
      <c r="BC686" s="10">
        <f t="shared" si="316"/>
        <v>0</v>
      </c>
      <c r="BD686" s="10">
        <f t="shared" si="317"/>
        <v>0</v>
      </c>
      <c r="BE686" s="10">
        <v>105</v>
      </c>
      <c r="BF686" s="10">
        <v>48.5</v>
      </c>
      <c r="BG686" s="107">
        <v>46176</v>
      </c>
      <c r="BH686" s="107">
        <f t="shared" si="318"/>
        <v>46206</v>
      </c>
      <c r="BI686" s="23">
        <v>5</v>
      </c>
      <c r="BJ686" s="6"/>
      <c r="BK686" s="6"/>
      <c r="BL686" s="6">
        <f>VLOOKUP(A686,[2]Sheet1!$D$2:$H$933,5,0)</f>
        <v>0</v>
      </c>
      <c r="BM686" s="6" t="s">
        <v>3828</v>
      </c>
      <c r="BN686" s="6" t="s">
        <v>3829</v>
      </c>
      <c r="BO686" s="6" t="s">
        <v>3820</v>
      </c>
      <c r="BP686" s="6" t="s">
        <v>3821</v>
      </c>
      <c r="BQ686" s="6" t="s">
        <v>3830</v>
      </c>
      <c r="BR686" t="s">
        <v>3823</v>
      </c>
      <c r="BS686" t="s">
        <v>3824</v>
      </c>
      <c r="BT686" t="s">
        <v>3825</v>
      </c>
      <c r="BU686" t="s">
        <v>3826</v>
      </c>
      <c r="BV686" t="s">
        <v>3827</v>
      </c>
      <c r="BW686" t="s">
        <v>3835</v>
      </c>
      <c r="BX686">
        <v>0</v>
      </c>
      <c r="BY686" t="s">
        <v>3864</v>
      </c>
      <c r="BZ686" t="s">
        <v>3871</v>
      </c>
    </row>
    <row r="687" spans="1:78" x14ac:dyDescent="0.25">
      <c r="A687" s="7" t="s">
        <v>2810</v>
      </c>
      <c r="B687" s="7" t="s">
        <v>181</v>
      </c>
      <c r="C687" s="7" t="s">
        <v>2808</v>
      </c>
      <c r="D687" s="8" t="s">
        <v>2809</v>
      </c>
      <c r="E687" s="7" t="s">
        <v>2811</v>
      </c>
      <c r="F687" s="9">
        <v>44888</v>
      </c>
      <c r="G687" s="9" t="s">
        <v>527</v>
      </c>
      <c r="H687" s="9" t="s">
        <v>87</v>
      </c>
      <c r="I687" s="8" t="s">
        <v>78</v>
      </c>
      <c r="J687" s="10">
        <v>345.09</v>
      </c>
      <c r="K687" s="10">
        <v>345.09</v>
      </c>
      <c r="L687" s="10">
        <f t="shared" si="292"/>
        <v>0</v>
      </c>
      <c r="M687" s="10">
        <v>144.44999999999999</v>
      </c>
      <c r="N687" s="10">
        <v>144.44999999999999</v>
      </c>
      <c r="O687" s="10">
        <f t="shared" si="293"/>
        <v>0</v>
      </c>
      <c r="P687" s="11">
        <v>27584.001275029703</v>
      </c>
      <c r="Q687" s="11">
        <v>65897.978539286953</v>
      </c>
      <c r="R687" s="11">
        <v>40000</v>
      </c>
      <c r="S687" s="11">
        <v>9518963</v>
      </c>
      <c r="T687" s="11">
        <v>1142276</v>
      </c>
      <c r="U687" s="12">
        <f t="shared" si="294"/>
        <v>0.12000004622352246</v>
      </c>
      <c r="V687" s="13">
        <f t="shared" si="310"/>
        <v>0</v>
      </c>
      <c r="W687" s="10">
        <f t="shared" si="295"/>
        <v>0</v>
      </c>
      <c r="X687" s="10"/>
      <c r="Y687" s="10"/>
      <c r="Z687" s="11">
        <f t="shared" si="296"/>
        <v>9518963</v>
      </c>
      <c r="AA687" s="14"/>
      <c r="AB687" s="14"/>
      <c r="AC687" s="11">
        <f t="shared" si="297"/>
        <v>9518963</v>
      </c>
      <c r="AD687" s="10">
        <f t="shared" si="298"/>
        <v>300</v>
      </c>
      <c r="AE687" s="15">
        <v>43335</v>
      </c>
      <c r="AF687" s="16">
        <v>7800</v>
      </c>
      <c r="AG687" s="15">
        <f t="shared" si="299"/>
        <v>0</v>
      </c>
      <c r="AH687" s="15">
        <f t="shared" si="300"/>
        <v>0</v>
      </c>
      <c r="AI687" s="15">
        <f t="shared" si="301"/>
        <v>43335</v>
      </c>
      <c r="AJ687" s="15">
        <f t="shared" si="302"/>
        <v>7801</v>
      </c>
      <c r="AK687" s="10">
        <v>43335</v>
      </c>
      <c r="AL687" s="15">
        <f t="shared" si="303"/>
        <v>43335</v>
      </c>
      <c r="AM687" s="15">
        <f t="shared" si="304"/>
        <v>9562298</v>
      </c>
      <c r="AN687" s="15">
        <f t="shared" si="305"/>
        <v>1150077</v>
      </c>
      <c r="AO687" s="15">
        <f t="shared" si="311"/>
        <v>1223903</v>
      </c>
      <c r="AP687" s="17">
        <f t="shared" si="306"/>
        <v>10786201</v>
      </c>
      <c r="AQ687" s="15">
        <v>4569019</v>
      </c>
      <c r="AR687" s="15">
        <v>30491</v>
      </c>
      <c r="AS687" s="18">
        <f t="shared" si="312"/>
        <v>6217182</v>
      </c>
      <c r="AT687" s="19">
        <v>0</v>
      </c>
      <c r="AU687" s="8">
        <v>8800</v>
      </c>
      <c r="AV687" s="13">
        <f t="shared" si="313"/>
        <v>1271160</v>
      </c>
      <c r="AW687" s="18">
        <f t="shared" si="314"/>
        <v>9562298</v>
      </c>
      <c r="AX687" s="15">
        <f t="shared" si="307"/>
        <v>9563000</v>
      </c>
      <c r="AY687" s="20">
        <v>0.05</v>
      </c>
      <c r="AZ687" s="13">
        <f t="shared" si="308"/>
        <v>478150</v>
      </c>
      <c r="BA687" s="15">
        <f t="shared" si="309"/>
        <v>478200</v>
      </c>
      <c r="BB687" s="21">
        <f t="shared" si="315"/>
        <v>6695382</v>
      </c>
      <c r="BC687" s="10">
        <f t="shared" si="316"/>
        <v>0</v>
      </c>
      <c r="BD687" s="10">
        <f t="shared" si="317"/>
        <v>0</v>
      </c>
      <c r="BE687" s="10">
        <v>32.06</v>
      </c>
      <c r="BF687" s="10">
        <v>13.42</v>
      </c>
      <c r="BG687" s="107">
        <v>46176</v>
      </c>
      <c r="BH687" s="107">
        <f t="shared" si="318"/>
        <v>46206</v>
      </c>
      <c r="BI687" s="23">
        <v>5</v>
      </c>
      <c r="BJ687" s="6"/>
      <c r="BK687" s="6"/>
      <c r="BL687" s="6">
        <f>VLOOKUP(A687,[2]Sheet1!$D$2:$H$933,5,0)</f>
        <v>0</v>
      </c>
      <c r="BM687" s="6" t="s">
        <v>3828</v>
      </c>
      <c r="BN687" s="6" t="s">
        <v>3829</v>
      </c>
      <c r="BO687" s="6" t="s">
        <v>3820</v>
      </c>
      <c r="BP687" s="6" t="s">
        <v>3821</v>
      </c>
      <c r="BQ687" s="6" t="s">
        <v>3830</v>
      </c>
      <c r="BR687" t="s">
        <v>3823</v>
      </c>
      <c r="BS687" t="s">
        <v>3824</v>
      </c>
      <c r="BT687" t="s">
        <v>3825</v>
      </c>
      <c r="BU687" t="s">
        <v>3826</v>
      </c>
      <c r="BV687" t="s">
        <v>3827</v>
      </c>
      <c r="BW687" t="s">
        <v>3835</v>
      </c>
      <c r="BX687">
        <v>0</v>
      </c>
      <c r="BY687" t="s">
        <v>3859</v>
      </c>
      <c r="BZ687" t="s">
        <v>3871</v>
      </c>
    </row>
    <row r="688" spans="1:78" x14ac:dyDescent="0.25">
      <c r="A688" s="7" t="s">
        <v>2814</v>
      </c>
      <c r="B688" s="7" t="s">
        <v>181</v>
      </c>
      <c r="C688" s="7" t="s">
        <v>2812</v>
      </c>
      <c r="D688" s="8" t="s">
        <v>2813</v>
      </c>
      <c r="E688" s="7" t="s">
        <v>2815</v>
      </c>
      <c r="F688" s="9">
        <v>44872</v>
      </c>
      <c r="G688" s="9" t="s">
        <v>65</v>
      </c>
      <c r="H688" s="9" t="s">
        <v>66</v>
      </c>
      <c r="I688" s="8" t="s">
        <v>78</v>
      </c>
      <c r="J688" s="10">
        <v>477.28</v>
      </c>
      <c r="K688" s="10">
        <v>477.28</v>
      </c>
      <c r="L688" s="10">
        <f t="shared" si="292"/>
        <v>0</v>
      </c>
      <c r="M688" s="10">
        <v>220.66</v>
      </c>
      <c r="N688" s="10">
        <v>220.66</v>
      </c>
      <c r="O688" s="10">
        <f t="shared" si="293"/>
        <v>0</v>
      </c>
      <c r="P688" s="11">
        <v>21100</v>
      </c>
      <c r="Q688" s="11">
        <v>45638.575183540292</v>
      </c>
      <c r="R688" s="11">
        <v>22000</v>
      </c>
      <c r="S688" s="11">
        <v>10070608</v>
      </c>
      <c r="T688" s="11">
        <v>1208476</v>
      </c>
      <c r="U688" s="12">
        <f t="shared" si="294"/>
        <v>0.12000030186856643</v>
      </c>
      <c r="V688" s="13">
        <f t="shared" si="310"/>
        <v>0</v>
      </c>
      <c r="W688" s="10">
        <f t="shared" si="295"/>
        <v>0</v>
      </c>
      <c r="X688" s="10"/>
      <c r="Y688" s="10"/>
      <c r="Z688" s="11">
        <f t="shared" si="296"/>
        <v>10070608</v>
      </c>
      <c r="AA688" s="14"/>
      <c r="AB688" s="14"/>
      <c r="AC688" s="11">
        <f t="shared" si="297"/>
        <v>10070608</v>
      </c>
      <c r="AD688" s="10">
        <f t="shared" si="298"/>
        <v>300</v>
      </c>
      <c r="AE688" s="15">
        <v>66198</v>
      </c>
      <c r="AF688" s="16">
        <v>11916</v>
      </c>
      <c r="AG688" s="15">
        <f t="shared" si="299"/>
        <v>0</v>
      </c>
      <c r="AH688" s="15">
        <f t="shared" si="300"/>
        <v>0</v>
      </c>
      <c r="AI688" s="15">
        <f t="shared" si="301"/>
        <v>66198</v>
      </c>
      <c r="AJ688" s="15">
        <f t="shared" si="302"/>
        <v>11916</v>
      </c>
      <c r="AK688" s="10">
        <v>66198</v>
      </c>
      <c r="AL688" s="15">
        <f t="shared" si="303"/>
        <v>66198</v>
      </c>
      <c r="AM688" s="15">
        <f t="shared" si="304"/>
        <v>10136806</v>
      </c>
      <c r="AN688" s="15">
        <f t="shared" si="305"/>
        <v>1220392</v>
      </c>
      <c r="AO688" s="15">
        <f t="shared" si="311"/>
        <v>1313250</v>
      </c>
      <c r="AP688" s="17">
        <f t="shared" si="306"/>
        <v>11450056</v>
      </c>
      <c r="AQ688" s="15">
        <v>5650364</v>
      </c>
      <c r="AR688" s="15">
        <v>26660</v>
      </c>
      <c r="AS688" s="18">
        <f t="shared" si="312"/>
        <v>5799692</v>
      </c>
      <c r="AT688" s="19">
        <v>0</v>
      </c>
      <c r="AU688" s="8">
        <v>8800</v>
      </c>
      <c r="AV688" s="13">
        <f t="shared" si="313"/>
        <v>1941808</v>
      </c>
      <c r="AW688" s="18">
        <f t="shared" si="314"/>
        <v>10136806</v>
      </c>
      <c r="AX688" s="15">
        <f t="shared" si="307"/>
        <v>10137000</v>
      </c>
      <c r="AY688" s="20">
        <v>7.0000000000000007E-2</v>
      </c>
      <c r="AZ688" s="13">
        <f t="shared" si="308"/>
        <v>709590.00000000012</v>
      </c>
      <c r="BA688" s="15">
        <f t="shared" si="309"/>
        <v>709600</v>
      </c>
      <c r="BB688" s="21">
        <f t="shared" si="315"/>
        <v>6509292</v>
      </c>
      <c r="BC688" s="10">
        <f t="shared" si="316"/>
        <v>0</v>
      </c>
      <c r="BD688" s="10">
        <f t="shared" si="317"/>
        <v>0</v>
      </c>
      <c r="BE688" s="10">
        <v>44.34</v>
      </c>
      <c r="BF688" s="10">
        <v>20.5</v>
      </c>
      <c r="BG688" s="107">
        <v>46176</v>
      </c>
      <c r="BH688" s="107">
        <f t="shared" si="318"/>
        <v>46206</v>
      </c>
      <c r="BI688" s="23">
        <v>7</v>
      </c>
      <c r="BJ688" s="6"/>
      <c r="BK688" s="6"/>
      <c r="BL688" s="6">
        <f>VLOOKUP(A688,[2]Sheet1!$D$2:$H$933,5,0)</f>
        <v>0</v>
      </c>
      <c r="BM688" s="6" t="s">
        <v>3828</v>
      </c>
      <c r="BN688" s="6" t="s">
        <v>3829</v>
      </c>
      <c r="BO688" s="6" t="s">
        <v>3820</v>
      </c>
      <c r="BP688" s="6" t="s">
        <v>3821</v>
      </c>
      <c r="BQ688" s="6" t="s">
        <v>3830</v>
      </c>
      <c r="BR688" t="s">
        <v>3823</v>
      </c>
      <c r="BS688" t="s">
        <v>3824</v>
      </c>
      <c r="BT688" t="s">
        <v>3825</v>
      </c>
      <c r="BU688" t="s">
        <v>3826</v>
      </c>
      <c r="BV688" t="s">
        <v>3827</v>
      </c>
      <c r="BW688" t="s">
        <v>3835</v>
      </c>
      <c r="BX688">
        <v>0</v>
      </c>
      <c r="BY688" t="s">
        <v>3859</v>
      </c>
      <c r="BZ688" t="s">
        <v>3860</v>
      </c>
    </row>
    <row r="689" spans="1:78" x14ac:dyDescent="0.25">
      <c r="A689" s="7" t="s">
        <v>2818</v>
      </c>
      <c r="B689" s="7" t="s">
        <v>181</v>
      </c>
      <c r="C689" s="7" t="s">
        <v>2816</v>
      </c>
      <c r="D689" s="8" t="s">
        <v>2817</v>
      </c>
      <c r="E689" s="7" t="s">
        <v>2819</v>
      </c>
      <c r="F689" s="9">
        <v>45044</v>
      </c>
      <c r="G689" s="9" t="s">
        <v>363</v>
      </c>
      <c r="H689" s="9" t="s">
        <v>87</v>
      </c>
      <c r="I689" s="8" t="s">
        <v>67</v>
      </c>
      <c r="J689" s="10">
        <v>220.06</v>
      </c>
      <c r="K689" s="10">
        <v>220.06</v>
      </c>
      <c r="L689" s="10">
        <f t="shared" si="292"/>
        <v>0</v>
      </c>
      <c r="M689" s="10">
        <v>88.26</v>
      </c>
      <c r="N689" s="10">
        <v>88.26</v>
      </c>
      <c r="O689" s="10">
        <f t="shared" si="293"/>
        <v>0</v>
      </c>
      <c r="P689" s="11">
        <v>18246.001090611651</v>
      </c>
      <c r="Q689" s="11">
        <v>45493.031951053701</v>
      </c>
      <c r="R689" s="11">
        <v>40000</v>
      </c>
      <c r="S689" s="11">
        <v>4015215</v>
      </c>
      <c r="T689" s="11">
        <v>481826</v>
      </c>
      <c r="U689" s="12">
        <f t="shared" si="294"/>
        <v>0.12000004981053318</v>
      </c>
      <c r="V689" s="13">
        <f t="shared" si="310"/>
        <v>0</v>
      </c>
      <c r="W689" s="10">
        <f t="shared" si="295"/>
        <v>0</v>
      </c>
      <c r="X689" s="10"/>
      <c r="Y689" s="10"/>
      <c r="Z689" s="11">
        <f t="shared" si="296"/>
        <v>4015215</v>
      </c>
      <c r="AA689" s="14"/>
      <c r="AB689" s="14"/>
      <c r="AC689" s="11">
        <f t="shared" si="297"/>
        <v>4015215</v>
      </c>
      <c r="AD689" s="10">
        <f t="shared" si="298"/>
        <v>300</v>
      </c>
      <c r="AE689" s="15">
        <v>26478</v>
      </c>
      <c r="AF689" s="16">
        <v>4766</v>
      </c>
      <c r="AG689" s="15">
        <f t="shared" si="299"/>
        <v>0</v>
      </c>
      <c r="AH689" s="15">
        <f t="shared" si="300"/>
        <v>0</v>
      </c>
      <c r="AI689" s="15">
        <f t="shared" si="301"/>
        <v>26478</v>
      </c>
      <c r="AJ689" s="15">
        <f t="shared" si="302"/>
        <v>4767</v>
      </c>
      <c r="AK689" s="10">
        <v>26478</v>
      </c>
      <c r="AL689" s="15">
        <f t="shared" si="303"/>
        <v>26478</v>
      </c>
      <c r="AM689" s="15">
        <f t="shared" si="304"/>
        <v>4041693</v>
      </c>
      <c r="AN689" s="15">
        <f t="shared" si="305"/>
        <v>486593</v>
      </c>
      <c r="AO689" s="15">
        <f t="shared" si="311"/>
        <v>538897</v>
      </c>
      <c r="AP689" s="17">
        <f t="shared" si="306"/>
        <v>4580590</v>
      </c>
      <c r="AQ689" s="15">
        <v>1158900</v>
      </c>
      <c r="AR689" s="15">
        <v>25826</v>
      </c>
      <c r="AS689" s="18">
        <f t="shared" si="312"/>
        <v>3421690</v>
      </c>
      <c r="AT689" s="19">
        <v>0</v>
      </c>
      <c r="AU689" s="8">
        <v>8800</v>
      </c>
      <c r="AV689" s="13">
        <f t="shared" si="313"/>
        <v>776688</v>
      </c>
      <c r="AW689" s="18">
        <f t="shared" si="314"/>
        <v>4041693</v>
      </c>
      <c r="AX689" s="15">
        <f t="shared" si="307"/>
        <v>4042000</v>
      </c>
      <c r="AY689" s="20">
        <v>7.0000000000000007E-2</v>
      </c>
      <c r="AZ689" s="13">
        <f t="shared" si="308"/>
        <v>282940</v>
      </c>
      <c r="BA689" s="15">
        <f t="shared" si="309"/>
        <v>283000</v>
      </c>
      <c r="BB689" s="21">
        <f t="shared" si="315"/>
        <v>3704690</v>
      </c>
      <c r="BC689" s="10">
        <f t="shared" si="316"/>
        <v>0</v>
      </c>
      <c r="BD689" s="10">
        <f t="shared" si="317"/>
        <v>0</v>
      </c>
      <c r="BE689" s="10">
        <v>20.440000000000001</v>
      </c>
      <c r="BF689" s="10">
        <v>8.1999999999999993</v>
      </c>
      <c r="BG689" s="107">
        <v>46176</v>
      </c>
      <c r="BH689" s="107">
        <f t="shared" si="318"/>
        <v>46206</v>
      </c>
      <c r="BI689" s="23">
        <v>7</v>
      </c>
      <c r="BJ689" s="6"/>
      <c r="BK689" s="6"/>
      <c r="BL689" s="6">
        <f>VLOOKUP(A689,[2]Sheet1!$D$2:$H$933,5,0)</f>
        <v>0</v>
      </c>
      <c r="BM689" s="6" t="s">
        <v>3828</v>
      </c>
      <c r="BN689" s="6" t="s">
        <v>3829</v>
      </c>
      <c r="BO689" s="6" t="s">
        <v>3820</v>
      </c>
      <c r="BP689" s="6" t="s">
        <v>3821</v>
      </c>
      <c r="BQ689" s="6" t="s">
        <v>3830</v>
      </c>
      <c r="BR689" t="s">
        <v>3823</v>
      </c>
      <c r="BS689" t="s">
        <v>3824</v>
      </c>
      <c r="BT689" t="s">
        <v>3825</v>
      </c>
      <c r="BU689" t="s">
        <v>3826</v>
      </c>
      <c r="BV689" t="s">
        <v>3827</v>
      </c>
      <c r="BW689" t="s">
        <v>3835</v>
      </c>
      <c r="BX689">
        <v>0</v>
      </c>
      <c r="BY689" t="s">
        <v>3861</v>
      </c>
      <c r="BZ689" t="s">
        <v>3860</v>
      </c>
    </row>
    <row r="690" spans="1:78" x14ac:dyDescent="0.25">
      <c r="A690" s="7" t="s">
        <v>2822</v>
      </c>
      <c r="B690" s="7" t="s">
        <v>181</v>
      </c>
      <c r="C690" s="7" t="s">
        <v>2820</v>
      </c>
      <c r="D690" s="8" t="s">
        <v>2821</v>
      </c>
      <c r="E690" s="7" t="s">
        <v>2823</v>
      </c>
      <c r="F690" s="9">
        <v>45149</v>
      </c>
      <c r="G690" s="9" t="s">
        <v>404</v>
      </c>
      <c r="H690" s="9" t="s">
        <v>92</v>
      </c>
      <c r="I690" s="8" t="s">
        <v>78</v>
      </c>
      <c r="J690" s="10">
        <v>640.03</v>
      </c>
      <c r="K690" s="10">
        <v>640.03</v>
      </c>
      <c r="L690" s="10">
        <f t="shared" si="292"/>
        <v>0</v>
      </c>
      <c r="M690" s="10">
        <v>293.86</v>
      </c>
      <c r="N690" s="10">
        <v>293.86</v>
      </c>
      <c r="O690" s="10">
        <f t="shared" si="293"/>
        <v>0</v>
      </c>
      <c r="P690" s="11">
        <v>16200</v>
      </c>
      <c r="Q690" s="11">
        <v>35283.76097461376</v>
      </c>
      <c r="R690" s="11">
        <v>28000</v>
      </c>
      <c r="S690" s="11">
        <v>10368486</v>
      </c>
      <c r="T690" s="11">
        <v>1244218</v>
      </c>
      <c r="U690" s="12">
        <f t="shared" si="294"/>
        <v>0.11999996913724915</v>
      </c>
      <c r="V690" s="13">
        <f t="shared" si="310"/>
        <v>0</v>
      </c>
      <c r="W690" s="10">
        <f t="shared" si="295"/>
        <v>0</v>
      </c>
      <c r="X690" s="10"/>
      <c r="Y690" s="10"/>
      <c r="Z690" s="11">
        <f t="shared" si="296"/>
        <v>10368486</v>
      </c>
      <c r="AA690" s="14"/>
      <c r="AB690" s="14"/>
      <c r="AC690" s="11">
        <f t="shared" si="297"/>
        <v>10368486</v>
      </c>
      <c r="AD690" s="10">
        <f t="shared" si="298"/>
        <v>300</v>
      </c>
      <c r="AE690" s="15">
        <v>88158</v>
      </c>
      <c r="AF690" s="16">
        <v>15868</v>
      </c>
      <c r="AG690" s="15">
        <f t="shared" si="299"/>
        <v>0</v>
      </c>
      <c r="AH690" s="15">
        <f t="shared" si="300"/>
        <v>0</v>
      </c>
      <c r="AI690" s="15">
        <f t="shared" si="301"/>
        <v>88158</v>
      </c>
      <c r="AJ690" s="15">
        <f t="shared" si="302"/>
        <v>15869</v>
      </c>
      <c r="AK690" s="10">
        <v>88158</v>
      </c>
      <c r="AL690" s="15">
        <f t="shared" si="303"/>
        <v>88158</v>
      </c>
      <c r="AM690" s="15">
        <f t="shared" si="304"/>
        <v>10456644</v>
      </c>
      <c r="AN690" s="15">
        <f t="shared" si="305"/>
        <v>1260087</v>
      </c>
      <c r="AO690" s="15">
        <f t="shared" si="311"/>
        <v>1382383</v>
      </c>
      <c r="AP690" s="17">
        <f t="shared" si="306"/>
        <v>11839027</v>
      </c>
      <c r="AQ690" s="15">
        <v>3584200</v>
      </c>
      <c r="AR690" s="15">
        <v>34138</v>
      </c>
      <c r="AS690" s="18">
        <f t="shared" si="312"/>
        <v>8254827</v>
      </c>
      <c r="AT690" s="19">
        <v>0</v>
      </c>
      <c r="AU690" s="8">
        <v>8800</v>
      </c>
      <c r="AV690" s="13">
        <f t="shared" si="313"/>
        <v>2585968</v>
      </c>
      <c r="AW690" s="18">
        <f t="shared" si="314"/>
        <v>10456644</v>
      </c>
      <c r="AX690" s="15">
        <f t="shared" si="307"/>
        <v>10457000</v>
      </c>
      <c r="AY690" s="20">
        <v>0.05</v>
      </c>
      <c r="AZ690" s="13">
        <f t="shared" si="308"/>
        <v>522850</v>
      </c>
      <c r="BA690" s="15">
        <f t="shared" si="309"/>
        <v>522900</v>
      </c>
      <c r="BB690" s="21">
        <f t="shared" si="315"/>
        <v>8777727</v>
      </c>
      <c r="BC690" s="10">
        <f t="shared" si="316"/>
        <v>0</v>
      </c>
      <c r="BD690" s="10">
        <f t="shared" si="317"/>
        <v>0</v>
      </c>
      <c r="BE690" s="10">
        <v>59.46</v>
      </c>
      <c r="BF690" s="10">
        <v>27.3</v>
      </c>
      <c r="BG690" s="107">
        <v>46176</v>
      </c>
      <c r="BH690" s="107">
        <f t="shared" si="318"/>
        <v>46206</v>
      </c>
      <c r="BI690" s="23">
        <v>5</v>
      </c>
      <c r="BJ690" s="6"/>
      <c r="BK690" s="6"/>
      <c r="BL690" s="6">
        <f>VLOOKUP(A690,[2]Sheet1!$D$2:$H$933,5,0)</f>
        <v>0</v>
      </c>
      <c r="BM690" s="6" t="s">
        <v>3828</v>
      </c>
      <c r="BN690" s="6" t="s">
        <v>3829</v>
      </c>
      <c r="BO690" s="6" t="s">
        <v>3820</v>
      </c>
      <c r="BP690" s="6" t="s">
        <v>3821</v>
      </c>
      <c r="BQ690" s="6" t="s">
        <v>3830</v>
      </c>
      <c r="BR690" t="s">
        <v>3823</v>
      </c>
      <c r="BS690" t="s">
        <v>3824</v>
      </c>
      <c r="BT690" t="s">
        <v>3825</v>
      </c>
      <c r="BU690" t="s">
        <v>3826</v>
      </c>
      <c r="BV690" t="s">
        <v>3827</v>
      </c>
      <c r="BW690" t="s">
        <v>3835</v>
      </c>
      <c r="BX690">
        <v>0</v>
      </c>
      <c r="BY690" t="s">
        <v>3859</v>
      </c>
      <c r="BZ690" t="s">
        <v>3863</v>
      </c>
    </row>
    <row r="691" spans="1:78" x14ac:dyDescent="0.25">
      <c r="A691" s="7" t="s">
        <v>2826</v>
      </c>
      <c r="B691" s="7" t="s">
        <v>181</v>
      </c>
      <c r="C691" s="7" t="s">
        <v>2824</v>
      </c>
      <c r="D691" s="8" t="s">
        <v>2825</v>
      </c>
      <c r="E691" s="7" t="s">
        <v>2827</v>
      </c>
      <c r="F691" s="9">
        <v>44908</v>
      </c>
      <c r="G691" s="9" t="s">
        <v>404</v>
      </c>
      <c r="H691" s="9" t="s">
        <v>190</v>
      </c>
      <c r="I691" s="8" t="s">
        <v>78</v>
      </c>
      <c r="J691" s="10">
        <v>1960.77</v>
      </c>
      <c r="K691" s="10">
        <v>1992.2</v>
      </c>
      <c r="L691" s="10">
        <f t="shared" si="292"/>
        <v>31.430000000000064</v>
      </c>
      <c r="M691" s="10">
        <v>913.86</v>
      </c>
      <c r="N691" s="10">
        <v>934</v>
      </c>
      <c r="O691" s="10">
        <f t="shared" si="293"/>
        <v>20.139999999999986</v>
      </c>
      <c r="P691" s="11">
        <v>29700</v>
      </c>
      <c r="Q691" s="11">
        <v>63724.059483947211</v>
      </c>
      <c r="R691" s="11">
        <v>60000</v>
      </c>
      <c r="S691" s="11">
        <v>58234869</v>
      </c>
      <c r="T691" s="11">
        <v>6988184</v>
      </c>
      <c r="U691" s="12">
        <f t="shared" si="294"/>
        <v>0.11999999519188409</v>
      </c>
      <c r="V691" s="13">
        <f>L691*R691</f>
        <v>1885800.0000000037</v>
      </c>
      <c r="W691" s="10">
        <f t="shared" si="295"/>
        <v>226295.99093285546</v>
      </c>
      <c r="X691" s="15"/>
      <c r="Y691" s="15"/>
      <c r="Z691" s="11">
        <f t="shared" si="296"/>
        <v>60120669</v>
      </c>
      <c r="AA691" s="14"/>
      <c r="AB691" s="14"/>
      <c r="AC691" s="11">
        <f t="shared" si="297"/>
        <v>60120669</v>
      </c>
      <c r="AD691" s="10">
        <f t="shared" si="298"/>
        <v>300</v>
      </c>
      <c r="AE691" s="15">
        <v>274158</v>
      </c>
      <c r="AF691" s="16">
        <v>49348</v>
      </c>
      <c r="AG691" s="15">
        <f t="shared" si="299"/>
        <v>6041.9999999999964</v>
      </c>
      <c r="AH691" s="15">
        <f t="shared" si="300"/>
        <v>1087.5599999999993</v>
      </c>
      <c r="AI691" s="15">
        <f t="shared" si="301"/>
        <v>280200</v>
      </c>
      <c r="AJ691" s="15">
        <f t="shared" si="302"/>
        <v>50436</v>
      </c>
      <c r="AK691" s="10">
        <v>274158</v>
      </c>
      <c r="AL691" s="15">
        <f t="shared" si="303"/>
        <v>280200</v>
      </c>
      <c r="AM691" s="15">
        <f t="shared" si="304"/>
        <v>60400869</v>
      </c>
      <c r="AN691" s="15">
        <f t="shared" si="305"/>
        <v>7264916</v>
      </c>
      <c r="AO691" s="15">
        <f t="shared" si="311"/>
        <v>7568043</v>
      </c>
      <c r="AP691" s="17">
        <f t="shared" si="306"/>
        <v>67968912</v>
      </c>
      <c r="AQ691" s="15">
        <v>58613396</v>
      </c>
      <c r="AR691" s="15">
        <v>22927</v>
      </c>
      <c r="AS691" s="18">
        <f t="shared" si="312"/>
        <v>9355516</v>
      </c>
      <c r="AT691" s="19">
        <v>0</v>
      </c>
      <c r="AU691" s="8">
        <v>8800</v>
      </c>
      <c r="AV691" s="13">
        <f t="shared" si="313"/>
        <v>8219200</v>
      </c>
      <c r="AW691" s="18">
        <f t="shared" si="314"/>
        <v>60400869</v>
      </c>
      <c r="AX691" s="15">
        <f t="shared" si="307"/>
        <v>60401000</v>
      </c>
      <c r="AY691" s="20">
        <v>0.05</v>
      </c>
      <c r="AZ691" s="13">
        <f t="shared" si="308"/>
        <v>3020050</v>
      </c>
      <c r="BA691" s="15">
        <f t="shared" si="309"/>
        <v>3020100</v>
      </c>
      <c r="BB691" s="21">
        <f t="shared" si="315"/>
        <v>12375616</v>
      </c>
      <c r="BC691" s="10">
        <f t="shared" si="316"/>
        <v>1.6029417014744238</v>
      </c>
      <c r="BD691" s="10">
        <f t="shared" si="317"/>
        <v>2.203838662377168</v>
      </c>
      <c r="BE691" s="10">
        <v>185.08</v>
      </c>
      <c r="BF691" s="10">
        <v>86.77</v>
      </c>
      <c r="BG691" s="107">
        <v>46176</v>
      </c>
      <c r="BH691" s="107">
        <f t="shared" si="318"/>
        <v>46206</v>
      </c>
      <c r="BI691" s="23">
        <v>5</v>
      </c>
      <c r="BJ691" s="6"/>
      <c r="BK691" s="6"/>
      <c r="BL691" s="6">
        <f>VLOOKUP(A691,[2]Sheet1!$D$2:$H$933,5,0)</f>
        <v>0</v>
      </c>
      <c r="BM691" s="6" t="s">
        <v>3828</v>
      </c>
      <c r="BN691" s="6" t="s">
        <v>3829</v>
      </c>
      <c r="BO691" s="6" t="s">
        <v>3820</v>
      </c>
      <c r="BP691" s="6" t="s">
        <v>3821</v>
      </c>
      <c r="BQ691" s="6" t="s">
        <v>3830</v>
      </c>
      <c r="BR691" t="s">
        <v>3823</v>
      </c>
      <c r="BS691" t="s">
        <v>3824</v>
      </c>
      <c r="BT691" t="s">
        <v>3825</v>
      </c>
      <c r="BU691" t="s">
        <v>3826</v>
      </c>
      <c r="BV691" t="s">
        <v>3827</v>
      </c>
      <c r="BW691" t="s">
        <v>3835</v>
      </c>
      <c r="BX691">
        <v>0</v>
      </c>
      <c r="BY691" t="s">
        <v>3868</v>
      </c>
      <c r="BZ691" t="s">
        <v>3863</v>
      </c>
    </row>
    <row r="692" spans="1:78" x14ac:dyDescent="0.25">
      <c r="A692" s="7" t="s">
        <v>2830</v>
      </c>
      <c r="B692" s="7" t="s">
        <v>181</v>
      </c>
      <c r="C692" s="7" t="s">
        <v>2828</v>
      </c>
      <c r="D692" s="8" t="s">
        <v>2829</v>
      </c>
      <c r="E692" s="7" t="s">
        <v>2831</v>
      </c>
      <c r="F692" s="9">
        <v>45008</v>
      </c>
      <c r="G692" s="9" t="s">
        <v>717</v>
      </c>
      <c r="H692" s="9" t="s">
        <v>92</v>
      </c>
      <c r="I692" s="8" t="s">
        <v>78</v>
      </c>
      <c r="J692" s="10">
        <v>825.38</v>
      </c>
      <c r="K692" s="10">
        <v>825.38</v>
      </c>
      <c r="L692" s="10">
        <f t="shared" ref="L692:L755" si="319">K692-J692</f>
        <v>0</v>
      </c>
      <c r="M692" s="10">
        <v>365.44</v>
      </c>
      <c r="N692" s="10">
        <v>365.44</v>
      </c>
      <c r="O692" s="10">
        <f t="shared" ref="O692:O755" si="320">N692-M692</f>
        <v>0</v>
      </c>
      <c r="P692" s="11">
        <v>13131.000266543895</v>
      </c>
      <c r="Q692" s="11">
        <v>29657.577167250438</v>
      </c>
      <c r="R692" s="11">
        <v>28000</v>
      </c>
      <c r="S692" s="11">
        <v>10838065</v>
      </c>
      <c r="T692" s="11">
        <v>1300568</v>
      </c>
      <c r="U692" s="12">
        <f t="shared" ref="U692:U755" si="321">T692/S692</f>
        <v>0.12000001845347855</v>
      </c>
      <c r="V692" s="13">
        <f t="shared" ref="V692:V705" si="322">L692*P692</f>
        <v>0</v>
      </c>
      <c r="W692" s="10">
        <f t="shared" ref="W692:W755" si="323">V692*U692</f>
        <v>0</v>
      </c>
      <c r="X692" s="10"/>
      <c r="Y692" s="10"/>
      <c r="Z692" s="11">
        <f t="shared" ref="Z692:Z755" si="324">S692+V692+X692</f>
        <v>10838065</v>
      </c>
      <c r="AA692" s="14"/>
      <c r="AB692" s="14"/>
      <c r="AC692" s="11">
        <f t="shared" ref="AC692:AC755" si="325">Z692-AA692</f>
        <v>10838065</v>
      </c>
      <c r="AD692" s="10">
        <f t="shared" ref="AD692:AD755" si="326">AE692/M692</f>
        <v>300</v>
      </c>
      <c r="AE692" s="15">
        <v>109632</v>
      </c>
      <c r="AF692" s="16">
        <v>19734</v>
      </c>
      <c r="AG692" s="15">
        <f t="shared" ref="AG692:AG755" si="327">(AD692*O692)</f>
        <v>0</v>
      </c>
      <c r="AH692" s="15">
        <f t="shared" ref="AH692:AH755" si="328">AG692*18%</f>
        <v>0</v>
      </c>
      <c r="AI692" s="15">
        <f t="shared" ref="AI692:AI755" si="329">AD692*N692</f>
        <v>109632</v>
      </c>
      <c r="AJ692" s="15">
        <f t="shared" ref="AJ692:AJ755" si="330">ROUNDUP(AI692*18%,0)</f>
        <v>19734</v>
      </c>
      <c r="AK692" s="10">
        <v>109632</v>
      </c>
      <c r="AL692" s="15">
        <f t="shared" ref="AL692:AL755" si="331">N692*300</f>
        <v>109632</v>
      </c>
      <c r="AM692" s="15">
        <f t="shared" ref="AM692:AM755" si="332">ROUND(AI692+AC692,0)</f>
        <v>10947697</v>
      </c>
      <c r="AN692" s="15">
        <f t="shared" ref="AN692:AN755" si="333">ROUNDUP(AJ692+W692+T692+Y692-AB692,0)</f>
        <v>1320302</v>
      </c>
      <c r="AO692" s="15">
        <f t="shared" si="311"/>
        <v>1452909</v>
      </c>
      <c r="AP692" s="17">
        <f t="shared" ref="AP692:AP755" si="334">AM692+AO692</f>
        <v>12400606</v>
      </c>
      <c r="AQ692" s="15">
        <v>10860522</v>
      </c>
      <c r="AR692" s="15">
        <v>22975</v>
      </c>
      <c r="AS692" s="18">
        <f t="shared" si="312"/>
        <v>1540084</v>
      </c>
      <c r="AT692" s="19">
        <v>0</v>
      </c>
      <c r="AU692" s="8">
        <v>8800</v>
      </c>
      <c r="AV692" s="13">
        <f t="shared" si="313"/>
        <v>3215872</v>
      </c>
      <c r="AW692" s="18">
        <f t="shared" si="314"/>
        <v>10947697</v>
      </c>
      <c r="AX692" s="15">
        <f t="shared" ref="AX692:AX755" si="335">CEILING((AW692),1000)</f>
        <v>10948000</v>
      </c>
      <c r="AY692" s="20">
        <v>7.0000000000000007E-2</v>
      </c>
      <c r="AZ692" s="13">
        <f t="shared" ref="AZ692:AZ755" si="336">AY692*AX692</f>
        <v>766360.00000000012</v>
      </c>
      <c r="BA692" s="15">
        <f t="shared" ref="BA692:BA755" si="337">CEILING(AZ692,100)</f>
        <v>766400</v>
      </c>
      <c r="BB692" s="21">
        <f t="shared" si="315"/>
        <v>2306484</v>
      </c>
      <c r="BC692" s="10">
        <f t="shared" si="316"/>
        <v>0</v>
      </c>
      <c r="BD692" s="10">
        <f t="shared" si="317"/>
        <v>0</v>
      </c>
      <c r="BE692" s="10">
        <v>76.680000000000007</v>
      </c>
      <c r="BF692" s="10">
        <v>33.950000000000003</v>
      </c>
      <c r="BG692" s="107">
        <v>46176</v>
      </c>
      <c r="BH692" s="107">
        <f t="shared" si="318"/>
        <v>46206</v>
      </c>
      <c r="BI692" s="23">
        <v>7</v>
      </c>
      <c r="BJ692" s="6"/>
      <c r="BK692" s="6"/>
      <c r="BL692" s="6">
        <f>VLOOKUP(A692,[2]Sheet1!$D$2:$H$933,5,0)</f>
        <v>0</v>
      </c>
      <c r="BM692" s="6" t="s">
        <v>3828</v>
      </c>
      <c r="BN692" s="6" t="s">
        <v>3829</v>
      </c>
      <c r="BO692" s="6" t="s">
        <v>3820</v>
      </c>
      <c r="BP692" s="6" t="s">
        <v>3821</v>
      </c>
      <c r="BQ692" s="6" t="s">
        <v>3830</v>
      </c>
      <c r="BR692" t="s">
        <v>3823</v>
      </c>
      <c r="BS692" t="s">
        <v>3824</v>
      </c>
      <c r="BT692" t="s">
        <v>3825</v>
      </c>
      <c r="BU692" t="s">
        <v>3826</v>
      </c>
      <c r="BV692" t="s">
        <v>3827</v>
      </c>
      <c r="BW692" t="s">
        <v>3835</v>
      </c>
      <c r="BX692">
        <v>0</v>
      </c>
      <c r="BY692" t="s">
        <v>3861</v>
      </c>
      <c r="BZ692" t="s">
        <v>3872</v>
      </c>
    </row>
    <row r="693" spans="1:78" x14ac:dyDescent="0.25">
      <c r="A693" s="7" t="s">
        <v>2834</v>
      </c>
      <c r="B693" s="7" t="s">
        <v>181</v>
      </c>
      <c r="C693" s="7" t="s">
        <v>2832</v>
      </c>
      <c r="D693" s="8" t="s">
        <v>2833</v>
      </c>
      <c r="E693" s="7" t="s">
        <v>2835</v>
      </c>
      <c r="F693" s="9">
        <v>45022</v>
      </c>
      <c r="G693" s="9" t="s">
        <v>527</v>
      </c>
      <c r="H693" s="9" t="s">
        <v>66</v>
      </c>
      <c r="I693" s="8" t="s">
        <v>78</v>
      </c>
      <c r="J693" s="10">
        <v>944</v>
      </c>
      <c r="K693" s="10">
        <v>944</v>
      </c>
      <c r="L693" s="10">
        <f t="shared" si="319"/>
        <v>0</v>
      </c>
      <c r="M693" s="10">
        <v>437.02</v>
      </c>
      <c r="N693" s="10">
        <v>437.02</v>
      </c>
      <c r="O693" s="10">
        <f t="shared" si="320"/>
        <v>0</v>
      </c>
      <c r="P693" s="11">
        <v>13162.91313559322</v>
      </c>
      <c r="Q693" s="11">
        <v>28433.000777996433</v>
      </c>
      <c r="R693" s="11">
        <v>22000</v>
      </c>
      <c r="S693" s="11">
        <v>12425790</v>
      </c>
      <c r="T693" s="11">
        <v>1491098</v>
      </c>
      <c r="U693" s="12">
        <f t="shared" si="321"/>
        <v>0.12000025752889756</v>
      </c>
      <c r="V693" s="13">
        <f t="shared" si="322"/>
        <v>0</v>
      </c>
      <c r="W693" s="10">
        <f t="shared" si="323"/>
        <v>0</v>
      </c>
      <c r="X693" s="10"/>
      <c r="Y693" s="10"/>
      <c r="Z693" s="11">
        <f t="shared" si="324"/>
        <v>12425790</v>
      </c>
      <c r="AA693" s="14"/>
      <c r="AB693" s="14"/>
      <c r="AC693" s="11">
        <f t="shared" si="325"/>
        <v>12425790</v>
      </c>
      <c r="AD693" s="10">
        <f t="shared" si="326"/>
        <v>300</v>
      </c>
      <c r="AE693" s="15">
        <v>131106</v>
      </c>
      <c r="AF693" s="16">
        <v>23600</v>
      </c>
      <c r="AG693" s="15">
        <f t="shared" si="327"/>
        <v>0</v>
      </c>
      <c r="AH693" s="15">
        <f t="shared" si="328"/>
        <v>0</v>
      </c>
      <c r="AI693" s="15">
        <f t="shared" si="329"/>
        <v>131106</v>
      </c>
      <c r="AJ693" s="15">
        <f t="shared" si="330"/>
        <v>23600</v>
      </c>
      <c r="AK693" s="10">
        <v>131106</v>
      </c>
      <c r="AL693" s="15">
        <f t="shared" si="331"/>
        <v>131106</v>
      </c>
      <c r="AM693" s="15">
        <f t="shared" si="332"/>
        <v>12556896</v>
      </c>
      <c r="AN693" s="15">
        <f t="shared" si="333"/>
        <v>1514698</v>
      </c>
      <c r="AO693" s="15">
        <f t="shared" si="311"/>
        <v>1668896</v>
      </c>
      <c r="AP693" s="17">
        <f t="shared" si="334"/>
        <v>14225792</v>
      </c>
      <c r="AQ693" s="15">
        <v>7888028</v>
      </c>
      <c r="AR693" s="15">
        <v>23092</v>
      </c>
      <c r="AS693" s="18">
        <f t="shared" si="312"/>
        <v>6337764</v>
      </c>
      <c r="AT693" s="19">
        <v>0</v>
      </c>
      <c r="AU693" s="8">
        <v>8800</v>
      </c>
      <c r="AV693" s="13">
        <f t="shared" si="313"/>
        <v>3845776</v>
      </c>
      <c r="AW693" s="18">
        <f t="shared" si="314"/>
        <v>12556896</v>
      </c>
      <c r="AX693" s="15">
        <f t="shared" si="335"/>
        <v>12557000</v>
      </c>
      <c r="AY693" s="20">
        <v>0.06</v>
      </c>
      <c r="AZ693" s="13">
        <f t="shared" si="336"/>
        <v>753420</v>
      </c>
      <c r="BA693" s="15">
        <f t="shared" si="337"/>
        <v>753500</v>
      </c>
      <c r="BB693" s="21">
        <f t="shared" si="315"/>
        <v>7091264</v>
      </c>
      <c r="BC693" s="10">
        <f t="shared" si="316"/>
        <v>0</v>
      </c>
      <c r="BD693" s="10">
        <f t="shared" si="317"/>
        <v>0</v>
      </c>
      <c r="BE693" s="10">
        <v>87.7</v>
      </c>
      <c r="BF693" s="10">
        <v>40.6</v>
      </c>
      <c r="BG693" s="107">
        <v>46176</v>
      </c>
      <c r="BH693" s="107">
        <f t="shared" si="318"/>
        <v>46206</v>
      </c>
      <c r="BI693" s="23">
        <v>6</v>
      </c>
      <c r="BJ693" s="6"/>
      <c r="BK693" s="6"/>
      <c r="BL693" s="6">
        <f>VLOOKUP(A693,[2]Sheet1!$D$2:$H$933,5,0)</f>
        <v>0</v>
      </c>
      <c r="BM693" s="6" t="s">
        <v>3828</v>
      </c>
      <c r="BN693" s="6" t="s">
        <v>3829</v>
      </c>
      <c r="BO693" s="6" t="s">
        <v>3820</v>
      </c>
      <c r="BP693" s="6" t="s">
        <v>3821</v>
      </c>
      <c r="BQ693" s="6" t="s">
        <v>3830</v>
      </c>
      <c r="BR693" t="s">
        <v>3823</v>
      </c>
      <c r="BS693" t="s">
        <v>3824</v>
      </c>
      <c r="BT693" t="s">
        <v>3825</v>
      </c>
      <c r="BU693" t="s">
        <v>3826</v>
      </c>
      <c r="BV693" t="s">
        <v>3827</v>
      </c>
      <c r="BW693" t="s">
        <v>3835</v>
      </c>
      <c r="BX693">
        <v>0</v>
      </c>
      <c r="BY693" t="s">
        <v>3864</v>
      </c>
      <c r="BZ693" t="s">
        <v>3871</v>
      </c>
    </row>
    <row r="694" spans="1:78" x14ac:dyDescent="0.25">
      <c r="A694" s="7" t="s">
        <v>2838</v>
      </c>
      <c r="B694" s="7" t="s">
        <v>181</v>
      </c>
      <c r="C694" s="7" t="s">
        <v>2836</v>
      </c>
      <c r="D694" s="8" t="s">
        <v>2837</v>
      </c>
      <c r="E694" s="7" t="s">
        <v>2839</v>
      </c>
      <c r="F694" s="9">
        <v>45010</v>
      </c>
      <c r="G694" s="9" t="s">
        <v>527</v>
      </c>
      <c r="H694" s="9" t="s">
        <v>87</v>
      </c>
      <c r="I694" s="8" t="s">
        <v>67</v>
      </c>
      <c r="J694" s="10">
        <v>404.25</v>
      </c>
      <c r="K694" s="10">
        <v>404.25</v>
      </c>
      <c r="L694" s="10">
        <f t="shared" si="319"/>
        <v>0</v>
      </c>
      <c r="M694" s="10">
        <v>162.54</v>
      </c>
      <c r="N694" s="10">
        <v>162.54</v>
      </c>
      <c r="O694" s="10">
        <f t="shared" si="320"/>
        <v>0</v>
      </c>
      <c r="P694" s="11">
        <v>19270.510822510823</v>
      </c>
      <c r="Q694" s="11">
        <v>47927.304048234284</v>
      </c>
      <c r="R694" s="11">
        <v>40000</v>
      </c>
      <c r="S694" s="11">
        <v>7790104</v>
      </c>
      <c r="T694" s="11">
        <v>934814</v>
      </c>
      <c r="U694" s="12">
        <f t="shared" si="321"/>
        <v>0.12000019511934629</v>
      </c>
      <c r="V694" s="13">
        <f t="shared" si="322"/>
        <v>0</v>
      </c>
      <c r="W694" s="10">
        <f t="shared" si="323"/>
        <v>0</v>
      </c>
      <c r="X694" s="10"/>
      <c r="Y694" s="10"/>
      <c r="Z694" s="11">
        <f t="shared" si="324"/>
        <v>7790104</v>
      </c>
      <c r="AA694" s="14"/>
      <c r="AB694" s="14"/>
      <c r="AC694" s="11">
        <f t="shared" si="325"/>
        <v>7790104</v>
      </c>
      <c r="AD694" s="10">
        <f t="shared" si="326"/>
        <v>300</v>
      </c>
      <c r="AE694" s="15">
        <v>48762</v>
      </c>
      <c r="AF694" s="16">
        <v>8778</v>
      </c>
      <c r="AG694" s="15">
        <f t="shared" si="327"/>
        <v>0</v>
      </c>
      <c r="AH694" s="15">
        <f t="shared" si="328"/>
        <v>0</v>
      </c>
      <c r="AI694" s="15">
        <f t="shared" si="329"/>
        <v>48762</v>
      </c>
      <c r="AJ694" s="15">
        <f t="shared" si="330"/>
        <v>8778</v>
      </c>
      <c r="AK694" s="10">
        <v>48762</v>
      </c>
      <c r="AL694" s="15">
        <f t="shared" si="331"/>
        <v>48762</v>
      </c>
      <c r="AM694" s="15">
        <f t="shared" si="332"/>
        <v>7838866</v>
      </c>
      <c r="AN694" s="15">
        <f t="shared" si="333"/>
        <v>943592</v>
      </c>
      <c r="AO694" s="15">
        <f t="shared" si="311"/>
        <v>1027038</v>
      </c>
      <c r="AP694" s="17">
        <f t="shared" si="334"/>
        <v>8865904</v>
      </c>
      <c r="AQ694" s="15">
        <v>1000000</v>
      </c>
      <c r="AR694" s="15">
        <v>34684</v>
      </c>
      <c r="AS694" s="18">
        <f t="shared" si="312"/>
        <v>7865904</v>
      </c>
      <c r="AT694" s="19">
        <v>0</v>
      </c>
      <c r="AU694" s="8">
        <v>8800</v>
      </c>
      <c r="AV694" s="13">
        <f t="shared" si="313"/>
        <v>1430352</v>
      </c>
      <c r="AW694" s="18">
        <f t="shared" si="314"/>
        <v>7838866</v>
      </c>
      <c r="AX694" s="15">
        <f t="shared" si="335"/>
        <v>7839000</v>
      </c>
      <c r="AY694" s="20">
        <v>0.06</v>
      </c>
      <c r="AZ694" s="13">
        <f t="shared" si="336"/>
        <v>470340</v>
      </c>
      <c r="BA694" s="15">
        <f t="shared" si="337"/>
        <v>470400</v>
      </c>
      <c r="BB694" s="21">
        <f t="shared" si="315"/>
        <v>8336304</v>
      </c>
      <c r="BC694" s="10">
        <f t="shared" si="316"/>
        <v>0</v>
      </c>
      <c r="BD694" s="10">
        <f t="shared" si="317"/>
        <v>0</v>
      </c>
      <c r="BE694" s="10">
        <v>37.56</v>
      </c>
      <c r="BF694" s="10">
        <v>15.1</v>
      </c>
      <c r="BG694" s="107">
        <v>46176</v>
      </c>
      <c r="BH694" s="107">
        <f t="shared" si="318"/>
        <v>46206</v>
      </c>
      <c r="BI694" s="23">
        <v>6</v>
      </c>
      <c r="BJ694" s="6"/>
      <c r="BK694" s="6"/>
      <c r="BL694" s="6">
        <f>VLOOKUP(A694,[2]Sheet1!$D$2:$H$933,5,0)</f>
        <v>0</v>
      </c>
      <c r="BM694" s="6" t="s">
        <v>3828</v>
      </c>
      <c r="BN694" s="6" t="s">
        <v>3829</v>
      </c>
      <c r="BO694" s="6" t="s">
        <v>3820</v>
      </c>
      <c r="BP694" s="6" t="s">
        <v>3821</v>
      </c>
      <c r="BQ694" s="6" t="s">
        <v>3830</v>
      </c>
      <c r="BR694" t="s">
        <v>3823</v>
      </c>
      <c r="BS694" t="s">
        <v>3824</v>
      </c>
      <c r="BT694" t="s">
        <v>3825</v>
      </c>
      <c r="BU694" t="s">
        <v>3826</v>
      </c>
      <c r="BV694" t="s">
        <v>3827</v>
      </c>
      <c r="BW694" t="s">
        <v>3835</v>
      </c>
      <c r="BX694">
        <v>0</v>
      </c>
      <c r="BY694" t="s">
        <v>3861</v>
      </c>
      <c r="BZ694" t="s">
        <v>3871</v>
      </c>
    </row>
    <row r="695" spans="1:78" x14ac:dyDescent="0.25">
      <c r="A695" s="7" t="s">
        <v>2842</v>
      </c>
      <c r="B695" s="7" t="s">
        <v>181</v>
      </c>
      <c r="C695" s="7" t="s">
        <v>2840</v>
      </c>
      <c r="D695" s="8" t="s">
        <v>2841</v>
      </c>
      <c r="E695" s="7" t="s">
        <v>2843</v>
      </c>
      <c r="F695" s="9">
        <v>44942</v>
      </c>
      <c r="G695" s="9" t="s">
        <v>527</v>
      </c>
      <c r="H695" s="9" t="s">
        <v>72</v>
      </c>
      <c r="I695" s="8" t="s">
        <v>635</v>
      </c>
      <c r="J695" s="10">
        <v>796.25</v>
      </c>
      <c r="K695" s="10">
        <v>796.25</v>
      </c>
      <c r="L695" s="10">
        <f t="shared" si="319"/>
        <v>0</v>
      </c>
      <c r="M695" s="10">
        <v>120.56</v>
      </c>
      <c r="N695" s="10">
        <v>120.56</v>
      </c>
      <c r="O695" s="10">
        <f t="shared" si="320"/>
        <v>0</v>
      </c>
      <c r="P695" s="11">
        <v>11500</v>
      </c>
      <c r="Q695" s="11">
        <v>75952.845056403443</v>
      </c>
      <c r="R695" s="11">
        <v>20000</v>
      </c>
      <c r="S695" s="11">
        <v>9156875</v>
      </c>
      <c r="T695" s="11">
        <v>1098824</v>
      </c>
      <c r="U695" s="12">
        <f t="shared" si="321"/>
        <v>0.11999989079243738</v>
      </c>
      <c r="V695" s="13">
        <f t="shared" si="322"/>
        <v>0</v>
      </c>
      <c r="W695" s="10">
        <f t="shared" si="323"/>
        <v>0</v>
      </c>
      <c r="X695" s="10"/>
      <c r="Y695" s="10"/>
      <c r="Z695" s="11">
        <f t="shared" si="324"/>
        <v>9156875</v>
      </c>
      <c r="AA695" s="14"/>
      <c r="AB695" s="14"/>
      <c r="AC695" s="11">
        <f t="shared" si="325"/>
        <v>9156875</v>
      </c>
      <c r="AD695" s="10">
        <f t="shared" si="326"/>
        <v>300</v>
      </c>
      <c r="AE695" s="15">
        <v>36168</v>
      </c>
      <c r="AF695" s="16">
        <v>6510</v>
      </c>
      <c r="AG695" s="15">
        <f t="shared" si="327"/>
        <v>0</v>
      </c>
      <c r="AH695" s="15">
        <f t="shared" si="328"/>
        <v>0</v>
      </c>
      <c r="AI695" s="15">
        <f t="shared" si="329"/>
        <v>36168</v>
      </c>
      <c r="AJ695" s="15">
        <f t="shared" si="330"/>
        <v>6511</v>
      </c>
      <c r="AK695" s="10">
        <v>36168</v>
      </c>
      <c r="AL695" s="15">
        <f t="shared" si="331"/>
        <v>36168</v>
      </c>
      <c r="AM695" s="15">
        <f t="shared" si="332"/>
        <v>9193043</v>
      </c>
      <c r="AN695" s="15">
        <f t="shared" si="333"/>
        <v>1105335</v>
      </c>
      <c r="AO695" s="15">
        <f t="shared" si="311"/>
        <v>1162038.1200000001</v>
      </c>
      <c r="AP695" s="17">
        <f t="shared" si="334"/>
        <v>10355081.120000001</v>
      </c>
      <c r="AQ695" s="15">
        <v>6478852.5099999998</v>
      </c>
      <c r="AR695" s="15">
        <v>20535.12</v>
      </c>
      <c r="AS695" s="18">
        <f t="shared" si="312"/>
        <v>3876229</v>
      </c>
      <c r="AT695" s="19">
        <v>0</v>
      </c>
      <c r="AU695" s="8">
        <v>8800</v>
      </c>
      <c r="AV695" s="13">
        <f t="shared" si="313"/>
        <v>1060928</v>
      </c>
      <c r="AW695" s="18">
        <f t="shared" si="314"/>
        <v>9193043</v>
      </c>
      <c r="AX695" s="15">
        <f t="shared" si="335"/>
        <v>9194000</v>
      </c>
      <c r="AY695" s="20">
        <v>7.0000000000000007E-2</v>
      </c>
      <c r="AZ695" s="13">
        <f t="shared" si="336"/>
        <v>643580.00000000012</v>
      </c>
      <c r="BA695" s="15">
        <f t="shared" si="337"/>
        <v>643600</v>
      </c>
      <c r="BB695" s="21">
        <f t="shared" si="315"/>
        <v>4519829</v>
      </c>
      <c r="BC695" s="10">
        <f t="shared" si="316"/>
        <v>0</v>
      </c>
      <c r="BD695" s="10">
        <f t="shared" si="317"/>
        <v>0</v>
      </c>
      <c r="BE695" s="10">
        <v>73.97</v>
      </c>
      <c r="BF695" s="10">
        <v>11.2</v>
      </c>
      <c r="BG695" s="107">
        <v>46176</v>
      </c>
      <c r="BH695" s="107">
        <f t="shared" si="318"/>
        <v>46206</v>
      </c>
      <c r="BI695" s="23">
        <v>7</v>
      </c>
      <c r="BJ695" s="6"/>
      <c r="BK695" s="6"/>
      <c r="BL695" s="6">
        <f>VLOOKUP(A695,[2]Sheet1!$D$2:$H$933,5,0)</f>
        <v>0</v>
      </c>
      <c r="BM695" s="6" t="s">
        <v>3828</v>
      </c>
      <c r="BN695" s="6" t="s">
        <v>3829</v>
      </c>
      <c r="BO695" s="6" t="s">
        <v>3820</v>
      </c>
      <c r="BP695" s="6" t="s">
        <v>3821</v>
      </c>
      <c r="BQ695" s="6" t="s">
        <v>3830</v>
      </c>
      <c r="BR695" t="s">
        <v>3823</v>
      </c>
      <c r="BS695" t="s">
        <v>3824</v>
      </c>
      <c r="BT695" t="s">
        <v>3825</v>
      </c>
      <c r="BU695" t="s">
        <v>3826</v>
      </c>
      <c r="BV695" t="s">
        <v>3827</v>
      </c>
      <c r="BW695" t="s">
        <v>3835</v>
      </c>
      <c r="BX695">
        <v>0</v>
      </c>
      <c r="BY695" t="s">
        <v>3862</v>
      </c>
      <c r="BZ695" t="s">
        <v>3871</v>
      </c>
    </row>
    <row r="696" spans="1:78" x14ac:dyDescent="0.25">
      <c r="A696" s="7" t="s">
        <v>2846</v>
      </c>
      <c r="B696" s="7" t="s">
        <v>181</v>
      </c>
      <c r="C696" s="7" t="s">
        <v>2844</v>
      </c>
      <c r="D696" s="8" t="s">
        <v>2845</v>
      </c>
      <c r="E696" s="7" t="s">
        <v>2529</v>
      </c>
      <c r="F696" s="9">
        <v>44895</v>
      </c>
      <c r="G696" s="9" t="s">
        <v>527</v>
      </c>
      <c r="H696" s="9" t="s">
        <v>72</v>
      </c>
      <c r="I696" s="8" t="s">
        <v>78</v>
      </c>
      <c r="J696" s="10">
        <v>800.84</v>
      </c>
      <c r="K696" s="10">
        <v>800.84</v>
      </c>
      <c r="L696" s="10">
        <f t="shared" si="319"/>
        <v>0</v>
      </c>
      <c r="M696" s="10">
        <v>368.13</v>
      </c>
      <c r="N696" s="10">
        <v>368.13</v>
      </c>
      <c r="O696" s="10">
        <f t="shared" si="320"/>
        <v>0</v>
      </c>
      <c r="P696" s="11">
        <v>8600</v>
      </c>
      <c r="Q696" s="11">
        <v>18708.673566403173</v>
      </c>
      <c r="R696" s="11">
        <v>20000</v>
      </c>
      <c r="S696" s="11">
        <v>6887224</v>
      </c>
      <c r="T696" s="11">
        <v>826468</v>
      </c>
      <c r="U696" s="12">
        <f t="shared" si="321"/>
        <v>0.12000016261994673</v>
      </c>
      <c r="V696" s="13">
        <f t="shared" si="322"/>
        <v>0</v>
      </c>
      <c r="W696" s="10">
        <f t="shared" si="323"/>
        <v>0</v>
      </c>
      <c r="X696" s="10"/>
      <c r="Y696" s="10"/>
      <c r="Z696" s="11">
        <f t="shared" si="324"/>
        <v>6887224</v>
      </c>
      <c r="AA696" s="14"/>
      <c r="AB696" s="14"/>
      <c r="AC696" s="11">
        <f t="shared" si="325"/>
        <v>6887224</v>
      </c>
      <c r="AD696" s="10">
        <f t="shared" si="326"/>
        <v>300</v>
      </c>
      <c r="AE696" s="15">
        <v>110439</v>
      </c>
      <c r="AF696" s="16">
        <v>19880</v>
      </c>
      <c r="AG696" s="15">
        <f t="shared" si="327"/>
        <v>0</v>
      </c>
      <c r="AH696" s="15">
        <f t="shared" si="328"/>
        <v>0</v>
      </c>
      <c r="AI696" s="15">
        <f t="shared" si="329"/>
        <v>110439</v>
      </c>
      <c r="AJ696" s="15">
        <f t="shared" si="330"/>
        <v>19880</v>
      </c>
      <c r="AK696" s="10">
        <v>110439</v>
      </c>
      <c r="AL696" s="15">
        <f t="shared" si="331"/>
        <v>110439</v>
      </c>
      <c r="AM696" s="15">
        <f t="shared" si="332"/>
        <v>6997663</v>
      </c>
      <c r="AN696" s="15">
        <f t="shared" si="333"/>
        <v>846348</v>
      </c>
      <c r="AO696" s="15">
        <f t="shared" si="311"/>
        <v>985947</v>
      </c>
      <c r="AP696" s="17">
        <f t="shared" si="334"/>
        <v>7983610</v>
      </c>
      <c r="AQ696" s="15">
        <v>1076329</v>
      </c>
      <c r="AR696" s="15">
        <v>29160</v>
      </c>
      <c r="AS696" s="18">
        <f t="shared" si="312"/>
        <v>6907281</v>
      </c>
      <c r="AT696" s="19">
        <v>0</v>
      </c>
      <c r="AU696" s="8">
        <v>8800</v>
      </c>
      <c r="AV696" s="13">
        <f t="shared" si="313"/>
        <v>3239544</v>
      </c>
      <c r="AW696" s="18">
        <f t="shared" si="314"/>
        <v>6997663</v>
      </c>
      <c r="AX696" s="15">
        <f t="shared" si="335"/>
        <v>6998000</v>
      </c>
      <c r="AY696" s="20">
        <v>0.06</v>
      </c>
      <c r="AZ696" s="13">
        <f t="shared" si="336"/>
        <v>419880</v>
      </c>
      <c r="BA696" s="15">
        <f t="shared" si="337"/>
        <v>419900</v>
      </c>
      <c r="BB696" s="21">
        <f t="shared" si="315"/>
        <v>7327181</v>
      </c>
      <c r="BC696" s="10">
        <f t="shared" si="316"/>
        <v>0</v>
      </c>
      <c r="BD696" s="10">
        <f t="shared" si="317"/>
        <v>0</v>
      </c>
      <c r="BE696" s="10">
        <v>74.400000000000006</v>
      </c>
      <c r="BF696" s="10">
        <v>34.200000000000003</v>
      </c>
      <c r="BG696" s="107">
        <v>46176</v>
      </c>
      <c r="BH696" s="107">
        <f t="shared" si="318"/>
        <v>46206</v>
      </c>
      <c r="BI696" s="23">
        <v>6</v>
      </c>
      <c r="BJ696" s="6"/>
      <c r="BK696" s="6"/>
      <c r="BL696" s="6">
        <f>VLOOKUP(A696,[2]Sheet1!$D$2:$H$933,5,0)</f>
        <v>0</v>
      </c>
      <c r="BM696" s="6" t="s">
        <v>3828</v>
      </c>
      <c r="BN696" s="6" t="s">
        <v>3829</v>
      </c>
      <c r="BO696" s="6" t="s">
        <v>3820</v>
      </c>
      <c r="BP696" s="6" t="s">
        <v>3821</v>
      </c>
      <c r="BQ696" s="6" t="s">
        <v>3830</v>
      </c>
      <c r="BR696" t="s">
        <v>3823</v>
      </c>
      <c r="BS696" t="s">
        <v>3824</v>
      </c>
      <c r="BT696" t="s">
        <v>3825</v>
      </c>
      <c r="BU696" t="s">
        <v>3826</v>
      </c>
      <c r="BV696" t="s">
        <v>3827</v>
      </c>
      <c r="BW696" t="s">
        <v>3835</v>
      </c>
      <c r="BX696">
        <v>0</v>
      </c>
      <c r="BY696" t="s">
        <v>3869</v>
      </c>
      <c r="BZ696" t="s">
        <v>3871</v>
      </c>
    </row>
    <row r="697" spans="1:78" x14ac:dyDescent="0.25">
      <c r="A697" s="7" t="s">
        <v>2849</v>
      </c>
      <c r="B697" s="7" t="s">
        <v>181</v>
      </c>
      <c r="C697" s="7" t="s">
        <v>2847</v>
      </c>
      <c r="D697" s="8" t="s">
        <v>2848</v>
      </c>
      <c r="E697" s="7" t="s">
        <v>2850</v>
      </c>
      <c r="F697" s="9">
        <v>45010</v>
      </c>
      <c r="G697" s="9" t="s">
        <v>65</v>
      </c>
      <c r="H697" s="9" t="s">
        <v>92</v>
      </c>
      <c r="I697" s="8" t="s">
        <v>78</v>
      </c>
      <c r="J697" s="10">
        <v>934.75</v>
      </c>
      <c r="K697" s="10">
        <v>934.75</v>
      </c>
      <c r="L697" s="10">
        <f t="shared" si="319"/>
        <v>0</v>
      </c>
      <c r="M697" s="10">
        <v>434.54</v>
      </c>
      <c r="N697" s="10">
        <v>434.54</v>
      </c>
      <c r="O697" s="10">
        <f t="shared" si="320"/>
        <v>0</v>
      </c>
      <c r="P697" s="11">
        <v>11874.999732548809</v>
      </c>
      <c r="Q697" s="11">
        <v>25544.612693883184</v>
      </c>
      <c r="R697" s="11">
        <v>28000</v>
      </c>
      <c r="S697" s="11">
        <v>11100156</v>
      </c>
      <c r="T697" s="11">
        <v>1332020</v>
      </c>
      <c r="U697" s="12">
        <f t="shared" si="321"/>
        <v>0.12000011531369469</v>
      </c>
      <c r="V697" s="13">
        <f t="shared" si="322"/>
        <v>0</v>
      </c>
      <c r="W697" s="10">
        <f t="shared" si="323"/>
        <v>0</v>
      </c>
      <c r="X697" s="10"/>
      <c r="Y697" s="10"/>
      <c r="Z697" s="11">
        <f t="shared" si="324"/>
        <v>11100156</v>
      </c>
      <c r="AA697" s="14"/>
      <c r="AB697" s="14"/>
      <c r="AC697" s="11">
        <f t="shared" si="325"/>
        <v>11100156</v>
      </c>
      <c r="AD697" s="10">
        <f t="shared" si="326"/>
        <v>300</v>
      </c>
      <c r="AE697" s="15">
        <v>130362</v>
      </c>
      <c r="AF697" s="16">
        <v>23466</v>
      </c>
      <c r="AG697" s="15">
        <f t="shared" si="327"/>
        <v>0</v>
      </c>
      <c r="AH697" s="15">
        <f t="shared" si="328"/>
        <v>0</v>
      </c>
      <c r="AI697" s="15">
        <f t="shared" si="329"/>
        <v>130362</v>
      </c>
      <c r="AJ697" s="15">
        <f t="shared" si="330"/>
        <v>23466</v>
      </c>
      <c r="AK697" s="10">
        <v>130362</v>
      </c>
      <c r="AL697" s="15">
        <f t="shared" si="331"/>
        <v>130362</v>
      </c>
      <c r="AM697" s="15">
        <f t="shared" si="332"/>
        <v>11230518</v>
      </c>
      <c r="AN697" s="15">
        <f t="shared" si="333"/>
        <v>1355486</v>
      </c>
      <c r="AO697" s="15">
        <f t="shared" si="311"/>
        <v>1520650</v>
      </c>
      <c r="AP697" s="17">
        <f t="shared" si="334"/>
        <v>12751168</v>
      </c>
      <c r="AQ697" s="15">
        <v>4267631</v>
      </c>
      <c r="AR697" s="15">
        <v>34802</v>
      </c>
      <c r="AS697" s="18">
        <f t="shared" si="312"/>
        <v>8483537</v>
      </c>
      <c r="AT697" s="19">
        <v>0</v>
      </c>
      <c r="AU697" s="8">
        <v>8800</v>
      </c>
      <c r="AV697" s="13">
        <f t="shared" si="313"/>
        <v>3823952</v>
      </c>
      <c r="AW697" s="18">
        <f t="shared" si="314"/>
        <v>11230518</v>
      </c>
      <c r="AX697" s="15">
        <f t="shared" si="335"/>
        <v>11231000</v>
      </c>
      <c r="AY697" s="20">
        <v>7.0000000000000007E-2</v>
      </c>
      <c r="AZ697" s="13">
        <f t="shared" si="336"/>
        <v>786170.00000000012</v>
      </c>
      <c r="BA697" s="15">
        <f t="shared" si="337"/>
        <v>786200</v>
      </c>
      <c r="BB697" s="21">
        <f t="shared" si="315"/>
        <v>9269737</v>
      </c>
      <c r="BC697" s="10">
        <f t="shared" si="316"/>
        <v>0</v>
      </c>
      <c r="BD697" s="10">
        <f t="shared" si="317"/>
        <v>0</v>
      </c>
      <c r="BE697" s="10">
        <v>86.84</v>
      </c>
      <c r="BF697" s="10">
        <v>40.369999999999997</v>
      </c>
      <c r="BG697" s="107">
        <v>46176</v>
      </c>
      <c r="BH697" s="107">
        <f t="shared" si="318"/>
        <v>46206</v>
      </c>
      <c r="BI697" s="23">
        <v>7</v>
      </c>
      <c r="BJ697" s="64"/>
      <c r="BK697" s="6"/>
      <c r="BL697" s="24">
        <f>VLOOKUP(A697,[2]Sheet1!$D$2:$H$933,5,0)</f>
        <v>0</v>
      </c>
      <c r="BM697" s="6" t="s">
        <v>3828</v>
      </c>
      <c r="BN697" s="6" t="s">
        <v>3829</v>
      </c>
      <c r="BO697" s="6" t="s">
        <v>3820</v>
      </c>
      <c r="BP697" s="6" t="s">
        <v>3821</v>
      </c>
      <c r="BQ697" s="6" t="s">
        <v>3830</v>
      </c>
      <c r="BR697" t="s">
        <v>3823</v>
      </c>
      <c r="BS697" t="s">
        <v>3824</v>
      </c>
      <c r="BT697" t="s">
        <v>3825</v>
      </c>
      <c r="BU697" t="s">
        <v>3826</v>
      </c>
      <c r="BV697" t="s">
        <v>3827</v>
      </c>
      <c r="BW697" t="s">
        <v>3835</v>
      </c>
      <c r="BX697">
        <v>0</v>
      </c>
      <c r="BY697" t="s">
        <v>3870</v>
      </c>
      <c r="BZ697" t="s">
        <v>3860</v>
      </c>
    </row>
    <row r="698" spans="1:78" x14ac:dyDescent="0.25">
      <c r="A698" s="7" t="s">
        <v>2853</v>
      </c>
      <c r="B698" s="7" t="s">
        <v>181</v>
      </c>
      <c r="C698" s="7" t="s">
        <v>2851</v>
      </c>
      <c r="D698" s="8" t="s">
        <v>2852</v>
      </c>
      <c r="E698" s="7" t="s">
        <v>2854</v>
      </c>
      <c r="F698" s="9">
        <v>45010</v>
      </c>
      <c r="G698" s="9" t="s">
        <v>65</v>
      </c>
      <c r="H698" s="9" t="s">
        <v>66</v>
      </c>
      <c r="I698" s="8" t="s">
        <v>78</v>
      </c>
      <c r="J698" s="10">
        <v>619.58000000000004</v>
      </c>
      <c r="K698" s="10">
        <v>619.58000000000004</v>
      </c>
      <c r="L698" s="10">
        <f t="shared" si="319"/>
        <v>0</v>
      </c>
      <c r="M698" s="10">
        <v>273.94</v>
      </c>
      <c r="N698" s="10">
        <v>273.94</v>
      </c>
      <c r="O698" s="10">
        <f t="shared" si="320"/>
        <v>0</v>
      </c>
      <c r="P698" s="11">
        <v>8906.9999031602056</v>
      </c>
      <c r="Q698" s="11">
        <v>20145.283638753011</v>
      </c>
      <c r="R698" s="11">
        <v>22000</v>
      </c>
      <c r="S698" s="11">
        <v>5518599</v>
      </c>
      <c r="T698" s="11">
        <v>662234</v>
      </c>
      <c r="U698" s="12">
        <f t="shared" si="321"/>
        <v>0.12000038415547135</v>
      </c>
      <c r="V698" s="13">
        <f t="shared" si="322"/>
        <v>0</v>
      </c>
      <c r="W698" s="10">
        <f t="shared" si="323"/>
        <v>0</v>
      </c>
      <c r="X698" s="10"/>
      <c r="Y698" s="10"/>
      <c r="Z698" s="11">
        <f t="shared" si="324"/>
        <v>5518599</v>
      </c>
      <c r="AA698" s="14"/>
      <c r="AB698" s="14"/>
      <c r="AC698" s="11">
        <f t="shared" si="325"/>
        <v>5518599</v>
      </c>
      <c r="AD698" s="10">
        <f t="shared" si="326"/>
        <v>300</v>
      </c>
      <c r="AE698" s="15">
        <v>82182</v>
      </c>
      <c r="AF698" s="16">
        <v>14792</v>
      </c>
      <c r="AG698" s="15">
        <f t="shared" si="327"/>
        <v>0</v>
      </c>
      <c r="AH698" s="15">
        <f t="shared" si="328"/>
        <v>0</v>
      </c>
      <c r="AI698" s="15">
        <f t="shared" si="329"/>
        <v>82182</v>
      </c>
      <c r="AJ698" s="15">
        <f t="shared" si="330"/>
        <v>14793</v>
      </c>
      <c r="AK698" s="10">
        <v>82182</v>
      </c>
      <c r="AL698" s="15">
        <f t="shared" si="331"/>
        <v>82182</v>
      </c>
      <c r="AM698" s="15">
        <f t="shared" si="332"/>
        <v>5600781</v>
      </c>
      <c r="AN698" s="15">
        <f t="shared" si="333"/>
        <v>677027</v>
      </c>
      <c r="AO698" s="15">
        <f t="shared" si="311"/>
        <v>785515</v>
      </c>
      <c r="AP698" s="17">
        <f t="shared" si="334"/>
        <v>6386296</v>
      </c>
      <c r="AQ698" s="15">
        <v>3730635</v>
      </c>
      <c r="AR698" s="15">
        <v>26306</v>
      </c>
      <c r="AS698" s="18">
        <f t="shared" si="312"/>
        <v>2655661</v>
      </c>
      <c r="AT698" s="19">
        <v>0</v>
      </c>
      <c r="AU698" s="8">
        <v>8800</v>
      </c>
      <c r="AV698" s="13">
        <f t="shared" si="313"/>
        <v>2410672</v>
      </c>
      <c r="AW698" s="18">
        <f t="shared" si="314"/>
        <v>5600781</v>
      </c>
      <c r="AX698" s="15">
        <f t="shared" si="335"/>
        <v>5601000</v>
      </c>
      <c r="AY698" s="20">
        <v>7.0000000000000007E-2</v>
      </c>
      <c r="AZ698" s="13">
        <f t="shared" si="336"/>
        <v>392070.00000000006</v>
      </c>
      <c r="BA698" s="15">
        <f t="shared" si="337"/>
        <v>392100</v>
      </c>
      <c r="BB698" s="21">
        <f t="shared" si="315"/>
        <v>3047761</v>
      </c>
      <c r="BC698" s="10">
        <f t="shared" si="316"/>
        <v>0</v>
      </c>
      <c r="BD698" s="10">
        <f t="shared" si="317"/>
        <v>0</v>
      </c>
      <c r="BE698" s="10">
        <v>57.56</v>
      </c>
      <c r="BF698" s="10">
        <v>25.45</v>
      </c>
      <c r="BG698" s="107">
        <v>46176</v>
      </c>
      <c r="BH698" s="107">
        <f t="shared" si="318"/>
        <v>46206</v>
      </c>
      <c r="BI698" s="23">
        <v>7</v>
      </c>
      <c r="BJ698" s="6"/>
      <c r="BK698" s="6"/>
      <c r="BL698" s="6">
        <f>VLOOKUP(A698,[2]Sheet1!$D$2:$H$933,5,0)</f>
        <v>0</v>
      </c>
      <c r="BM698" s="6" t="s">
        <v>3828</v>
      </c>
      <c r="BN698" s="6" t="s">
        <v>3829</v>
      </c>
      <c r="BO698" s="6" t="s">
        <v>3820</v>
      </c>
      <c r="BP698" s="6" t="s">
        <v>3821</v>
      </c>
      <c r="BQ698" s="6" t="s">
        <v>3830</v>
      </c>
      <c r="BR698" t="s">
        <v>3823</v>
      </c>
      <c r="BS698" t="s">
        <v>3824</v>
      </c>
      <c r="BT698" t="s">
        <v>3825</v>
      </c>
      <c r="BU698" t="s">
        <v>3826</v>
      </c>
      <c r="BV698" t="s">
        <v>3827</v>
      </c>
      <c r="BW698" t="s">
        <v>3835</v>
      </c>
      <c r="BX698">
        <v>0</v>
      </c>
      <c r="BY698" t="s">
        <v>3870</v>
      </c>
      <c r="BZ698" t="s">
        <v>3860</v>
      </c>
    </row>
    <row r="699" spans="1:78" x14ac:dyDescent="0.25">
      <c r="A699" s="7" t="s">
        <v>2857</v>
      </c>
      <c r="B699" s="7" t="s">
        <v>181</v>
      </c>
      <c r="C699" s="7" t="s">
        <v>2855</v>
      </c>
      <c r="D699" s="8" t="s">
        <v>2856</v>
      </c>
      <c r="E699" s="7" t="s">
        <v>2858</v>
      </c>
      <c r="F699" s="9">
        <v>44965</v>
      </c>
      <c r="G699" s="9" t="s">
        <v>65</v>
      </c>
      <c r="H699" s="9" t="s">
        <v>72</v>
      </c>
      <c r="I699" s="8" t="s">
        <v>78</v>
      </c>
      <c r="J699" s="10">
        <v>676.41</v>
      </c>
      <c r="K699" s="10">
        <v>676.41</v>
      </c>
      <c r="L699" s="10">
        <f t="shared" si="319"/>
        <v>0</v>
      </c>
      <c r="M699" s="10">
        <v>315.39</v>
      </c>
      <c r="N699" s="10">
        <v>315.39</v>
      </c>
      <c r="O699" s="10">
        <f t="shared" si="320"/>
        <v>0</v>
      </c>
      <c r="P699" s="11">
        <v>12587.999881728538</v>
      </c>
      <c r="Q699" s="11">
        <v>26997.206633057485</v>
      </c>
      <c r="R699" s="11">
        <v>20000</v>
      </c>
      <c r="S699" s="11">
        <v>8514649</v>
      </c>
      <c r="T699" s="11">
        <v>1021758</v>
      </c>
      <c r="U699" s="12">
        <f t="shared" si="321"/>
        <v>0.12000001409335839</v>
      </c>
      <c r="V699" s="13">
        <f t="shared" si="322"/>
        <v>0</v>
      </c>
      <c r="W699" s="10">
        <f t="shared" si="323"/>
        <v>0</v>
      </c>
      <c r="X699" s="10"/>
      <c r="Y699" s="10"/>
      <c r="Z699" s="11">
        <f t="shared" si="324"/>
        <v>8514649</v>
      </c>
      <c r="AA699" s="14"/>
      <c r="AB699" s="14"/>
      <c r="AC699" s="11">
        <f t="shared" si="325"/>
        <v>8514649</v>
      </c>
      <c r="AD699" s="10">
        <f t="shared" si="326"/>
        <v>300</v>
      </c>
      <c r="AE699" s="15">
        <v>94617</v>
      </c>
      <c r="AF699" s="16">
        <v>17032</v>
      </c>
      <c r="AG699" s="15">
        <f t="shared" si="327"/>
        <v>0</v>
      </c>
      <c r="AH699" s="15">
        <f t="shared" si="328"/>
        <v>0</v>
      </c>
      <c r="AI699" s="15">
        <f t="shared" si="329"/>
        <v>94617</v>
      </c>
      <c r="AJ699" s="15">
        <f t="shared" si="330"/>
        <v>17032</v>
      </c>
      <c r="AK699" s="10">
        <v>94617</v>
      </c>
      <c r="AL699" s="15">
        <f t="shared" si="331"/>
        <v>94617</v>
      </c>
      <c r="AM699" s="15">
        <f t="shared" si="332"/>
        <v>8609266</v>
      </c>
      <c r="AN699" s="15">
        <f t="shared" si="333"/>
        <v>1038790</v>
      </c>
      <c r="AO699" s="15">
        <f t="shared" ref="AO699:AO762" si="338">AN699+AL699+AR699</f>
        <v>1167357</v>
      </c>
      <c r="AP699" s="17">
        <f t="shared" si="334"/>
        <v>9776623</v>
      </c>
      <c r="AQ699" s="15">
        <v>2260001</v>
      </c>
      <c r="AR699" s="15">
        <v>33950</v>
      </c>
      <c r="AS699" s="18">
        <f t="shared" ref="AS699:AS762" si="339">ROUND(AP699-AQ699,0)</f>
        <v>7516622</v>
      </c>
      <c r="AT699" s="19">
        <v>0</v>
      </c>
      <c r="AU699" s="8">
        <v>8800</v>
      </c>
      <c r="AV699" s="13">
        <f t="shared" ref="AV699:AV762" si="340">AU699*N699</f>
        <v>2775432</v>
      </c>
      <c r="AW699" s="18">
        <f t="shared" ref="AW699:AW762" si="341">MAX(AM699,AT699,AV699)</f>
        <v>8609266</v>
      </c>
      <c r="AX699" s="15">
        <f t="shared" si="335"/>
        <v>8610000</v>
      </c>
      <c r="AY699" s="20">
        <v>6.3399999999999998E-2</v>
      </c>
      <c r="AZ699" s="13">
        <f t="shared" si="336"/>
        <v>545874</v>
      </c>
      <c r="BA699" s="15">
        <f t="shared" si="337"/>
        <v>545900</v>
      </c>
      <c r="BB699" s="21">
        <f t="shared" ref="BB699:BB762" si="342">BA699+AS699</f>
        <v>8062522</v>
      </c>
      <c r="BC699" s="10">
        <f t="shared" ref="BC699:BC762" si="343">L699/J699%</f>
        <v>0</v>
      </c>
      <c r="BD699" s="10">
        <f t="shared" ref="BD699:BD762" si="344">O699/M699%</f>
        <v>0</v>
      </c>
      <c r="BE699" s="10">
        <v>62.84</v>
      </c>
      <c r="BF699" s="10">
        <v>29.3</v>
      </c>
      <c r="BG699" s="107">
        <v>46176</v>
      </c>
      <c r="BH699" s="107">
        <f t="shared" si="318"/>
        <v>46206</v>
      </c>
      <c r="BI699" s="23">
        <v>6.34</v>
      </c>
      <c r="BJ699" s="6"/>
      <c r="BK699" s="6"/>
      <c r="BL699" s="6">
        <f>VLOOKUP(A699,[2]Sheet1!$D$2:$H$933,5,0)</f>
        <v>0</v>
      </c>
      <c r="BM699" s="6" t="s">
        <v>3828</v>
      </c>
      <c r="BN699" s="6" t="s">
        <v>3829</v>
      </c>
      <c r="BO699" s="6" t="s">
        <v>3820</v>
      </c>
      <c r="BP699" s="6" t="s">
        <v>3821</v>
      </c>
      <c r="BQ699" s="6" t="s">
        <v>3830</v>
      </c>
      <c r="BR699" t="s">
        <v>3823</v>
      </c>
      <c r="BS699" t="s">
        <v>3824</v>
      </c>
      <c r="BT699" t="s">
        <v>3825</v>
      </c>
      <c r="BU699" t="s">
        <v>3826</v>
      </c>
      <c r="BV699" t="s">
        <v>3827</v>
      </c>
      <c r="BW699" t="s">
        <v>3835</v>
      </c>
      <c r="BX699">
        <v>0</v>
      </c>
      <c r="BY699" t="s">
        <v>3870</v>
      </c>
      <c r="BZ699" t="s">
        <v>3860</v>
      </c>
    </row>
    <row r="700" spans="1:78" x14ac:dyDescent="0.25">
      <c r="A700" s="7" t="s">
        <v>2861</v>
      </c>
      <c r="B700" s="7" t="s">
        <v>181</v>
      </c>
      <c r="C700" s="7" t="s">
        <v>2859</v>
      </c>
      <c r="D700" s="8" t="s">
        <v>2860</v>
      </c>
      <c r="E700" s="7" t="s">
        <v>1822</v>
      </c>
      <c r="F700" s="9">
        <v>45056</v>
      </c>
      <c r="G700" s="9" t="s">
        <v>363</v>
      </c>
      <c r="H700" s="9" t="s">
        <v>92</v>
      </c>
      <c r="I700" s="8" t="s">
        <v>78</v>
      </c>
      <c r="J700" s="10">
        <v>697.51</v>
      </c>
      <c r="K700" s="10">
        <v>697.51</v>
      </c>
      <c r="L700" s="10">
        <f t="shared" si="319"/>
        <v>0</v>
      </c>
      <c r="M700" s="10">
        <v>317.54000000000002</v>
      </c>
      <c r="N700" s="10">
        <v>317.54000000000002</v>
      </c>
      <c r="O700" s="10">
        <f t="shared" si="320"/>
        <v>0</v>
      </c>
      <c r="P700" s="11">
        <v>9726.8512279393854</v>
      </c>
      <c r="Q700" s="11">
        <v>21366.05152106821</v>
      </c>
      <c r="R700" s="11">
        <v>28000</v>
      </c>
      <c r="S700" s="11">
        <v>6784576</v>
      </c>
      <c r="T700" s="11">
        <v>814150</v>
      </c>
      <c r="U700" s="12">
        <f t="shared" si="321"/>
        <v>0.12000012970596836</v>
      </c>
      <c r="V700" s="13">
        <f t="shared" si="322"/>
        <v>0</v>
      </c>
      <c r="W700" s="10">
        <f t="shared" si="323"/>
        <v>0</v>
      </c>
      <c r="X700" s="10"/>
      <c r="Y700" s="10"/>
      <c r="Z700" s="11">
        <f t="shared" si="324"/>
        <v>6784576</v>
      </c>
      <c r="AA700" s="14"/>
      <c r="AB700" s="14"/>
      <c r="AC700" s="11">
        <f t="shared" si="325"/>
        <v>6784576</v>
      </c>
      <c r="AD700" s="10">
        <f t="shared" si="326"/>
        <v>300</v>
      </c>
      <c r="AE700" s="15">
        <v>95262</v>
      </c>
      <c r="AF700" s="16">
        <v>17148</v>
      </c>
      <c r="AG700" s="15">
        <f t="shared" si="327"/>
        <v>0</v>
      </c>
      <c r="AH700" s="15">
        <f t="shared" si="328"/>
        <v>0</v>
      </c>
      <c r="AI700" s="15">
        <f t="shared" si="329"/>
        <v>95262</v>
      </c>
      <c r="AJ700" s="15">
        <f t="shared" si="330"/>
        <v>17148</v>
      </c>
      <c r="AK700" s="10">
        <v>95262</v>
      </c>
      <c r="AL700" s="15">
        <f t="shared" si="331"/>
        <v>95262</v>
      </c>
      <c r="AM700" s="15">
        <f t="shared" si="332"/>
        <v>6879838</v>
      </c>
      <c r="AN700" s="15">
        <f t="shared" si="333"/>
        <v>831298</v>
      </c>
      <c r="AO700" s="15">
        <f t="shared" si="338"/>
        <v>952366.88</v>
      </c>
      <c r="AP700" s="17">
        <f t="shared" si="334"/>
        <v>7832204.8799999999</v>
      </c>
      <c r="AQ700" s="15">
        <v>4498802</v>
      </c>
      <c r="AR700" s="15">
        <v>25806.880000000001</v>
      </c>
      <c r="AS700" s="18">
        <f t="shared" si="339"/>
        <v>3333403</v>
      </c>
      <c r="AT700" s="19">
        <v>0</v>
      </c>
      <c r="AU700" s="8">
        <v>8800</v>
      </c>
      <c r="AV700" s="13">
        <f t="shared" si="340"/>
        <v>2794352</v>
      </c>
      <c r="AW700" s="18">
        <f t="shared" si="341"/>
        <v>6879838</v>
      </c>
      <c r="AX700" s="15">
        <f t="shared" si="335"/>
        <v>6880000</v>
      </c>
      <c r="AY700" s="20">
        <v>0.05</v>
      </c>
      <c r="AZ700" s="13">
        <f t="shared" si="336"/>
        <v>344000</v>
      </c>
      <c r="BA700" s="15">
        <f t="shared" si="337"/>
        <v>344000</v>
      </c>
      <c r="BB700" s="21">
        <f t="shared" si="342"/>
        <v>3677403</v>
      </c>
      <c r="BC700" s="10">
        <f t="shared" si="343"/>
        <v>0</v>
      </c>
      <c r="BD700" s="10">
        <f t="shared" si="344"/>
        <v>0</v>
      </c>
      <c r="BE700" s="10">
        <v>64.8</v>
      </c>
      <c r="BF700" s="10">
        <v>29.5</v>
      </c>
      <c r="BG700" s="107">
        <v>46176</v>
      </c>
      <c r="BH700" s="107">
        <f t="shared" si="318"/>
        <v>46206</v>
      </c>
      <c r="BI700" s="23">
        <v>5</v>
      </c>
      <c r="BJ700" s="6"/>
      <c r="BK700" s="6"/>
      <c r="BL700" s="6">
        <f>VLOOKUP(A700,[2]Sheet1!$D$2:$H$933,5,0)</f>
        <v>0</v>
      </c>
      <c r="BM700" s="6" t="s">
        <v>3828</v>
      </c>
      <c r="BN700" s="6" t="s">
        <v>3829</v>
      </c>
      <c r="BO700" s="6" t="s">
        <v>3820</v>
      </c>
      <c r="BP700" s="6" t="s">
        <v>3821</v>
      </c>
      <c r="BQ700" s="6" t="s">
        <v>3830</v>
      </c>
      <c r="BR700" t="s">
        <v>3823</v>
      </c>
      <c r="BS700" t="s">
        <v>3824</v>
      </c>
      <c r="BT700" t="s">
        <v>3825</v>
      </c>
      <c r="BU700" t="s">
        <v>3826</v>
      </c>
      <c r="BV700" t="s">
        <v>3827</v>
      </c>
      <c r="BW700" t="s">
        <v>3835</v>
      </c>
      <c r="BX700">
        <v>0</v>
      </c>
      <c r="BY700" t="s">
        <v>3861</v>
      </c>
      <c r="BZ700" t="s">
        <v>3860</v>
      </c>
    </row>
    <row r="701" spans="1:78" x14ac:dyDescent="0.25">
      <c r="A701" s="7" t="s">
        <v>2864</v>
      </c>
      <c r="B701" s="7" t="s">
        <v>181</v>
      </c>
      <c r="C701" s="7" t="s">
        <v>2862</v>
      </c>
      <c r="D701" s="8" t="s">
        <v>2863</v>
      </c>
      <c r="E701" s="7" t="s">
        <v>2865</v>
      </c>
      <c r="F701" s="9">
        <v>44970</v>
      </c>
      <c r="G701" s="9" t="s">
        <v>717</v>
      </c>
      <c r="H701" s="9" t="s">
        <v>92</v>
      </c>
      <c r="I701" s="8" t="s">
        <v>78</v>
      </c>
      <c r="J701" s="10">
        <v>703.97</v>
      </c>
      <c r="K701" s="10">
        <v>703.97</v>
      </c>
      <c r="L701" s="10">
        <f t="shared" si="319"/>
        <v>0</v>
      </c>
      <c r="M701" s="10">
        <v>307.31</v>
      </c>
      <c r="N701" s="10">
        <v>307.31</v>
      </c>
      <c r="O701" s="10">
        <f t="shared" si="320"/>
        <v>0</v>
      </c>
      <c r="P701" s="11">
        <v>18196.999872153643</v>
      </c>
      <c r="Q701" s="11">
        <v>41684.754807848753</v>
      </c>
      <c r="R701" s="11">
        <v>28000</v>
      </c>
      <c r="S701" s="11">
        <v>12810142</v>
      </c>
      <c r="T701" s="11">
        <v>1537218</v>
      </c>
      <c r="U701" s="12">
        <f t="shared" si="321"/>
        <v>0.12000007494062127</v>
      </c>
      <c r="V701" s="13">
        <f t="shared" si="322"/>
        <v>0</v>
      </c>
      <c r="W701" s="10">
        <f t="shared" si="323"/>
        <v>0</v>
      </c>
      <c r="X701" s="10"/>
      <c r="Y701" s="10"/>
      <c r="Z701" s="11">
        <f t="shared" si="324"/>
        <v>12810142</v>
      </c>
      <c r="AA701" s="14"/>
      <c r="AB701" s="14"/>
      <c r="AC701" s="11">
        <f t="shared" si="325"/>
        <v>12810142</v>
      </c>
      <c r="AD701" s="10">
        <f t="shared" si="326"/>
        <v>300</v>
      </c>
      <c r="AE701" s="15">
        <v>92193</v>
      </c>
      <c r="AF701" s="16">
        <v>16594</v>
      </c>
      <c r="AG701" s="15">
        <f t="shared" si="327"/>
        <v>0</v>
      </c>
      <c r="AH701" s="15">
        <f t="shared" si="328"/>
        <v>0</v>
      </c>
      <c r="AI701" s="15">
        <f t="shared" si="329"/>
        <v>92193</v>
      </c>
      <c r="AJ701" s="15">
        <f t="shared" si="330"/>
        <v>16595</v>
      </c>
      <c r="AK701" s="10">
        <v>92193</v>
      </c>
      <c r="AL701" s="15">
        <f t="shared" si="331"/>
        <v>92193</v>
      </c>
      <c r="AM701" s="15">
        <f t="shared" si="332"/>
        <v>12902335</v>
      </c>
      <c r="AN701" s="15">
        <f t="shared" si="333"/>
        <v>1553813</v>
      </c>
      <c r="AO701" s="15">
        <f t="shared" si="338"/>
        <v>1681667</v>
      </c>
      <c r="AP701" s="17">
        <f t="shared" si="334"/>
        <v>14584002</v>
      </c>
      <c r="AQ701" s="15">
        <v>5738945</v>
      </c>
      <c r="AR701" s="15">
        <v>35661</v>
      </c>
      <c r="AS701" s="18">
        <f t="shared" si="339"/>
        <v>8845057</v>
      </c>
      <c r="AT701" s="19">
        <v>0</v>
      </c>
      <c r="AU701" s="8">
        <v>8800</v>
      </c>
      <c r="AV701" s="13">
        <f t="shared" si="340"/>
        <v>2704328</v>
      </c>
      <c r="AW701" s="18">
        <f t="shared" si="341"/>
        <v>12902335</v>
      </c>
      <c r="AX701" s="15">
        <f t="shared" si="335"/>
        <v>12903000</v>
      </c>
      <c r="AY701" s="20">
        <v>7.0000000000000007E-2</v>
      </c>
      <c r="AZ701" s="13">
        <f t="shared" si="336"/>
        <v>903210.00000000012</v>
      </c>
      <c r="BA701" s="15">
        <f t="shared" si="337"/>
        <v>903300</v>
      </c>
      <c r="BB701" s="21">
        <f t="shared" si="342"/>
        <v>9748357</v>
      </c>
      <c r="BC701" s="10">
        <f t="shared" si="343"/>
        <v>0</v>
      </c>
      <c r="BD701" s="10">
        <f t="shared" si="344"/>
        <v>0</v>
      </c>
      <c r="BE701" s="10">
        <v>65.400000000000006</v>
      </c>
      <c r="BF701" s="10">
        <v>28.55</v>
      </c>
      <c r="BG701" s="107">
        <v>46176</v>
      </c>
      <c r="BH701" s="107">
        <f t="shared" si="318"/>
        <v>46206</v>
      </c>
      <c r="BI701" s="23">
        <v>7</v>
      </c>
      <c r="BJ701" s="6"/>
      <c r="BK701" s="6"/>
      <c r="BL701" s="6">
        <f>VLOOKUP(A701,[2]Sheet1!$D$2:$H$933,5,0)</f>
        <v>0</v>
      </c>
      <c r="BM701" s="6" t="s">
        <v>3828</v>
      </c>
      <c r="BN701" s="6" t="s">
        <v>3829</v>
      </c>
      <c r="BO701" s="6" t="s">
        <v>3820</v>
      </c>
      <c r="BP701" s="6" t="s">
        <v>3821</v>
      </c>
      <c r="BQ701" s="6" t="s">
        <v>3830</v>
      </c>
      <c r="BR701" t="s">
        <v>3823</v>
      </c>
      <c r="BS701" t="s">
        <v>3824</v>
      </c>
      <c r="BT701" t="s">
        <v>3825</v>
      </c>
      <c r="BU701" t="s">
        <v>3826</v>
      </c>
      <c r="BV701" t="s">
        <v>3827</v>
      </c>
      <c r="BW701" t="s">
        <v>3835</v>
      </c>
      <c r="BX701">
        <v>0</v>
      </c>
      <c r="BY701" t="s">
        <v>3866</v>
      </c>
      <c r="BZ701" t="s">
        <v>3872</v>
      </c>
    </row>
    <row r="702" spans="1:78" x14ac:dyDescent="0.25">
      <c r="A702" s="7" t="s">
        <v>2868</v>
      </c>
      <c r="B702" s="7" t="s">
        <v>181</v>
      </c>
      <c r="C702" s="7" t="s">
        <v>2866</v>
      </c>
      <c r="D702" s="8" t="s">
        <v>2867</v>
      </c>
      <c r="E702" s="7" t="s">
        <v>2869</v>
      </c>
      <c r="F702" s="9">
        <v>44875</v>
      </c>
      <c r="G702" s="9" t="s">
        <v>527</v>
      </c>
      <c r="H702" s="9" t="s">
        <v>72</v>
      </c>
      <c r="I702" s="8" t="s">
        <v>635</v>
      </c>
      <c r="J702" s="10">
        <v>796.25</v>
      </c>
      <c r="K702" s="10">
        <v>796.25</v>
      </c>
      <c r="L702" s="10">
        <f t="shared" si="319"/>
        <v>0</v>
      </c>
      <c r="M702" s="10">
        <v>120.56</v>
      </c>
      <c r="N702" s="10">
        <v>120.56</v>
      </c>
      <c r="O702" s="10">
        <f t="shared" si="320"/>
        <v>0</v>
      </c>
      <c r="P702" s="11">
        <v>11871.000313971743</v>
      </c>
      <c r="Q702" s="11">
        <v>78403.151957531518</v>
      </c>
      <c r="R702" s="11">
        <v>20000</v>
      </c>
      <c r="S702" s="11">
        <v>9452284</v>
      </c>
      <c r="T702" s="11">
        <v>1134276</v>
      </c>
      <c r="U702" s="12">
        <f t="shared" si="321"/>
        <v>0.12000020312550913</v>
      </c>
      <c r="V702" s="13">
        <f t="shared" si="322"/>
        <v>0</v>
      </c>
      <c r="W702" s="10">
        <f t="shared" si="323"/>
        <v>0</v>
      </c>
      <c r="X702" s="10"/>
      <c r="Y702" s="10"/>
      <c r="Z702" s="11">
        <f t="shared" si="324"/>
        <v>9452284</v>
      </c>
      <c r="AA702" s="14"/>
      <c r="AB702" s="14"/>
      <c r="AC702" s="11">
        <f t="shared" si="325"/>
        <v>9452284</v>
      </c>
      <c r="AD702" s="10">
        <f t="shared" si="326"/>
        <v>300</v>
      </c>
      <c r="AE702" s="15">
        <v>36168</v>
      </c>
      <c r="AF702" s="16">
        <v>6510</v>
      </c>
      <c r="AG702" s="15">
        <f t="shared" si="327"/>
        <v>0</v>
      </c>
      <c r="AH702" s="15">
        <f t="shared" si="328"/>
        <v>0</v>
      </c>
      <c r="AI702" s="15">
        <f t="shared" si="329"/>
        <v>36168</v>
      </c>
      <c r="AJ702" s="15">
        <f t="shared" si="330"/>
        <v>6511</v>
      </c>
      <c r="AK702" s="10">
        <v>36168</v>
      </c>
      <c r="AL702" s="15">
        <f t="shared" si="331"/>
        <v>36168</v>
      </c>
      <c r="AM702" s="15">
        <f t="shared" si="332"/>
        <v>9488452</v>
      </c>
      <c r="AN702" s="15">
        <f t="shared" si="333"/>
        <v>1140787</v>
      </c>
      <c r="AO702" s="15">
        <f t="shared" si="338"/>
        <v>1206775</v>
      </c>
      <c r="AP702" s="17">
        <f t="shared" si="334"/>
        <v>10695227</v>
      </c>
      <c r="AQ702" s="15">
        <v>3528856</v>
      </c>
      <c r="AR702" s="15">
        <v>29820</v>
      </c>
      <c r="AS702" s="18">
        <f t="shared" si="339"/>
        <v>7166371</v>
      </c>
      <c r="AT702" s="19">
        <v>9488452</v>
      </c>
      <c r="AU702" s="8">
        <v>8800</v>
      </c>
      <c r="AV702" s="13">
        <f t="shared" si="340"/>
        <v>1060928</v>
      </c>
      <c r="AW702" s="18">
        <f t="shared" si="341"/>
        <v>9488452</v>
      </c>
      <c r="AX702" s="15">
        <f t="shared" si="335"/>
        <v>9489000</v>
      </c>
      <c r="AY702" s="20">
        <v>7.0000000000000007E-2</v>
      </c>
      <c r="AZ702" s="13">
        <f t="shared" si="336"/>
        <v>664230.00000000012</v>
      </c>
      <c r="BA702" s="15">
        <f t="shared" si="337"/>
        <v>664300</v>
      </c>
      <c r="BB702" s="21">
        <f t="shared" si="342"/>
        <v>7830671</v>
      </c>
      <c r="BC702" s="10">
        <f t="shared" si="343"/>
        <v>0</v>
      </c>
      <c r="BD702" s="10">
        <f t="shared" si="344"/>
        <v>0</v>
      </c>
      <c r="BE702" s="10">
        <v>73.97</v>
      </c>
      <c r="BF702" s="10">
        <v>11.2</v>
      </c>
      <c r="BG702" s="107">
        <v>46176</v>
      </c>
      <c r="BH702" s="107">
        <f t="shared" si="318"/>
        <v>46206</v>
      </c>
      <c r="BI702" s="23">
        <v>7</v>
      </c>
      <c r="BJ702" s="6"/>
      <c r="BK702" s="6"/>
      <c r="BL702" s="6">
        <f>VLOOKUP(A702,[2]Sheet1!$D$2:$H$933,5,0)</f>
        <v>0</v>
      </c>
      <c r="BM702" s="6" t="s">
        <v>3828</v>
      </c>
      <c r="BN702" s="6" t="s">
        <v>3829</v>
      </c>
      <c r="BO702" s="6" t="s">
        <v>3820</v>
      </c>
      <c r="BP702" s="6" t="s">
        <v>3821</v>
      </c>
      <c r="BQ702" s="6" t="s">
        <v>3830</v>
      </c>
      <c r="BR702" t="s">
        <v>3823</v>
      </c>
      <c r="BS702" t="s">
        <v>3824</v>
      </c>
      <c r="BT702" t="s">
        <v>3825</v>
      </c>
      <c r="BU702" t="s">
        <v>3826</v>
      </c>
      <c r="BV702" t="s">
        <v>3827</v>
      </c>
      <c r="BW702" t="s">
        <v>3835</v>
      </c>
      <c r="BX702">
        <v>0</v>
      </c>
      <c r="BY702" t="s">
        <v>3861</v>
      </c>
      <c r="BZ702" t="s">
        <v>3871</v>
      </c>
    </row>
    <row r="703" spans="1:78" x14ac:dyDescent="0.25">
      <c r="A703" s="7" t="s">
        <v>2872</v>
      </c>
      <c r="B703" s="7" t="s">
        <v>181</v>
      </c>
      <c r="C703" s="7" t="s">
        <v>2870</v>
      </c>
      <c r="D703" s="8" t="s">
        <v>2871</v>
      </c>
      <c r="E703" s="7" t="s">
        <v>2873</v>
      </c>
      <c r="F703" s="9">
        <v>44900</v>
      </c>
      <c r="G703" s="9" t="s">
        <v>65</v>
      </c>
      <c r="H703" s="9" t="s">
        <v>72</v>
      </c>
      <c r="I703" s="8" t="s">
        <v>67</v>
      </c>
      <c r="J703" s="10">
        <v>424.58</v>
      </c>
      <c r="K703" s="10">
        <v>424.58</v>
      </c>
      <c r="L703" s="10">
        <f t="shared" si="319"/>
        <v>0</v>
      </c>
      <c r="M703" s="10">
        <v>174.92</v>
      </c>
      <c r="N703" s="10">
        <v>174.92</v>
      </c>
      <c r="O703" s="10">
        <f t="shared" si="320"/>
        <v>0</v>
      </c>
      <c r="P703" s="11">
        <v>12424.998822365633</v>
      </c>
      <c r="Q703" s="11">
        <v>30158.964097873315</v>
      </c>
      <c r="R703" s="11">
        <v>20000</v>
      </c>
      <c r="S703" s="11">
        <v>5275406</v>
      </c>
      <c r="T703" s="11">
        <v>633048</v>
      </c>
      <c r="U703" s="12">
        <f t="shared" si="321"/>
        <v>0.11999986351761362</v>
      </c>
      <c r="V703" s="13">
        <f t="shared" si="322"/>
        <v>0</v>
      </c>
      <c r="W703" s="10">
        <f t="shared" si="323"/>
        <v>0</v>
      </c>
      <c r="X703" s="10"/>
      <c r="Y703" s="10"/>
      <c r="Z703" s="11">
        <f t="shared" si="324"/>
        <v>5275406</v>
      </c>
      <c r="AA703" s="14"/>
      <c r="AB703" s="14"/>
      <c r="AC703" s="11">
        <f t="shared" si="325"/>
        <v>5275406</v>
      </c>
      <c r="AD703" s="10">
        <f t="shared" si="326"/>
        <v>300</v>
      </c>
      <c r="AE703" s="15">
        <v>52476</v>
      </c>
      <c r="AF703" s="16">
        <v>9446</v>
      </c>
      <c r="AG703" s="15">
        <f t="shared" si="327"/>
        <v>0</v>
      </c>
      <c r="AH703" s="15">
        <f t="shared" si="328"/>
        <v>0</v>
      </c>
      <c r="AI703" s="15">
        <f t="shared" si="329"/>
        <v>52475.999999999993</v>
      </c>
      <c r="AJ703" s="15">
        <f t="shared" si="330"/>
        <v>9446</v>
      </c>
      <c r="AK703" s="10">
        <v>52476</v>
      </c>
      <c r="AL703" s="15">
        <f t="shared" si="331"/>
        <v>52475.999999999993</v>
      </c>
      <c r="AM703" s="15">
        <f t="shared" si="332"/>
        <v>5327882</v>
      </c>
      <c r="AN703" s="15">
        <f t="shared" si="333"/>
        <v>642494</v>
      </c>
      <c r="AO703" s="15">
        <f t="shared" si="338"/>
        <v>721825</v>
      </c>
      <c r="AP703" s="17">
        <f t="shared" si="334"/>
        <v>6049707</v>
      </c>
      <c r="AQ703" s="15">
        <v>2363383</v>
      </c>
      <c r="AR703" s="15">
        <v>26855</v>
      </c>
      <c r="AS703" s="18">
        <f t="shared" si="339"/>
        <v>3686324</v>
      </c>
      <c r="AT703" s="19">
        <v>0</v>
      </c>
      <c r="AU703" s="8">
        <v>8800</v>
      </c>
      <c r="AV703" s="13">
        <f t="shared" si="340"/>
        <v>1539296</v>
      </c>
      <c r="AW703" s="18">
        <f t="shared" si="341"/>
        <v>5327882</v>
      </c>
      <c r="AX703" s="15">
        <f t="shared" si="335"/>
        <v>5328000</v>
      </c>
      <c r="AY703" s="20">
        <v>7.0000000000000007E-2</v>
      </c>
      <c r="AZ703" s="13">
        <f t="shared" si="336"/>
        <v>372960.00000000006</v>
      </c>
      <c r="BA703" s="15">
        <f t="shared" si="337"/>
        <v>373000</v>
      </c>
      <c r="BB703" s="21">
        <f t="shared" si="342"/>
        <v>4059324</v>
      </c>
      <c r="BC703" s="10">
        <f t="shared" si="343"/>
        <v>0</v>
      </c>
      <c r="BD703" s="10">
        <f t="shared" si="344"/>
        <v>0</v>
      </c>
      <c r="BE703" s="10">
        <v>39.44</v>
      </c>
      <c r="BF703" s="10">
        <v>16.25</v>
      </c>
      <c r="BG703" s="107">
        <v>46176</v>
      </c>
      <c r="BH703" s="107">
        <f t="shared" si="318"/>
        <v>46206</v>
      </c>
      <c r="BI703" s="23">
        <v>7</v>
      </c>
      <c r="BJ703" s="6"/>
      <c r="BK703" s="6"/>
      <c r="BL703" s="6">
        <f>VLOOKUP(A703,[2]Sheet1!$D$2:$H$933,5,0)</f>
        <v>0</v>
      </c>
      <c r="BM703" s="6" t="s">
        <v>3828</v>
      </c>
      <c r="BN703" s="6" t="s">
        <v>3829</v>
      </c>
      <c r="BO703" s="6" t="s">
        <v>3820</v>
      </c>
      <c r="BP703" s="6" t="s">
        <v>3821</v>
      </c>
      <c r="BQ703" s="6" t="s">
        <v>3830</v>
      </c>
      <c r="BR703" t="s">
        <v>3823</v>
      </c>
      <c r="BS703" t="s">
        <v>3824</v>
      </c>
      <c r="BT703" t="s">
        <v>3825</v>
      </c>
      <c r="BU703" t="s">
        <v>3826</v>
      </c>
      <c r="BV703" t="s">
        <v>3827</v>
      </c>
      <c r="BW703" t="s">
        <v>3835</v>
      </c>
      <c r="BX703">
        <v>0</v>
      </c>
      <c r="BY703" t="s">
        <v>3869</v>
      </c>
      <c r="BZ703" t="s">
        <v>3860</v>
      </c>
    </row>
    <row r="704" spans="1:78" x14ac:dyDescent="0.25">
      <c r="A704" s="7" t="s">
        <v>2876</v>
      </c>
      <c r="B704" s="7" t="s">
        <v>181</v>
      </c>
      <c r="C704" s="7" t="s">
        <v>2874</v>
      </c>
      <c r="D704" s="8" t="s">
        <v>2875</v>
      </c>
      <c r="E704" s="7" t="s">
        <v>2877</v>
      </c>
      <c r="F704" s="9">
        <v>44901</v>
      </c>
      <c r="G704" s="9" t="s">
        <v>717</v>
      </c>
      <c r="H704" s="9" t="s">
        <v>87</v>
      </c>
      <c r="I704" s="8" t="s">
        <v>78</v>
      </c>
      <c r="J704" s="10">
        <v>832.49</v>
      </c>
      <c r="K704" s="10">
        <v>832.49</v>
      </c>
      <c r="L704" s="10">
        <f t="shared" si="319"/>
        <v>0</v>
      </c>
      <c r="M704" s="10">
        <v>388.58</v>
      </c>
      <c r="N704" s="10">
        <v>388.58</v>
      </c>
      <c r="O704" s="10">
        <f t="shared" si="320"/>
        <v>0</v>
      </c>
      <c r="P704" s="11">
        <v>15014.999579574529</v>
      </c>
      <c r="Q704" s="11">
        <v>32167.988573781462</v>
      </c>
      <c r="R704" s="11">
        <v>40000</v>
      </c>
      <c r="S704" s="11">
        <v>12499837</v>
      </c>
      <c r="T704" s="11">
        <v>1499982</v>
      </c>
      <c r="U704" s="12">
        <f t="shared" si="321"/>
        <v>0.12000012480162742</v>
      </c>
      <c r="V704" s="13">
        <f t="shared" si="322"/>
        <v>0</v>
      </c>
      <c r="W704" s="10">
        <f t="shared" si="323"/>
        <v>0</v>
      </c>
      <c r="X704" s="10"/>
      <c r="Y704" s="10"/>
      <c r="Z704" s="11">
        <f t="shared" si="324"/>
        <v>12499837</v>
      </c>
      <c r="AA704" s="14"/>
      <c r="AB704" s="14"/>
      <c r="AC704" s="11">
        <f t="shared" si="325"/>
        <v>12499837</v>
      </c>
      <c r="AD704" s="10">
        <f t="shared" si="326"/>
        <v>300</v>
      </c>
      <c r="AE704" s="15">
        <v>116574</v>
      </c>
      <c r="AF704" s="16">
        <v>20984</v>
      </c>
      <c r="AG704" s="15">
        <f t="shared" si="327"/>
        <v>0</v>
      </c>
      <c r="AH704" s="15">
        <f t="shared" si="328"/>
        <v>0</v>
      </c>
      <c r="AI704" s="15">
        <f t="shared" si="329"/>
        <v>116574</v>
      </c>
      <c r="AJ704" s="15">
        <f t="shared" si="330"/>
        <v>20984</v>
      </c>
      <c r="AK704" s="10">
        <v>116574</v>
      </c>
      <c r="AL704" s="15">
        <f t="shared" si="331"/>
        <v>116574</v>
      </c>
      <c r="AM704" s="15">
        <f t="shared" si="332"/>
        <v>12616411</v>
      </c>
      <c r="AN704" s="15">
        <f t="shared" si="333"/>
        <v>1520966</v>
      </c>
      <c r="AO704" s="15">
        <f t="shared" si="338"/>
        <v>1673542</v>
      </c>
      <c r="AP704" s="17">
        <f t="shared" si="334"/>
        <v>14289953</v>
      </c>
      <c r="AQ704" s="15">
        <v>5357482</v>
      </c>
      <c r="AR704" s="15">
        <v>36002</v>
      </c>
      <c r="AS704" s="18">
        <f t="shared" si="339"/>
        <v>8932471</v>
      </c>
      <c r="AT704" s="19">
        <v>0</v>
      </c>
      <c r="AU704" s="8">
        <v>8800</v>
      </c>
      <c r="AV704" s="13">
        <f t="shared" si="340"/>
        <v>3419504</v>
      </c>
      <c r="AW704" s="18">
        <f t="shared" si="341"/>
        <v>12616411</v>
      </c>
      <c r="AX704" s="15">
        <f t="shared" si="335"/>
        <v>12617000</v>
      </c>
      <c r="AY704" s="20">
        <v>7.0000000000000007E-2</v>
      </c>
      <c r="AZ704" s="13">
        <f t="shared" si="336"/>
        <v>883190.00000000012</v>
      </c>
      <c r="BA704" s="15">
        <f t="shared" si="337"/>
        <v>883200</v>
      </c>
      <c r="BB704" s="21">
        <f t="shared" si="342"/>
        <v>9815671</v>
      </c>
      <c r="BC704" s="10">
        <f t="shared" si="343"/>
        <v>0</v>
      </c>
      <c r="BD704" s="10">
        <f t="shared" si="344"/>
        <v>0</v>
      </c>
      <c r="BE704" s="10">
        <v>77.34</v>
      </c>
      <c r="BF704" s="10">
        <v>36.1</v>
      </c>
      <c r="BG704" s="107">
        <v>46176</v>
      </c>
      <c r="BH704" s="107">
        <f t="shared" si="318"/>
        <v>46206</v>
      </c>
      <c r="BI704" s="23">
        <v>7</v>
      </c>
      <c r="BJ704" s="6"/>
      <c r="BK704" s="6"/>
      <c r="BL704" s="6">
        <f>VLOOKUP(A704,[2]Sheet1!$D$2:$H$933,5,0)</f>
        <v>0</v>
      </c>
      <c r="BM704" s="6" t="s">
        <v>3828</v>
      </c>
      <c r="BN704" s="6" t="s">
        <v>3829</v>
      </c>
      <c r="BO704" s="6" t="s">
        <v>3820</v>
      </c>
      <c r="BP704" s="6" t="s">
        <v>3821</v>
      </c>
      <c r="BQ704" s="6" t="s">
        <v>3830</v>
      </c>
      <c r="BR704" t="s">
        <v>3823</v>
      </c>
      <c r="BS704" t="s">
        <v>3824</v>
      </c>
      <c r="BT704" t="s">
        <v>3825</v>
      </c>
      <c r="BU704" t="s">
        <v>3826</v>
      </c>
      <c r="BV704" t="s">
        <v>3827</v>
      </c>
      <c r="BW704" t="s">
        <v>3835</v>
      </c>
      <c r="BX704" s="101">
        <v>8617339.3071733322</v>
      </c>
      <c r="BY704" t="s">
        <v>3869</v>
      </c>
      <c r="BZ704" t="s">
        <v>3872</v>
      </c>
    </row>
    <row r="705" spans="1:78" x14ac:dyDescent="0.25">
      <c r="A705" s="7" t="s">
        <v>2880</v>
      </c>
      <c r="B705" s="7" t="s">
        <v>181</v>
      </c>
      <c r="C705" s="7" t="s">
        <v>2878</v>
      </c>
      <c r="D705" s="8" t="s">
        <v>2879</v>
      </c>
      <c r="E705" s="7" t="s">
        <v>2745</v>
      </c>
      <c r="F705" s="9">
        <v>44901</v>
      </c>
      <c r="G705" s="9" t="s">
        <v>717</v>
      </c>
      <c r="H705" s="9" t="s">
        <v>72</v>
      </c>
      <c r="I705" s="8" t="s">
        <v>78</v>
      </c>
      <c r="J705" s="10">
        <v>1220.6400000000001</v>
      </c>
      <c r="K705" s="10">
        <v>1220.6400000000001</v>
      </c>
      <c r="L705" s="10">
        <f t="shared" si="319"/>
        <v>0</v>
      </c>
      <c r="M705" s="10">
        <v>561.88</v>
      </c>
      <c r="N705" s="10">
        <v>561.88</v>
      </c>
      <c r="O705" s="10">
        <f t="shared" si="320"/>
        <v>0</v>
      </c>
      <c r="P705" s="11">
        <v>13253.000065539389</v>
      </c>
      <c r="Q705" s="11">
        <v>28791.097743290382</v>
      </c>
      <c r="R705" s="11">
        <v>20000</v>
      </c>
      <c r="S705" s="11">
        <v>16177142</v>
      </c>
      <c r="T705" s="11">
        <v>1941256</v>
      </c>
      <c r="U705" s="12">
        <f t="shared" si="321"/>
        <v>0.11999993571175922</v>
      </c>
      <c r="V705" s="13">
        <f t="shared" si="322"/>
        <v>0</v>
      </c>
      <c r="W705" s="10">
        <f t="shared" si="323"/>
        <v>0</v>
      </c>
      <c r="X705" s="10"/>
      <c r="Y705" s="10"/>
      <c r="Z705" s="11">
        <f t="shared" si="324"/>
        <v>16177142</v>
      </c>
      <c r="AA705" s="14"/>
      <c r="AB705" s="14"/>
      <c r="AC705" s="11">
        <f t="shared" si="325"/>
        <v>16177142</v>
      </c>
      <c r="AD705" s="10">
        <f t="shared" si="326"/>
        <v>300</v>
      </c>
      <c r="AE705" s="15">
        <v>168564</v>
      </c>
      <c r="AF705" s="16">
        <v>30342</v>
      </c>
      <c r="AG705" s="15">
        <f t="shared" si="327"/>
        <v>0</v>
      </c>
      <c r="AH705" s="15">
        <f t="shared" si="328"/>
        <v>0</v>
      </c>
      <c r="AI705" s="15">
        <f t="shared" si="329"/>
        <v>168564</v>
      </c>
      <c r="AJ705" s="15">
        <f t="shared" si="330"/>
        <v>30342</v>
      </c>
      <c r="AK705" s="10">
        <v>168564</v>
      </c>
      <c r="AL705" s="15">
        <f t="shared" si="331"/>
        <v>168564</v>
      </c>
      <c r="AM705" s="15">
        <f t="shared" si="332"/>
        <v>16345706</v>
      </c>
      <c r="AN705" s="15">
        <f t="shared" si="333"/>
        <v>1971598</v>
      </c>
      <c r="AO705" s="15">
        <f t="shared" si="338"/>
        <v>2176188</v>
      </c>
      <c r="AP705" s="17">
        <f t="shared" si="334"/>
        <v>18521894</v>
      </c>
      <c r="AQ705" s="15">
        <v>9059199</v>
      </c>
      <c r="AR705" s="15">
        <v>36026</v>
      </c>
      <c r="AS705" s="18">
        <f t="shared" si="339"/>
        <v>9462695</v>
      </c>
      <c r="AT705" s="19">
        <v>0</v>
      </c>
      <c r="AU705" s="8">
        <v>8800</v>
      </c>
      <c r="AV705" s="13">
        <f t="shared" si="340"/>
        <v>4944544</v>
      </c>
      <c r="AW705" s="18">
        <f t="shared" si="341"/>
        <v>16345706</v>
      </c>
      <c r="AX705" s="15">
        <f t="shared" si="335"/>
        <v>16346000</v>
      </c>
      <c r="AY705" s="20">
        <v>7.0000000000000007E-2</v>
      </c>
      <c r="AZ705" s="13">
        <f t="shared" si="336"/>
        <v>1144220</v>
      </c>
      <c r="BA705" s="15">
        <f t="shared" si="337"/>
        <v>1144300</v>
      </c>
      <c r="BB705" s="21">
        <f t="shared" si="342"/>
        <v>10606995</v>
      </c>
      <c r="BC705" s="10">
        <f t="shared" si="343"/>
        <v>0</v>
      </c>
      <c r="BD705" s="10">
        <f t="shared" si="344"/>
        <v>0</v>
      </c>
      <c r="BE705" s="10">
        <v>113.4</v>
      </c>
      <c r="BF705" s="10">
        <v>52.2</v>
      </c>
      <c r="BG705" s="107">
        <v>46176</v>
      </c>
      <c r="BH705" s="107">
        <f t="shared" si="318"/>
        <v>46206</v>
      </c>
      <c r="BI705" s="23">
        <v>7</v>
      </c>
      <c r="BJ705" s="6"/>
      <c r="BK705" s="6"/>
      <c r="BL705" s="6">
        <f>VLOOKUP(A705,[2]Sheet1!$D$2:$H$933,5,0)</f>
        <v>0</v>
      </c>
      <c r="BM705" s="6" t="s">
        <v>3828</v>
      </c>
      <c r="BN705" s="6" t="s">
        <v>3829</v>
      </c>
      <c r="BO705" s="6" t="s">
        <v>3820</v>
      </c>
      <c r="BP705" s="6" t="s">
        <v>3821</v>
      </c>
      <c r="BQ705" s="6" t="s">
        <v>3830</v>
      </c>
      <c r="BR705" t="s">
        <v>3823</v>
      </c>
      <c r="BS705" t="s">
        <v>3824</v>
      </c>
      <c r="BT705" t="s">
        <v>3825</v>
      </c>
      <c r="BU705" t="s">
        <v>3826</v>
      </c>
      <c r="BV705" t="s">
        <v>3827</v>
      </c>
      <c r="BW705" t="s">
        <v>3835</v>
      </c>
      <c r="BX705">
        <v>0</v>
      </c>
      <c r="BY705" t="s">
        <v>3869</v>
      </c>
      <c r="BZ705" t="s">
        <v>3872</v>
      </c>
    </row>
    <row r="706" spans="1:78" x14ac:dyDescent="0.25">
      <c r="A706" s="7" t="s">
        <v>2883</v>
      </c>
      <c r="B706" s="7" t="s">
        <v>181</v>
      </c>
      <c r="C706" s="7" t="s">
        <v>2881</v>
      </c>
      <c r="D706" s="8" t="s">
        <v>2882</v>
      </c>
      <c r="E706" s="7" t="s">
        <v>716</v>
      </c>
      <c r="F706" s="9">
        <v>45008</v>
      </c>
      <c r="G706" s="9" t="s">
        <v>717</v>
      </c>
      <c r="H706" s="9" t="s">
        <v>92</v>
      </c>
      <c r="I706" s="8" t="s">
        <v>78</v>
      </c>
      <c r="J706" s="10">
        <v>596.33000000000004</v>
      </c>
      <c r="K706" s="10">
        <v>632</v>
      </c>
      <c r="L706" s="10">
        <f t="shared" si="319"/>
        <v>35.669999999999959</v>
      </c>
      <c r="M706" s="10">
        <v>266.95</v>
      </c>
      <c r="N706" s="10">
        <v>285</v>
      </c>
      <c r="O706" s="10">
        <f t="shared" si="320"/>
        <v>18.050000000000011</v>
      </c>
      <c r="P706" s="11">
        <v>14791.999396307412</v>
      </c>
      <c r="Q706" s="11">
        <v>33043.315227570711</v>
      </c>
      <c r="R706" s="11">
        <v>28000</v>
      </c>
      <c r="S706" s="11">
        <v>8820913</v>
      </c>
      <c r="T706" s="11">
        <v>1058508</v>
      </c>
      <c r="U706" s="12">
        <f t="shared" si="321"/>
        <v>0.11999982314755854</v>
      </c>
      <c r="V706" s="13">
        <f>L706*R706</f>
        <v>998759.99999999884</v>
      </c>
      <c r="W706" s="10">
        <f t="shared" si="323"/>
        <v>119851.02336685543</v>
      </c>
      <c r="X706" s="15"/>
      <c r="Y706" s="15"/>
      <c r="Z706" s="11">
        <f t="shared" si="324"/>
        <v>9819672.9999999981</v>
      </c>
      <c r="AA706" s="14"/>
      <c r="AB706" s="14"/>
      <c r="AC706" s="11">
        <f t="shared" si="325"/>
        <v>9819672.9999999981</v>
      </c>
      <c r="AD706" s="10">
        <f t="shared" si="326"/>
        <v>300</v>
      </c>
      <c r="AE706" s="15">
        <v>80085</v>
      </c>
      <c r="AF706" s="16">
        <v>14416</v>
      </c>
      <c r="AG706" s="15">
        <f t="shared" si="327"/>
        <v>5415.0000000000036</v>
      </c>
      <c r="AH706" s="15">
        <f t="shared" si="328"/>
        <v>974.70000000000061</v>
      </c>
      <c r="AI706" s="15">
        <f t="shared" si="329"/>
        <v>85500</v>
      </c>
      <c r="AJ706" s="15">
        <f t="shared" si="330"/>
        <v>15390</v>
      </c>
      <c r="AK706" s="10">
        <v>80085</v>
      </c>
      <c r="AL706" s="15">
        <f t="shared" si="331"/>
        <v>85500</v>
      </c>
      <c r="AM706" s="15">
        <f t="shared" si="332"/>
        <v>9905173</v>
      </c>
      <c r="AN706" s="15">
        <f t="shared" si="333"/>
        <v>1193750</v>
      </c>
      <c r="AO706" s="15">
        <f t="shared" si="338"/>
        <v>1313184.24</v>
      </c>
      <c r="AP706" s="17">
        <f t="shared" si="334"/>
        <v>11218357.24</v>
      </c>
      <c r="AQ706" s="15">
        <v>1582000</v>
      </c>
      <c r="AR706" s="15">
        <v>33934.239999999998</v>
      </c>
      <c r="AS706" s="18">
        <f t="shared" si="339"/>
        <v>9636357</v>
      </c>
      <c r="AT706" s="19">
        <v>0</v>
      </c>
      <c r="AU706" s="8">
        <v>8800</v>
      </c>
      <c r="AV706" s="13">
        <f t="shared" si="340"/>
        <v>2508000</v>
      </c>
      <c r="AW706" s="18">
        <f t="shared" si="341"/>
        <v>9905173</v>
      </c>
      <c r="AX706" s="15">
        <f t="shared" si="335"/>
        <v>9906000</v>
      </c>
      <c r="AY706" s="20">
        <v>0.06</v>
      </c>
      <c r="AZ706" s="13">
        <f t="shared" si="336"/>
        <v>594360</v>
      </c>
      <c r="BA706" s="15">
        <f t="shared" si="337"/>
        <v>594400</v>
      </c>
      <c r="BB706" s="21">
        <f t="shared" si="342"/>
        <v>10230757</v>
      </c>
      <c r="BC706" s="10">
        <f t="shared" si="343"/>
        <v>5.9815873761172433</v>
      </c>
      <c r="BD706" s="10">
        <f t="shared" si="344"/>
        <v>6.7615658362989368</v>
      </c>
      <c r="BE706" s="10">
        <v>58.71</v>
      </c>
      <c r="BF706" s="10">
        <v>26.48</v>
      </c>
      <c r="BG706" s="107">
        <v>46176</v>
      </c>
      <c r="BH706" s="107">
        <f t="shared" si="318"/>
        <v>46206</v>
      </c>
      <c r="BI706" s="23">
        <v>6</v>
      </c>
      <c r="BJ706" s="6"/>
      <c r="BK706" s="6"/>
      <c r="BL706" s="6">
        <f>VLOOKUP(A706,[2]Sheet1!$D$2:$H$933,5,0)</f>
        <v>0</v>
      </c>
      <c r="BM706" s="6" t="s">
        <v>3828</v>
      </c>
      <c r="BN706" s="6" t="s">
        <v>3829</v>
      </c>
      <c r="BO706" s="6" t="s">
        <v>3820</v>
      </c>
      <c r="BP706" s="6" t="s">
        <v>3821</v>
      </c>
      <c r="BQ706" s="6" t="s">
        <v>3830</v>
      </c>
      <c r="BR706" t="s">
        <v>3823</v>
      </c>
      <c r="BS706" t="s">
        <v>3824</v>
      </c>
      <c r="BT706" t="s">
        <v>3825</v>
      </c>
      <c r="BU706" t="s">
        <v>3826</v>
      </c>
      <c r="BV706" t="s">
        <v>3827</v>
      </c>
      <c r="BW706" t="s">
        <v>3835</v>
      </c>
      <c r="BX706">
        <v>0</v>
      </c>
      <c r="BY706" t="s">
        <v>3859</v>
      </c>
      <c r="BZ706" t="s">
        <v>3872</v>
      </c>
    </row>
    <row r="707" spans="1:78" x14ac:dyDescent="0.25">
      <c r="A707" s="7" t="s">
        <v>2886</v>
      </c>
      <c r="B707" s="7" t="s">
        <v>181</v>
      </c>
      <c r="C707" s="7" t="s">
        <v>2884</v>
      </c>
      <c r="D707" s="8" t="s">
        <v>2885</v>
      </c>
      <c r="E707" s="7" t="s">
        <v>2887</v>
      </c>
      <c r="F707" s="9">
        <v>44901</v>
      </c>
      <c r="G707" s="9" t="s">
        <v>717</v>
      </c>
      <c r="H707" s="9" t="s">
        <v>87</v>
      </c>
      <c r="I707" s="8" t="s">
        <v>78</v>
      </c>
      <c r="J707" s="10">
        <v>832.49</v>
      </c>
      <c r="K707" s="10">
        <v>832.49</v>
      </c>
      <c r="L707" s="10">
        <f t="shared" si="319"/>
        <v>0</v>
      </c>
      <c r="M707" s="10">
        <v>388.58</v>
      </c>
      <c r="N707" s="10">
        <v>388.58</v>
      </c>
      <c r="O707" s="10">
        <f t="shared" si="320"/>
        <v>0</v>
      </c>
      <c r="P707" s="11">
        <v>15014.999579574529</v>
      </c>
      <c r="Q707" s="11">
        <v>32167.988573781462</v>
      </c>
      <c r="R707" s="11">
        <v>40000</v>
      </c>
      <c r="S707" s="11">
        <v>12499837</v>
      </c>
      <c r="T707" s="11">
        <v>1499982</v>
      </c>
      <c r="U707" s="12">
        <f t="shared" si="321"/>
        <v>0.12000012480162742</v>
      </c>
      <c r="V707" s="13">
        <f t="shared" ref="V707:V718" si="345">L707*P707</f>
        <v>0</v>
      </c>
      <c r="W707" s="10">
        <f t="shared" si="323"/>
        <v>0</v>
      </c>
      <c r="X707" s="10"/>
      <c r="Y707" s="10"/>
      <c r="Z707" s="11">
        <f t="shared" si="324"/>
        <v>12499837</v>
      </c>
      <c r="AA707" s="14"/>
      <c r="AB707" s="14"/>
      <c r="AC707" s="11">
        <f t="shared" si="325"/>
        <v>12499837</v>
      </c>
      <c r="AD707" s="10">
        <f t="shared" si="326"/>
        <v>300</v>
      </c>
      <c r="AE707" s="15">
        <v>116574</v>
      </c>
      <c r="AF707" s="16">
        <v>20984</v>
      </c>
      <c r="AG707" s="15">
        <f t="shared" si="327"/>
        <v>0</v>
      </c>
      <c r="AH707" s="15">
        <f t="shared" si="328"/>
        <v>0</v>
      </c>
      <c r="AI707" s="15">
        <f t="shared" si="329"/>
        <v>116574</v>
      </c>
      <c r="AJ707" s="15">
        <f t="shared" si="330"/>
        <v>20984</v>
      </c>
      <c r="AK707" s="10">
        <v>116574</v>
      </c>
      <c r="AL707" s="15">
        <f t="shared" si="331"/>
        <v>116574</v>
      </c>
      <c r="AM707" s="15">
        <f t="shared" si="332"/>
        <v>12616411</v>
      </c>
      <c r="AN707" s="15">
        <f t="shared" si="333"/>
        <v>1520966</v>
      </c>
      <c r="AO707" s="15">
        <f t="shared" si="338"/>
        <v>1674040</v>
      </c>
      <c r="AP707" s="17">
        <f t="shared" si="334"/>
        <v>14290451</v>
      </c>
      <c r="AQ707" s="15">
        <v>5257482</v>
      </c>
      <c r="AR707" s="15">
        <v>36500</v>
      </c>
      <c r="AS707" s="18">
        <f t="shared" si="339"/>
        <v>9032969</v>
      </c>
      <c r="AT707" s="19">
        <v>0</v>
      </c>
      <c r="AU707" s="8">
        <v>8800</v>
      </c>
      <c r="AV707" s="13">
        <f t="shared" si="340"/>
        <v>3419504</v>
      </c>
      <c r="AW707" s="18">
        <f t="shared" si="341"/>
        <v>12616411</v>
      </c>
      <c r="AX707" s="15">
        <f t="shared" si="335"/>
        <v>12617000</v>
      </c>
      <c r="AY707" s="20">
        <v>0.05</v>
      </c>
      <c r="AZ707" s="13">
        <f t="shared" si="336"/>
        <v>630850</v>
      </c>
      <c r="BA707" s="15">
        <f t="shared" si="337"/>
        <v>630900</v>
      </c>
      <c r="BB707" s="21">
        <f t="shared" si="342"/>
        <v>9663869</v>
      </c>
      <c r="BC707" s="10">
        <f t="shared" si="343"/>
        <v>0</v>
      </c>
      <c r="BD707" s="10">
        <f t="shared" si="344"/>
        <v>0</v>
      </c>
      <c r="BE707" s="10">
        <v>77.34</v>
      </c>
      <c r="BF707" s="10">
        <v>36.1</v>
      </c>
      <c r="BG707" s="107">
        <v>46176</v>
      </c>
      <c r="BH707" s="107">
        <f t="shared" si="318"/>
        <v>46206</v>
      </c>
      <c r="BI707" s="23">
        <v>5</v>
      </c>
      <c r="BJ707" s="6"/>
      <c r="BK707" s="6"/>
      <c r="BL707" s="6">
        <f>VLOOKUP(A707,[2]Sheet1!$D$2:$H$933,5,0)</f>
        <v>0</v>
      </c>
      <c r="BM707" s="6" t="s">
        <v>3828</v>
      </c>
      <c r="BN707" s="6" t="s">
        <v>3829</v>
      </c>
      <c r="BO707" s="6" t="s">
        <v>3820</v>
      </c>
      <c r="BP707" s="6" t="s">
        <v>3821</v>
      </c>
      <c r="BQ707" s="6" t="s">
        <v>3830</v>
      </c>
      <c r="BR707" t="s">
        <v>3823</v>
      </c>
      <c r="BS707" t="s">
        <v>3824</v>
      </c>
      <c r="BT707" t="s">
        <v>3825</v>
      </c>
      <c r="BU707" t="s">
        <v>3826</v>
      </c>
      <c r="BV707" t="s">
        <v>3827</v>
      </c>
      <c r="BW707" t="s">
        <v>3835</v>
      </c>
      <c r="BX707" s="101">
        <v>8617339.3071733322</v>
      </c>
      <c r="BY707" t="s">
        <v>3866</v>
      </c>
      <c r="BZ707" t="s">
        <v>3872</v>
      </c>
    </row>
    <row r="708" spans="1:78" x14ac:dyDescent="0.25">
      <c r="A708" s="7" t="s">
        <v>2890</v>
      </c>
      <c r="B708" s="7" t="s">
        <v>181</v>
      </c>
      <c r="C708" s="7" t="s">
        <v>2888</v>
      </c>
      <c r="D708" s="8" t="s">
        <v>2889</v>
      </c>
      <c r="E708" s="7" t="s">
        <v>2891</v>
      </c>
      <c r="F708" s="9">
        <v>45035</v>
      </c>
      <c r="G708" s="9" t="s">
        <v>527</v>
      </c>
      <c r="H708" s="9" t="s">
        <v>66</v>
      </c>
      <c r="I708" s="8" t="s">
        <v>67</v>
      </c>
      <c r="J708" s="10">
        <v>388.7</v>
      </c>
      <c r="K708" s="10">
        <v>388.7</v>
      </c>
      <c r="L708" s="10">
        <f t="shared" si="319"/>
        <v>0</v>
      </c>
      <c r="M708" s="10">
        <v>156.08000000000001</v>
      </c>
      <c r="N708" s="10">
        <v>156.08000000000001</v>
      </c>
      <c r="O708" s="10">
        <f t="shared" si="320"/>
        <v>0</v>
      </c>
      <c r="P708" s="11">
        <v>18912.59068690507</v>
      </c>
      <c r="Q708" s="11">
        <v>47099.71809328549</v>
      </c>
      <c r="R708" s="11">
        <v>22000</v>
      </c>
      <c r="S708" s="11">
        <v>7351324</v>
      </c>
      <c r="T708" s="11">
        <v>882160</v>
      </c>
      <c r="U708" s="12">
        <f t="shared" si="321"/>
        <v>0.12000015235350803</v>
      </c>
      <c r="V708" s="13">
        <f t="shared" si="345"/>
        <v>0</v>
      </c>
      <c r="W708" s="10">
        <f t="shared" si="323"/>
        <v>0</v>
      </c>
      <c r="X708" s="10"/>
      <c r="Y708" s="10"/>
      <c r="Z708" s="11">
        <f t="shared" si="324"/>
        <v>7351324</v>
      </c>
      <c r="AA708" s="14"/>
      <c r="AB708" s="14"/>
      <c r="AC708" s="11">
        <f t="shared" si="325"/>
        <v>7351324</v>
      </c>
      <c r="AD708" s="10">
        <f t="shared" si="326"/>
        <v>300</v>
      </c>
      <c r="AE708" s="15">
        <v>46824</v>
      </c>
      <c r="AF708" s="16">
        <v>8428</v>
      </c>
      <c r="AG708" s="15">
        <f t="shared" si="327"/>
        <v>0</v>
      </c>
      <c r="AH708" s="15">
        <f t="shared" si="328"/>
        <v>0</v>
      </c>
      <c r="AI708" s="15">
        <f t="shared" si="329"/>
        <v>46824.000000000007</v>
      </c>
      <c r="AJ708" s="15">
        <f t="shared" si="330"/>
        <v>8429</v>
      </c>
      <c r="AK708" s="10">
        <v>46824</v>
      </c>
      <c r="AL708" s="15">
        <f t="shared" si="331"/>
        <v>46824.000000000007</v>
      </c>
      <c r="AM708" s="15">
        <f t="shared" si="332"/>
        <v>7398148</v>
      </c>
      <c r="AN708" s="15">
        <f t="shared" si="333"/>
        <v>890589</v>
      </c>
      <c r="AO708" s="15">
        <f t="shared" si="338"/>
        <v>970181</v>
      </c>
      <c r="AP708" s="17">
        <f t="shared" si="334"/>
        <v>8368329</v>
      </c>
      <c r="AQ708" s="15">
        <v>2451792</v>
      </c>
      <c r="AR708" s="15">
        <v>32768</v>
      </c>
      <c r="AS708" s="18">
        <f t="shared" si="339"/>
        <v>5916537</v>
      </c>
      <c r="AT708" s="19">
        <v>0</v>
      </c>
      <c r="AU708" s="8">
        <v>8800</v>
      </c>
      <c r="AV708" s="13">
        <f t="shared" si="340"/>
        <v>1373504</v>
      </c>
      <c r="AW708" s="18">
        <f t="shared" si="341"/>
        <v>7398148</v>
      </c>
      <c r="AX708" s="15">
        <f t="shared" si="335"/>
        <v>7399000</v>
      </c>
      <c r="AY708" s="20">
        <v>0.05</v>
      </c>
      <c r="AZ708" s="13">
        <f t="shared" si="336"/>
        <v>369950</v>
      </c>
      <c r="BA708" s="15">
        <f t="shared" si="337"/>
        <v>370000</v>
      </c>
      <c r="BB708" s="21">
        <f t="shared" si="342"/>
        <v>6286537</v>
      </c>
      <c r="BC708" s="10">
        <f t="shared" si="343"/>
        <v>0</v>
      </c>
      <c r="BD708" s="10">
        <f t="shared" si="344"/>
        <v>0</v>
      </c>
      <c r="BE708" s="10">
        <v>36.11</v>
      </c>
      <c r="BF708" s="10">
        <v>14.5</v>
      </c>
      <c r="BG708" s="107">
        <v>46176</v>
      </c>
      <c r="BH708" s="107">
        <f t="shared" si="318"/>
        <v>46206</v>
      </c>
      <c r="BI708" s="23">
        <v>5</v>
      </c>
      <c r="BJ708" s="6"/>
      <c r="BK708" s="6"/>
      <c r="BL708" s="6">
        <f>VLOOKUP(A708,[2]Sheet1!$D$2:$H$933,5,0)</f>
        <v>0</v>
      </c>
      <c r="BM708" s="6" t="s">
        <v>3828</v>
      </c>
      <c r="BN708" s="6" t="s">
        <v>3829</v>
      </c>
      <c r="BO708" s="6" t="s">
        <v>3820</v>
      </c>
      <c r="BP708" s="6" t="s">
        <v>3821</v>
      </c>
      <c r="BQ708" s="6" t="s">
        <v>3830</v>
      </c>
      <c r="BR708" t="s">
        <v>3823</v>
      </c>
      <c r="BS708" t="s">
        <v>3824</v>
      </c>
      <c r="BT708" t="s">
        <v>3825</v>
      </c>
      <c r="BU708" t="s">
        <v>3826</v>
      </c>
      <c r="BV708" t="s">
        <v>3827</v>
      </c>
      <c r="BW708" t="s">
        <v>3835</v>
      </c>
      <c r="BX708">
        <v>0</v>
      </c>
      <c r="BY708" t="s">
        <v>3861</v>
      </c>
      <c r="BZ708" t="s">
        <v>3871</v>
      </c>
    </row>
    <row r="709" spans="1:78" x14ac:dyDescent="0.25">
      <c r="A709" s="7" t="s">
        <v>2894</v>
      </c>
      <c r="B709" s="7" t="s">
        <v>181</v>
      </c>
      <c r="C709" s="7" t="s">
        <v>2892</v>
      </c>
      <c r="D709" s="8" t="s">
        <v>2893</v>
      </c>
      <c r="E709" s="7" t="s">
        <v>2895</v>
      </c>
      <c r="F709" s="9">
        <v>44981</v>
      </c>
      <c r="G709" s="9" t="s">
        <v>717</v>
      </c>
      <c r="H709" s="9" t="s">
        <v>66</v>
      </c>
      <c r="I709" s="8" t="s">
        <v>78</v>
      </c>
      <c r="J709" s="10">
        <v>775.01</v>
      </c>
      <c r="K709" s="10">
        <v>775.01</v>
      </c>
      <c r="L709" s="10">
        <f t="shared" si="319"/>
        <v>0</v>
      </c>
      <c r="M709" s="10">
        <v>353.6</v>
      </c>
      <c r="N709" s="10">
        <v>353.6</v>
      </c>
      <c r="O709" s="10">
        <f t="shared" si="320"/>
        <v>0</v>
      </c>
      <c r="P709" s="11">
        <v>10993.219442329777</v>
      </c>
      <c r="Q709" s="11">
        <v>24094.612556561086</v>
      </c>
      <c r="R709" s="11">
        <v>22000</v>
      </c>
      <c r="S709" s="11">
        <v>8519855</v>
      </c>
      <c r="T709" s="11">
        <v>1022384</v>
      </c>
      <c r="U709" s="12">
        <f t="shared" si="321"/>
        <v>0.12000016432204538</v>
      </c>
      <c r="V709" s="13">
        <f t="shared" si="345"/>
        <v>0</v>
      </c>
      <c r="W709" s="10">
        <f t="shared" si="323"/>
        <v>0</v>
      </c>
      <c r="X709" s="10"/>
      <c r="Y709" s="10"/>
      <c r="Z709" s="11">
        <f t="shared" si="324"/>
        <v>8519855</v>
      </c>
      <c r="AA709" s="14"/>
      <c r="AB709" s="14"/>
      <c r="AC709" s="11">
        <f t="shared" si="325"/>
        <v>8519855</v>
      </c>
      <c r="AD709" s="10">
        <f t="shared" si="326"/>
        <v>300</v>
      </c>
      <c r="AE709" s="15">
        <v>106080</v>
      </c>
      <c r="AF709" s="16">
        <v>19094</v>
      </c>
      <c r="AG709" s="15">
        <f t="shared" si="327"/>
        <v>0</v>
      </c>
      <c r="AH709" s="15">
        <f t="shared" si="328"/>
        <v>0</v>
      </c>
      <c r="AI709" s="15">
        <f t="shared" si="329"/>
        <v>106080</v>
      </c>
      <c r="AJ709" s="15">
        <f t="shared" si="330"/>
        <v>19095</v>
      </c>
      <c r="AK709" s="10">
        <v>106080</v>
      </c>
      <c r="AL709" s="15">
        <f t="shared" si="331"/>
        <v>106080</v>
      </c>
      <c r="AM709" s="15">
        <f t="shared" si="332"/>
        <v>8625935</v>
      </c>
      <c r="AN709" s="15">
        <f t="shared" si="333"/>
        <v>1041479</v>
      </c>
      <c r="AO709" s="15">
        <f t="shared" si="338"/>
        <v>1184582</v>
      </c>
      <c r="AP709" s="17">
        <f t="shared" si="334"/>
        <v>9810517</v>
      </c>
      <c r="AQ709" s="15">
        <v>1120000</v>
      </c>
      <c r="AR709" s="15">
        <v>37023</v>
      </c>
      <c r="AS709" s="18">
        <f t="shared" si="339"/>
        <v>8690517</v>
      </c>
      <c r="AT709" s="19">
        <v>0</v>
      </c>
      <c r="AU709" s="8">
        <v>8800</v>
      </c>
      <c r="AV709" s="13">
        <f t="shared" si="340"/>
        <v>3111680</v>
      </c>
      <c r="AW709" s="18">
        <f t="shared" si="341"/>
        <v>8625935</v>
      </c>
      <c r="AX709" s="15">
        <f t="shared" si="335"/>
        <v>8626000</v>
      </c>
      <c r="AY709" s="20">
        <v>7.0000000000000007E-2</v>
      </c>
      <c r="AZ709" s="13">
        <f t="shared" si="336"/>
        <v>603820</v>
      </c>
      <c r="BA709" s="15">
        <f t="shared" si="337"/>
        <v>603900</v>
      </c>
      <c r="BB709" s="21">
        <f t="shared" si="342"/>
        <v>9294417</v>
      </c>
      <c r="BC709" s="10">
        <f t="shared" si="343"/>
        <v>0</v>
      </c>
      <c r="BD709" s="10">
        <f t="shared" si="344"/>
        <v>0</v>
      </c>
      <c r="BE709" s="10">
        <v>72</v>
      </c>
      <c r="BF709" s="10">
        <v>32.85</v>
      </c>
      <c r="BG709" s="107">
        <v>46176</v>
      </c>
      <c r="BH709" s="107">
        <f t="shared" si="318"/>
        <v>46206</v>
      </c>
      <c r="BI709" s="23">
        <v>7</v>
      </c>
      <c r="BJ709" s="6"/>
      <c r="BK709" s="6"/>
      <c r="BL709" s="6">
        <f>VLOOKUP(A709,[2]Sheet1!$D$2:$H$933,5,0)</f>
        <v>0</v>
      </c>
      <c r="BM709" s="6" t="s">
        <v>3828</v>
      </c>
      <c r="BN709" s="6" t="s">
        <v>3829</v>
      </c>
      <c r="BO709" s="6" t="s">
        <v>3820</v>
      </c>
      <c r="BP709" s="6" t="s">
        <v>3821</v>
      </c>
      <c r="BQ709" s="6" t="s">
        <v>3830</v>
      </c>
      <c r="BR709" t="s">
        <v>3823</v>
      </c>
      <c r="BS709" t="s">
        <v>3824</v>
      </c>
      <c r="BT709" t="s">
        <v>3825</v>
      </c>
      <c r="BU709" t="s">
        <v>3826</v>
      </c>
      <c r="BV709" t="s">
        <v>3827</v>
      </c>
      <c r="BW709" t="s">
        <v>3835</v>
      </c>
      <c r="BX709">
        <v>0</v>
      </c>
      <c r="BY709" t="s">
        <v>3859</v>
      </c>
      <c r="BZ709" t="s">
        <v>3872</v>
      </c>
    </row>
    <row r="710" spans="1:78" x14ac:dyDescent="0.25">
      <c r="A710" s="7" t="s">
        <v>2898</v>
      </c>
      <c r="B710" s="7" t="s">
        <v>181</v>
      </c>
      <c r="C710" s="7" t="s">
        <v>2896</v>
      </c>
      <c r="D710" s="8" t="s">
        <v>2897</v>
      </c>
      <c r="E710" s="7" t="s">
        <v>2899</v>
      </c>
      <c r="F710" s="9">
        <v>45055</v>
      </c>
      <c r="G710" s="9" t="s">
        <v>527</v>
      </c>
      <c r="H710" s="9" t="s">
        <v>66</v>
      </c>
      <c r="I710" s="8" t="s">
        <v>67</v>
      </c>
      <c r="J710" s="10">
        <v>394.68</v>
      </c>
      <c r="K710" s="10">
        <v>394.68</v>
      </c>
      <c r="L710" s="10">
        <f t="shared" si="319"/>
        <v>0</v>
      </c>
      <c r="M710" s="10">
        <v>158.22999999999999</v>
      </c>
      <c r="N710" s="10">
        <v>158.22999999999999</v>
      </c>
      <c r="O710" s="10">
        <f t="shared" si="320"/>
        <v>0</v>
      </c>
      <c r="P710" s="11">
        <v>17754.456775108949</v>
      </c>
      <c r="Q710" s="11">
        <v>44285.716994248884</v>
      </c>
      <c r="R710" s="11">
        <v>22000</v>
      </c>
      <c r="S710" s="11">
        <v>7007329</v>
      </c>
      <c r="T710" s="11">
        <v>840880</v>
      </c>
      <c r="U710" s="12">
        <f t="shared" si="321"/>
        <v>0.12000007420801849</v>
      </c>
      <c r="V710" s="13">
        <f t="shared" si="345"/>
        <v>0</v>
      </c>
      <c r="W710" s="10">
        <f t="shared" si="323"/>
        <v>0</v>
      </c>
      <c r="X710" s="10"/>
      <c r="Y710" s="10"/>
      <c r="Z710" s="11">
        <f t="shared" si="324"/>
        <v>7007329</v>
      </c>
      <c r="AA710" s="14"/>
      <c r="AB710" s="14"/>
      <c r="AC710" s="11">
        <f t="shared" si="325"/>
        <v>7007329</v>
      </c>
      <c r="AD710" s="10">
        <f t="shared" si="326"/>
        <v>300</v>
      </c>
      <c r="AE710" s="15">
        <v>47469</v>
      </c>
      <c r="AF710" s="16">
        <v>8544</v>
      </c>
      <c r="AG710" s="15">
        <f t="shared" si="327"/>
        <v>0</v>
      </c>
      <c r="AH710" s="15">
        <f t="shared" si="328"/>
        <v>0</v>
      </c>
      <c r="AI710" s="15">
        <f t="shared" si="329"/>
        <v>47469</v>
      </c>
      <c r="AJ710" s="15">
        <f t="shared" si="330"/>
        <v>8545</v>
      </c>
      <c r="AK710" s="10">
        <v>47469</v>
      </c>
      <c r="AL710" s="15">
        <f t="shared" si="331"/>
        <v>47469</v>
      </c>
      <c r="AM710" s="15">
        <f t="shared" si="332"/>
        <v>7054798</v>
      </c>
      <c r="AN710" s="15">
        <f t="shared" si="333"/>
        <v>849425</v>
      </c>
      <c r="AO710" s="15">
        <f t="shared" si="338"/>
        <v>926734.48</v>
      </c>
      <c r="AP710" s="17">
        <f t="shared" si="334"/>
        <v>7981532.4800000004</v>
      </c>
      <c r="AQ710" s="15">
        <v>3937271</v>
      </c>
      <c r="AR710" s="15">
        <v>29840.48</v>
      </c>
      <c r="AS710" s="18">
        <f t="shared" si="339"/>
        <v>4044261</v>
      </c>
      <c r="AT710" s="19">
        <v>0</v>
      </c>
      <c r="AU710" s="8">
        <v>8800</v>
      </c>
      <c r="AV710" s="13">
        <f t="shared" si="340"/>
        <v>1392424</v>
      </c>
      <c r="AW710" s="18">
        <f t="shared" si="341"/>
        <v>7054798</v>
      </c>
      <c r="AX710" s="15">
        <f t="shared" si="335"/>
        <v>7055000</v>
      </c>
      <c r="AY710" s="20">
        <v>7.0000000000000007E-2</v>
      </c>
      <c r="AZ710" s="13">
        <f t="shared" si="336"/>
        <v>493850.00000000006</v>
      </c>
      <c r="BA710" s="15">
        <f t="shared" si="337"/>
        <v>493900</v>
      </c>
      <c r="BB710" s="21">
        <f t="shared" si="342"/>
        <v>4538161</v>
      </c>
      <c r="BC710" s="10">
        <f t="shared" si="343"/>
        <v>0</v>
      </c>
      <c r="BD710" s="10">
        <f t="shared" si="344"/>
        <v>0</v>
      </c>
      <c r="BE710" s="10">
        <v>36.67</v>
      </c>
      <c r="BF710" s="10">
        <v>14.7</v>
      </c>
      <c r="BG710" s="107">
        <v>46176</v>
      </c>
      <c r="BH710" s="107">
        <f t="shared" si="318"/>
        <v>46206</v>
      </c>
      <c r="BI710" s="23">
        <v>7</v>
      </c>
      <c r="BJ710" s="6"/>
      <c r="BK710" s="6"/>
      <c r="BL710" s="6">
        <f>VLOOKUP(A710,[2]Sheet1!$D$2:$H$933,5,0)</f>
        <v>0</v>
      </c>
      <c r="BM710" s="6" t="s">
        <v>3828</v>
      </c>
      <c r="BN710" s="6" t="s">
        <v>3829</v>
      </c>
      <c r="BO710" s="6" t="s">
        <v>3820</v>
      </c>
      <c r="BP710" s="6" t="s">
        <v>3821</v>
      </c>
      <c r="BQ710" s="6" t="s">
        <v>3830</v>
      </c>
      <c r="BR710" t="s">
        <v>3823</v>
      </c>
      <c r="BS710" t="s">
        <v>3824</v>
      </c>
      <c r="BT710" t="s">
        <v>3825</v>
      </c>
      <c r="BU710" t="s">
        <v>3826</v>
      </c>
      <c r="BV710" t="s">
        <v>3827</v>
      </c>
      <c r="BW710" t="s">
        <v>3835</v>
      </c>
      <c r="BX710">
        <v>0</v>
      </c>
      <c r="BY710" t="s">
        <v>3859</v>
      </c>
      <c r="BZ710" t="s">
        <v>3871</v>
      </c>
    </row>
    <row r="711" spans="1:78" x14ac:dyDescent="0.25">
      <c r="A711" s="7" t="s">
        <v>2902</v>
      </c>
      <c r="B711" s="7" t="s">
        <v>181</v>
      </c>
      <c r="C711" s="7" t="s">
        <v>2900</v>
      </c>
      <c r="D711" s="8" t="s">
        <v>2901</v>
      </c>
      <c r="E711" s="7" t="s">
        <v>2903</v>
      </c>
      <c r="F711" s="9">
        <v>45110</v>
      </c>
      <c r="G711" s="9" t="s">
        <v>65</v>
      </c>
      <c r="H711" s="9" t="s">
        <v>87</v>
      </c>
      <c r="I711" s="8" t="s">
        <v>78</v>
      </c>
      <c r="J711" s="10">
        <v>861.12</v>
      </c>
      <c r="K711" s="10">
        <v>861.12</v>
      </c>
      <c r="L711" s="10">
        <f t="shared" si="319"/>
        <v>0</v>
      </c>
      <c r="M711" s="10">
        <v>399.34</v>
      </c>
      <c r="N711" s="10">
        <v>399.34</v>
      </c>
      <c r="O711" s="10">
        <f t="shared" si="320"/>
        <v>0</v>
      </c>
      <c r="P711" s="11">
        <v>16000.001161278335</v>
      </c>
      <c r="Q711" s="11">
        <v>34501.730355085892</v>
      </c>
      <c r="R711" s="11">
        <v>40000</v>
      </c>
      <c r="S711" s="11">
        <v>13777921</v>
      </c>
      <c r="T711" s="11">
        <v>1653352</v>
      </c>
      <c r="U711" s="12">
        <f t="shared" si="321"/>
        <v>0.1200001074182382</v>
      </c>
      <c r="V711" s="13">
        <f t="shared" si="345"/>
        <v>0</v>
      </c>
      <c r="W711" s="10">
        <f t="shared" si="323"/>
        <v>0</v>
      </c>
      <c r="X711" s="10"/>
      <c r="Y711" s="10"/>
      <c r="Z711" s="11">
        <f t="shared" si="324"/>
        <v>13777921</v>
      </c>
      <c r="AA711" s="14"/>
      <c r="AB711" s="14"/>
      <c r="AC711" s="11">
        <f t="shared" si="325"/>
        <v>13777921</v>
      </c>
      <c r="AD711" s="10">
        <f t="shared" si="326"/>
        <v>300</v>
      </c>
      <c r="AE711" s="15">
        <v>119802</v>
      </c>
      <c r="AF711" s="16">
        <v>21564</v>
      </c>
      <c r="AG711" s="15">
        <f t="shared" si="327"/>
        <v>0</v>
      </c>
      <c r="AH711" s="15">
        <f t="shared" si="328"/>
        <v>0</v>
      </c>
      <c r="AI711" s="15">
        <f t="shared" si="329"/>
        <v>119801.99999999999</v>
      </c>
      <c r="AJ711" s="15">
        <f t="shared" si="330"/>
        <v>21565</v>
      </c>
      <c r="AK711" s="10">
        <v>119802</v>
      </c>
      <c r="AL711" s="15">
        <f t="shared" si="331"/>
        <v>119801.99999999999</v>
      </c>
      <c r="AM711" s="15">
        <f t="shared" si="332"/>
        <v>13897723</v>
      </c>
      <c r="AN711" s="15">
        <f t="shared" si="333"/>
        <v>1674917</v>
      </c>
      <c r="AO711" s="15">
        <f t="shared" si="338"/>
        <v>1819635</v>
      </c>
      <c r="AP711" s="17">
        <f t="shared" si="334"/>
        <v>15717358</v>
      </c>
      <c r="AQ711" s="15">
        <v>13764143</v>
      </c>
      <c r="AR711" s="15">
        <v>24916</v>
      </c>
      <c r="AS711" s="18">
        <f t="shared" si="339"/>
        <v>1953215</v>
      </c>
      <c r="AT711" s="19">
        <v>0</v>
      </c>
      <c r="AU711" s="8">
        <v>8800</v>
      </c>
      <c r="AV711" s="13">
        <f t="shared" si="340"/>
        <v>3514192</v>
      </c>
      <c r="AW711" s="18">
        <f t="shared" si="341"/>
        <v>13897723</v>
      </c>
      <c r="AX711" s="15">
        <f t="shared" si="335"/>
        <v>13898000</v>
      </c>
      <c r="AY711" s="20">
        <v>7.0000000000000007E-2</v>
      </c>
      <c r="AZ711" s="13">
        <f t="shared" si="336"/>
        <v>972860.00000000012</v>
      </c>
      <c r="BA711" s="15">
        <f t="shared" si="337"/>
        <v>972900</v>
      </c>
      <c r="BB711" s="21">
        <f t="shared" si="342"/>
        <v>2926115</v>
      </c>
      <c r="BC711" s="10">
        <f t="shared" si="343"/>
        <v>0</v>
      </c>
      <c r="BD711" s="10">
        <f t="shared" si="344"/>
        <v>0</v>
      </c>
      <c r="BE711" s="10">
        <v>80</v>
      </c>
      <c r="BF711" s="10">
        <v>37.1</v>
      </c>
      <c r="BG711" s="107">
        <v>46176</v>
      </c>
      <c r="BH711" s="107">
        <f t="shared" si="318"/>
        <v>46206</v>
      </c>
      <c r="BI711" s="23">
        <v>7</v>
      </c>
      <c r="BJ711" s="6"/>
      <c r="BK711" s="6"/>
      <c r="BL711" s="6">
        <f>VLOOKUP(A711,[2]Sheet1!$D$2:$H$933,5,0)</f>
        <v>0</v>
      </c>
      <c r="BM711" s="6" t="s">
        <v>3828</v>
      </c>
      <c r="BN711" s="6" t="s">
        <v>3829</v>
      </c>
      <c r="BO711" s="6" t="s">
        <v>3820</v>
      </c>
      <c r="BP711" s="6" t="s">
        <v>3821</v>
      </c>
      <c r="BQ711" s="6" t="s">
        <v>3830</v>
      </c>
      <c r="BR711" t="s">
        <v>3823</v>
      </c>
      <c r="BS711" t="s">
        <v>3824</v>
      </c>
      <c r="BT711" t="s">
        <v>3825</v>
      </c>
      <c r="BU711" t="s">
        <v>3826</v>
      </c>
      <c r="BV711" t="s">
        <v>3827</v>
      </c>
      <c r="BW711" t="s">
        <v>3835</v>
      </c>
      <c r="BX711">
        <v>0</v>
      </c>
      <c r="BY711" t="s">
        <v>3861</v>
      </c>
      <c r="BZ711" t="s">
        <v>3860</v>
      </c>
    </row>
    <row r="712" spans="1:78" x14ac:dyDescent="0.25">
      <c r="A712" s="7" t="s">
        <v>2906</v>
      </c>
      <c r="B712" s="7" t="s">
        <v>181</v>
      </c>
      <c r="C712" s="7" t="s">
        <v>2904</v>
      </c>
      <c r="D712" s="8" t="s">
        <v>2905</v>
      </c>
      <c r="E712" s="7" t="s">
        <v>2907</v>
      </c>
      <c r="F712" s="9">
        <v>44998</v>
      </c>
      <c r="G712" s="9" t="s">
        <v>717</v>
      </c>
      <c r="H712" s="9" t="s">
        <v>72</v>
      </c>
      <c r="I712" s="8" t="s">
        <v>78</v>
      </c>
      <c r="J712" s="10">
        <v>1220.6400000000001</v>
      </c>
      <c r="K712" s="10">
        <v>1220.6400000000001</v>
      </c>
      <c r="L712" s="10">
        <f t="shared" si="319"/>
        <v>0</v>
      </c>
      <c r="M712" s="10">
        <v>557.58000000000004</v>
      </c>
      <c r="N712" s="10">
        <v>557.58000000000004</v>
      </c>
      <c r="O712" s="10">
        <f t="shared" si="320"/>
        <v>0</v>
      </c>
      <c r="P712" s="11">
        <v>7499.9999999999991</v>
      </c>
      <c r="Q712" s="11">
        <v>16418.809856881522</v>
      </c>
      <c r="R712" s="11">
        <v>20000</v>
      </c>
      <c r="S712" s="11">
        <v>9154800</v>
      </c>
      <c r="T712" s="11">
        <v>1098578</v>
      </c>
      <c r="U712" s="12">
        <f t="shared" si="321"/>
        <v>0.12000021846463058</v>
      </c>
      <c r="V712" s="13">
        <f t="shared" si="345"/>
        <v>0</v>
      </c>
      <c r="W712" s="10">
        <f t="shared" si="323"/>
        <v>0</v>
      </c>
      <c r="X712" s="10"/>
      <c r="Y712" s="10"/>
      <c r="Z712" s="11">
        <f t="shared" si="324"/>
        <v>9154800</v>
      </c>
      <c r="AA712" s="14"/>
      <c r="AB712" s="14"/>
      <c r="AC712" s="11">
        <f t="shared" si="325"/>
        <v>9154800</v>
      </c>
      <c r="AD712" s="10">
        <f t="shared" si="326"/>
        <v>300</v>
      </c>
      <c r="AE712" s="15">
        <v>167274</v>
      </c>
      <c r="AF712" s="16">
        <v>30110</v>
      </c>
      <c r="AG712" s="15">
        <f t="shared" si="327"/>
        <v>0</v>
      </c>
      <c r="AH712" s="15">
        <f t="shared" si="328"/>
        <v>0</v>
      </c>
      <c r="AI712" s="15">
        <f t="shared" si="329"/>
        <v>167274</v>
      </c>
      <c r="AJ712" s="15">
        <f t="shared" si="330"/>
        <v>30110</v>
      </c>
      <c r="AK712" s="10">
        <v>167274</v>
      </c>
      <c r="AL712" s="15">
        <f t="shared" si="331"/>
        <v>167274</v>
      </c>
      <c r="AM712" s="15">
        <f t="shared" si="332"/>
        <v>9322074</v>
      </c>
      <c r="AN712" s="15">
        <f t="shared" si="333"/>
        <v>1128688</v>
      </c>
      <c r="AO712" s="15">
        <f t="shared" si="338"/>
        <v>1332781.3999999999</v>
      </c>
      <c r="AP712" s="17">
        <f t="shared" si="334"/>
        <v>10654855.4</v>
      </c>
      <c r="AQ712" s="15">
        <v>2049960</v>
      </c>
      <c r="AR712" s="15">
        <v>36819.4</v>
      </c>
      <c r="AS712" s="18">
        <f t="shared" si="339"/>
        <v>8604895</v>
      </c>
      <c r="AT712" s="19">
        <v>0</v>
      </c>
      <c r="AU712" s="8">
        <v>8800</v>
      </c>
      <c r="AV712" s="13">
        <f t="shared" si="340"/>
        <v>4906704</v>
      </c>
      <c r="AW712" s="18">
        <f t="shared" si="341"/>
        <v>9322074</v>
      </c>
      <c r="AX712" s="15">
        <f t="shared" si="335"/>
        <v>9323000</v>
      </c>
      <c r="AY712" s="20">
        <v>7.0000000000000007E-2</v>
      </c>
      <c r="AZ712" s="13">
        <f t="shared" si="336"/>
        <v>652610.00000000012</v>
      </c>
      <c r="BA712" s="15">
        <f t="shared" si="337"/>
        <v>652700</v>
      </c>
      <c r="BB712" s="21">
        <f t="shared" si="342"/>
        <v>9257595</v>
      </c>
      <c r="BC712" s="10">
        <f t="shared" si="343"/>
        <v>0</v>
      </c>
      <c r="BD712" s="10">
        <f t="shared" si="344"/>
        <v>0</v>
      </c>
      <c r="BE712" s="10">
        <v>113.4</v>
      </c>
      <c r="BF712" s="10">
        <v>51.8</v>
      </c>
      <c r="BG712" s="107">
        <v>46176</v>
      </c>
      <c r="BH712" s="107">
        <f t="shared" si="318"/>
        <v>46206</v>
      </c>
      <c r="BI712" s="23">
        <v>7</v>
      </c>
      <c r="BJ712" s="6"/>
      <c r="BK712" s="6"/>
      <c r="BL712" s="6">
        <f>VLOOKUP(A712,[2]Sheet1!$D$2:$H$933,5,0)</f>
        <v>0</v>
      </c>
      <c r="BM712" s="6" t="s">
        <v>3828</v>
      </c>
      <c r="BN712" s="6" t="s">
        <v>3829</v>
      </c>
      <c r="BO712" s="6" t="s">
        <v>3820</v>
      </c>
      <c r="BP712" s="6" t="s">
        <v>3821</v>
      </c>
      <c r="BQ712" s="6" t="s">
        <v>3830</v>
      </c>
      <c r="BR712" t="s">
        <v>3823</v>
      </c>
      <c r="BS712" t="s">
        <v>3824</v>
      </c>
      <c r="BT712" t="s">
        <v>3825</v>
      </c>
      <c r="BU712" t="s">
        <v>3826</v>
      </c>
      <c r="BV712" t="s">
        <v>3827</v>
      </c>
      <c r="BW712" t="s">
        <v>3835</v>
      </c>
      <c r="BX712">
        <v>0</v>
      </c>
      <c r="BY712" t="s">
        <v>3866</v>
      </c>
      <c r="BZ712" t="s">
        <v>3872</v>
      </c>
    </row>
    <row r="713" spans="1:78" x14ac:dyDescent="0.25">
      <c r="A713" s="7" t="s">
        <v>2910</v>
      </c>
      <c r="B713" s="7" t="s">
        <v>181</v>
      </c>
      <c r="C713" s="7" t="s">
        <v>2908</v>
      </c>
      <c r="D713" s="8" t="s">
        <v>2909</v>
      </c>
      <c r="E713" s="7" t="s">
        <v>2911</v>
      </c>
      <c r="F713" s="9">
        <v>45048</v>
      </c>
      <c r="G713" s="9" t="s">
        <v>363</v>
      </c>
      <c r="H713" s="9" t="s">
        <v>92</v>
      </c>
      <c r="I713" s="8" t="s">
        <v>78</v>
      </c>
      <c r="J713" s="10">
        <v>697.51</v>
      </c>
      <c r="K713" s="10">
        <v>697.51</v>
      </c>
      <c r="L713" s="10">
        <f t="shared" si="319"/>
        <v>0</v>
      </c>
      <c r="M713" s="10">
        <v>317.54000000000002</v>
      </c>
      <c r="N713" s="10">
        <v>317.54000000000002</v>
      </c>
      <c r="O713" s="10">
        <f t="shared" si="320"/>
        <v>0</v>
      </c>
      <c r="P713" s="11">
        <v>16559.999139797281</v>
      </c>
      <c r="Q713" s="11">
        <v>36375.779429363225</v>
      </c>
      <c r="R713" s="11">
        <v>28000</v>
      </c>
      <c r="S713" s="11">
        <v>11550765</v>
      </c>
      <c r="T713" s="11">
        <v>1386090</v>
      </c>
      <c r="U713" s="12">
        <f t="shared" si="321"/>
        <v>0.11999984416616562</v>
      </c>
      <c r="V713" s="13">
        <f t="shared" si="345"/>
        <v>0</v>
      </c>
      <c r="W713" s="10">
        <f t="shared" si="323"/>
        <v>0</v>
      </c>
      <c r="X713" s="10"/>
      <c r="Y713" s="10"/>
      <c r="Z713" s="11">
        <f t="shared" si="324"/>
        <v>11550765</v>
      </c>
      <c r="AA713" s="14"/>
      <c r="AB713" s="14"/>
      <c r="AC713" s="11">
        <f t="shared" si="325"/>
        <v>11550765</v>
      </c>
      <c r="AD713" s="10">
        <f t="shared" si="326"/>
        <v>300</v>
      </c>
      <c r="AE713" s="15">
        <v>95262</v>
      </c>
      <c r="AF713" s="16">
        <v>17148</v>
      </c>
      <c r="AG713" s="15">
        <f t="shared" si="327"/>
        <v>0</v>
      </c>
      <c r="AH713" s="15">
        <f t="shared" si="328"/>
        <v>0</v>
      </c>
      <c r="AI713" s="15">
        <f t="shared" si="329"/>
        <v>95262</v>
      </c>
      <c r="AJ713" s="15">
        <f t="shared" si="330"/>
        <v>17148</v>
      </c>
      <c r="AK713" s="10">
        <v>95262</v>
      </c>
      <c r="AL713" s="15">
        <f t="shared" si="331"/>
        <v>95262</v>
      </c>
      <c r="AM713" s="15">
        <f t="shared" si="332"/>
        <v>11646027</v>
      </c>
      <c r="AN713" s="15">
        <f t="shared" si="333"/>
        <v>1403238</v>
      </c>
      <c r="AO713" s="15">
        <f t="shared" si="338"/>
        <v>1535899</v>
      </c>
      <c r="AP713" s="17">
        <f t="shared" si="334"/>
        <v>13181926</v>
      </c>
      <c r="AQ713" s="15">
        <v>4000000</v>
      </c>
      <c r="AR713" s="15">
        <v>37399</v>
      </c>
      <c r="AS713" s="18">
        <f t="shared" si="339"/>
        <v>9181926</v>
      </c>
      <c r="AT713" s="19">
        <v>11550765</v>
      </c>
      <c r="AU713" s="8">
        <v>8800</v>
      </c>
      <c r="AV713" s="13">
        <f t="shared" si="340"/>
        <v>2794352</v>
      </c>
      <c r="AW713" s="18">
        <f t="shared" si="341"/>
        <v>11646027</v>
      </c>
      <c r="AX713" s="15">
        <f t="shared" si="335"/>
        <v>11647000</v>
      </c>
      <c r="AY713" s="20">
        <v>7.0000000000000007E-2</v>
      </c>
      <c r="AZ713" s="13">
        <f t="shared" si="336"/>
        <v>815290.00000000012</v>
      </c>
      <c r="BA713" s="15">
        <f t="shared" si="337"/>
        <v>815300</v>
      </c>
      <c r="BB713" s="21">
        <f t="shared" si="342"/>
        <v>9997226</v>
      </c>
      <c r="BC713" s="10">
        <f t="shared" si="343"/>
        <v>0</v>
      </c>
      <c r="BD713" s="10">
        <f t="shared" si="344"/>
        <v>0</v>
      </c>
      <c r="BE713" s="10">
        <v>64.8</v>
      </c>
      <c r="BF713" s="10">
        <v>29.5</v>
      </c>
      <c r="BG713" s="107">
        <v>46176</v>
      </c>
      <c r="BH713" s="107">
        <f t="shared" si="318"/>
        <v>46206</v>
      </c>
      <c r="BI713" s="23">
        <v>7</v>
      </c>
      <c r="BJ713" s="6"/>
      <c r="BK713" s="6"/>
      <c r="BL713" s="6">
        <f>VLOOKUP(A713,[2]Sheet1!$D$2:$H$933,5,0)</f>
        <v>0</v>
      </c>
      <c r="BM713" s="6" t="s">
        <v>3828</v>
      </c>
      <c r="BN713" s="6" t="s">
        <v>3829</v>
      </c>
      <c r="BO713" s="6" t="s">
        <v>3820</v>
      </c>
      <c r="BP713" s="6" t="s">
        <v>3821</v>
      </c>
      <c r="BQ713" s="6" t="s">
        <v>3830</v>
      </c>
      <c r="BR713" t="s">
        <v>3823</v>
      </c>
      <c r="BS713" t="s">
        <v>3824</v>
      </c>
      <c r="BT713" t="s">
        <v>3825</v>
      </c>
      <c r="BU713" t="s">
        <v>3826</v>
      </c>
      <c r="BV713" t="s">
        <v>3827</v>
      </c>
      <c r="BW713" t="s">
        <v>3835</v>
      </c>
      <c r="BX713">
        <v>0</v>
      </c>
      <c r="BY713" t="s">
        <v>3859</v>
      </c>
      <c r="BZ713" t="s">
        <v>3860</v>
      </c>
    </row>
    <row r="714" spans="1:78" x14ac:dyDescent="0.25">
      <c r="A714" s="7" t="s">
        <v>2914</v>
      </c>
      <c r="B714" s="7" t="s">
        <v>181</v>
      </c>
      <c r="C714" s="7" t="s">
        <v>2912</v>
      </c>
      <c r="D714" s="8" t="s">
        <v>2913</v>
      </c>
      <c r="E714" s="7" t="s">
        <v>2915</v>
      </c>
      <c r="F714" s="9">
        <v>44931</v>
      </c>
      <c r="G714" s="9" t="s">
        <v>404</v>
      </c>
      <c r="H714" s="9" t="s">
        <v>66</v>
      </c>
      <c r="I714" s="8" t="s">
        <v>78</v>
      </c>
      <c r="J714" s="10">
        <v>775.01</v>
      </c>
      <c r="K714" s="10">
        <v>775.01</v>
      </c>
      <c r="L714" s="10">
        <f t="shared" si="319"/>
        <v>0</v>
      </c>
      <c r="M714" s="10">
        <v>358.44</v>
      </c>
      <c r="N714" s="10">
        <v>358.44</v>
      </c>
      <c r="O714" s="10">
        <f t="shared" si="320"/>
        <v>0</v>
      </c>
      <c r="P714" s="11">
        <v>15995.000064515296</v>
      </c>
      <c r="Q714" s="11">
        <v>34583.988952125881</v>
      </c>
      <c r="R714" s="11">
        <v>22000</v>
      </c>
      <c r="S714" s="11">
        <v>12396285</v>
      </c>
      <c r="T714" s="11">
        <v>1487554</v>
      </c>
      <c r="U714" s="12">
        <f t="shared" si="321"/>
        <v>0.11999998386613409</v>
      </c>
      <c r="V714" s="13">
        <f t="shared" si="345"/>
        <v>0</v>
      </c>
      <c r="W714" s="10">
        <f t="shared" si="323"/>
        <v>0</v>
      </c>
      <c r="X714" s="10"/>
      <c r="Y714" s="10"/>
      <c r="Z714" s="11">
        <f t="shared" si="324"/>
        <v>12396285</v>
      </c>
      <c r="AA714" s="14"/>
      <c r="AB714" s="14"/>
      <c r="AC714" s="11">
        <f t="shared" si="325"/>
        <v>12396285</v>
      </c>
      <c r="AD714" s="10">
        <f t="shared" si="326"/>
        <v>300</v>
      </c>
      <c r="AE714" s="15">
        <v>107532</v>
      </c>
      <c r="AF714" s="16">
        <v>19356</v>
      </c>
      <c r="AG714" s="15">
        <f t="shared" si="327"/>
        <v>0</v>
      </c>
      <c r="AH714" s="15">
        <f t="shared" si="328"/>
        <v>0</v>
      </c>
      <c r="AI714" s="15">
        <f t="shared" si="329"/>
        <v>107532</v>
      </c>
      <c r="AJ714" s="15">
        <f t="shared" si="330"/>
        <v>19356</v>
      </c>
      <c r="AK714" s="10">
        <v>107532</v>
      </c>
      <c r="AL714" s="15">
        <f t="shared" si="331"/>
        <v>107532</v>
      </c>
      <c r="AM714" s="15">
        <f t="shared" si="332"/>
        <v>12503817</v>
      </c>
      <c r="AN714" s="15">
        <f t="shared" si="333"/>
        <v>1506910</v>
      </c>
      <c r="AO714" s="15">
        <f t="shared" si="338"/>
        <v>1639402</v>
      </c>
      <c r="AP714" s="17">
        <f t="shared" si="334"/>
        <v>14143219</v>
      </c>
      <c r="AQ714" s="15">
        <v>12495455</v>
      </c>
      <c r="AR714" s="15">
        <v>24960</v>
      </c>
      <c r="AS714" s="18">
        <f t="shared" si="339"/>
        <v>1647764</v>
      </c>
      <c r="AT714" s="19">
        <v>0</v>
      </c>
      <c r="AU714" s="8">
        <v>8800</v>
      </c>
      <c r="AV714" s="13">
        <f t="shared" si="340"/>
        <v>3154272</v>
      </c>
      <c r="AW714" s="18">
        <f t="shared" si="341"/>
        <v>12503817</v>
      </c>
      <c r="AX714" s="15">
        <f t="shared" si="335"/>
        <v>12504000</v>
      </c>
      <c r="AY714" s="20">
        <v>0.05</v>
      </c>
      <c r="AZ714" s="13">
        <f t="shared" si="336"/>
        <v>625200</v>
      </c>
      <c r="BA714" s="15">
        <f t="shared" si="337"/>
        <v>625200</v>
      </c>
      <c r="BB714" s="21">
        <f t="shared" si="342"/>
        <v>2272964</v>
      </c>
      <c r="BC714" s="10">
        <f t="shared" si="343"/>
        <v>0</v>
      </c>
      <c r="BD714" s="10">
        <f t="shared" si="344"/>
        <v>0</v>
      </c>
      <c r="BE714" s="10">
        <v>72</v>
      </c>
      <c r="BF714" s="10">
        <v>33.299999999999997</v>
      </c>
      <c r="BG714" s="107">
        <v>46176</v>
      </c>
      <c r="BH714" s="107">
        <f t="shared" si="318"/>
        <v>46206</v>
      </c>
      <c r="BI714" s="23">
        <v>5</v>
      </c>
      <c r="BJ714" s="6"/>
      <c r="BK714" s="6"/>
      <c r="BL714" s="6">
        <f>VLOOKUP(A714,[2]Sheet1!$D$2:$H$933,5,0)</f>
        <v>0</v>
      </c>
      <c r="BM714" s="6" t="s">
        <v>3828</v>
      </c>
      <c r="BN714" s="6" t="s">
        <v>3829</v>
      </c>
      <c r="BO714" s="6" t="s">
        <v>3820</v>
      </c>
      <c r="BP714" s="6" t="s">
        <v>3821</v>
      </c>
      <c r="BQ714" s="6" t="s">
        <v>3830</v>
      </c>
      <c r="BR714" t="s">
        <v>3823</v>
      </c>
      <c r="BS714" t="s">
        <v>3824</v>
      </c>
      <c r="BT714" t="s">
        <v>3825</v>
      </c>
      <c r="BU714" t="s">
        <v>3826</v>
      </c>
      <c r="BV714" t="s">
        <v>3827</v>
      </c>
      <c r="BW714" t="s">
        <v>3835</v>
      </c>
      <c r="BX714">
        <v>0</v>
      </c>
      <c r="BY714" t="s">
        <v>3864</v>
      </c>
      <c r="BZ714" t="s">
        <v>3863</v>
      </c>
    </row>
    <row r="715" spans="1:78" x14ac:dyDescent="0.25">
      <c r="A715" s="7" t="s">
        <v>2918</v>
      </c>
      <c r="B715" s="7" t="s">
        <v>181</v>
      </c>
      <c r="C715" s="7" t="s">
        <v>2916</v>
      </c>
      <c r="D715" s="8" t="s">
        <v>2917</v>
      </c>
      <c r="E715" s="7" t="s">
        <v>2919</v>
      </c>
      <c r="F715" s="9">
        <v>45054</v>
      </c>
      <c r="G715" s="9" t="s">
        <v>363</v>
      </c>
      <c r="H715" s="9" t="s">
        <v>87</v>
      </c>
      <c r="I715" s="8" t="s">
        <v>67</v>
      </c>
      <c r="J715" s="10">
        <v>220.06</v>
      </c>
      <c r="K715" s="10">
        <v>220.06</v>
      </c>
      <c r="L715" s="10">
        <f t="shared" si="319"/>
        <v>0</v>
      </c>
      <c r="M715" s="10">
        <v>88.26</v>
      </c>
      <c r="N715" s="10">
        <v>88.26</v>
      </c>
      <c r="O715" s="10">
        <f t="shared" si="320"/>
        <v>0</v>
      </c>
      <c r="P715" s="11">
        <v>31833.354539671</v>
      </c>
      <c r="Q715" s="11">
        <v>79370.586902334006</v>
      </c>
      <c r="R715" s="11">
        <v>40000</v>
      </c>
      <c r="S715" s="11">
        <v>7005248</v>
      </c>
      <c r="T715" s="11">
        <v>840630</v>
      </c>
      <c r="U715" s="12">
        <f t="shared" si="321"/>
        <v>0.12000003426002906</v>
      </c>
      <c r="V715" s="13">
        <f t="shared" si="345"/>
        <v>0</v>
      </c>
      <c r="W715" s="10">
        <f t="shared" si="323"/>
        <v>0</v>
      </c>
      <c r="X715" s="10"/>
      <c r="Y715" s="10"/>
      <c r="Z715" s="11">
        <f t="shared" si="324"/>
        <v>7005248</v>
      </c>
      <c r="AA715" s="14"/>
      <c r="AB715" s="14"/>
      <c r="AC715" s="11">
        <f t="shared" si="325"/>
        <v>7005248</v>
      </c>
      <c r="AD715" s="10">
        <f t="shared" si="326"/>
        <v>300</v>
      </c>
      <c r="AE715" s="15">
        <v>26478</v>
      </c>
      <c r="AF715" s="16">
        <v>4766</v>
      </c>
      <c r="AG715" s="15">
        <f t="shared" si="327"/>
        <v>0</v>
      </c>
      <c r="AH715" s="15">
        <f t="shared" si="328"/>
        <v>0</v>
      </c>
      <c r="AI715" s="15">
        <f t="shared" si="329"/>
        <v>26478</v>
      </c>
      <c r="AJ715" s="15">
        <f t="shared" si="330"/>
        <v>4767</v>
      </c>
      <c r="AK715" s="10">
        <v>26478</v>
      </c>
      <c r="AL715" s="15">
        <f t="shared" si="331"/>
        <v>26478</v>
      </c>
      <c r="AM715" s="15">
        <f t="shared" si="332"/>
        <v>7031726</v>
      </c>
      <c r="AN715" s="15">
        <f t="shared" si="333"/>
        <v>845397</v>
      </c>
      <c r="AO715" s="15">
        <f t="shared" si="338"/>
        <v>902026</v>
      </c>
      <c r="AP715" s="17">
        <f t="shared" si="334"/>
        <v>7933752</v>
      </c>
      <c r="AQ715" s="15">
        <v>3915625</v>
      </c>
      <c r="AR715" s="15">
        <v>30151</v>
      </c>
      <c r="AS715" s="18">
        <f t="shared" si="339"/>
        <v>4018127</v>
      </c>
      <c r="AT715" s="19">
        <v>0</v>
      </c>
      <c r="AU715" s="8">
        <v>8800</v>
      </c>
      <c r="AV715" s="13">
        <f t="shared" si="340"/>
        <v>776688</v>
      </c>
      <c r="AW715" s="18">
        <f t="shared" si="341"/>
        <v>7031726</v>
      </c>
      <c r="AX715" s="15">
        <f t="shared" si="335"/>
        <v>7032000</v>
      </c>
      <c r="AY715" s="20">
        <v>7.0000000000000007E-2</v>
      </c>
      <c r="AZ715" s="13">
        <f t="shared" si="336"/>
        <v>492240.00000000006</v>
      </c>
      <c r="BA715" s="15">
        <f t="shared" si="337"/>
        <v>492300</v>
      </c>
      <c r="BB715" s="21">
        <f t="shared" si="342"/>
        <v>4510427</v>
      </c>
      <c r="BC715" s="10">
        <f t="shared" si="343"/>
        <v>0</v>
      </c>
      <c r="BD715" s="10">
        <f t="shared" si="344"/>
        <v>0</v>
      </c>
      <c r="BE715" s="10">
        <v>20.440000000000001</v>
      </c>
      <c r="BF715" s="10">
        <v>8.1999999999999993</v>
      </c>
      <c r="BG715" s="107">
        <v>46176</v>
      </c>
      <c r="BH715" s="107">
        <f t="shared" si="318"/>
        <v>46206</v>
      </c>
      <c r="BI715" s="23">
        <v>7</v>
      </c>
      <c r="BJ715" s="6"/>
      <c r="BK715" s="6"/>
      <c r="BL715" s="6">
        <f>VLOOKUP(A715,[2]Sheet1!$D$2:$H$933,5,0)</f>
        <v>0</v>
      </c>
      <c r="BM715" s="6" t="s">
        <v>3828</v>
      </c>
      <c r="BN715" s="6" t="s">
        <v>3829</v>
      </c>
      <c r="BO715" s="6" t="s">
        <v>3820</v>
      </c>
      <c r="BP715" s="6" t="s">
        <v>3821</v>
      </c>
      <c r="BQ715" s="6" t="s">
        <v>3830</v>
      </c>
      <c r="BR715" t="s">
        <v>3823</v>
      </c>
      <c r="BS715" t="s">
        <v>3824</v>
      </c>
      <c r="BT715" t="s">
        <v>3825</v>
      </c>
      <c r="BU715" t="s">
        <v>3826</v>
      </c>
      <c r="BV715" t="s">
        <v>3827</v>
      </c>
      <c r="BW715" t="s">
        <v>3835</v>
      </c>
      <c r="BX715">
        <v>0</v>
      </c>
      <c r="BY715" t="s">
        <v>3859</v>
      </c>
      <c r="BZ715" t="s">
        <v>3860</v>
      </c>
    </row>
    <row r="716" spans="1:78" x14ac:dyDescent="0.25">
      <c r="A716" s="7" t="s">
        <v>2922</v>
      </c>
      <c r="B716" s="7" t="s">
        <v>181</v>
      </c>
      <c r="C716" s="7" t="s">
        <v>2920</v>
      </c>
      <c r="D716" s="8" t="s">
        <v>2921</v>
      </c>
      <c r="E716" s="7" t="s">
        <v>2923</v>
      </c>
      <c r="F716" s="9">
        <v>45108</v>
      </c>
      <c r="G716" s="9" t="s">
        <v>363</v>
      </c>
      <c r="H716" s="9" t="s">
        <v>92</v>
      </c>
      <c r="I716" s="8" t="s">
        <v>78</v>
      </c>
      <c r="J716" s="10">
        <v>703.97</v>
      </c>
      <c r="K716" s="10">
        <v>703.97</v>
      </c>
      <c r="L716" s="10">
        <f t="shared" si="319"/>
        <v>0</v>
      </c>
      <c r="M716" s="10">
        <v>322.92</v>
      </c>
      <c r="N716" s="10">
        <v>322.92</v>
      </c>
      <c r="O716" s="10">
        <f t="shared" si="320"/>
        <v>0</v>
      </c>
      <c r="P716" s="11">
        <v>16000</v>
      </c>
      <c r="Q716" s="11">
        <v>34880.218010652789</v>
      </c>
      <c r="R716" s="11">
        <v>28000</v>
      </c>
      <c r="S716" s="11">
        <v>11263520</v>
      </c>
      <c r="T716" s="11">
        <v>1351622</v>
      </c>
      <c r="U716" s="12">
        <f t="shared" si="321"/>
        <v>0.11999996448712304</v>
      </c>
      <c r="V716" s="13">
        <f t="shared" si="345"/>
        <v>0</v>
      </c>
      <c r="W716" s="10">
        <f t="shared" si="323"/>
        <v>0</v>
      </c>
      <c r="X716" s="10"/>
      <c r="Y716" s="10"/>
      <c r="Z716" s="11">
        <f t="shared" si="324"/>
        <v>11263520</v>
      </c>
      <c r="AA716" s="14"/>
      <c r="AB716" s="14"/>
      <c r="AC716" s="11">
        <f t="shared" si="325"/>
        <v>11263520</v>
      </c>
      <c r="AD716" s="10">
        <f t="shared" si="326"/>
        <v>300</v>
      </c>
      <c r="AE716" s="15">
        <v>96876</v>
      </c>
      <c r="AF716" s="16">
        <v>17438</v>
      </c>
      <c r="AG716" s="15">
        <f t="shared" si="327"/>
        <v>0</v>
      </c>
      <c r="AH716" s="15">
        <f t="shared" si="328"/>
        <v>0</v>
      </c>
      <c r="AI716" s="15">
        <f t="shared" si="329"/>
        <v>96876</v>
      </c>
      <c r="AJ716" s="15">
        <f t="shared" si="330"/>
        <v>17438</v>
      </c>
      <c r="AK716" s="10">
        <v>96876</v>
      </c>
      <c r="AL716" s="15">
        <f t="shared" si="331"/>
        <v>96876</v>
      </c>
      <c r="AM716" s="15">
        <f t="shared" si="332"/>
        <v>11360396</v>
      </c>
      <c r="AN716" s="15">
        <f t="shared" si="333"/>
        <v>1369060</v>
      </c>
      <c r="AO716" s="15">
        <f t="shared" si="338"/>
        <v>1503496.36</v>
      </c>
      <c r="AP716" s="17">
        <f t="shared" si="334"/>
        <v>12863892.359999999</v>
      </c>
      <c r="AQ716" s="15">
        <v>3792907.52</v>
      </c>
      <c r="AR716" s="15">
        <v>37560.36</v>
      </c>
      <c r="AS716" s="18">
        <f t="shared" si="339"/>
        <v>9070985</v>
      </c>
      <c r="AT716" s="19">
        <v>11263520</v>
      </c>
      <c r="AU716" s="8">
        <v>8800</v>
      </c>
      <c r="AV716" s="13">
        <f t="shared" si="340"/>
        <v>2841696</v>
      </c>
      <c r="AW716" s="18">
        <f t="shared" si="341"/>
        <v>11360396</v>
      </c>
      <c r="AX716" s="15">
        <f t="shared" si="335"/>
        <v>11361000</v>
      </c>
      <c r="AY716" s="20">
        <v>7.0000000000000007E-2</v>
      </c>
      <c r="AZ716" s="13">
        <f t="shared" si="336"/>
        <v>795270.00000000012</v>
      </c>
      <c r="BA716" s="15">
        <f t="shared" si="337"/>
        <v>795300</v>
      </c>
      <c r="BB716" s="21">
        <f t="shared" si="342"/>
        <v>9866285</v>
      </c>
      <c r="BC716" s="10">
        <f t="shared" si="343"/>
        <v>0</v>
      </c>
      <c r="BD716" s="10">
        <f t="shared" si="344"/>
        <v>0</v>
      </c>
      <c r="BE716" s="10">
        <v>65.400000000000006</v>
      </c>
      <c r="BF716" s="10">
        <v>30</v>
      </c>
      <c r="BG716" s="107">
        <v>46176</v>
      </c>
      <c r="BH716" s="107">
        <f t="shared" si="318"/>
        <v>46206</v>
      </c>
      <c r="BI716" s="23">
        <v>7</v>
      </c>
      <c r="BJ716" s="6"/>
      <c r="BK716" s="6"/>
      <c r="BL716" s="6">
        <f>VLOOKUP(A716,[2]Sheet1!$D$2:$H$933,5,0)</f>
        <v>0</v>
      </c>
      <c r="BM716" s="6" t="s">
        <v>3828</v>
      </c>
      <c r="BN716" s="6" t="s">
        <v>3829</v>
      </c>
      <c r="BO716" s="6" t="s">
        <v>3820</v>
      </c>
      <c r="BP716" s="6" t="s">
        <v>3821</v>
      </c>
      <c r="BQ716" s="6" t="s">
        <v>3830</v>
      </c>
      <c r="BR716" t="s">
        <v>3823</v>
      </c>
      <c r="BS716" t="s">
        <v>3824</v>
      </c>
      <c r="BT716" t="s">
        <v>3825</v>
      </c>
      <c r="BU716" t="s">
        <v>3826</v>
      </c>
      <c r="BV716" t="s">
        <v>3827</v>
      </c>
      <c r="BW716" t="s">
        <v>3835</v>
      </c>
      <c r="BX716">
        <v>0</v>
      </c>
      <c r="BY716" t="s">
        <v>3869</v>
      </c>
      <c r="BZ716" t="s">
        <v>3860</v>
      </c>
    </row>
    <row r="717" spans="1:78" x14ac:dyDescent="0.25">
      <c r="A717" s="7" t="s">
        <v>2926</v>
      </c>
      <c r="B717" s="7" t="s">
        <v>181</v>
      </c>
      <c r="C717" s="7" t="s">
        <v>2924</v>
      </c>
      <c r="D717" s="8" t="s">
        <v>2925</v>
      </c>
      <c r="E717" s="7" t="s">
        <v>2927</v>
      </c>
      <c r="F717" s="9">
        <v>45311</v>
      </c>
      <c r="G717" s="9" t="s">
        <v>527</v>
      </c>
      <c r="H717" s="9" t="s">
        <v>66</v>
      </c>
      <c r="I717" s="8" t="s">
        <v>78</v>
      </c>
      <c r="J717" s="10">
        <v>775.01</v>
      </c>
      <c r="K717" s="10">
        <v>775.01</v>
      </c>
      <c r="L717" s="10">
        <f t="shared" si="319"/>
        <v>0</v>
      </c>
      <c r="M717" s="10">
        <v>358.44</v>
      </c>
      <c r="N717" s="10">
        <v>358.44</v>
      </c>
      <c r="O717" s="10">
        <f t="shared" si="320"/>
        <v>0</v>
      </c>
      <c r="P717" s="11">
        <v>11112.99983226023</v>
      </c>
      <c r="Q717" s="11">
        <v>24028.250195290704</v>
      </c>
      <c r="R717" s="11">
        <v>22000</v>
      </c>
      <c r="S717" s="11">
        <v>8612686</v>
      </c>
      <c r="T717" s="11">
        <v>1033522</v>
      </c>
      <c r="U717" s="12">
        <f t="shared" si="321"/>
        <v>0.11999996284550488</v>
      </c>
      <c r="V717" s="13">
        <f t="shared" si="345"/>
        <v>0</v>
      </c>
      <c r="W717" s="10">
        <f t="shared" si="323"/>
        <v>0</v>
      </c>
      <c r="X717" s="10"/>
      <c r="Y717" s="10"/>
      <c r="Z717" s="11">
        <f t="shared" si="324"/>
        <v>8612686</v>
      </c>
      <c r="AA717" s="14"/>
      <c r="AB717" s="14"/>
      <c r="AC717" s="11">
        <f t="shared" si="325"/>
        <v>8612686</v>
      </c>
      <c r="AD717" s="10">
        <f t="shared" si="326"/>
        <v>300</v>
      </c>
      <c r="AE717" s="15">
        <v>107532</v>
      </c>
      <c r="AF717" s="16">
        <v>19356</v>
      </c>
      <c r="AG717" s="15">
        <f t="shared" si="327"/>
        <v>0</v>
      </c>
      <c r="AH717" s="15">
        <f t="shared" si="328"/>
        <v>0</v>
      </c>
      <c r="AI717" s="15">
        <f t="shared" si="329"/>
        <v>107532</v>
      </c>
      <c r="AJ717" s="15">
        <f t="shared" si="330"/>
        <v>19356</v>
      </c>
      <c r="AK717" s="10">
        <v>107532</v>
      </c>
      <c r="AL717" s="15">
        <f t="shared" si="331"/>
        <v>107532</v>
      </c>
      <c r="AM717" s="15">
        <f t="shared" si="332"/>
        <v>8720218</v>
      </c>
      <c r="AN717" s="15">
        <f t="shared" si="333"/>
        <v>1052878</v>
      </c>
      <c r="AO717" s="15">
        <f t="shared" si="338"/>
        <v>1197999</v>
      </c>
      <c r="AP717" s="17">
        <f t="shared" si="334"/>
        <v>9918217</v>
      </c>
      <c r="AQ717" s="15">
        <v>1120000</v>
      </c>
      <c r="AR717" s="15">
        <v>37589</v>
      </c>
      <c r="AS717" s="18">
        <f t="shared" si="339"/>
        <v>8798217</v>
      </c>
      <c r="AT717" s="19">
        <v>0</v>
      </c>
      <c r="AU717" s="8">
        <v>8800</v>
      </c>
      <c r="AV717" s="13">
        <f t="shared" si="340"/>
        <v>3154272</v>
      </c>
      <c r="AW717" s="18">
        <f t="shared" si="341"/>
        <v>8720218</v>
      </c>
      <c r="AX717" s="15">
        <f t="shared" si="335"/>
        <v>8721000</v>
      </c>
      <c r="AY717" s="20">
        <v>0.05</v>
      </c>
      <c r="AZ717" s="13">
        <f t="shared" si="336"/>
        <v>436050</v>
      </c>
      <c r="BA717" s="15">
        <f t="shared" si="337"/>
        <v>436100</v>
      </c>
      <c r="BB717" s="21">
        <f t="shared" si="342"/>
        <v>9234317</v>
      </c>
      <c r="BC717" s="10">
        <f t="shared" si="343"/>
        <v>0</v>
      </c>
      <c r="BD717" s="10">
        <f t="shared" si="344"/>
        <v>0</v>
      </c>
      <c r="BE717" s="10">
        <v>72</v>
      </c>
      <c r="BF717" s="10">
        <v>33.299999999999997</v>
      </c>
      <c r="BG717" s="107">
        <v>46176</v>
      </c>
      <c r="BH717" s="107">
        <f t="shared" si="318"/>
        <v>46206</v>
      </c>
      <c r="BI717" s="23">
        <v>5</v>
      </c>
      <c r="BJ717" s="6"/>
      <c r="BK717" s="6"/>
      <c r="BL717" s="6">
        <f>VLOOKUP(A717,[2]Sheet1!$D$2:$H$933,5,0)</f>
        <v>0</v>
      </c>
      <c r="BM717" s="6" t="s">
        <v>3828</v>
      </c>
      <c r="BN717" s="6" t="s">
        <v>3829</v>
      </c>
      <c r="BO717" s="6" t="s">
        <v>3820</v>
      </c>
      <c r="BP717" s="6" t="s">
        <v>3821</v>
      </c>
      <c r="BQ717" s="6" t="s">
        <v>3830</v>
      </c>
      <c r="BR717" t="s">
        <v>3823</v>
      </c>
      <c r="BS717" t="s">
        <v>3824</v>
      </c>
      <c r="BT717" t="s">
        <v>3825</v>
      </c>
      <c r="BU717" t="s">
        <v>3826</v>
      </c>
      <c r="BV717" t="s">
        <v>3827</v>
      </c>
      <c r="BW717" t="s">
        <v>3835</v>
      </c>
      <c r="BX717">
        <v>0</v>
      </c>
      <c r="BY717" t="s">
        <v>3866</v>
      </c>
      <c r="BZ717" t="s">
        <v>3871</v>
      </c>
    </row>
    <row r="718" spans="1:78" x14ac:dyDescent="0.25">
      <c r="A718" s="7" t="s">
        <v>2930</v>
      </c>
      <c r="B718" s="7" t="s">
        <v>181</v>
      </c>
      <c r="C718" s="7" t="s">
        <v>2928</v>
      </c>
      <c r="D718" s="8" t="s">
        <v>2929</v>
      </c>
      <c r="E718" s="7" t="s">
        <v>2931</v>
      </c>
      <c r="F718" s="9">
        <v>44966</v>
      </c>
      <c r="G718" s="9" t="s">
        <v>527</v>
      </c>
      <c r="H718" s="9" t="s">
        <v>66</v>
      </c>
      <c r="I718" s="8" t="s">
        <v>78</v>
      </c>
      <c r="J718" s="10">
        <v>784.7</v>
      </c>
      <c r="K718" s="10">
        <v>784.7</v>
      </c>
      <c r="L718" s="10">
        <f t="shared" si="319"/>
        <v>0</v>
      </c>
      <c r="M718" s="10">
        <v>358.44</v>
      </c>
      <c r="N718" s="10">
        <v>358.44</v>
      </c>
      <c r="O718" s="10">
        <f t="shared" si="320"/>
        <v>0</v>
      </c>
      <c r="P718" s="11">
        <v>11325.928380272715</v>
      </c>
      <c r="Q718" s="11">
        <v>24794.822006472492</v>
      </c>
      <c r="R718" s="11">
        <v>22000</v>
      </c>
      <c r="S718" s="11">
        <v>8887456</v>
      </c>
      <c r="T718" s="11">
        <v>1066496</v>
      </c>
      <c r="U718" s="12">
        <f t="shared" si="321"/>
        <v>0.12000014402321654</v>
      </c>
      <c r="V718" s="13">
        <f t="shared" si="345"/>
        <v>0</v>
      </c>
      <c r="W718" s="10">
        <f t="shared" si="323"/>
        <v>0</v>
      </c>
      <c r="X718" s="10"/>
      <c r="Y718" s="10"/>
      <c r="Z718" s="11">
        <f t="shared" si="324"/>
        <v>8887456</v>
      </c>
      <c r="AA718" s="14"/>
      <c r="AB718" s="14"/>
      <c r="AC718" s="11">
        <f t="shared" si="325"/>
        <v>8887456</v>
      </c>
      <c r="AD718" s="10">
        <f t="shared" si="326"/>
        <v>300</v>
      </c>
      <c r="AE718" s="15">
        <v>107532</v>
      </c>
      <c r="AF718" s="16">
        <v>19356</v>
      </c>
      <c r="AG718" s="15">
        <f t="shared" si="327"/>
        <v>0</v>
      </c>
      <c r="AH718" s="15">
        <f t="shared" si="328"/>
        <v>0</v>
      </c>
      <c r="AI718" s="15">
        <f t="shared" si="329"/>
        <v>107532</v>
      </c>
      <c r="AJ718" s="15">
        <f t="shared" si="330"/>
        <v>19356</v>
      </c>
      <c r="AK718" s="10">
        <v>107532</v>
      </c>
      <c r="AL718" s="15">
        <f t="shared" si="331"/>
        <v>107532</v>
      </c>
      <c r="AM718" s="15">
        <f t="shared" si="332"/>
        <v>8994988</v>
      </c>
      <c r="AN718" s="15">
        <f t="shared" si="333"/>
        <v>1085852</v>
      </c>
      <c r="AO718" s="15">
        <f t="shared" si="338"/>
        <v>1226005</v>
      </c>
      <c r="AP718" s="17">
        <f t="shared" si="334"/>
        <v>10220993</v>
      </c>
      <c r="AQ718" s="15">
        <v>4486234</v>
      </c>
      <c r="AR718" s="15">
        <v>32621</v>
      </c>
      <c r="AS718" s="18">
        <f t="shared" si="339"/>
        <v>5734759</v>
      </c>
      <c r="AT718" s="19">
        <v>0</v>
      </c>
      <c r="AU718" s="8">
        <v>8800</v>
      </c>
      <c r="AV718" s="13">
        <f t="shared" si="340"/>
        <v>3154272</v>
      </c>
      <c r="AW718" s="18">
        <f t="shared" si="341"/>
        <v>8994988</v>
      </c>
      <c r="AX718" s="15">
        <f t="shared" si="335"/>
        <v>8995000</v>
      </c>
      <c r="AY718" s="20">
        <v>7.0000000000000007E-2</v>
      </c>
      <c r="AZ718" s="13">
        <f t="shared" si="336"/>
        <v>629650.00000000012</v>
      </c>
      <c r="BA718" s="15">
        <f t="shared" si="337"/>
        <v>629700</v>
      </c>
      <c r="BB718" s="21">
        <f t="shared" si="342"/>
        <v>6364459</v>
      </c>
      <c r="BC718" s="10">
        <f t="shared" si="343"/>
        <v>0</v>
      </c>
      <c r="BD718" s="10">
        <f t="shared" si="344"/>
        <v>0</v>
      </c>
      <c r="BE718" s="10">
        <v>72.900000000000006</v>
      </c>
      <c r="BF718" s="10">
        <v>33.299999999999997</v>
      </c>
      <c r="BG718" s="107">
        <v>46176</v>
      </c>
      <c r="BH718" s="107">
        <f t="shared" si="318"/>
        <v>46206</v>
      </c>
      <c r="BI718" s="23">
        <v>7</v>
      </c>
      <c r="BJ718" s="6"/>
      <c r="BK718" s="6"/>
      <c r="BL718" s="6">
        <f>VLOOKUP(A718,[2]Sheet1!$D$2:$H$933,5,0)</f>
        <v>0</v>
      </c>
      <c r="BM718" s="6" t="s">
        <v>3828</v>
      </c>
      <c r="BN718" s="6" t="s">
        <v>3829</v>
      </c>
      <c r="BO718" s="6" t="s">
        <v>3820</v>
      </c>
      <c r="BP718" s="6" t="s">
        <v>3821</v>
      </c>
      <c r="BQ718" s="6" t="s">
        <v>3830</v>
      </c>
      <c r="BR718" t="s">
        <v>3823</v>
      </c>
      <c r="BS718" t="s">
        <v>3824</v>
      </c>
      <c r="BT718" t="s">
        <v>3825</v>
      </c>
      <c r="BU718" t="s">
        <v>3826</v>
      </c>
      <c r="BV718" t="s">
        <v>3827</v>
      </c>
      <c r="BW718" t="s">
        <v>3835</v>
      </c>
      <c r="BX718">
        <v>0</v>
      </c>
      <c r="BY718" t="s">
        <v>3864</v>
      </c>
      <c r="BZ718" t="s">
        <v>3871</v>
      </c>
    </row>
    <row r="719" spans="1:78" x14ac:dyDescent="0.25">
      <c r="A719" s="7" t="s">
        <v>2934</v>
      </c>
      <c r="B719" s="7" t="s">
        <v>181</v>
      </c>
      <c r="C719" s="7" t="s">
        <v>2932</v>
      </c>
      <c r="D719" s="8" t="s">
        <v>2933</v>
      </c>
      <c r="E719" s="7" t="s">
        <v>2935</v>
      </c>
      <c r="F719" s="9">
        <v>44889</v>
      </c>
      <c r="G719" s="9" t="s">
        <v>717</v>
      </c>
      <c r="H719" s="9" t="s">
        <v>72</v>
      </c>
      <c r="I719" s="8" t="s">
        <v>78</v>
      </c>
      <c r="J719" s="10">
        <v>406.88</v>
      </c>
      <c r="K719" s="10">
        <v>412</v>
      </c>
      <c r="L719" s="10">
        <f t="shared" si="319"/>
        <v>5.1200000000000045</v>
      </c>
      <c r="M719" s="10">
        <v>175.45</v>
      </c>
      <c r="N719" s="10">
        <v>182</v>
      </c>
      <c r="O719" s="10">
        <f t="shared" si="320"/>
        <v>6.5500000000000114</v>
      </c>
      <c r="P719" s="11">
        <v>11223.999705072749</v>
      </c>
      <c r="Q719" s="11">
        <v>26029.187802792821</v>
      </c>
      <c r="R719" s="11">
        <v>20000</v>
      </c>
      <c r="S719" s="11">
        <v>4566821</v>
      </c>
      <c r="T719" s="11">
        <v>548020</v>
      </c>
      <c r="U719" s="12">
        <f t="shared" si="321"/>
        <v>0.12000032407663887</v>
      </c>
      <c r="V719" s="13">
        <f>L719*R719</f>
        <v>102400.00000000009</v>
      </c>
      <c r="W719" s="10">
        <f t="shared" si="323"/>
        <v>12288.03318544783</v>
      </c>
      <c r="X719" s="15"/>
      <c r="Y719" s="15"/>
      <c r="Z719" s="11">
        <f t="shared" si="324"/>
        <v>4669221</v>
      </c>
      <c r="AA719" s="14"/>
      <c r="AB719" s="14"/>
      <c r="AC719" s="11">
        <f t="shared" si="325"/>
        <v>4669221</v>
      </c>
      <c r="AD719" s="10">
        <f t="shared" si="326"/>
        <v>300</v>
      </c>
      <c r="AE719" s="15">
        <v>52635</v>
      </c>
      <c r="AF719" s="16">
        <v>9474</v>
      </c>
      <c r="AG719" s="15">
        <f t="shared" si="327"/>
        <v>1965.0000000000034</v>
      </c>
      <c r="AH719" s="15">
        <f t="shared" si="328"/>
        <v>353.70000000000061</v>
      </c>
      <c r="AI719" s="15">
        <f t="shared" si="329"/>
        <v>54600</v>
      </c>
      <c r="AJ719" s="15">
        <f t="shared" si="330"/>
        <v>9828</v>
      </c>
      <c r="AK719" s="10">
        <v>52635</v>
      </c>
      <c r="AL719" s="15">
        <f t="shared" si="331"/>
        <v>54600</v>
      </c>
      <c r="AM719" s="15">
        <f t="shared" si="332"/>
        <v>4723821</v>
      </c>
      <c r="AN719" s="15">
        <f t="shared" si="333"/>
        <v>570137</v>
      </c>
      <c r="AO719" s="15">
        <f t="shared" si="338"/>
        <v>650604</v>
      </c>
      <c r="AP719" s="17">
        <f t="shared" si="334"/>
        <v>5374425</v>
      </c>
      <c r="AQ719" s="15">
        <v>3948420</v>
      </c>
      <c r="AR719" s="15">
        <v>25867</v>
      </c>
      <c r="AS719" s="18">
        <f t="shared" si="339"/>
        <v>1426005</v>
      </c>
      <c r="AT719" s="19">
        <v>0</v>
      </c>
      <c r="AU719" s="8">
        <v>8800</v>
      </c>
      <c r="AV719" s="13">
        <f t="shared" si="340"/>
        <v>1601600</v>
      </c>
      <c r="AW719" s="18">
        <f t="shared" si="341"/>
        <v>4723821</v>
      </c>
      <c r="AX719" s="15">
        <f t="shared" si="335"/>
        <v>4724000</v>
      </c>
      <c r="AY719" s="20">
        <v>7.0000000000000007E-2</v>
      </c>
      <c r="AZ719" s="13">
        <f t="shared" si="336"/>
        <v>330680.00000000006</v>
      </c>
      <c r="BA719" s="15">
        <f t="shared" si="337"/>
        <v>330700</v>
      </c>
      <c r="BB719" s="21">
        <f t="shared" si="342"/>
        <v>1756705</v>
      </c>
      <c r="BC719" s="10">
        <f t="shared" si="343"/>
        <v>1.2583562721195451</v>
      </c>
      <c r="BD719" s="10">
        <f t="shared" si="344"/>
        <v>3.733257338273019</v>
      </c>
      <c r="BE719" s="10">
        <v>38.28</v>
      </c>
      <c r="BF719" s="10">
        <v>16.91</v>
      </c>
      <c r="BG719" s="107">
        <v>46176</v>
      </c>
      <c r="BH719" s="107">
        <f t="shared" si="318"/>
        <v>46206</v>
      </c>
      <c r="BI719" s="23">
        <v>7</v>
      </c>
      <c r="BJ719" s="6"/>
      <c r="BK719" s="6"/>
      <c r="BL719" s="6">
        <f>VLOOKUP(A719,[2]Sheet1!$D$2:$H$933,5,0)</f>
        <v>0</v>
      </c>
      <c r="BM719" s="6" t="s">
        <v>3828</v>
      </c>
      <c r="BN719" s="6" t="s">
        <v>3829</v>
      </c>
      <c r="BO719" s="6" t="s">
        <v>3820</v>
      </c>
      <c r="BP719" s="6" t="s">
        <v>3821</v>
      </c>
      <c r="BQ719" s="6" t="s">
        <v>3830</v>
      </c>
      <c r="BR719" t="s">
        <v>3823</v>
      </c>
      <c r="BS719" t="s">
        <v>3824</v>
      </c>
      <c r="BT719" t="s">
        <v>3825</v>
      </c>
      <c r="BU719" t="s">
        <v>3826</v>
      </c>
      <c r="BV719" t="s">
        <v>3827</v>
      </c>
      <c r="BW719" t="s">
        <v>3835</v>
      </c>
      <c r="BX719">
        <v>0</v>
      </c>
      <c r="BY719" t="s">
        <v>3865</v>
      </c>
      <c r="BZ719" t="s">
        <v>3872</v>
      </c>
    </row>
    <row r="720" spans="1:78" x14ac:dyDescent="0.25">
      <c r="A720" s="7" t="s">
        <v>2938</v>
      </c>
      <c r="B720" s="7" t="s">
        <v>181</v>
      </c>
      <c r="C720" s="7" t="s">
        <v>2936</v>
      </c>
      <c r="D720" s="8" t="s">
        <v>2937</v>
      </c>
      <c r="E720" s="7" t="s">
        <v>2939</v>
      </c>
      <c r="F720" s="9">
        <v>45100</v>
      </c>
      <c r="G720" s="9" t="s">
        <v>65</v>
      </c>
      <c r="H720" s="9" t="s">
        <v>87</v>
      </c>
      <c r="I720" s="8" t="s">
        <v>78</v>
      </c>
      <c r="J720" s="10">
        <v>861.12</v>
      </c>
      <c r="K720" s="10">
        <v>861.12</v>
      </c>
      <c r="L720" s="10">
        <f t="shared" si="319"/>
        <v>0</v>
      </c>
      <c r="M720" s="10">
        <v>389.66</v>
      </c>
      <c r="N720" s="10">
        <v>389.66</v>
      </c>
      <c r="O720" s="10">
        <f t="shared" si="320"/>
        <v>0</v>
      </c>
      <c r="P720" s="11">
        <v>10000.002322556671</v>
      </c>
      <c r="Q720" s="11">
        <v>22099.271159472359</v>
      </c>
      <c r="R720" s="11">
        <v>40000</v>
      </c>
      <c r="S720" s="11">
        <v>8611202</v>
      </c>
      <c r="T720" s="11">
        <v>1033346</v>
      </c>
      <c r="U720" s="12">
        <f t="shared" si="321"/>
        <v>0.12000020438493952</v>
      </c>
      <c r="V720" s="13">
        <f t="shared" ref="V720:V783" si="346">L720*P720</f>
        <v>0</v>
      </c>
      <c r="W720" s="10">
        <f t="shared" si="323"/>
        <v>0</v>
      </c>
      <c r="X720" s="10"/>
      <c r="Y720" s="10"/>
      <c r="Z720" s="11">
        <f t="shared" si="324"/>
        <v>8611202</v>
      </c>
      <c r="AA720" s="14"/>
      <c r="AB720" s="14"/>
      <c r="AC720" s="11">
        <f t="shared" si="325"/>
        <v>8611202</v>
      </c>
      <c r="AD720" s="10">
        <f t="shared" si="326"/>
        <v>300</v>
      </c>
      <c r="AE720" s="15">
        <v>116898</v>
      </c>
      <c r="AF720" s="16">
        <v>21042</v>
      </c>
      <c r="AG720" s="15">
        <f t="shared" si="327"/>
        <v>0</v>
      </c>
      <c r="AH720" s="15">
        <f t="shared" si="328"/>
        <v>0</v>
      </c>
      <c r="AI720" s="15">
        <f t="shared" si="329"/>
        <v>116898.00000000001</v>
      </c>
      <c r="AJ720" s="15">
        <f t="shared" si="330"/>
        <v>21042</v>
      </c>
      <c r="AK720" s="10">
        <v>116898</v>
      </c>
      <c r="AL720" s="15">
        <f t="shared" si="331"/>
        <v>116898.00000000001</v>
      </c>
      <c r="AM720" s="15">
        <f t="shared" si="332"/>
        <v>8728100</v>
      </c>
      <c r="AN720" s="15">
        <f t="shared" si="333"/>
        <v>1054388</v>
      </c>
      <c r="AO720" s="15">
        <f t="shared" si="338"/>
        <v>1209463</v>
      </c>
      <c r="AP720" s="17">
        <f t="shared" si="334"/>
        <v>9937563</v>
      </c>
      <c r="AQ720" s="15">
        <v>1000000</v>
      </c>
      <c r="AR720" s="15">
        <v>38177</v>
      </c>
      <c r="AS720" s="18">
        <f t="shared" si="339"/>
        <v>8937563</v>
      </c>
      <c r="AT720" s="19">
        <v>0</v>
      </c>
      <c r="AU720" s="8">
        <v>8800</v>
      </c>
      <c r="AV720" s="13">
        <f t="shared" si="340"/>
        <v>3429008</v>
      </c>
      <c r="AW720" s="18">
        <f t="shared" si="341"/>
        <v>8728100</v>
      </c>
      <c r="AX720" s="15">
        <f t="shared" si="335"/>
        <v>8729000</v>
      </c>
      <c r="AY720" s="20">
        <v>7.0000000000000007E-2</v>
      </c>
      <c r="AZ720" s="13">
        <f t="shared" si="336"/>
        <v>611030</v>
      </c>
      <c r="BA720" s="15">
        <f t="shared" si="337"/>
        <v>611100</v>
      </c>
      <c r="BB720" s="21">
        <f t="shared" si="342"/>
        <v>9548663</v>
      </c>
      <c r="BC720" s="10">
        <f t="shared" si="343"/>
        <v>0</v>
      </c>
      <c r="BD720" s="10">
        <f t="shared" si="344"/>
        <v>0</v>
      </c>
      <c r="BE720" s="10">
        <v>80</v>
      </c>
      <c r="BF720" s="10">
        <v>36.200000000000003</v>
      </c>
      <c r="BG720" s="107">
        <v>46176</v>
      </c>
      <c r="BH720" s="107">
        <f t="shared" si="318"/>
        <v>46206</v>
      </c>
      <c r="BI720" s="23">
        <v>7</v>
      </c>
      <c r="BJ720" s="6"/>
      <c r="BK720" s="6"/>
      <c r="BL720" s="6">
        <f>VLOOKUP(A720,[2]Sheet1!$D$2:$H$933,5,0)</f>
        <v>0</v>
      </c>
      <c r="BM720" s="6" t="s">
        <v>3828</v>
      </c>
      <c r="BN720" s="6" t="s">
        <v>3829</v>
      </c>
      <c r="BO720" s="6" t="s">
        <v>3820</v>
      </c>
      <c r="BP720" s="6" t="s">
        <v>3821</v>
      </c>
      <c r="BQ720" s="6" t="s">
        <v>3830</v>
      </c>
      <c r="BR720" t="s">
        <v>3823</v>
      </c>
      <c r="BS720" t="s">
        <v>3824</v>
      </c>
      <c r="BT720" t="s">
        <v>3825</v>
      </c>
      <c r="BU720" t="s">
        <v>3826</v>
      </c>
      <c r="BV720" t="s">
        <v>3827</v>
      </c>
      <c r="BW720" t="s">
        <v>3835</v>
      </c>
      <c r="BX720">
        <v>0</v>
      </c>
      <c r="BY720" t="s">
        <v>3865</v>
      </c>
      <c r="BZ720" t="s">
        <v>3860</v>
      </c>
    </row>
    <row r="721" spans="1:78" x14ac:dyDescent="0.25">
      <c r="A721" s="7" t="s">
        <v>2942</v>
      </c>
      <c r="B721" s="7" t="s">
        <v>181</v>
      </c>
      <c r="C721" s="7" t="s">
        <v>2940</v>
      </c>
      <c r="D721" s="8" t="s">
        <v>2941</v>
      </c>
      <c r="E721" s="7" t="s">
        <v>2430</v>
      </c>
      <c r="F721" s="9">
        <v>45271</v>
      </c>
      <c r="G721" s="9" t="s">
        <v>363</v>
      </c>
      <c r="H721" s="9" t="s">
        <v>92</v>
      </c>
      <c r="I721" s="8" t="s">
        <v>78</v>
      </c>
      <c r="J721" s="10">
        <v>697.51</v>
      </c>
      <c r="K721" s="10">
        <v>697.51</v>
      </c>
      <c r="L721" s="10">
        <f t="shared" si="319"/>
        <v>0</v>
      </c>
      <c r="M721" s="10">
        <v>317.54000000000002</v>
      </c>
      <c r="N721" s="10">
        <v>317.54000000000002</v>
      </c>
      <c r="O721" s="10">
        <f t="shared" si="320"/>
        <v>0</v>
      </c>
      <c r="P721" s="11">
        <v>13339.001591375034</v>
      </c>
      <c r="Q721" s="11">
        <v>29300.519619575483</v>
      </c>
      <c r="R721" s="11">
        <v>28000</v>
      </c>
      <c r="S721" s="11">
        <v>9304087</v>
      </c>
      <c r="T721" s="11">
        <v>1116492</v>
      </c>
      <c r="U721" s="12">
        <f t="shared" si="321"/>
        <v>0.1200001676682516</v>
      </c>
      <c r="V721" s="13">
        <f t="shared" si="346"/>
        <v>0</v>
      </c>
      <c r="W721" s="10">
        <f t="shared" si="323"/>
        <v>0</v>
      </c>
      <c r="X721" s="10"/>
      <c r="Y721" s="10"/>
      <c r="Z721" s="11">
        <f t="shared" si="324"/>
        <v>9304087</v>
      </c>
      <c r="AA721" s="14"/>
      <c r="AB721" s="14"/>
      <c r="AC721" s="11">
        <f t="shared" si="325"/>
        <v>9304087</v>
      </c>
      <c r="AD721" s="10">
        <f t="shared" si="326"/>
        <v>300</v>
      </c>
      <c r="AE721" s="15">
        <v>95262</v>
      </c>
      <c r="AF721" s="16">
        <v>17148</v>
      </c>
      <c r="AG721" s="15">
        <f t="shared" si="327"/>
        <v>0</v>
      </c>
      <c r="AH721" s="15">
        <f t="shared" si="328"/>
        <v>0</v>
      </c>
      <c r="AI721" s="15">
        <f t="shared" si="329"/>
        <v>95262</v>
      </c>
      <c r="AJ721" s="15">
        <f t="shared" si="330"/>
        <v>17148</v>
      </c>
      <c r="AK721" s="10">
        <v>95262</v>
      </c>
      <c r="AL721" s="15">
        <f t="shared" si="331"/>
        <v>95262</v>
      </c>
      <c r="AM721" s="15">
        <f t="shared" si="332"/>
        <v>9399349</v>
      </c>
      <c r="AN721" s="15">
        <f t="shared" si="333"/>
        <v>1133640</v>
      </c>
      <c r="AO721" s="15">
        <f t="shared" si="338"/>
        <v>1265252</v>
      </c>
      <c r="AP721" s="17">
        <f t="shared" si="334"/>
        <v>10664601</v>
      </c>
      <c r="AQ721" s="15">
        <v>2836843</v>
      </c>
      <c r="AR721" s="15">
        <v>36350</v>
      </c>
      <c r="AS721" s="18">
        <f t="shared" si="339"/>
        <v>7827758</v>
      </c>
      <c r="AT721" s="19">
        <v>0</v>
      </c>
      <c r="AU721" s="8">
        <v>8800</v>
      </c>
      <c r="AV721" s="13">
        <f t="shared" si="340"/>
        <v>2794352</v>
      </c>
      <c r="AW721" s="18">
        <f t="shared" si="341"/>
        <v>9399349</v>
      </c>
      <c r="AX721" s="15">
        <f t="shared" si="335"/>
        <v>9400000</v>
      </c>
      <c r="AY721" s="20">
        <v>0.06</v>
      </c>
      <c r="AZ721" s="13">
        <f t="shared" si="336"/>
        <v>564000</v>
      </c>
      <c r="BA721" s="15">
        <f t="shared" si="337"/>
        <v>564000</v>
      </c>
      <c r="BB721" s="21">
        <f t="shared" si="342"/>
        <v>8391758</v>
      </c>
      <c r="BC721" s="10">
        <f t="shared" si="343"/>
        <v>0</v>
      </c>
      <c r="BD721" s="10">
        <f t="shared" si="344"/>
        <v>0</v>
      </c>
      <c r="BE721" s="10">
        <v>64.8</v>
      </c>
      <c r="BF721" s="10">
        <v>29.5</v>
      </c>
      <c r="BG721" s="107">
        <v>46176</v>
      </c>
      <c r="BH721" s="107">
        <f t="shared" si="318"/>
        <v>46206</v>
      </c>
      <c r="BI721" s="23">
        <v>6</v>
      </c>
      <c r="BJ721" s="6"/>
      <c r="BK721" s="6"/>
      <c r="BL721" s="6">
        <f>VLOOKUP(A721,[2]Sheet1!$D$2:$H$933,5,0)</f>
        <v>0</v>
      </c>
      <c r="BM721" s="6" t="s">
        <v>3828</v>
      </c>
      <c r="BN721" s="6" t="s">
        <v>3829</v>
      </c>
      <c r="BO721" s="6" t="s">
        <v>3820</v>
      </c>
      <c r="BP721" s="6" t="s">
        <v>3821</v>
      </c>
      <c r="BQ721" s="6" t="s">
        <v>3830</v>
      </c>
      <c r="BR721" t="s">
        <v>3823</v>
      </c>
      <c r="BS721" t="s">
        <v>3824</v>
      </c>
      <c r="BT721" t="s">
        <v>3825</v>
      </c>
      <c r="BU721" t="s">
        <v>3826</v>
      </c>
      <c r="BV721" t="s">
        <v>3827</v>
      </c>
      <c r="BW721" t="s">
        <v>3835</v>
      </c>
      <c r="BX721">
        <v>0</v>
      </c>
      <c r="BY721" t="s">
        <v>3865</v>
      </c>
      <c r="BZ721" t="s">
        <v>3860</v>
      </c>
    </row>
    <row r="722" spans="1:78" x14ac:dyDescent="0.25">
      <c r="A722" s="7" t="s">
        <v>2945</v>
      </c>
      <c r="B722" s="7" t="s">
        <v>181</v>
      </c>
      <c r="C722" s="7" t="s">
        <v>2943</v>
      </c>
      <c r="D722" s="8" t="s">
        <v>2944</v>
      </c>
      <c r="E722" s="7" t="s">
        <v>2946</v>
      </c>
      <c r="F722" s="9">
        <v>45058</v>
      </c>
      <c r="G722" s="9" t="s">
        <v>363</v>
      </c>
      <c r="H722" s="9" t="s">
        <v>92</v>
      </c>
      <c r="I722" s="8" t="s">
        <v>78</v>
      </c>
      <c r="J722" s="10">
        <v>697.51</v>
      </c>
      <c r="K722" s="10">
        <v>697.51</v>
      </c>
      <c r="L722" s="10">
        <f t="shared" si="319"/>
        <v>0</v>
      </c>
      <c r="M722" s="10">
        <v>317.54000000000002</v>
      </c>
      <c r="N722" s="10">
        <v>317.54000000000002</v>
      </c>
      <c r="O722" s="10">
        <f t="shared" si="320"/>
        <v>0</v>
      </c>
      <c r="P722" s="11">
        <v>18378.851916101561</v>
      </c>
      <c r="Q722" s="11">
        <v>40371.080808717008</v>
      </c>
      <c r="R722" s="11">
        <v>28000</v>
      </c>
      <c r="S722" s="11">
        <v>12819433</v>
      </c>
      <c r="T722" s="11">
        <v>1538330</v>
      </c>
      <c r="U722" s="12">
        <f t="shared" si="321"/>
        <v>0.11999984710712244</v>
      </c>
      <c r="V722" s="13">
        <f t="shared" si="346"/>
        <v>0</v>
      </c>
      <c r="W722" s="10">
        <f t="shared" si="323"/>
        <v>0</v>
      </c>
      <c r="X722" s="10"/>
      <c r="Y722" s="10"/>
      <c r="Z722" s="11">
        <f t="shared" si="324"/>
        <v>12819433</v>
      </c>
      <c r="AA722" s="14"/>
      <c r="AB722" s="14"/>
      <c r="AC722" s="11">
        <f t="shared" si="325"/>
        <v>12819433</v>
      </c>
      <c r="AD722" s="10">
        <f t="shared" si="326"/>
        <v>300</v>
      </c>
      <c r="AE722" s="15">
        <v>95262</v>
      </c>
      <c r="AF722" s="16">
        <v>17148</v>
      </c>
      <c r="AG722" s="15">
        <f t="shared" si="327"/>
        <v>0</v>
      </c>
      <c r="AH722" s="15">
        <f t="shared" si="328"/>
        <v>0</v>
      </c>
      <c r="AI722" s="15">
        <f t="shared" si="329"/>
        <v>95262</v>
      </c>
      <c r="AJ722" s="15">
        <f t="shared" si="330"/>
        <v>17148</v>
      </c>
      <c r="AK722" s="10">
        <v>95262</v>
      </c>
      <c r="AL722" s="15">
        <f t="shared" si="331"/>
        <v>95262</v>
      </c>
      <c r="AM722" s="15">
        <f t="shared" si="332"/>
        <v>12914695</v>
      </c>
      <c r="AN722" s="15">
        <f t="shared" si="333"/>
        <v>1555478</v>
      </c>
      <c r="AO722" s="15">
        <f t="shared" si="338"/>
        <v>1686398.24</v>
      </c>
      <c r="AP722" s="17">
        <f t="shared" si="334"/>
        <v>14601093.24</v>
      </c>
      <c r="AQ722" s="15">
        <v>7315051.71</v>
      </c>
      <c r="AR722" s="15">
        <v>35658.239999999998</v>
      </c>
      <c r="AS722" s="18">
        <f t="shared" si="339"/>
        <v>7286042</v>
      </c>
      <c r="AT722" s="19">
        <v>0</v>
      </c>
      <c r="AU722" s="8">
        <v>8800</v>
      </c>
      <c r="AV722" s="13">
        <f t="shared" si="340"/>
        <v>2794352</v>
      </c>
      <c r="AW722" s="18">
        <f t="shared" si="341"/>
        <v>12914695</v>
      </c>
      <c r="AX722" s="15">
        <f t="shared" si="335"/>
        <v>12915000</v>
      </c>
      <c r="AY722" s="20">
        <v>0.05</v>
      </c>
      <c r="AZ722" s="13">
        <f t="shared" si="336"/>
        <v>645750</v>
      </c>
      <c r="BA722" s="15">
        <f t="shared" si="337"/>
        <v>645800</v>
      </c>
      <c r="BB722" s="21">
        <f t="shared" si="342"/>
        <v>7931842</v>
      </c>
      <c r="BC722" s="10">
        <f t="shared" si="343"/>
        <v>0</v>
      </c>
      <c r="BD722" s="10">
        <f t="shared" si="344"/>
        <v>0</v>
      </c>
      <c r="BE722" s="10">
        <v>64.8</v>
      </c>
      <c r="BF722" s="10">
        <v>29.5</v>
      </c>
      <c r="BG722" s="107">
        <v>46176</v>
      </c>
      <c r="BH722" s="107">
        <f t="shared" si="318"/>
        <v>46206</v>
      </c>
      <c r="BI722" s="23">
        <v>5</v>
      </c>
      <c r="BJ722" s="6"/>
      <c r="BK722" s="6"/>
      <c r="BL722" s="6">
        <f>VLOOKUP(A722,[2]Sheet1!$D$2:$H$933,5,0)</f>
        <v>0</v>
      </c>
      <c r="BM722" s="6" t="s">
        <v>3828</v>
      </c>
      <c r="BN722" s="6" t="s">
        <v>3829</v>
      </c>
      <c r="BO722" s="6" t="s">
        <v>3820</v>
      </c>
      <c r="BP722" s="6" t="s">
        <v>3821</v>
      </c>
      <c r="BQ722" s="6" t="s">
        <v>3830</v>
      </c>
      <c r="BR722" t="s">
        <v>3823</v>
      </c>
      <c r="BS722" t="s">
        <v>3824</v>
      </c>
      <c r="BT722" t="s">
        <v>3825</v>
      </c>
      <c r="BU722" t="s">
        <v>3826</v>
      </c>
      <c r="BV722" t="s">
        <v>3827</v>
      </c>
      <c r="BW722" t="s">
        <v>3835</v>
      </c>
      <c r="BX722">
        <v>0</v>
      </c>
      <c r="BY722" t="s">
        <v>3866</v>
      </c>
      <c r="BZ722" t="s">
        <v>3860</v>
      </c>
    </row>
    <row r="723" spans="1:78" x14ac:dyDescent="0.25">
      <c r="A723" s="7" t="s">
        <v>2949</v>
      </c>
      <c r="B723" s="7" t="s">
        <v>181</v>
      </c>
      <c r="C723" s="7" t="s">
        <v>2947</v>
      </c>
      <c r="D723" s="8" t="s">
        <v>2948</v>
      </c>
      <c r="E723" s="7" t="s">
        <v>2950</v>
      </c>
      <c r="F723" s="9">
        <v>44861</v>
      </c>
      <c r="G723" s="9" t="s">
        <v>527</v>
      </c>
      <c r="H723" s="9" t="s">
        <v>72</v>
      </c>
      <c r="I723" s="8" t="s">
        <v>635</v>
      </c>
      <c r="J723" s="10">
        <v>796.25</v>
      </c>
      <c r="K723" s="10">
        <v>796.25</v>
      </c>
      <c r="L723" s="10">
        <f t="shared" si="319"/>
        <v>0</v>
      </c>
      <c r="M723" s="10">
        <v>120.56</v>
      </c>
      <c r="N723" s="10">
        <v>120.56</v>
      </c>
      <c r="O723" s="10">
        <f t="shared" si="320"/>
        <v>0</v>
      </c>
      <c r="P723" s="11">
        <v>11319.874411302982</v>
      </c>
      <c r="Q723" s="11">
        <v>74763.188453881885</v>
      </c>
      <c r="R723" s="11">
        <v>20000</v>
      </c>
      <c r="S723" s="11">
        <v>9013450</v>
      </c>
      <c r="T723" s="11">
        <v>1081614</v>
      </c>
      <c r="U723" s="12">
        <f t="shared" si="321"/>
        <v>0.12</v>
      </c>
      <c r="V723" s="13">
        <f t="shared" si="346"/>
        <v>0</v>
      </c>
      <c r="W723" s="10">
        <f t="shared" si="323"/>
        <v>0</v>
      </c>
      <c r="X723" s="10"/>
      <c r="Y723" s="10"/>
      <c r="Z723" s="11">
        <f t="shared" si="324"/>
        <v>9013450</v>
      </c>
      <c r="AA723" s="14"/>
      <c r="AB723" s="14"/>
      <c r="AC723" s="11">
        <f t="shared" si="325"/>
        <v>9013450</v>
      </c>
      <c r="AD723" s="10">
        <f t="shared" si="326"/>
        <v>300</v>
      </c>
      <c r="AE723" s="15">
        <v>36168</v>
      </c>
      <c r="AF723" s="16">
        <v>6510</v>
      </c>
      <c r="AG723" s="15">
        <f t="shared" si="327"/>
        <v>0</v>
      </c>
      <c r="AH723" s="15">
        <f t="shared" si="328"/>
        <v>0</v>
      </c>
      <c r="AI723" s="15">
        <f t="shared" si="329"/>
        <v>36168</v>
      </c>
      <c r="AJ723" s="15">
        <f t="shared" si="330"/>
        <v>6511</v>
      </c>
      <c r="AK723" s="10">
        <v>36168</v>
      </c>
      <c r="AL723" s="15">
        <f t="shared" si="331"/>
        <v>36168</v>
      </c>
      <c r="AM723" s="15">
        <f t="shared" si="332"/>
        <v>9049618</v>
      </c>
      <c r="AN723" s="15">
        <f t="shared" si="333"/>
        <v>1088125</v>
      </c>
      <c r="AO723" s="15">
        <f t="shared" si="338"/>
        <v>1154127</v>
      </c>
      <c r="AP723" s="17">
        <f t="shared" si="334"/>
        <v>10203745</v>
      </c>
      <c r="AQ723" s="15">
        <v>5150150</v>
      </c>
      <c r="AR723" s="15">
        <v>29834</v>
      </c>
      <c r="AS723" s="18">
        <f t="shared" si="339"/>
        <v>5053595</v>
      </c>
      <c r="AT723" s="19">
        <v>0</v>
      </c>
      <c r="AU723" s="8">
        <v>8800</v>
      </c>
      <c r="AV723" s="13">
        <f t="shared" si="340"/>
        <v>1060928</v>
      </c>
      <c r="AW723" s="18">
        <f t="shared" si="341"/>
        <v>9049618</v>
      </c>
      <c r="AX723" s="15">
        <f t="shared" si="335"/>
        <v>9050000</v>
      </c>
      <c r="AY723" s="20">
        <v>0.06</v>
      </c>
      <c r="AZ723" s="13">
        <f t="shared" si="336"/>
        <v>543000</v>
      </c>
      <c r="BA723" s="15">
        <f t="shared" si="337"/>
        <v>543000</v>
      </c>
      <c r="BB723" s="21">
        <f t="shared" si="342"/>
        <v>5596595</v>
      </c>
      <c r="BC723" s="10">
        <f t="shared" si="343"/>
        <v>0</v>
      </c>
      <c r="BD723" s="10">
        <f t="shared" si="344"/>
        <v>0</v>
      </c>
      <c r="BE723" s="10">
        <v>73.97</v>
      </c>
      <c r="BF723" s="10">
        <v>11.2</v>
      </c>
      <c r="BG723" s="107">
        <v>46176</v>
      </c>
      <c r="BH723" s="107">
        <f t="shared" si="318"/>
        <v>46206</v>
      </c>
      <c r="BI723" s="23">
        <v>6</v>
      </c>
      <c r="BJ723" s="6"/>
      <c r="BK723" s="6"/>
      <c r="BL723" s="6">
        <f>VLOOKUP(A723,[2]Sheet1!$D$2:$H$933,5,0)</f>
        <v>0</v>
      </c>
      <c r="BM723" s="6" t="s">
        <v>3828</v>
      </c>
      <c r="BN723" s="6" t="s">
        <v>3829</v>
      </c>
      <c r="BO723" s="6" t="s">
        <v>3820</v>
      </c>
      <c r="BP723" s="6" t="s">
        <v>3821</v>
      </c>
      <c r="BQ723" s="6" t="s">
        <v>3830</v>
      </c>
      <c r="BR723" t="s">
        <v>3823</v>
      </c>
      <c r="BS723" t="s">
        <v>3824</v>
      </c>
      <c r="BT723" t="s">
        <v>3825</v>
      </c>
      <c r="BU723" t="s">
        <v>3826</v>
      </c>
      <c r="BV723" t="s">
        <v>3827</v>
      </c>
      <c r="BW723" t="s">
        <v>3835</v>
      </c>
      <c r="BX723">
        <v>0</v>
      </c>
      <c r="BY723" t="s">
        <v>3861</v>
      </c>
      <c r="BZ723" t="s">
        <v>3871</v>
      </c>
    </row>
    <row r="724" spans="1:78" x14ac:dyDescent="0.25">
      <c r="A724" s="7" t="s">
        <v>2953</v>
      </c>
      <c r="B724" s="7" t="s">
        <v>181</v>
      </c>
      <c r="C724" s="7" t="s">
        <v>2951</v>
      </c>
      <c r="D724" s="8" t="s">
        <v>2952</v>
      </c>
      <c r="E724" s="7" t="s">
        <v>2954</v>
      </c>
      <c r="F724" s="9">
        <v>45055</v>
      </c>
      <c r="G724" s="9" t="s">
        <v>65</v>
      </c>
      <c r="H724" s="9" t="s">
        <v>92</v>
      </c>
      <c r="I724" s="8" t="s">
        <v>78</v>
      </c>
      <c r="J724" s="10">
        <v>777.16</v>
      </c>
      <c r="K724" s="10">
        <v>777.16</v>
      </c>
      <c r="L724" s="10">
        <f t="shared" si="319"/>
        <v>0</v>
      </c>
      <c r="M724" s="10">
        <v>362.75</v>
      </c>
      <c r="N724" s="10">
        <v>362.75</v>
      </c>
      <c r="O724" s="10">
        <f t="shared" si="320"/>
        <v>0</v>
      </c>
      <c r="P724" s="11">
        <v>20931.999845591643</v>
      </c>
      <c r="Q724" s="11">
        <v>44844.970365265333</v>
      </c>
      <c r="R724" s="11">
        <v>28000</v>
      </c>
      <c r="S724" s="11">
        <v>16267513</v>
      </c>
      <c r="T724" s="11">
        <v>1952102</v>
      </c>
      <c r="U724" s="12">
        <f t="shared" si="321"/>
        <v>0.12000002704777307</v>
      </c>
      <c r="V724" s="13">
        <f t="shared" si="346"/>
        <v>0</v>
      </c>
      <c r="W724" s="10">
        <f t="shared" si="323"/>
        <v>0</v>
      </c>
      <c r="X724" s="10"/>
      <c r="Y724" s="10"/>
      <c r="Z724" s="11">
        <f t="shared" si="324"/>
        <v>16267513</v>
      </c>
      <c r="AA724" s="14"/>
      <c r="AB724" s="14"/>
      <c r="AC724" s="11">
        <f t="shared" si="325"/>
        <v>16267513</v>
      </c>
      <c r="AD724" s="10">
        <f t="shared" si="326"/>
        <v>300</v>
      </c>
      <c r="AE724" s="15">
        <v>108825</v>
      </c>
      <c r="AF724" s="16">
        <v>19588</v>
      </c>
      <c r="AG724" s="15">
        <f t="shared" si="327"/>
        <v>0</v>
      </c>
      <c r="AH724" s="15">
        <f t="shared" si="328"/>
        <v>0</v>
      </c>
      <c r="AI724" s="15">
        <f t="shared" si="329"/>
        <v>108825</v>
      </c>
      <c r="AJ724" s="15">
        <f t="shared" si="330"/>
        <v>19589</v>
      </c>
      <c r="AK724" s="10">
        <v>108825</v>
      </c>
      <c r="AL724" s="15">
        <f t="shared" si="331"/>
        <v>108825</v>
      </c>
      <c r="AM724" s="15">
        <f t="shared" si="332"/>
        <v>16376338</v>
      </c>
      <c r="AN724" s="15">
        <f t="shared" si="333"/>
        <v>1971691</v>
      </c>
      <c r="AO724" s="15">
        <f t="shared" si="338"/>
        <v>2117201</v>
      </c>
      <c r="AP724" s="17">
        <f t="shared" si="334"/>
        <v>18493539</v>
      </c>
      <c r="AQ724" s="15">
        <v>10061466.720000001</v>
      </c>
      <c r="AR724" s="15">
        <v>36685</v>
      </c>
      <c r="AS724" s="18">
        <f t="shared" si="339"/>
        <v>8432072</v>
      </c>
      <c r="AT724" s="19">
        <v>0</v>
      </c>
      <c r="AU724" s="8">
        <v>8800</v>
      </c>
      <c r="AV724" s="13">
        <f t="shared" si="340"/>
        <v>3192200</v>
      </c>
      <c r="AW724" s="18">
        <f t="shared" si="341"/>
        <v>16376338</v>
      </c>
      <c r="AX724" s="15">
        <f t="shared" si="335"/>
        <v>16377000</v>
      </c>
      <c r="AY724" s="20">
        <v>7.0000000000000007E-2</v>
      </c>
      <c r="AZ724" s="13">
        <f t="shared" si="336"/>
        <v>1146390</v>
      </c>
      <c r="BA724" s="15">
        <f t="shared" si="337"/>
        <v>1146400</v>
      </c>
      <c r="BB724" s="21">
        <f t="shared" si="342"/>
        <v>9578472</v>
      </c>
      <c r="BC724" s="10">
        <f t="shared" si="343"/>
        <v>0</v>
      </c>
      <c r="BD724" s="10">
        <f t="shared" si="344"/>
        <v>0</v>
      </c>
      <c r="BE724" s="10">
        <v>72.2</v>
      </c>
      <c r="BF724" s="10">
        <v>33.700000000000003</v>
      </c>
      <c r="BG724" s="107">
        <v>46176</v>
      </c>
      <c r="BH724" s="107">
        <f t="shared" si="318"/>
        <v>46206</v>
      </c>
      <c r="BI724" s="23">
        <v>7</v>
      </c>
      <c r="BJ724" s="6"/>
      <c r="BK724" s="6"/>
      <c r="BL724" s="6">
        <f>VLOOKUP(A724,[2]Sheet1!$D$2:$H$933,5,0)</f>
        <v>0</v>
      </c>
      <c r="BM724" s="6" t="s">
        <v>3828</v>
      </c>
      <c r="BN724" s="6" t="s">
        <v>3829</v>
      </c>
      <c r="BO724" s="6" t="s">
        <v>3820</v>
      </c>
      <c r="BP724" s="6" t="s">
        <v>3821</v>
      </c>
      <c r="BQ724" s="6" t="s">
        <v>3830</v>
      </c>
      <c r="BR724" t="s">
        <v>3823</v>
      </c>
      <c r="BS724" t="s">
        <v>3824</v>
      </c>
      <c r="BT724" t="s">
        <v>3825</v>
      </c>
      <c r="BU724" t="s">
        <v>3826</v>
      </c>
      <c r="BV724" t="s">
        <v>3827</v>
      </c>
      <c r="BW724" t="s">
        <v>3835</v>
      </c>
      <c r="BX724">
        <v>0</v>
      </c>
      <c r="BY724" t="s">
        <v>3861</v>
      </c>
      <c r="BZ724" t="s">
        <v>3860</v>
      </c>
    </row>
    <row r="725" spans="1:78" x14ac:dyDescent="0.25">
      <c r="A725" s="7" t="s">
        <v>2957</v>
      </c>
      <c r="B725" s="7" t="s">
        <v>181</v>
      </c>
      <c r="C725" s="7" t="s">
        <v>2955</v>
      </c>
      <c r="D725" s="8" t="s">
        <v>2956</v>
      </c>
      <c r="E725" s="7" t="s">
        <v>2958</v>
      </c>
      <c r="F725" s="9">
        <v>45041</v>
      </c>
      <c r="G725" s="9" t="s">
        <v>65</v>
      </c>
      <c r="H725" s="9" t="s">
        <v>92</v>
      </c>
      <c r="I725" s="8" t="s">
        <v>78</v>
      </c>
      <c r="J725" s="10">
        <v>777.16</v>
      </c>
      <c r="K725" s="10">
        <v>777.16</v>
      </c>
      <c r="L725" s="10">
        <f t="shared" si="319"/>
        <v>0</v>
      </c>
      <c r="M725" s="10">
        <v>362.75</v>
      </c>
      <c r="N725" s="10">
        <v>362.75</v>
      </c>
      <c r="O725" s="10">
        <f t="shared" si="320"/>
        <v>0</v>
      </c>
      <c r="P725" s="11">
        <v>18245.999536774925</v>
      </c>
      <c r="Q725" s="11">
        <v>39090.450723638867</v>
      </c>
      <c r="R725" s="11">
        <v>28000</v>
      </c>
      <c r="S725" s="11">
        <v>14180061</v>
      </c>
      <c r="T725" s="11">
        <v>1701608</v>
      </c>
      <c r="U725" s="12">
        <f t="shared" si="321"/>
        <v>0.12000004795465971</v>
      </c>
      <c r="V725" s="13">
        <f t="shared" si="346"/>
        <v>0</v>
      </c>
      <c r="W725" s="10">
        <f t="shared" si="323"/>
        <v>0</v>
      </c>
      <c r="X725" s="10"/>
      <c r="Y725" s="10"/>
      <c r="Z725" s="11">
        <f t="shared" si="324"/>
        <v>14180061</v>
      </c>
      <c r="AA725" s="14"/>
      <c r="AB725" s="14"/>
      <c r="AC725" s="11">
        <f t="shared" si="325"/>
        <v>14180061</v>
      </c>
      <c r="AD725" s="10">
        <f t="shared" si="326"/>
        <v>300</v>
      </c>
      <c r="AE725" s="15">
        <v>108825</v>
      </c>
      <c r="AF725" s="16">
        <v>19588</v>
      </c>
      <c r="AG725" s="15">
        <f t="shared" si="327"/>
        <v>0</v>
      </c>
      <c r="AH725" s="15">
        <f t="shared" si="328"/>
        <v>0</v>
      </c>
      <c r="AI725" s="15">
        <f t="shared" si="329"/>
        <v>108825</v>
      </c>
      <c r="AJ725" s="15">
        <f t="shared" si="330"/>
        <v>19589</v>
      </c>
      <c r="AK725" s="10">
        <v>108825</v>
      </c>
      <c r="AL725" s="15">
        <f t="shared" si="331"/>
        <v>108825</v>
      </c>
      <c r="AM725" s="15">
        <f t="shared" si="332"/>
        <v>14288886</v>
      </c>
      <c r="AN725" s="15">
        <f t="shared" si="333"/>
        <v>1721197</v>
      </c>
      <c r="AO725" s="15">
        <f t="shared" si="338"/>
        <v>1869492</v>
      </c>
      <c r="AP725" s="17">
        <f t="shared" si="334"/>
        <v>16158378</v>
      </c>
      <c r="AQ725" s="15">
        <v>6353771</v>
      </c>
      <c r="AR725" s="15">
        <v>39470</v>
      </c>
      <c r="AS725" s="18">
        <f t="shared" si="339"/>
        <v>9804607</v>
      </c>
      <c r="AT725" s="19">
        <v>0</v>
      </c>
      <c r="AU725" s="8">
        <v>8800</v>
      </c>
      <c r="AV725" s="13">
        <f t="shared" si="340"/>
        <v>3192200</v>
      </c>
      <c r="AW725" s="18">
        <f t="shared" si="341"/>
        <v>14288886</v>
      </c>
      <c r="AX725" s="15">
        <f t="shared" si="335"/>
        <v>14289000</v>
      </c>
      <c r="AY725" s="20">
        <v>7.0000000000000007E-2</v>
      </c>
      <c r="AZ725" s="13">
        <f t="shared" si="336"/>
        <v>1000230.0000000001</v>
      </c>
      <c r="BA725" s="15">
        <f t="shared" si="337"/>
        <v>1000300</v>
      </c>
      <c r="BB725" s="21">
        <f t="shared" si="342"/>
        <v>10804907</v>
      </c>
      <c r="BC725" s="10">
        <f t="shared" si="343"/>
        <v>0</v>
      </c>
      <c r="BD725" s="10">
        <f t="shared" si="344"/>
        <v>0</v>
      </c>
      <c r="BE725" s="10">
        <v>72.2</v>
      </c>
      <c r="BF725" s="10">
        <v>33.700000000000003</v>
      </c>
      <c r="BG725" s="107">
        <v>46176</v>
      </c>
      <c r="BH725" s="107">
        <f t="shared" si="318"/>
        <v>46206</v>
      </c>
      <c r="BI725" s="23">
        <v>7</v>
      </c>
      <c r="BJ725" s="6"/>
      <c r="BK725" s="6"/>
      <c r="BL725" s="6">
        <f>VLOOKUP(A725,[2]Sheet1!$D$2:$H$933,5,0)</f>
        <v>0</v>
      </c>
      <c r="BM725" s="6" t="s">
        <v>3828</v>
      </c>
      <c r="BN725" s="6" t="s">
        <v>3829</v>
      </c>
      <c r="BO725" s="6" t="s">
        <v>3820</v>
      </c>
      <c r="BP725" s="6" t="s">
        <v>3821</v>
      </c>
      <c r="BQ725" s="6" t="s">
        <v>3830</v>
      </c>
      <c r="BR725" t="s">
        <v>3823</v>
      </c>
      <c r="BS725" t="s">
        <v>3824</v>
      </c>
      <c r="BT725" t="s">
        <v>3825</v>
      </c>
      <c r="BU725" t="s">
        <v>3826</v>
      </c>
      <c r="BV725" t="s">
        <v>3827</v>
      </c>
      <c r="BW725" t="s">
        <v>3835</v>
      </c>
      <c r="BX725">
        <v>0</v>
      </c>
      <c r="BY725" t="s">
        <v>3859</v>
      </c>
      <c r="BZ725" t="s">
        <v>3860</v>
      </c>
    </row>
    <row r="726" spans="1:78" x14ac:dyDescent="0.25">
      <c r="A726" s="7" t="s">
        <v>2961</v>
      </c>
      <c r="B726" s="7" t="s">
        <v>181</v>
      </c>
      <c r="C726" s="7" t="s">
        <v>2959</v>
      </c>
      <c r="D726" s="8" t="s">
        <v>2960</v>
      </c>
      <c r="E726" s="7" t="s">
        <v>2962</v>
      </c>
      <c r="F726" s="9">
        <v>45065</v>
      </c>
      <c r="G726" s="9" t="s">
        <v>65</v>
      </c>
      <c r="H726" s="9" t="s">
        <v>66</v>
      </c>
      <c r="I726" s="8" t="s">
        <v>78</v>
      </c>
      <c r="J726" s="10">
        <v>861.12</v>
      </c>
      <c r="K726" s="10">
        <v>861.12</v>
      </c>
      <c r="L726" s="10">
        <f t="shared" si="319"/>
        <v>0</v>
      </c>
      <c r="M726" s="10">
        <v>391.27</v>
      </c>
      <c r="N726" s="10">
        <v>391.27</v>
      </c>
      <c r="O726" s="10">
        <f t="shared" si="320"/>
        <v>0</v>
      </c>
      <c r="P726" s="11">
        <v>9280.0503994797473</v>
      </c>
      <c r="Q726" s="11">
        <v>20423.842870651981</v>
      </c>
      <c r="R726" s="11">
        <v>22000</v>
      </c>
      <c r="S726" s="11">
        <v>7991237</v>
      </c>
      <c r="T726" s="11">
        <v>958948</v>
      </c>
      <c r="U726" s="12">
        <f t="shared" si="321"/>
        <v>0.11999994493968831</v>
      </c>
      <c r="V726" s="13">
        <f t="shared" si="346"/>
        <v>0</v>
      </c>
      <c r="W726" s="10">
        <f t="shared" si="323"/>
        <v>0</v>
      </c>
      <c r="X726" s="10"/>
      <c r="Y726" s="10"/>
      <c r="Z726" s="11">
        <f t="shared" si="324"/>
        <v>7991237</v>
      </c>
      <c r="AA726" s="14"/>
      <c r="AB726" s="14"/>
      <c r="AC726" s="11">
        <f t="shared" si="325"/>
        <v>7991237</v>
      </c>
      <c r="AD726" s="10">
        <f t="shared" si="326"/>
        <v>300</v>
      </c>
      <c r="AE726" s="15">
        <v>117381</v>
      </c>
      <c r="AF726" s="16">
        <v>21128</v>
      </c>
      <c r="AG726" s="15">
        <f t="shared" si="327"/>
        <v>0</v>
      </c>
      <c r="AH726" s="15">
        <f t="shared" si="328"/>
        <v>0</v>
      </c>
      <c r="AI726" s="15">
        <f t="shared" si="329"/>
        <v>117381</v>
      </c>
      <c r="AJ726" s="15">
        <f t="shared" si="330"/>
        <v>21129</v>
      </c>
      <c r="AK726" s="10">
        <v>117381</v>
      </c>
      <c r="AL726" s="15">
        <f t="shared" si="331"/>
        <v>117381</v>
      </c>
      <c r="AM726" s="15">
        <f t="shared" si="332"/>
        <v>8108618</v>
      </c>
      <c r="AN726" s="15">
        <f t="shared" si="333"/>
        <v>980077</v>
      </c>
      <c r="AO726" s="15">
        <f t="shared" si="338"/>
        <v>1135967</v>
      </c>
      <c r="AP726" s="17">
        <f t="shared" si="334"/>
        <v>9244585</v>
      </c>
      <c r="AQ726" s="15">
        <v>1120000</v>
      </c>
      <c r="AR726" s="15">
        <v>38509</v>
      </c>
      <c r="AS726" s="18">
        <f t="shared" si="339"/>
        <v>8124585</v>
      </c>
      <c r="AT726" s="19">
        <v>0</v>
      </c>
      <c r="AU726" s="8">
        <v>8800</v>
      </c>
      <c r="AV726" s="13">
        <f t="shared" si="340"/>
        <v>3443176</v>
      </c>
      <c r="AW726" s="18">
        <f t="shared" si="341"/>
        <v>8108618</v>
      </c>
      <c r="AX726" s="15">
        <f t="shared" si="335"/>
        <v>8109000</v>
      </c>
      <c r="AY726" s="20">
        <v>7.0000000000000007E-2</v>
      </c>
      <c r="AZ726" s="13">
        <f t="shared" si="336"/>
        <v>567630</v>
      </c>
      <c r="BA726" s="15">
        <f t="shared" si="337"/>
        <v>567700</v>
      </c>
      <c r="BB726" s="21">
        <f t="shared" si="342"/>
        <v>8692285</v>
      </c>
      <c r="BC726" s="10">
        <f t="shared" si="343"/>
        <v>0</v>
      </c>
      <c r="BD726" s="10">
        <f t="shared" si="344"/>
        <v>0</v>
      </c>
      <c r="BE726" s="10">
        <v>80</v>
      </c>
      <c r="BF726" s="10">
        <v>36.35</v>
      </c>
      <c r="BG726" s="107">
        <v>46176</v>
      </c>
      <c r="BH726" s="107">
        <f t="shared" si="318"/>
        <v>46206</v>
      </c>
      <c r="BI726" s="23">
        <v>7</v>
      </c>
      <c r="BJ726" s="6"/>
      <c r="BK726" s="6"/>
      <c r="BL726" s="6">
        <f>VLOOKUP(A726,[2]Sheet1!$D$2:$H$933,5,0)</f>
        <v>0</v>
      </c>
      <c r="BM726" s="6" t="s">
        <v>3828</v>
      </c>
      <c r="BN726" s="6" t="s">
        <v>3829</v>
      </c>
      <c r="BO726" s="6" t="s">
        <v>3820</v>
      </c>
      <c r="BP726" s="6" t="s">
        <v>3821</v>
      </c>
      <c r="BQ726" s="6" t="s">
        <v>3830</v>
      </c>
      <c r="BR726" t="s">
        <v>3823</v>
      </c>
      <c r="BS726" t="s">
        <v>3824</v>
      </c>
      <c r="BT726" t="s">
        <v>3825</v>
      </c>
      <c r="BU726" t="s">
        <v>3826</v>
      </c>
      <c r="BV726" t="s">
        <v>3827</v>
      </c>
      <c r="BW726" t="s">
        <v>3835</v>
      </c>
      <c r="BX726">
        <v>0</v>
      </c>
      <c r="BY726" t="s">
        <v>3861</v>
      </c>
      <c r="BZ726" t="s">
        <v>3860</v>
      </c>
    </row>
    <row r="727" spans="1:78" x14ac:dyDescent="0.25">
      <c r="A727" s="7" t="s">
        <v>2965</v>
      </c>
      <c r="B727" s="7" t="s">
        <v>181</v>
      </c>
      <c r="C727" s="7" t="s">
        <v>2963</v>
      </c>
      <c r="D727" s="8" t="s">
        <v>2964</v>
      </c>
      <c r="E727" s="7" t="s">
        <v>2815</v>
      </c>
      <c r="F727" s="9">
        <v>44872</v>
      </c>
      <c r="G727" s="9" t="s">
        <v>717</v>
      </c>
      <c r="H727" s="9" t="s">
        <v>72</v>
      </c>
      <c r="I727" s="8" t="s">
        <v>78</v>
      </c>
      <c r="J727" s="10">
        <v>764.24</v>
      </c>
      <c r="K727" s="10">
        <v>764.24</v>
      </c>
      <c r="L727" s="10">
        <f t="shared" si="319"/>
        <v>0</v>
      </c>
      <c r="M727" s="10">
        <v>352.52</v>
      </c>
      <c r="N727" s="10">
        <v>352.52</v>
      </c>
      <c r="O727" s="10">
        <f t="shared" si="320"/>
        <v>0</v>
      </c>
      <c r="P727" s="11">
        <v>14475</v>
      </c>
      <c r="Q727" s="11">
        <v>31380.840803358675</v>
      </c>
      <c r="R727" s="11">
        <v>20000</v>
      </c>
      <c r="S727" s="11">
        <v>11062374</v>
      </c>
      <c r="T727" s="11">
        <v>1327486</v>
      </c>
      <c r="U727" s="12">
        <f t="shared" si="321"/>
        <v>0.12000010124409101</v>
      </c>
      <c r="V727" s="13">
        <f t="shared" si="346"/>
        <v>0</v>
      </c>
      <c r="W727" s="10">
        <f t="shared" si="323"/>
        <v>0</v>
      </c>
      <c r="X727" s="10"/>
      <c r="Y727" s="10"/>
      <c r="Z727" s="11">
        <f t="shared" si="324"/>
        <v>11062374</v>
      </c>
      <c r="AA727" s="14"/>
      <c r="AB727" s="14"/>
      <c r="AC727" s="11">
        <f t="shared" si="325"/>
        <v>11062374</v>
      </c>
      <c r="AD727" s="10">
        <f t="shared" si="326"/>
        <v>300</v>
      </c>
      <c r="AE727" s="15">
        <v>105756</v>
      </c>
      <c r="AF727" s="16">
        <v>19036</v>
      </c>
      <c r="AG727" s="15">
        <f t="shared" si="327"/>
        <v>0</v>
      </c>
      <c r="AH727" s="15">
        <f t="shared" si="328"/>
        <v>0</v>
      </c>
      <c r="AI727" s="15">
        <f t="shared" si="329"/>
        <v>105756</v>
      </c>
      <c r="AJ727" s="15">
        <f t="shared" si="330"/>
        <v>19037</v>
      </c>
      <c r="AK727" s="10">
        <v>105756</v>
      </c>
      <c r="AL727" s="15">
        <f t="shared" si="331"/>
        <v>105756</v>
      </c>
      <c r="AM727" s="15">
        <f t="shared" si="332"/>
        <v>11168130</v>
      </c>
      <c r="AN727" s="15">
        <f t="shared" si="333"/>
        <v>1346523</v>
      </c>
      <c r="AO727" s="15">
        <f t="shared" si="338"/>
        <v>1484776</v>
      </c>
      <c r="AP727" s="17">
        <f t="shared" si="334"/>
        <v>12652906</v>
      </c>
      <c r="AQ727" s="15">
        <v>6195312</v>
      </c>
      <c r="AR727" s="15">
        <v>32497</v>
      </c>
      <c r="AS727" s="18">
        <f t="shared" si="339"/>
        <v>6457594</v>
      </c>
      <c r="AT727" s="19">
        <v>0</v>
      </c>
      <c r="AU727" s="8">
        <v>8800</v>
      </c>
      <c r="AV727" s="13">
        <f t="shared" si="340"/>
        <v>3102176</v>
      </c>
      <c r="AW727" s="18">
        <f t="shared" si="341"/>
        <v>11168130</v>
      </c>
      <c r="AX727" s="15">
        <f t="shared" si="335"/>
        <v>11169000</v>
      </c>
      <c r="AY727" s="20">
        <v>7.0000000000000007E-2</v>
      </c>
      <c r="AZ727" s="13">
        <f t="shared" si="336"/>
        <v>781830.00000000012</v>
      </c>
      <c r="BA727" s="15">
        <f t="shared" si="337"/>
        <v>781900</v>
      </c>
      <c r="BB727" s="21">
        <f t="shared" si="342"/>
        <v>7239494</v>
      </c>
      <c r="BC727" s="10">
        <f t="shared" si="343"/>
        <v>0</v>
      </c>
      <c r="BD727" s="10">
        <f t="shared" si="344"/>
        <v>0</v>
      </c>
      <c r="BE727" s="10">
        <v>71</v>
      </c>
      <c r="BF727" s="10">
        <v>32.75</v>
      </c>
      <c r="BG727" s="107">
        <v>46176</v>
      </c>
      <c r="BH727" s="107">
        <f t="shared" si="318"/>
        <v>46206</v>
      </c>
      <c r="BI727" s="23">
        <v>7</v>
      </c>
      <c r="BJ727" s="6"/>
      <c r="BK727" s="6"/>
      <c r="BL727" s="6">
        <f>VLOOKUP(A727,[2]Sheet1!$D$2:$H$933,5,0)</f>
        <v>0</v>
      </c>
      <c r="BM727" s="6" t="s">
        <v>3828</v>
      </c>
      <c r="BN727" s="6" t="s">
        <v>3829</v>
      </c>
      <c r="BO727" s="6" t="s">
        <v>3820</v>
      </c>
      <c r="BP727" s="6" t="s">
        <v>3821</v>
      </c>
      <c r="BQ727" s="6" t="s">
        <v>3830</v>
      </c>
      <c r="BR727" t="s">
        <v>3823</v>
      </c>
      <c r="BS727" t="s">
        <v>3824</v>
      </c>
      <c r="BT727" t="s">
        <v>3825</v>
      </c>
      <c r="BU727" t="s">
        <v>3826</v>
      </c>
      <c r="BV727" t="s">
        <v>3827</v>
      </c>
      <c r="BW727" t="s">
        <v>3835</v>
      </c>
      <c r="BX727">
        <v>0</v>
      </c>
      <c r="BY727" t="s">
        <v>3859</v>
      </c>
      <c r="BZ727" t="s">
        <v>3872</v>
      </c>
    </row>
    <row r="728" spans="1:78" x14ac:dyDescent="0.25">
      <c r="A728" s="7" t="s">
        <v>2968</v>
      </c>
      <c r="B728" s="7" t="s">
        <v>181</v>
      </c>
      <c r="C728" s="7" t="s">
        <v>2966</v>
      </c>
      <c r="D728" s="8" t="s">
        <v>2967</v>
      </c>
      <c r="E728" s="7" t="s">
        <v>2969</v>
      </c>
      <c r="F728" s="9">
        <v>45266</v>
      </c>
      <c r="G728" s="9" t="s">
        <v>77</v>
      </c>
      <c r="H728" s="9" t="s">
        <v>66</v>
      </c>
      <c r="I728" s="8" t="s">
        <v>78</v>
      </c>
      <c r="J728" s="10">
        <v>1216.33</v>
      </c>
      <c r="K728" s="10">
        <v>1216.33</v>
      </c>
      <c r="L728" s="10">
        <f t="shared" si="319"/>
        <v>0</v>
      </c>
      <c r="M728" s="10">
        <v>555.41999999999996</v>
      </c>
      <c r="N728" s="10">
        <v>555.41999999999996</v>
      </c>
      <c r="O728" s="10">
        <f t="shared" si="320"/>
        <v>0</v>
      </c>
      <c r="P728" s="11">
        <v>11389.016960857663</v>
      </c>
      <c r="Q728" s="11">
        <v>24941.13103597278</v>
      </c>
      <c r="R728" s="11">
        <v>22000</v>
      </c>
      <c r="S728" s="11">
        <v>13852803</v>
      </c>
      <c r="T728" s="11">
        <v>1662338</v>
      </c>
      <c r="U728" s="12">
        <f t="shared" si="321"/>
        <v>0.12000011838759275</v>
      </c>
      <c r="V728" s="13">
        <f t="shared" si="346"/>
        <v>0</v>
      </c>
      <c r="W728" s="10">
        <f t="shared" si="323"/>
        <v>0</v>
      </c>
      <c r="X728" s="10"/>
      <c r="Y728" s="10"/>
      <c r="Z728" s="11">
        <f t="shared" si="324"/>
        <v>13852803</v>
      </c>
      <c r="AA728" s="14"/>
      <c r="AB728" s="14"/>
      <c r="AC728" s="11">
        <f t="shared" si="325"/>
        <v>13852803</v>
      </c>
      <c r="AD728" s="10">
        <f t="shared" si="326"/>
        <v>300</v>
      </c>
      <c r="AE728" s="15">
        <v>166626</v>
      </c>
      <c r="AF728" s="16">
        <v>29992</v>
      </c>
      <c r="AG728" s="15">
        <f t="shared" si="327"/>
        <v>0</v>
      </c>
      <c r="AH728" s="15">
        <f t="shared" si="328"/>
        <v>0</v>
      </c>
      <c r="AI728" s="15">
        <f t="shared" si="329"/>
        <v>166626</v>
      </c>
      <c r="AJ728" s="15">
        <f t="shared" si="330"/>
        <v>29993</v>
      </c>
      <c r="AK728" s="10">
        <v>166626</v>
      </c>
      <c r="AL728" s="15">
        <f t="shared" si="331"/>
        <v>166626</v>
      </c>
      <c r="AM728" s="15">
        <f t="shared" si="332"/>
        <v>14019429</v>
      </c>
      <c r="AN728" s="15">
        <f t="shared" si="333"/>
        <v>1692331</v>
      </c>
      <c r="AO728" s="15">
        <f t="shared" si="338"/>
        <v>1895018</v>
      </c>
      <c r="AP728" s="17">
        <f t="shared" si="334"/>
        <v>15914447</v>
      </c>
      <c r="AQ728" s="15">
        <v>8857762.7300000004</v>
      </c>
      <c r="AR728" s="15">
        <v>36061</v>
      </c>
      <c r="AS728" s="18">
        <f t="shared" si="339"/>
        <v>7056684</v>
      </c>
      <c r="AT728" s="19">
        <v>0</v>
      </c>
      <c r="AU728" s="8">
        <v>8800</v>
      </c>
      <c r="AV728" s="13">
        <f t="shared" si="340"/>
        <v>4887696</v>
      </c>
      <c r="AW728" s="18">
        <f t="shared" si="341"/>
        <v>14019429</v>
      </c>
      <c r="AX728" s="15">
        <f t="shared" si="335"/>
        <v>14020000</v>
      </c>
      <c r="AY728" s="20">
        <v>7.0000000000000007E-2</v>
      </c>
      <c r="AZ728" s="13">
        <f t="shared" si="336"/>
        <v>981400.00000000012</v>
      </c>
      <c r="BA728" s="15">
        <f t="shared" si="337"/>
        <v>981400</v>
      </c>
      <c r="BB728" s="21">
        <f t="shared" si="342"/>
        <v>8038084</v>
      </c>
      <c r="BC728" s="10">
        <f t="shared" si="343"/>
        <v>0</v>
      </c>
      <c r="BD728" s="10">
        <f t="shared" si="344"/>
        <v>0</v>
      </c>
      <c r="BE728" s="10">
        <v>113</v>
      </c>
      <c r="BF728" s="10">
        <v>51.6</v>
      </c>
      <c r="BG728" s="107">
        <v>46176</v>
      </c>
      <c r="BH728" s="107">
        <f t="shared" si="318"/>
        <v>46206</v>
      </c>
      <c r="BI728" s="23">
        <v>7</v>
      </c>
      <c r="BJ728" s="6"/>
      <c r="BK728" s="6"/>
      <c r="BL728" s="6">
        <f>VLOOKUP(A728,[2]Sheet1!$D$2:$H$933,5,0)</f>
        <v>0</v>
      </c>
      <c r="BM728" s="6" t="s">
        <v>3828</v>
      </c>
      <c r="BN728" s="6" t="s">
        <v>3829</v>
      </c>
      <c r="BO728" s="6" t="s">
        <v>3820</v>
      </c>
      <c r="BP728" s="6" t="s">
        <v>3821</v>
      </c>
      <c r="BQ728" s="6" t="s">
        <v>3830</v>
      </c>
      <c r="BR728" t="s">
        <v>3823</v>
      </c>
      <c r="BS728" t="s">
        <v>3824</v>
      </c>
      <c r="BT728" t="s">
        <v>3825</v>
      </c>
      <c r="BU728" t="s">
        <v>3826</v>
      </c>
      <c r="BV728" t="s">
        <v>3827</v>
      </c>
      <c r="BW728" t="s">
        <v>3835</v>
      </c>
      <c r="BX728">
        <v>0</v>
      </c>
      <c r="BY728" t="s">
        <v>3865</v>
      </c>
      <c r="BZ728" t="s">
        <v>3863</v>
      </c>
    </row>
    <row r="729" spans="1:78" x14ac:dyDescent="0.25">
      <c r="A729" s="7" t="s">
        <v>2972</v>
      </c>
      <c r="B729" s="7" t="s">
        <v>181</v>
      </c>
      <c r="C729" s="7" t="s">
        <v>2970</v>
      </c>
      <c r="D729" s="8" t="s">
        <v>2971</v>
      </c>
      <c r="E729" s="7" t="s">
        <v>2973</v>
      </c>
      <c r="F729" s="9">
        <v>45066</v>
      </c>
      <c r="G729" s="9" t="s">
        <v>363</v>
      </c>
      <c r="H729" s="9" t="s">
        <v>92</v>
      </c>
      <c r="I729" s="8" t="s">
        <v>78</v>
      </c>
      <c r="J729" s="10">
        <v>1022.58</v>
      </c>
      <c r="K729" s="10">
        <v>1022.58</v>
      </c>
      <c r="L729" s="10">
        <f t="shared" si="319"/>
        <v>0</v>
      </c>
      <c r="M729" s="10">
        <v>465.44</v>
      </c>
      <c r="N729" s="10">
        <v>465.44</v>
      </c>
      <c r="O729" s="10">
        <f t="shared" si="320"/>
        <v>0</v>
      </c>
      <c r="P729" s="11">
        <v>12150</v>
      </c>
      <c r="Q729" s="11">
        <v>26693.767188037127</v>
      </c>
      <c r="R729" s="11">
        <v>28000</v>
      </c>
      <c r="S729" s="11">
        <v>12424347</v>
      </c>
      <c r="T729" s="11">
        <v>1490922</v>
      </c>
      <c r="U729" s="12">
        <f t="shared" si="321"/>
        <v>0.12000002897536587</v>
      </c>
      <c r="V729" s="13">
        <f t="shared" si="346"/>
        <v>0</v>
      </c>
      <c r="W729" s="10">
        <f t="shared" si="323"/>
        <v>0</v>
      </c>
      <c r="X729" s="10"/>
      <c r="Y729" s="10"/>
      <c r="Z729" s="11">
        <f t="shared" si="324"/>
        <v>12424347</v>
      </c>
      <c r="AA729" s="14"/>
      <c r="AB729" s="14"/>
      <c r="AC729" s="11">
        <f t="shared" si="325"/>
        <v>12424347</v>
      </c>
      <c r="AD729" s="10">
        <f t="shared" si="326"/>
        <v>300</v>
      </c>
      <c r="AE729" s="15">
        <v>139632</v>
      </c>
      <c r="AF729" s="16">
        <v>25134</v>
      </c>
      <c r="AG729" s="15">
        <f t="shared" si="327"/>
        <v>0</v>
      </c>
      <c r="AH729" s="15">
        <f t="shared" si="328"/>
        <v>0</v>
      </c>
      <c r="AI729" s="15">
        <f t="shared" si="329"/>
        <v>139632</v>
      </c>
      <c r="AJ729" s="15">
        <f t="shared" si="330"/>
        <v>25134</v>
      </c>
      <c r="AK729" s="10">
        <v>139632</v>
      </c>
      <c r="AL729" s="15">
        <f t="shared" si="331"/>
        <v>139632</v>
      </c>
      <c r="AM729" s="15">
        <f t="shared" si="332"/>
        <v>12563979</v>
      </c>
      <c r="AN729" s="15">
        <f t="shared" si="333"/>
        <v>1516056</v>
      </c>
      <c r="AO729" s="15">
        <f t="shared" si="338"/>
        <v>1683585</v>
      </c>
      <c r="AP729" s="17">
        <f t="shared" si="334"/>
        <v>14247564</v>
      </c>
      <c r="AQ729" s="15">
        <v>12411923</v>
      </c>
      <c r="AR729" s="15">
        <v>27897</v>
      </c>
      <c r="AS729" s="18">
        <f t="shared" si="339"/>
        <v>1835641</v>
      </c>
      <c r="AT729" s="19">
        <v>0</v>
      </c>
      <c r="AU729" s="8">
        <v>8800</v>
      </c>
      <c r="AV729" s="13">
        <f t="shared" si="340"/>
        <v>4095872</v>
      </c>
      <c r="AW729" s="18">
        <f t="shared" si="341"/>
        <v>12563979</v>
      </c>
      <c r="AX729" s="15">
        <f t="shared" si="335"/>
        <v>12564000</v>
      </c>
      <c r="AY729" s="20">
        <v>0.05</v>
      </c>
      <c r="AZ729" s="13">
        <f t="shared" si="336"/>
        <v>628200</v>
      </c>
      <c r="BA729" s="15">
        <f t="shared" si="337"/>
        <v>628200</v>
      </c>
      <c r="BB729" s="21">
        <f t="shared" si="342"/>
        <v>2463841</v>
      </c>
      <c r="BC729" s="10">
        <f t="shared" si="343"/>
        <v>0</v>
      </c>
      <c r="BD729" s="10">
        <f t="shared" si="344"/>
        <v>0</v>
      </c>
      <c r="BE729" s="10">
        <v>95</v>
      </c>
      <c r="BF729" s="10">
        <v>43.24</v>
      </c>
      <c r="BG729" s="107">
        <v>46176</v>
      </c>
      <c r="BH729" s="107">
        <f t="shared" si="318"/>
        <v>46206</v>
      </c>
      <c r="BI729" s="23">
        <v>5</v>
      </c>
      <c r="BJ729" s="6"/>
      <c r="BK729" s="6"/>
      <c r="BL729" s="6">
        <f>VLOOKUP(A729,[2]Sheet1!$D$2:$H$933,5,0)</f>
        <v>0</v>
      </c>
      <c r="BM729" s="6" t="s">
        <v>3828</v>
      </c>
      <c r="BN729" s="6" t="s">
        <v>3829</v>
      </c>
      <c r="BO729" s="6" t="s">
        <v>3820</v>
      </c>
      <c r="BP729" s="6" t="s">
        <v>3821</v>
      </c>
      <c r="BQ729" s="6" t="s">
        <v>3830</v>
      </c>
      <c r="BR729" t="s">
        <v>3823</v>
      </c>
      <c r="BS729" t="s">
        <v>3824</v>
      </c>
      <c r="BT729" t="s">
        <v>3825</v>
      </c>
      <c r="BU729" t="s">
        <v>3826</v>
      </c>
      <c r="BV729" t="s">
        <v>3827</v>
      </c>
      <c r="BW729" t="s">
        <v>3835</v>
      </c>
      <c r="BX729">
        <v>0</v>
      </c>
      <c r="BY729" t="s">
        <v>3859</v>
      </c>
      <c r="BZ729" t="s">
        <v>3860</v>
      </c>
    </row>
    <row r="730" spans="1:78" x14ac:dyDescent="0.25">
      <c r="A730" s="7" t="s">
        <v>2976</v>
      </c>
      <c r="B730" s="7" t="s">
        <v>181</v>
      </c>
      <c r="C730" s="7" t="s">
        <v>2974</v>
      </c>
      <c r="D730" s="8" t="s">
        <v>2975</v>
      </c>
      <c r="E730" s="7" t="s">
        <v>2977</v>
      </c>
      <c r="F730" s="9">
        <v>44930</v>
      </c>
      <c r="G730" s="9" t="s">
        <v>717</v>
      </c>
      <c r="H730" s="9" t="s">
        <v>66</v>
      </c>
      <c r="I730" s="8" t="s">
        <v>78</v>
      </c>
      <c r="J730" s="10">
        <v>764.24</v>
      </c>
      <c r="K730" s="10">
        <v>764.24</v>
      </c>
      <c r="L730" s="10">
        <f t="shared" si="319"/>
        <v>0</v>
      </c>
      <c r="M730" s="10">
        <v>333.68</v>
      </c>
      <c r="N730" s="10">
        <v>347</v>
      </c>
      <c r="O730" s="10">
        <f t="shared" si="320"/>
        <v>13.319999999999993</v>
      </c>
      <c r="P730" s="11">
        <v>17299.000314037476</v>
      </c>
      <c r="Q730" s="11">
        <v>39620.558619036201</v>
      </c>
      <c r="R730" s="11">
        <v>22000</v>
      </c>
      <c r="S730" s="11">
        <v>13220588</v>
      </c>
      <c r="T730" s="11">
        <v>1586470</v>
      </c>
      <c r="U730" s="12">
        <f t="shared" si="321"/>
        <v>0.1199999576418235</v>
      </c>
      <c r="V730" s="13">
        <f t="shared" si="346"/>
        <v>0</v>
      </c>
      <c r="W730" s="10">
        <f t="shared" si="323"/>
        <v>0</v>
      </c>
      <c r="X730" s="10"/>
      <c r="Y730" s="10"/>
      <c r="Z730" s="11">
        <f t="shared" si="324"/>
        <v>13220588</v>
      </c>
      <c r="AA730" s="14"/>
      <c r="AB730" s="14"/>
      <c r="AC730" s="11">
        <f t="shared" si="325"/>
        <v>13220588</v>
      </c>
      <c r="AD730" s="10">
        <f t="shared" si="326"/>
        <v>300</v>
      </c>
      <c r="AE730" s="15">
        <v>100104</v>
      </c>
      <c r="AF730" s="16">
        <v>18018</v>
      </c>
      <c r="AG730" s="15">
        <f t="shared" si="327"/>
        <v>3995.9999999999982</v>
      </c>
      <c r="AH730" s="15">
        <f t="shared" si="328"/>
        <v>719.27999999999963</v>
      </c>
      <c r="AI730" s="15">
        <f t="shared" si="329"/>
        <v>104100</v>
      </c>
      <c r="AJ730" s="15">
        <f t="shared" si="330"/>
        <v>18738</v>
      </c>
      <c r="AK730" s="10">
        <v>100104</v>
      </c>
      <c r="AL730" s="15">
        <f t="shared" si="331"/>
        <v>104100</v>
      </c>
      <c r="AM730" s="15">
        <f t="shared" si="332"/>
        <v>13324688</v>
      </c>
      <c r="AN730" s="15">
        <f t="shared" si="333"/>
        <v>1605208</v>
      </c>
      <c r="AO730" s="15">
        <f t="shared" si="338"/>
        <v>1751368</v>
      </c>
      <c r="AP730" s="17">
        <f t="shared" si="334"/>
        <v>15076056</v>
      </c>
      <c r="AQ730" s="15">
        <v>4653639</v>
      </c>
      <c r="AR730" s="15">
        <v>42060</v>
      </c>
      <c r="AS730" s="18">
        <f t="shared" si="339"/>
        <v>10422417</v>
      </c>
      <c r="AT730" s="19">
        <v>0</v>
      </c>
      <c r="AU730" s="8">
        <v>8800</v>
      </c>
      <c r="AV730" s="13">
        <f t="shared" si="340"/>
        <v>3053600</v>
      </c>
      <c r="AW730" s="18">
        <f t="shared" si="341"/>
        <v>13324688</v>
      </c>
      <c r="AX730" s="15">
        <f t="shared" si="335"/>
        <v>13325000</v>
      </c>
      <c r="AY730" s="20">
        <v>0.05</v>
      </c>
      <c r="AZ730" s="13">
        <f t="shared" si="336"/>
        <v>666250</v>
      </c>
      <c r="BA730" s="15">
        <f t="shared" si="337"/>
        <v>666300</v>
      </c>
      <c r="BB730" s="21">
        <f t="shared" si="342"/>
        <v>11088717</v>
      </c>
      <c r="BC730" s="10">
        <f t="shared" si="343"/>
        <v>0</v>
      </c>
      <c r="BD730" s="10">
        <f t="shared" si="344"/>
        <v>3.9918484775833112</v>
      </c>
      <c r="BE730" s="10">
        <v>71</v>
      </c>
      <c r="BF730" s="10">
        <v>32.24</v>
      </c>
      <c r="BG730" s="107">
        <v>46176</v>
      </c>
      <c r="BH730" s="107">
        <f t="shared" si="318"/>
        <v>46206</v>
      </c>
      <c r="BI730" s="23">
        <v>5</v>
      </c>
      <c r="BJ730" s="6"/>
      <c r="BK730" s="6"/>
      <c r="BL730" s="6">
        <f>VLOOKUP(A730,[2]Sheet1!$D$2:$H$933,5,0)</f>
        <v>0</v>
      </c>
      <c r="BM730" s="6" t="s">
        <v>3828</v>
      </c>
      <c r="BN730" s="6" t="s">
        <v>3829</v>
      </c>
      <c r="BO730" s="6" t="s">
        <v>3820</v>
      </c>
      <c r="BP730" s="6" t="s">
        <v>3821</v>
      </c>
      <c r="BQ730" s="6" t="s">
        <v>3830</v>
      </c>
      <c r="BR730" t="s">
        <v>3823</v>
      </c>
      <c r="BS730" t="s">
        <v>3824</v>
      </c>
      <c r="BT730" t="s">
        <v>3825</v>
      </c>
      <c r="BU730" t="s">
        <v>3826</v>
      </c>
      <c r="BV730" t="s">
        <v>3827</v>
      </c>
      <c r="BW730" t="s">
        <v>3835</v>
      </c>
      <c r="BX730">
        <v>0</v>
      </c>
      <c r="BY730" t="s">
        <v>3870</v>
      </c>
      <c r="BZ730" t="s">
        <v>3872</v>
      </c>
    </row>
    <row r="731" spans="1:78" x14ac:dyDescent="0.25">
      <c r="A731" s="7" t="s">
        <v>2980</v>
      </c>
      <c r="B731" s="7" t="s">
        <v>181</v>
      </c>
      <c r="C731" s="7" t="s">
        <v>2978</v>
      </c>
      <c r="D731" s="8" t="s">
        <v>2979</v>
      </c>
      <c r="E731" s="7" t="s">
        <v>2981</v>
      </c>
      <c r="F731" s="9">
        <v>45020</v>
      </c>
      <c r="G731" s="9" t="s">
        <v>404</v>
      </c>
      <c r="H731" s="9" t="s">
        <v>1167</v>
      </c>
      <c r="I731" s="8" t="s">
        <v>635</v>
      </c>
      <c r="J731" s="10">
        <v>2084.13</v>
      </c>
      <c r="K731" s="10">
        <v>2084.13</v>
      </c>
      <c r="L731" s="10">
        <f t="shared" si="319"/>
        <v>0</v>
      </c>
      <c r="M731" s="10">
        <v>229.27</v>
      </c>
      <c r="N731" s="10">
        <v>229.27</v>
      </c>
      <c r="O731" s="10">
        <f t="shared" si="320"/>
        <v>0</v>
      </c>
      <c r="P731" s="11">
        <v>5200</v>
      </c>
      <c r="Q731" s="11">
        <v>47269.490120818249</v>
      </c>
      <c r="R731" s="11">
        <v>20000</v>
      </c>
      <c r="S731" s="11">
        <v>10837476</v>
      </c>
      <c r="T731" s="11">
        <v>1300498</v>
      </c>
      <c r="U731" s="12">
        <f t="shared" si="321"/>
        <v>0.12000008119971846</v>
      </c>
      <c r="V731" s="13">
        <f t="shared" si="346"/>
        <v>0</v>
      </c>
      <c r="W731" s="10">
        <f t="shared" si="323"/>
        <v>0</v>
      </c>
      <c r="X731" s="10"/>
      <c r="Y731" s="10"/>
      <c r="Z731" s="11">
        <f t="shared" si="324"/>
        <v>10837476</v>
      </c>
      <c r="AA731" s="14"/>
      <c r="AB731" s="14"/>
      <c r="AC731" s="11">
        <f t="shared" si="325"/>
        <v>10837476</v>
      </c>
      <c r="AD731" s="10">
        <f t="shared" si="326"/>
        <v>300</v>
      </c>
      <c r="AE731" s="15">
        <v>68781</v>
      </c>
      <c r="AF731" s="16">
        <v>12380</v>
      </c>
      <c r="AG731" s="15">
        <f t="shared" si="327"/>
        <v>0</v>
      </c>
      <c r="AH731" s="15">
        <f t="shared" si="328"/>
        <v>0</v>
      </c>
      <c r="AI731" s="15">
        <f t="shared" si="329"/>
        <v>68781</v>
      </c>
      <c r="AJ731" s="15">
        <f t="shared" si="330"/>
        <v>12381</v>
      </c>
      <c r="AK731" s="10">
        <v>68781</v>
      </c>
      <c r="AL731" s="15">
        <f t="shared" si="331"/>
        <v>68781</v>
      </c>
      <c r="AM731" s="15">
        <f t="shared" si="332"/>
        <v>10906257</v>
      </c>
      <c r="AN731" s="15">
        <f t="shared" si="333"/>
        <v>1312879</v>
      </c>
      <c r="AO731" s="15">
        <f t="shared" si="338"/>
        <v>1423864</v>
      </c>
      <c r="AP731" s="17">
        <f t="shared" si="334"/>
        <v>12330121</v>
      </c>
      <c r="AQ731" s="15">
        <v>2433918</v>
      </c>
      <c r="AR731" s="15">
        <v>42204</v>
      </c>
      <c r="AS731" s="18">
        <f t="shared" si="339"/>
        <v>9896203</v>
      </c>
      <c r="AT731" s="19">
        <v>11056200</v>
      </c>
      <c r="AU731" s="8">
        <v>8800</v>
      </c>
      <c r="AV731" s="13">
        <f t="shared" si="340"/>
        <v>2017576</v>
      </c>
      <c r="AW731" s="18">
        <f t="shared" si="341"/>
        <v>11056200</v>
      </c>
      <c r="AX731" s="15">
        <f t="shared" si="335"/>
        <v>11057000</v>
      </c>
      <c r="AY731" s="20">
        <v>7.0000000000000007E-2</v>
      </c>
      <c r="AZ731" s="13">
        <f t="shared" si="336"/>
        <v>773990.00000000012</v>
      </c>
      <c r="BA731" s="15">
        <f t="shared" si="337"/>
        <v>774000</v>
      </c>
      <c r="BB731" s="21">
        <f t="shared" si="342"/>
        <v>10670203</v>
      </c>
      <c r="BC731" s="10">
        <f t="shared" si="343"/>
        <v>0</v>
      </c>
      <c r="BD731" s="10">
        <f t="shared" si="344"/>
        <v>0</v>
      </c>
      <c r="BE731" s="10">
        <v>193.62</v>
      </c>
      <c r="BF731" s="10">
        <v>21.3</v>
      </c>
      <c r="BG731" s="107">
        <v>46176</v>
      </c>
      <c r="BH731" s="107">
        <f t="shared" si="318"/>
        <v>46206</v>
      </c>
      <c r="BI731" s="23">
        <v>7</v>
      </c>
      <c r="BJ731" s="6"/>
      <c r="BK731" s="6"/>
      <c r="BL731" s="6">
        <f>VLOOKUP(A731,[2]Sheet1!$D$2:$H$933,5,0)</f>
        <v>0</v>
      </c>
      <c r="BM731" s="6" t="s">
        <v>3828</v>
      </c>
      <c r="BN731" s="6" t="s">
        <v>3829</v>
      </c>
      <c r="BO731" s="6" t="s">
        <v>3820</v>
      </c>
      <c r="BP731" s="6" t="s">
        <v>3821</v>
      </c>
      <c r="BQ731" s="6" t="s">
        <v>3830</v>
      </c>
      <c r="BR731" t="s">
        <v>3823</v>
      </c>
      <c r="BS731" t="s">
        <v>3824</v>
      </c>
      <c r="BT731" t="s">
        <v>3825</v>
      </c>
      <c r="BU731" t="s">
        <v>3826</v>
      </c>
      <c r="BV731" t="s">
        <v>3827</v>
      </c>
      <c r="BW731" t="s">
        <v>3835</v>
      </c>
      <c r="BX731">
        <v>0</v>
      </c>
      <c r="BY731" t="s">
        <v>3864</v>
      </c>
      <c r="BZ731" t="s">
        <v>3863</v>
      </c>
    </row>
    <row r="732" spans="1:78" x14ac:dyDescent="0.25">
      <c r="A732" s="7" t="s">
        <v>2984</v>
      </c>
      <c r="B732" s="7" t="s">
        <v>181</v>
      </c>
      <c r="C732" s="7" t="s">
        <v>2982</v>
      </c>
      <c r="D732" s="8" t="s">
        <v>2983</v>
      </c>
      <c r="E732" s="7" t="s">
        <v>2985</v>
      </c>
      <c r="F732" s="9">
        <v>45001</v>
      </c>
      <c r="G732" s="9" t="s">
        <v>77</v>
      </c>
      <c r="H732" s="9" t="s">
        <v>72</v>
      </c>
      <c r="I732" s="8" t="s">
        <v>78</v>
      </c>
      <c r="J732" s="10">
        <v>1216.33</v>
      </c>
      <c r="K732" s="10">
        <v>1216.33</v>
      </c>
      <c r="L732" s="10">
        <f t="shared" si="319"/>
        <v>0</v>
      </c>
      <c r="M732" s="10">
        <v>561.34</v>
      </c>
      <c r="N732" s="10">
        <v>561.34</v>
      </c>
      <c r="O732" s="10">
        <f t="shared" si="320"/>
        <v>0</v>
      </c>
      <c r="P732" s="11">
        <v>9460.9998931211103</v>
      </c>
      <c r="Q732" s="11">
        <v>20500.406170948088</v>
      </c>
      <c r="R732" s="11">
        <v>20000</v>
      </c>
      <c r="S732" s="11">
        <v>11507698</v>
      </c>
      <c r="T732" s="11">
        <v>1380924</v>
      </c>
      <c r="U732" s="12">
        <f t="shared" si="321"/>
        <v>0.12000002085560466</v>
      </c>
      <c r="V732" s="13">
        <f t="shared" si="346"/>
        <v>0</v>
      </c>
      <c r="W732" s="10">
        <f t="shared" si="323"/>
        <v>0</v>
      </c>
      <c r="X732" s="10"/>
      <c r="Y732" s="10"/>
      <c r="Z732" s="11">
        <f t="shared" si="324"/>
        <v>11507698</v>
      </c>
      <c r="AA732" s="14"/>
      <c r="AB732" s="14"/>
      <c r="AC732" s="11">
        <f t="shared" si="325"/>
        <v>11507698</v>
      </c>
      <c r="AD732" s="10">
        <f t="shared" si="326"/>
        <v>300</v>
      </c>
      <c r="AE732" s="15">
        <v>168402</v>
      </c>
      <c r="AF732" s="16">
        <v>30312</v>
      </c>
      <c r="AG732" s="15">
        <f t="shared" si="327"/>
        <v>0</v>
      </c>
      <c r="AH732" s="15">
        <f t="shared" si="328"/>
        <v>0</v>
      </c>
      <c r="AI732" s="15">
        <f t="shared" si="329"/>
        <v>168402</v>
      </c>
      <c r="AJ732" s="15">
        <f t="shared" si="330"/>
        <v>30313</v>
      </c>
      <c r="AK732" s="10">
        <v>168402</v>
      </c>
      <c r="AL732" s="15">
        <f t="shared" si="331"/>
        <v>168402</v>
      </c>
      <c r="AM732" s="15">
        <f t="shared" si="332"/>
        <v>11676100</v>
      </c>
      <c r="AN732" s="15">
        <f t="shared" si="333"/>
        <v>1411237</v>
      </c>
      <c r="AO732" s="15">
        <f t="shared" si="338"/>
        <v>1620272</v>
      </c>
      <c r="AP732" s="17">
        <f t="shared" si="334"/>
        <v>13296372</v>
      </c>
      <c r="AQ732" s="15">
        <v>4204598</v>
      </c>
      <c r="AR732" s="15">
        <v>40633</v>
      </c>
      <c r="AS732" s="18">
        <f t="shared" si="339"/>
        <v>9091774</v>
      </c>
      <c r="AT732" s="19">
        <v>0</v>
      </c>
      <c r="AU732" s="8">
        <v>8800</v>
      </c>
      <c r="AV732" s="13">
        <f t="shared" si="340"/>
        <v>4939792</v>
      </c>
      <c r="AW732" s="18">
        <f t="shared" si="341"/>
        <v>11676100</v>
      </c>
      <c r="AX732" s="15">
        <f t="shared" si="335"/>
        <v>11677000</v>
      </c>
      <c r="AY732" s="20">
        <v>0.05</v>
      </c>
      <c r="AZ732" s="13">
        <f t="shared" si="336"/>
        <v>583850</v>
      </c>
      <c r="BA732" s="15">
        <f t="shared" si="337"/>
        <v>583900</v>
      </c>
      <c r="BB732" s="21">
        <f t="shared" si="342"/>
        <v>9675674</v>
      </c>
      <c r="BC732" s="10">
        <f t="shared" si="343"/>
        <v>0</v>
      </c>
      <c r="BD732" s="10">
        <f t="shared" si="344"/>
        <v>0</v>
      </c>
      <c r="BE732" s="10">
        <v>113</v>
      </c>
      <c r="BF732" s="10">
        <v>52.15</v>
      </c>
      <c r="BG732" s="107">
        <v>46176</v>
      </c>
      <c r="BH732" s="107">
        <f t="shared" si="318"/>
        <v>46206</v>
      </c>
      <c r="BI732" s="23">
        <v>5</v>
      </c>
      <c r="BJ732" s="6"/>
      <c r="BK732" s="6"/>
      <c r="BL732" s="6">
        <f>VLOOKUP(A732,[2]Sheet1!$D$2:$H$933,5,0)</f>
        <v>0</v>
      </c>
      <c r="BM732" s="6" t="s">
        <v>3828</v>
      </c>
      <c r="BN732" s="6" t="s">
        <v>3829</v>
      </c>
      <c r="BO732" s="6" t="s">
        <v>3820</v>
      </c>
      <c r="BP732" s="6" t="s">
        <v>3821</v>
      </c>
      <c r="BQ732" s="6" t="s">
        <v>3830</v>
      </c>
      <c r="BR732" t="s">
        <v>3823</v>
      </c>
      <c r="BS732" t="s">
        <v>3824</v>
      </c>
      <c r="BT732" t="s">
        <v>3825</v>
      </c>
      <c r="BU732" t="s">
        <v>3826</v>
      </c>
      <c r="BV732" t="s">
        <v>3827</v>
      </c>
      <c r="BW732" t="s">
        <v>3835</v>
      </c>
      <c r="BX732">
        <v>0</v>
      </c>
      <c r="BY732" t="s">
        <v>3866</v>
      </c>
      <c r="BZ732" t="s">
        <v>3863</v>
      </c>
    </row>
    <row r="733" spans="1:78" x14ac:dyDescent="0.25">
      <c r="A733" s="7" t="s">
        <v>2988</v>
      </c>
      <c r="B733" s="7" t="s">
        <v>181</v>
      </c>
      <c r="C733" s="7" t="s">
        <v>2986</v>
      </c>
      <c r="D733" s="8" t="s">
        <v>2987</v>
      </c>
      <c r="E733" s="7" t="s">
        <v>2989</v>
      </c>
      <c r="F733" s="9">
        <v>44896</v>
      </c>
      <c r="G733" s="9" t="s">
        <v>65</v>
      </c>
      <c r="H733" s="9" t="s">
        <v>72</v>
      </c>
      <c r="I733" s="8" t="s">
        <v>78</v>
      </c>
      <c r="J733" s="10">
        <v>529.59</v>
      </c>
      <c r="K733" s="10">
        <v>529.59</v>
      </c>
      <c r="L733" s="10">
        <f t="shared" si="319"/>
        <v>0</v>
      </c>
      <c r="M733" s="10">
        <v>242.19</v>
      </c>
      <c r="N733" s="10">
        <v>242.19</v>
      </c>
      <c r="O733" s="10">
        <f t="shared" si="320"/>
        <v>0</v>
      </c>
      <c r="P733" s="11">
        <v>14033.999886704809</v>
      </c>
      <c r="Q733" s="11">
        <v>30687.749287749288</v>
      </c>
      <c r="R733" s="11">
        <v>20000</v>
      </c>
      <c r="S733" s="11">
        <v>7432266</v>
      </c>
      <c r="T733" s="11">
        <v>891872</v>
      </c>
      <c r="U733" s="12">
        <f t="shared" si="321"/>
        <v>0.1200000107638774</v>
      </c>
      <c r="V733" s="13">
        <f t="shared" si="346"/>
        <v>0</v>
      </c>
      <c r="W733" s="10">
        <f t="shared" si="323"/>
        <v>0</v>
      </c>
      <c r="X733" s="10"/>
      <c r="Y733" s="10"/>
      <c r="Z733" s="11">
        <f t="shared" si="324"/>
        <v>7432266</v>
      </c>
      <c r="AA733" s="14"/>
      <c r="AB733" s="14"/>
      <c r="AC733" s="11">
        <f t="shared" si="325"/>
        <v>7432266</v>
      </c>
      <c r="AD733" s="10">
        <f t="shared" si="326"/>
        <v>300</v>
      </c>
      <c r="AE733" s="15">
        <v>72657</v>
      </c>
      <c r="AF733" s="16">
        <v>13078</v>
      </c>
      <c r="AG733" s="15">
        <f t="shared" si="327"/>
        <v>0</v>
      </c>
      <c r="AH733" s="15">
        <f t="shared" si="328"/>
        <v>0</v>
      </c>
      <c r="AI733" s="15">
        <f t="shared" si="329"/>
        <v>72657</v>
      </c>
      <c r="AJ733" s="15">
        <f t="shared" si="330"/>
        <v>13079</v>
      </c>
      <c r="AK733" s="10">
        <v>72657</v>
      </c>
      <c r="AL733" s="15">
        <f t="shared" si="331"/>
        <v>72657</v>
      </c>
      <c r="AM733" s="15">
        <f t="shared" si="332"/>
        <v>7504923</v>
      </c>
      <c r="AN733" s="15">
        <f t="shared" si="333"/>
        <v>904951</v>
      </c>
      <c r="AO733" s="15">
        <f t="shared" si="338"/>
        <v>1011360</v>
      </c>
      <c r="AP733" s="17">
        <f t="shared" si="334"/>
        <v>8516283</v>
      </c>
      <c r="AQ733" s="15">
        <v>4312069</v>
      </c>
      <c r="AR733" s="15">
        <v>33752</v>
      </c>
      <c r="AS733" s="18">
        <f t="shared" si="339"/>
        <v>4204214</v>
      </c>
      <c r="AT733" s="19">
        <v>0</v>
      </c>
      <c r="AU733" s="8">
        <v>8800</v>
      </c>
      <c r="AV733" s="13">
        <f t="shared" si="340"/>
        <v>2131272</v>
      </c>
      <c r="AW733" s="18">
        <f t="shared" si="341"/>
        <v>7504923</v>
      </c>
      <c r="AX733" s="15">
        <f t="shared" si="335"/>
        <v>7505000</v>
      </c>
      <c r="AY733" s="20">
        <v>0.05</v>
      </c>
      <c r="AZ733" s="13">
        <f t="shared" si="336"/>
        <v>375250</v>
      </c>
      <c r="BA733" s="15">
        <f t="shared" si="337"/>
        <v>375300</v>
      </c>
      <c r="BB733" s="21">
        <f t="shared" si="342"/>
        <v>4579514</v>
      </c>
      <c r="BC733" s="10">
        <f t="shared" si="343"/>
        <v>0</v>
      </c>
      <c r="BD733" s="10">
        <f t="shared" si="344"/>
        <v>0</v>
      </c>
      <c r="BE733" s="10">
        <v>49.2</v>
      </c>
      <c r="BF733" s="10">
        <v>22.5</v>
      </c>
      <c r="BG733" s="107">
        <v>46176</v>
      </c>
      <c r="BH733" s="107">
        <f t="shared" si="318"/>
        <v>46206</v>
      </c>
      <c r="BI733" s="23">
        <v>5</v>
      </c>
      <c r="BJ733" s="6"/>
      <c r="BK733" s="6"/>
      <c r="BL733" s="6">
        <f>VLOOKUP(A733,[2]Sheet1!$D$2:$H$933,5,0)</f>
        <v>0</v>
      </c>
      <c r="BM733" s="6" t="s">
        <v>3828</v>
      </c>
      <c r="BN733" s="6" t="s">
        <v>3829</v>
      </c>
      <c r="BO733" s="6" t="s">
        <v>3820</v>
      </c>
      <c r="BP733" s="6" t="s">
        <v>3821</v>
      </c>
      <c r="BQ733" s="6" t="s">
        <v>3830</v>
      </c>
      <c r="BR733" t="s">
        <v>3823</v>
      </c>
      <c r="BS733" t="s">
        <v>3824</v>
      </c>
      <c r="BT733" t="s">
        <v>3825</v>
      </c>
      <c r="BU733" t="s">
        <v>3826</v>
      </c>
      <c r="BV733" t="s">
        <v>3827</v>
      </c>
      <c r="BW733" t="s">
        <v>3835</v>
      </c>
      <c r="BX733">
        <v>0</v>
      </c>
      <c r="BY733" t="s">
        <v>3864</v>
      </c>
      <c r="BZ733" t="s">
        <v>3860</v>
      </c>
    </row>
    <row r="734" spans="1:78" x14ac:dyDescent="0.25">
      <c r="A734" s="7" t="s">
        <v>2992</v>
      </c>
      <c r="B734" s="7" t="s">
        <v>181</v>
      </c>
      <c r="C734" s="7" t="s">
        <v>2990</v>
      </c>
      <c r="D734" s="8" t="s">
        <v>2991</v>
      </c>
      <c r="E734" s="7" t="s">
        <v>2993</v>
      </c>
      <c r="F734" s="9">
        <v>45061</v>
      </c>
      <c r="G734" s="9" t="s">
        <v>363</v>
      </c>
      <c r="H734" s="9" t="s">
        <v>87</v>
      </c>
      <c r="I734" s="8" t="s">
        <v>78</v>
      </c>
      <c r="J734" s="10">
        <v>697.51</v>
      </c>
      <c r="K734" s="10">
        <v>697.51</v>
      </c>
      <c r="L734" s="10">
        <f t="shared" si="319"/>
        <v>0</v>
      </c>
      <c r="M734" s="10">
        <v>317.54000000000002</v>
      </c>
      <c r="N734" s="10">
        <v>317.54000000000002</v>
      </c>
      <c r="O734" s="10">
        <f t="shared" si="320"/>
        <v>0</v>
      </c>
      <c r="P734" s="11">
        <v>17400</v>
      </c>
      <c r="Q734" s="11">
        <v>38220.929646658689</v>
      </c>
      <c r="R734" s="11">
        <v>40000</v>
      </c>
      <c r="S734" s="11">
        <v>12136674</v>
      </c>
      <c r="T734" s="11">
        <v>1456400</v>
      </c>
      <c r="U734" s="12">
        <f t="shared" si="321"/>
        <v>0.11999992749249094</v>
      </c>
      <c r="V734" s="13">
        <f t="shared" si="346"/>
        <v>0</v>
      </c>
      <c r="W734" s="10">
        <f t="shared" si="323"/>
        <v>0</v>
      </c>
      <c r="X734" s="10"/>
      <c r="Y734" s="10"/>
      <c r="Z734" s="11">
        <f t="shared" si="324"/>
        <v>12136674</v>
      </c>
      <c r="AA734" s="14"/>
      <c r="AB734" s="14"/>
      <c r="AC734" s="11">
        <f t="shared" si="325"/>
        <v>12136674</v>
      </c>
      <c r="AD734" s="10">
        <f t="shared" si="326"/>
        <v>300</v>
      </c>
      <c r="AE734" s="15">
        <v>95262</v>
      </c>
      <c r="AF734" s="16">
        <v>17148</v>
      </c>
      <c r="AG734" s="15">
        <f t="shared" si="327"/>
        <v>0</v>
      </c>
      <c r="AH734" s="15">
        <f t="shared" si="328"/>
        <v>0</v>
      </c>
      <c r="AI734" s="15">
        <f t="shared" si="329"/>
        <v>95262</v>
      </c>
      <c r="AJ734" s="15">
        <f t="shared" si="330"/>
        <v>17148</v>
      </c>
      <c r="AK734" s="10">
        <v>95262</v>
      </c>
      <c r="AL734" s="15">
        <f t="shared" si="331"/>
        <v>95262</v>
      </c>
      <c r="AM734" s="15">
        <f t="shared" si="332"/>
        <v>12231936</v>
      </c>
      <c r="AN734" s="15">
        <f t="shared" si="333"/>
        <v>1473548</v>
      </c>
      <c r="AO734" s="15">
        <f t="shared" si="338"/>
        <v>1612056</v>
      </c>
      <c r="AP734" s="17">
        <f t="shared" si="334"/>
        <v>13843992</v>
      </c>
      <c r="AQ734" s="15">
        <v>3534200</v>
      </c>
      <c r="AR734" s="15">
        <v>43246</v>
      </c>
      <c r="AS734" s="18">
        <f t="shared" si="339"/>
        <v>10309792</v>
      </c>
      <c r="AT734" s="19">
        <v>0</v>
      </c>
      <c r="AU734" s="8">
        <v>8800</v>
      </c>
      <c r="AV734" s="13">
        <f t="shared" si="340"/>
        <v>2794352</v>
      </c>
      <c r="AW734" s="18">
        <f t="shared" si="341"/>
        <v>12231936</v>
      </c>
      <c r="AX734" s="15">
        <f t="shared" si="335"/>
        <v>12232000</v>
      </c>
      <c r="AY734" s="20">
        <v>7.0000000000000007E-2</v>
      </c>
      <c r="AZ734" s="13">
        <f t="shared" si="336"/>
        <v>856240.00000000012</v>
      </c>
      <c r="BA734" s="15">
        <f t="shared" si="337"/>
        <v>856300</v>
      </c>
      <c r="BB734" s="21">
        <f t="shared" si="342"/>
        <v>11166092</v>
      </c>
      <c r="BC734" s="10">
        <f t="shared" si="343"/>
        <v>0</v>
      </c>
      <c r="BD734" s="10">
        <f t="shared" si="344"/>
        <v>0</v>
      </c>
      <c r="BE734" s="10">
        <v>64.8</v>
      </c>
      <c r="BF734" s="10">
        <v>29.5</v>
      </c>
      <c r="BG734" s="107">
        <v>46176</v>
      </c>
      <c r="BH734" s="107">
        <f t="shared" si="318"/>
        <v>46206</v>
      </c>
      <c r="BI734" s="23">
        <v>7</v>
      </c>
      <c r="BJ734" s="6"/>
      <c r="BK734" s="6"/>
      <c r="BL734" s="6">
        <f>VLOOKUP(A734,[2]Sheet1!$D$2:$H$933,5,0)</f>
        <v>0</v>
      </c>
      <c r="BM734" s="6" t="s">
        <v>3828</v>
      </c>
      <c r="BN734" s="6" t="s">
        <v>3829</v>
      </c>
      <c r="BO734" s="6" t="s">
        <v>3820</v>
      </c>
      <c r="BP734" s="6" t="s">
        <v>3821</v>
      </c>
      <c r="BQ734" s="6" t="s">
        <v>3830</v>
      </c>
      <c r="BR734" t="s">
        <v>3823</v>
      </c>
      <c r="BS734" t="s">
        <v>3824</v>
      </c>
      <c r="BT734" t="s">
        <v>3825</v>
      </c>
      <c r="BU734" t="s">
        <v>3826</v>
      </c>
      <c r="BV734" t="s">
        <v>3827</v>
      </c>
      <c r="BW734" t="s">
        <v>3835</v>
      </c>
      <c r="BX734">
        <v>0</v>
      </c>
      <c r="BY734" t="s">
        <v>3866</v>
      </c>
      <c r="BZ734" t="s">
        <v>3860</v>
      </c>
    </row>
    <row r="735" spans="1:78" x14ac:dyDescent="0.25">
      <c r="A735" s="7" t="s">
        <v>2996</v>
      </c>
      <c r="B735" s="7" t="s">
        <v>181</v>
      </c>
      <c r="C735" s="7" t="s">
        <v>2994</v>
      </c>
      <c r="D735" s="8" t="s">
        <v>2995</v>
      </c>
      <c r="E735" s="7" t="s">
        <v>1986</v>
      </c>
      <c r="F735" s="9">
        <v>45013</v>
      </c>
      <c r="G735" s="9" t="s">
        <v>527</v>
      </c>
      <c r="H735" s="9" t="s">
        <v>92</v>
      </c>
      <c r="I735" s="8" t="s">
        <v>78</v>
      </c>
      <c r="J735" s="10">
        <v>792.23</v>
      </c>
      <c r="K735" s="10">
        <v>792.23</v>
      </c>
      <c r="L735" s="10">
        <f t="shared" si="319"/>
        <v>0</v>
      </c>
      <c r="M735" s="10">
        <v>370.28</v>
      </c>
      <c r="N735" s="10">
        <v>370.28</v>
      </c>
      <c r="O735" s="10">
        <f t="shared" si="320"/>
        <v>0</v>
      </c>
      <c r="P735" s="11">
        <v>16499.000290319731</v>
      </c>
      <c r="Q735" s="11">
        <v>35300.321378416338</v>
      </c>
      <c r="R735" s="11">
        <v>28000</v>
      </c>
      <c r="S735" s="11">
        <v>13071003</v>
      </c>
      <c r="T735" s="11">
        <v>1568520</v>
      </c>
      <c r="U735" s="12">
        <f t="shared" si="321"/>
        <v>0.11999997245811971</v>
      </c>
      <c r="V735" s="13">
        <f t="shared" si="346"/>
        <v>0</v>
      </c>
      <c r="W735" s="10">
        <f t="shared" si="323"/>
        <v>0</v>
      </c>
      <c r="X735" s="10"/>
      <c r="Y735" s="10"/>
      <c r="Z735" s="11">
        <f t="shared" si="324"/>
        <v>13071003</v>
      </c>
      <c r="AA735" s="14"/>
      <c r="AB735" s="14"/>
      <c r="AC735" s="11">
        <f t="shared" si="325"/>
        <v>13071003</v>
      </c>
      <c r="AD735" s="10">
        <f t="shared" si="326"/>
        <v>300</v>
      </c>
      <c r="AE735" s="15">
        <v>111084</v>
      </c>
      <c r="AF735" s="16">
        <v>19996</v>
      </c>
      <c r="AG735" s="15">
        <f t="shared" si="327"/>
        <v>0</v>
      </c>
      <c r="AH735" s="15">
        <f t="shared" si="328"/>
        <v>0</v>
      </c>
      <c r="AI735" s="15">
        <f t="shared" si="329"/>
        <v>111083.99999999999</v>
      </c>
      <c r="AJ735" s="15">
        <f t="shared" si="330"/>
        <v>19996</v>
      </c>
      <c r="AK735" s="10">
        <v>111084</v>
      </c>
      <c r="AL735" s="15">
        <f t="shared" si="331"/>
        <v>111083.99999999999</v>
      </c>
      <c r="AM735" s="15">
        <f t="shared" si="332"/>
        <v>13182087</v>
      </c>
      <c r="AN735" s="15">
        <f t="shared" si="333"/>
        <v>1588516</v>
      </c>
      <c r="AO735" s="15">
        <f t="shared" si="338"/>
        <v>1737272.96</v>
      </c>
      <c r="AP735" s="17">
        <f t="shared" si="334"/>
        <v>14919359.960000001</v>
      </c>
      <c r="AQ735" s="15">
        <v>4451305</v>
      </c>
      <c r="AR735" s="15">
        <v>37672.959999999999</v>
      </c>
      <c r="AS735" s="18">
        <f t="shared" si="339"/>
        <v>10468055</v>
      </c>
      <c r="AT735" s="19">
        <v>0</v>
      </c>
      <c r="AU735" s="8">
        <v>8800</v>
      </c>
      <c r="AV735" s="13">
        <f t="shared" si="340"/>
        <v>3258463.9999999995</v>
      </c>
      <c r="AW735" s="18">
        <f t="shared" si="341"/>
        <v>13182087</v>
      </c>
      <c r="AX735" s="15">
        <f t="shared" si="335"/>
        <v>13183000</v>
      </c>
      <c r="AY735" s="20">
        <v>0.06</v>
      </c>
      <c r="AZ735" s="13">
        <f t="shared" si="336"/>
        <v>790980</v>
      </c>
      <c r="BA735" s="15">
        <f t="shared" si="337"/>
        <v>791000</v>
      </c>
      <c r="BB735" s="21">
        <f t="shared" si="342"/>
        <v>11259055</v>
      </c>
      <c r="BC735" s="10">
        <f t="shared" si="343"/>
        <v>0</v>
      </c>
      <c r="BD735" s="10">
        <f t="shared" si="344"/>
        <v>0</v>
      </c>
      <c r="BE735" s="10">
        <v>73.599999999999994</v>
      </c>
      <c r="BF735" s="10">
        <v>34.4</v>
      </c>
      <c r="BG735" s="107">
        <v>46176</v>
      </c>
      <c r="BH735" s="107">
        <f t="shared" si="318"/>
        <v>46206</v>
      </c>
      <c r="BI735" s="23">
        <v>6</v>
      </c>
      <c r="BJ735" s="6"/>
      <c r="BK735" s="6"/>
      <c r="BL735" s="6">
        <f>VLOOKUP(A735,[2]Sheet1!$D$2:$H$933,5,0)</f>
        <v>0</v>
      </c>
      <c r="BM735" s="6" t="s">
        <v>3828</v>
      </c>
      <c r="BN735" s="6" t="s">
        <v>3829</v>
      </c>
      <c r="BO735" s="6" t="s">
        <v>3820</v>
      </c>
      <c r="BP735" s="6" t="s">
        <v>3821</v>
      </c>
      <c r="BQ735" s="6" t="s">
        <v>3830</v>
      </c>
      <c r="BR735" t="s">
        <v>3823</v>
      </c>
      <c r="BS735" t="s">
        <v>3824</v>
      </c>
      <c r="BT735" t="s">
        <v>3825</v>
      </c>
      <c r="BU735" t="s">
        <v>3826</v>
      </c>
      <c r="BV735" t="s">
        <v>3827</v>
      </c>
      <c r="BW735" t="s">
        <v>3835</v>
      </c>
      <c r="BX735">
        <v>0</v>
      </c>
      <c r="BY735" t="s">
        <v>3861</v>
      </c>
      <c r="BZ735" t="s">
        <v>3871</v>
      </c>
    </row>
    <row r="736" spans="1:78" x14ac:dyDescent="0.25">
      <c r="A736" s="7" t="s">
        <v>2999</v>
      </c>
      <c r="B736" s="7" t="s">
        <v>181</v>
      </c>
      <c r="C736" s="7" t="s">
        <v>2997</v>
      </c>
      <c r="D736" s="8" t="s">
        <v>2998</v>
      </c>
      <c r="E736" s="7" t="s">
        <v>3000</v>
      </c>
      <c r="F736" s="9">
        <v>45023</v>
      </c>
      <c r="G736" s="9" t="s">
        <v>527</v>
      </c>
      <c r="H736" s="9" t="s">
        <v>1167</v>
      </c>
      <c r="I736" s="8" t="s">
        <v>635</v>
      </c>
      <c r="J736" s="10">
        <v>2084.13</v>
      </c>
      <c r="K736" s="10">
        <v>2084.13</v>
      </c>
      <c r="L736" s="10">
        <f t="shared" si="319"/>
        <v>0</v>
      </c>
      <c r="M736" s="10">
        <v>229.27</v>
      </c>
      <c r="N736" s="10">
        <v>229.27</v>
      </c>
      <c r="O736" s="10">
        <f t="shared" si="320"/>
        <v>0</v>
      </c>
      <c r="P736" s="11">
        <v>5200</v>
      </c>
      <c r="Q736" s="11">
        <v>47269.490120818249</v>
      </c>
      <c r="R736" s="11">
        <v>20000</v>
      </c>
      <c r="S736" s="11">
        <v>10837476</v>
      </c>
      <c r="T736" s="11">
        <v>1300498</v>
      </c>
      <c r="U736" s="12">
        <f t="shared" si="321"/>
        <v>0.12000008119971846</v>
      </c>
      <c r="V736" s="13">
        <f t="shared" si="346"/>
        <v>0</v>
      </c>
      <c r="W736" s="10">
        <f t="shared" si="323"/>
        <v>0</v>
      </c>
      <c r="X736" s="10"/>
      <c r="Y736" s="10"/>
      <c r="Z736" s="11">
        <f t="shared" si="324"/>
        <v>10837476</v>
      </c>
      <c r="AA736" s="14"/>
      <c r="AB736" s="14"/>
      <c r="AC736" s="11">
        <f t="shared" si="325"/>
        <v>10837476</v>
      </c>
      <c r="AD736" s="10">
        <f t="shared" si="326"/>
        <v>300</v>
      </c>
      <c r="AE736" s="15">
        <v>68781</v>
      </c>
      <c r="AF736" s="16">
        <v>12380</v>
      </c>
      <c r="AG736" s="15">
        <f t="shared" si="327"/>
        <v>0</v>
      </c>
      <c r="AH736" s="15">
        <f t="shared" si="328"/>
        <v>0</v>
      </c>
      <c r="AI736" s="15">
        <f t="shared" si="329"/>
        <v>68781</v>
      </c>
      <c r="AJ736" s="15">
        <f t="shared" si="330"/>
        <v>12381</v>
      </c>
      <c r="AK736" s="10">
        <v>68781</v>
      </c>
      <c r="AL736" s="15">
        <f t="shared" si="331"/>
        <v>68781</v>
      </c>
      <c r="AM736" s="15">
        <f t="shared" si="332"/>
        <v>10906257</v>
      </c>
      <c r="AN736" s="15">
        <f t="shared" si="333"/>
        <v>1312879</v>
      </c>
      <c r="AO736" s="15">
        <f t="shared" si="338"/>
        <v>1424737</v>
      </c>
      <c r="AP736" s="17">
        <f t="shared" si="334"/>
        <v>12330994</v>
      </c>
      <c r="AQ736" s="15">
        <v>2427591</v>
      </c>
      <c r="AR736" s="15">
        <v>43077</v>
      </c>
      <c r="AS736" s="18">
        <f t="shared" si="339"/>
        <v>9903403</v>
      </c>
      <c r="AT736" s="19">
        <v>0</v>
      </c>
      <c r="AU736" s="8">
        <v>8800</v>
      </c>
      <c r="AV736" s="13">
        <f t="shared" si="340"/>
        <v>2017576</v>
      </c>
      <c r="AW736" s="18">
        <f t="shared" si="341"/>
        <v>10906257</v>
      </c>
      <c r="AX736" s="15">
        <f t="shared" si="335"/>
        <v>10907000</v>
      </c>
      <c r="AY736" s="20">
        <v>7.0000000000000007E-2</v>
      </c>
      <c r="AZ736" s="13">
        <f t="shared" si="336"/>
        <v>763490.00000000012</v>
      </c>
      <c r="BA736" s="15">
        <f t="shared" si="337"/>
        <v>763500</v>
      </c>
      <c r="BB736" s="21">
        <f t="shared" si="342"/>
        <v>10666903</v>
      </c>
      <c r="BC736" s="10">
        <f t="shared" si="343"/>
        <v>0</v>
      </c>
      <c r="BD736" s="10">
        <f t="shared" si="344"/>
        <v>0</v>
      </c>
      <c r="BE736" s="10">
        <v>193.62</v>
      </c>
      <c r="BF736" s="10">
        <v>21.3</v>
      </c>
      <c r="BG736" s="107">
        <v>46176</v>
      </c>
      <c r="BH736" s="107">
        <f t="shared" si="318"/>
        <v>46206</v>
      </c>
      <c r="BI736" s="23">
        <v>7</v>
      </c>
      <c r="BJ736" s="6"/>
      <c r="BK736" s="6"/>
      <c r="BL736" s="6">
        <f>VLOOKUP(A736,[2]Sheet1!$D$2:$H$933,5,0)</f>
        <v>0</v>
      </c>
      <c r="BM736" s="6" t="s">
        <v>3828</v>
      </c>
      <c r="BN736" s="6" t="s">
        <v>3829</v>
      </c>
      <c r="BO736" s="6" t="s">
        <v>3820</v>
      </c>
      <c r="BP736" s="6" t="s">
        <v>3821</v>
      </c>
      <c r="BQ736" s="6" t="s">
        <v>3830</v>
      </c>
      <c r="BR736" t="s">
        <v>3823</v>
      </c>
      <c r="BS736" t="s">
        <v>3824</v>
      </c>
      <c r="BT736" t="s">
        <v>3825</v>
      </c>
      <c r="BU736" t="s">
        <v>3826</v>
      </c>
      <c r="BV736" t="s">
        <v>3827</v>
      </c>
      <c r="BW736" t="s">
        <v>3835</v>
      </c>
      <c r="BX736">
        <v>0</v>
      </c>
      <c r="BY736" t="s">
        <v>3868</v>
      </c>
      <c r="BZ736" t="s">
        <v>3871</v>
      </c>
    </row>
    <row r="737" spans="1:78" x14ac:dyDescent="0.25">
      <c r="A737" s="7" t="s">
        <v>3003</v>
      </c>
      <c r="B737" s="7" t="s">
        <v>181</v>
      </c>
      <c r="C737" s="7" t="s">
        <v>3001</v>
      </c>
      <c r="D737" s="8" t="s">
        <v>3002</v>
      </c>
      <c r="E737" s="7" t="s">
        <v>3004</v>
      </c>
      <c r="F737" s="9">
        <v>45020</v>
      </c>
      <c r="G737" s="9" t="s">
        <v>527</v>
      </c>
      <c r="H737" s="9" t="s">
        <v>1167</v>
      </c>
      <c r="I737" s="8" t="s">
        <v>635</v>
      </c>
      <c r="J737" s="10">
        <v>2084.13</v>
      </c>
      <c r="K737" s="10">
        <v>2084.13</v>
      </c>
      <c r="L737" s="10">
        <f t="shared" si="319"/>
        <v>0</v>
      </c>
      <c r="M737" s="10">
        <v>229.27</v>
      </c>
      <c r="N737" s="10">
        <v>229.27</v>
      </c>
      <c r="O737" s="10">
        <f t="shared" si="320"/>
        <v>0</v>
      </c>
      <c r="P737" s="11">
        <v>5200</v>
      </c>
      <c r="Q737" s="11">
        <v>47269.490120818249</v>
      </c>
      <c r="R737" s="11">
        <v>20000</v>
      </c>
      <c r="S737" s="11">
        <v>10837476</v>
      </c>
      <c r="T737" s="11">
        <v>1300498</v>
      </c>
      <c r="U737" s="12">
        <f t="shared" si="321"/>
        <v>0.12000008119971846</v>
      </c>
      <c r="V737" s="13">
        <f t="shared" si="346"/>
        <v>0</v>
      </c>
      <c r="W737" s="10">
        <f t="shared" si="323"/>
        <v>0</v>
      </c>
      <c r="X737" s="10"/>
      <c r="Y737" s="10"/>
      <c r="Z737" s="11">
        <f t="shared" si="324"/>
        <v>10837476</v>
      </c>
      <c r="AA737" s="14"/>
      <c r="AB737" s="14"/>
      <c r="AC737" s="11">
        <f t="shared" si="325"/>
        <v>10837476</v>
      </c>
      <c r="AD737" s="10">
        <f t="shared" si="326"/>
        <v>300</v>
      </c>
      <c r="AE737" s="15">
        <v>68781</v>
      </c>
      <c r="AF737" s="16">
        <v>12380</v>
      </c>
      <c r="AG737" s="15">
        <f t="shared" si="327"/>
        <v>0</v>
      </c>
      <c r="AH737" s="15">
        <f t="shared" si="328"/>
        <v>0</v>
      </c>
      <c r="AI737" s="15">
        <f t="shared" si="329"/>
        <v>68781</v>
      </c>
      <c r="AJ737" s="15">
        <f t="shared" si="330"/>
        <v>12381</v>
      </c>
      <c r="AK737" s="10">
        <v>68781</v>
      </c>
      <c r="AL737" s="15">
        <f t="shared" si="331"/>
        <v>68781</v>
      </c>
      <c r="AM737" s="15">
        <f t="shared" si="332"/>
        <v>10906257</v>
      </c>
      <c r="AN737" s="15">
        <f t="shared" si="333"/>
        <v>1312879</v>
      </c>
      <c r="AO737" s="15">
        <f t="shared" si="338"/>
        <v>1424737</v>
      </c>
      <c r="AP737" s="17">
        <f t="shared" si="334"/>
        <v>12330994</v>
      </c>
      <c r="AQ737" s="15">
        <v>2427591</v>
      </c>
      <c r="AR737" s="15">
        <v>43077</v>
      </c>
      <c r="AS737" s="18">
        <f t="shared" si="339"/>
        <v>9903403</v>
      </c>
      <c r="AT737" s="19">
        <v>0</v>
      </c>
      <c r="AU737" s="8">
        <v>8800</v>
      </c>
      <c r="AV737" s="13">
        <f t="shared" si="340"/>
        <v>2017576</v>
      </c>
      <c r="AW737" s="18">
        <f t="shared" si="341"/>
        <v>10906257</v>
      </c>
      <c r="AX737" s="15">
        <f t="shared" si="335"/>
        <v>10907000</v>
      </c>
      <c r="AY737" s="20">
        <v>7.0000000000000007E-2</v>
      </c>
      <c r="AZ737" s="13">
        <f t="shared" si="336"/>
        <v>763490.00000000012</v>
      </c>
      <c r="BA737" s="15">
        <f t="shared" si="337"/>
        <v>763500</v>
      </c>
      <c r="BB737" s="21">
        <f t="shared" si="342"/>
        <v>10666903</v>
      </c>
      <c r="BC737" s="10">
        <f t="shared" si="343"/>
        <v>0</v>
      </c>
      <c r="BD737" s="10">
        <f t="shared" si="344"/>
        <v>0</v>
      </c>
      <c r="BE737" s="10">
        <v>193.62</v>
      </c>
      <c r="BF737" s="10">
        <v>21.3</v>
      </c>
      <c r="BG737" s="107">
        <v>46176</v>
      </c>
      <c r="BH737" s="107">
        <f t="shared" si="318"/>
        <v>46206</v>
      </c>
      <c r="BI737" s="23">
        <v>7</v>
      </c>
      <c r="BJ737" s="6"/>
      <c r="BK737" s="6"/>
      <c r="BL737" s="6">
        <f>VLOOKUP(A737,[2]Sheet1!$D$2:$H$933,5,0)</f>
        <v>0</v>
      </c>
      <c r="BM737" s="6" t="s">
        <v>3828</v>
      </c>
      <c r="BN737" s="6" t="s">
        <v>3829</v>
      </c>
      <c r="BO737" s="6" t="s">
        <v>3820</v>
      </c>
      <c r="BP737" s="6" t="s">
        <v>3821</v>
      </c>
      <c r="BQ737" s="6" t="s">
        <v>3830</v>
      </c>
      <c r="BR737" t="s">
        <v>3823</v>
      </c>
      <c r="BS737" t="s">
        <v>3824</v>
      </c>
      <c r="BT737" t="s">
        <v>3825</v>
      </c>
      <c r="BU737" t="s">
        <v>3826</v>
      </c>
      <c r="BV737" t="s">
        <v>3827</v>
      </c>
      <c r="BW737" t="s">
        <v>3835</v>
      </c>
      <c r="BX737">
        <v>0</v>
      </c>
      <c r="BY737" t="s">
        <v>3865</v>
      </c>
      <c r="BZ737" t="s">
        <v>3871</v>
      </c>
    </row>
    <row r="738" spans="1:78" x14ac:dyDescent="0.25">
      <c r="A738" s="7" t="s">
        <v>3007</v>
      </c>
      <c r="B738" s="7" t="s">
        <v>181</v>
      </c>
      <c r="C738" s="7" t="s">
        <v>3005</v>
      </c>
      <c r="D738" s="8" t="s">
        <v>3006</v>
      </c>
      <c r="E738" s="7" t="s">
        <v>3008</v>
      </c>
      <c r="F738" s="9">
        <v>45183</v>
      </c>
      <c r="G738" s="9" t="s">
        <v>65</v>
      </c>
      <c r="H738" s="9" t="s">
        <v>66</v>
      </c>
      <c r="I738" s="8" t="s">
        <v>78</v>
      </c>
      <c r="J738" s="10">
        <v>775.01</v>
      </c>
      <c r="K738" s="10">
        <v>775.01</v>
      </c>
      <c r="L738" s="10">
        <f t="shared" si="319"/>
        <v>0</v>
      </c>
      <c r="M738" s="10">
        <v>363.82</v>
      </c>
      <c r="N738" s="10">
        <v>363.82</v>
      </c>
      <c r="O738" s="10">
        <f t="shared" si="320"/>
        <v>0</v>
      </c>
      <c r="P738" s="11">
        <v>12160.99792260745</v>
      </c>
      <c r="Q738" s="11">
        <v>25905.37903358804</v>
      </c>
      <c r="R738" s="11">
        <v>22000</v>
      </c>
      <c r="S738" s="11">
        <v>9424895</v>
      </c>
      <c r="T738" s="11">
        <v>1130988</v>
      </c>
      <c r="U738" s="12">
        <f t="shared" si="321"/>
        <v>0.12000006366118668</v>
      </c>
      <c r="V738" s="13">
        <f t="shared" si="346"/>
        <v>0</v>
      </c>
      <c r="W738" s="10">
        <f t="shared" si="323"/>
        <v>0</v>
      </c>
      <c r="X738" s="10"/>
      <c r="Y738" s="10"/>
      <c r="Z738" s="11">
        <f t="shared" si="324"/>
        <v>9424895</v>
      </c>
      <c r="AA738" s="14"/>
      <c r="AB738" s="14"/>
      <c r="AC738" s="11">
        <f t="shared" si="325"/>
        <v>9424895</v>
      </c>
      <c r="AD738" s="10">
        <f t="shared" si="326"/>
        <v>300</v>
      </c>
      <c r="AE738" s="15">
        <v>109146</v>
      </c>
      <c r="AF738" s="16">
        <v>19646</v>
      </c>
      <c r="AG738" s="15">
        <f t="shared" si="327"/>
        <v>0</v>
      </c>
      <c r="AH738" s="15">
        <f t="shared" si="328"/>
        <v>0</v>
      </c>
      <c r="AI738" s="15">
        <f t="shared" si="329"/>
        <v>109146</v>
      </c>
      <c r="AJ738" s="15">
        <f t="shared" si="330"/>
        <v>19647</v>
      </c>
      <c r="AK738" s="10">
        <v>109146</v>
      </c>
      <c r="AL738" s="15">
        <f t="shared" si="331"/>
        <v>109146</v>
      </c>
      <c r="AM738" s="15">
        <f t="shared" si="332"/>
        <v>9534041</v>
      </c>
      <c r="AN738" s="15">
        <f t="shared" si="333"/>
        <v>1150635</v>
      </c>
      <c r="AO738" s="15">
        <f t="shared" si="338"/>
        <v>1301147</v>
      </c>
      <c r="AP738" s="17">
        <f t="shared" si="334"/>
        <v>10835188</v>
      </c>
      <c r="AQ738" s="15">
        <v>2289460</v>
      </c>
      <c r="AR738" s="15">
        <v>41366</v>
      </c>
      <c r="AS738" s="18">
        <f t="shared" si="339"/>
        <v>8545728</v>
      </c>
      <c r="AT738" s="19">
        <v>0</v>
      </c>
      <c r="AU738" s="8">
        <v>8800</v>
      </c>
      <c r="AV738" s="13">
        <f t="shared" si="340"/>
        <v>3201616</v>
      </c>
      <c r="AW738" s="18">
        <f t="shared" si="341"/>
        <v>9534041</v>
      </c>
      <c r="AX738" s="15">
        <f t="shared" si="335"/>
        <v>9535000</v>
      </c>
      <c r="AY738" s="20">
        <v>0.05</v>
      </c>
      <c r="AZ738" s="13">
        <f t="shared" si="336"/>
        <v>476750</v>
      </c>
      <c r="BA738" s="15">
        <f t="shared" si="337"/>
        <v>476800</v>
      </c>
      <c r="BB738" s="21">
        <f t="shared" si="342"/>
        <v>9022528</v>
      </c>
      <c r="BC738" s="10">
        <f t="shared" si="343"/>
        <v>0</v>
      </c>
      <c r="BD738" s="10">
        <f t="shared" si="344"/>
        <v>0</v>
      </c>
      <c r="BE738" s="10">
        <v>72</v>
      </c>
      <c r="BF738" s="10">
        <v>33.799999999999997</v>
      </c>
      <c r="BG738" s="107">
        <v>46176</v>
      </c>
      <c r="BH738" s="107">
        <f t="shared" si="318"/>
        <v>46206</v>
      </c>
      <c r="BI738" s="23">
        <v>5</v>
      </c>
      <c r="BJ738" s="6"/>
      <c r="BK738" s="6"/>
      <c r="BL738" s="6">
        <f>VLOOKUP(A738,[2]Sheet1!$D$2:$H$933,5,0)</f>
        <v>0</v>
      </c>
      <c r="BM738" s="6" t="s">
        <v>3828</v>
      </c>
      <c r="BN738" s="6" t="s">
        <v>3829</v>
      </c>
      <c r="BO738" s="6" t="s">
        <v>3820</v>
      </c>
      <c r="BP738" s="6" t="s">
        <v>3821</v>
      </c>
      <c r="BQ738" s="6" t="s">
        <v>3830</v>
      </c>
      <c r="BR738" t="s">
        <v>3823</v>
      </c>
      <c r="BS738" t="s">
        <v>3824</v>
      </c>
      <c r="BT738" t="s">
        <v>3825</v>
      </c>
      <c r="BU738" t="s">
        <v>3826</v>
      </c>
      <c r="BV738" t="s">
        <v>3827</v>
      </c>
      <c r="BW738" t="s">
        <v>3835</v>
      </c>
      <c r="BX738">
        <v>0</v>
      </c>
      <c r="BY738" t="s">
        <v>3864</v>
      </c>
      <c r="BZ738" t="s">
        <v>3860</v>
      </c>
    </row>
    <row r="739" spans="1:78" x14ac:dyDescent="0.25">
      <c r="A739" s="7" t="s">
        <v>3011</v>
      </c>
      <c r="B739" s="7" t="s">
        <v>181</v>
      </c>
      <c r="C739" s="7" t="s">
        <v>3009</v>
      </c>
      <c r="D739" s="8" t="s">
        <v>3010</v>
      </c>
      <c r="E739" s="7" t="s">
        <v>3012</v>
      </c>
      <c r="F739" s="9">
        <v>45062</v>
      </c>
      <c r="G739" s="9" t="s">
        <v>363</v>
      </c>
      <c r="H739" s="9" t="s">
        <v>87</v>
      </c>
      <c r="I739" s="8" t="s">
        <v>78</v>
      </c>
      <c r="J739" s="10">
        <v>697.51</v>
      </c>
      <c r="K739" s="10">
        <v>697.51</v>
      </c>
      <c r="L739" s="10">
        <f t="shared" si="319"/>
        <v>0</v>
      </c>
      <c r="M739" s="10">
        <v>317.54000000000002</v>
      </c>
      <c r="N739" s="10">
        <v>317.54000000000002</v>
      </c>
      <c r="O739" s="10">
        <f t="shared" si="320"/>
        <v>0</v>
      </c>
      <c r="P739" s="11">
        <v>23366.000487448207</v>
      </c>
      <c r="Q739" s="11">
        <v>51325.877054859229</v>
      </c>
      <c r="R739" s="11">
        <v>40000</v>
      </c>
      <c r="S739" s="11">
        <v>16298019</v>
      </c>
      <c r="T739" s="11">
        <v>1955762</v>
      </c>
      <c r="U739" s="12">
        <f t="shared" si="321"/>
        <v>0.11999998281999794</v>
      </c>
      <c r="V739" s="13">
        <f t="shared" si="346"/>
        <v>0</v>
      </c>
      <c r="W739" s="10">
        <f t="shared" si="323"/>
        <v>0</v>
      </c>
      <c r="X739" s="10"/>
      <c r="Y739" s="10"/>
      <c r="Z739" s="11">
        <f t="shared" si="324"/>
        <v>16298019</v>
      </c>
      <c r="AA739" s="14"/>
      <c r="AB739" s="14"/>
      <c r="AC739" s="11">
        <f t="shared" si="325"/>
        <v>16298019</v>
      </c>
      <c r="AD739" s="10">
        <f t="shared" si="326"/>
        <v>300</v>
      </c>
      <c r="AE739" s="15">
        <v>95262</v>
      </c>
      <c r="AF739" s="16">
        <v>17148</v>
      </c>
      <c r="AG739" s="15">
        <f t="shared" si="327"/>
        <v>0</v>
      </c>
      <c r="AH739" s="15">
        <f t="shared" si="328"/>
        <v>0</v>
      </c>
      <c r="AI739" s="15">
        <f t="shared" si="329"/>
        <v>95262</v>
      </c>
      <c r="AJ739" s="15">
        <f t="shared" si="330"/>
        <v>17148</v>
      </c>
      <c r="AK739" s="10">
        <v>95262</v>
      </c>
      <c r="AL739" s="15">
        <f t="shared" si="331"/>
        <v>95262</v>
      </c>
      <c r="AM739" s="15">
        <f t="shared" si="332"/>
        <v>16393281</v>
      </c>
      <c r="AN739" s="15">
        <f t="shared" si="333"/>
        <v>1972910</v>
      </c>
      <c r="AO739" s="15">
        <f t="shared" si="338"/>
        <v>2100220</v>
      </c>
      <c r="AP739" s="17">
        <f t="shared" si="334"/>
        <v>18493501</v>
      </c>
      <c r="AQ739" s="15">
        <f>8412689+7935557</f>
        <v>16348246</v>
      </c>
      <c r="AR739" s="15">
        <v>32048</v>
      </c>
      <c r="AS739" s="18">
        <f t="shared" si="339"/>
        <v>2145255</v>
      </c>
      <c r="AT739" s="19">
        <v>0</v>
      </c>
      <c r="AU739" s="8">
        <v>8800</v>
      </c>
      <c r="AV739" s="13">
        <f t="shared" si="340"/>
        <v>2794352</v>
      </c>
      <c r="AW739" s="18">
        <f t="shared" si="341"/>
        <v>16393281</v>
      </c>
      <c r="AX739" s="15">
        <f t="shared" si="335"/>
        <v>16394000</v>
      </c>
      <c r="AY739" s="20">
        <v>7.0000000000000007E-2</v>
      </c>
      <c r="AZ739" s="13">
        <f t="shared" si="336"/>
        <v>1147580</v>
      </c>
      <c r="BA739" s="15">
        <f t="shared" si="337"/>
        <v>1147600</v>
      </c>
      <c r="BB739" s="21">
        <f t="shared" si="342"/>
        <v>3292855</v>
      </c>
      <c r="BC739" s="10">
        <f t="shared" si="343"/>
        <v>0</v>
      </c>
      <c r="BD739" s="10">
        <f t="shared" si="344"/>
        <v>0</v>
      </c>
      <c r="BE739" s="10">
        <v>64.8</v>
      </c>
      <c r="BF739" s="10">
        <v>29.5</v>
      </c>
      <c r="BG739" s="107">
        <v>46176</v>
      </c>
      <c r="BH739" s="107">
        <f t="shared" si="318"/>
        <v>46206</v>
      </c>
      <c r="BI739" s="23">
        <v>7</v>
      </c>
      <c r="BJ739" s="6"/>
      <c r="BK739" s="6"/>
      <c r="BL739" s="6">
        <f>VLOOKUP(A739,[2]Sheet1!$D$2:$H$933,5,0)</f>
        <v>0</v>
      </c>
      <c r="BM739" s="6" t="s">
        <v>3828</v>
      </c>
      <c r="BN739" s="6" t="s">
        <v>3829</v>
      </c>
      <c r="BO739" s="6" t="s">
        <v>3820</v>
      </c>
      <c r="BP739" s="6" t="s">
        <v>3821</v>
      </c>
      <c r="BQ739" s="6" t="s">
        <v>3830</v>
      </c>
      <c r="BR739" t="s">
        <v>3823</v>
      </c>
      <c r="BS739" t="s">
        <v>3824</v>
      </c>
      <c r="BT739" t="s">
        <v>3825</v>
      </c>
      <c r="BU739" t="s">
        <v>3826</v>
      </c>
      <c r="BV739" t="s">
        <v>3827</v>
      </c>
      <c r="BW739" t="s">
        <v>3835</v>
      </c>
      <c r="BX739">
        <v>0</v>
      </c>
      <c r="BY739" t="s">
        <v>3861</v>
      </c>
      <c r="BZ739" t="s">
        <v>3860</v>
      </c>
    </row>
    <row r="740" spans="1:78" x14ac:dyDescent="0.25">
      <c r="A740" s="7" t="s">
        <v>3015</v>
      </c>
      <c r="B740" s="7" t="s">
        <v>181</v>
      </c>
      <c r="C740" s="7" t="s">
        <v>3013</v>
      </c>
      <c r="D740" s="8" t="s">
        <v>3014</v>
      </c>
      <c r="E740" s="7" t="s">
        <v>3016</v>
      </c>
      <c r="F740" s="9">
        <v>44902</v>
      </c>
      <c r="G740" s="9" t="s">
        <v>404</v>
      </c>
      <c r="H740" s="9" t="s">
        <v>190</v>
      </c>
      <c r="I740" s="8" t="s">
        <v>78</v>
      </c>
      <c r="J740" s="10">
        <v>1330.43</v>
      </c>
      <c r="K740" s="10">
        <v>1330.43</v>
      </c>
      <c r="L740" s="10">
        <f t="shared" si="319"/>
        <v>0</v>
      </c>
      <c r="M740" s="10">
        <v>615.70000000000005</v>
      </c>
      <c r="N740" s="10">
        <v>615.70000000000005</v>
      </c>
      <c r="O740" s="10">
        <f t="shared" si="320"/>
        <v>0</v>
      </c>
      <c r="P740" s="11">
        <v>10722.330374390234</v>
      </c>
      <c r="Q740" s="11">
        <v>23169.254507065129</v>
      </c>
      <c r="R740" s="11">
        <v>60000</v>
      </c>
      <c r="S740" s="11">
        <v>14265310</v>
      </c>
      <c r="T740" s="11">
        <v>1711838</v>
      </c>
      <c r="U740" s="12">
        <f t="shared" si="321"/>
        <v>0.1200000560800992</v>
      </c>
      <c r="V740" s="13">
        <f t="shared" si="346"/>
        <v>0</v>
      </c>
      <c r="W740" s="10">
        <f t="shared" si="323"/>
        <v>0</v>
      </c>
      <c r="X740" s="10"/>
      <c r="Y740" s="10"/>
      <c r="Z740" s="11">
        <f t="shared" si="324"/>
        <v>14265310</v>
      </c>
      <c r="AA740" s="14"/>
      <c r="AB740" s="14"/>
      <c r="AC740" s="11">
        <f t="shared" si="325"/>
        <v>14265310</v>
      </c>
      <c r="AD740" s="10">
        <f t="shared" si="326"/>
        <v>300</v>
      </c>
      <c r="AE740" s="15">
        <v>184710</v>
      </c>
      <c r="AF740" s="16">
        <v>33248</v>
      </c>
      <c r="AG740" s="15">
        <f t="shared" si="327"/>
        <v>0</v>
      </c>
      <c r="AH740" s="15">
        <f t="shared" si="328"/>
        <v>0</v>
      </c>
      <c r="AI740" s="15">
        <f t="shared" si="329"/>
        <v>184710</v>
      </c>
      <c r="AJ740" s="15">
        <f t="shared" si="330"/>
        <v>33248</v>
      </c>
      <c r="AK740" s="10">
        <v>184710</v>
      </c>
      <c r="AL740" s="15">
        <f t="shared" si="331"/>
        <v>184710</v>
      </c>
      <c r="AM740" s="15">
        <f t="shared" si="332"/>
        <v>14450020</v>
      </c>
      <c r="AN740" s="15">
        <f t="shared" si="333"/>
        <v>1745086</v>
      </c>
      <c r="AO740" s="15">
        <f t="shared" si="338"/>
        <v>1967472</v>
      </c>
      <c r="AP740" s="17">
        <f t="shared" si="334"/>
        <v>16417492</v>
      </c>
      <c r="AQ740" s="15">
        <v>6800001</v>
      </c>
      <c r="AR740" s="15">
        <v>37676</v>
      </c>
      <c r="AS740" s="18">
        <f t="shared" si="339"/>
        <v>9617491</v>
      </c>
      <c r="AT740" s="19">
        <v>17950020</v>
      </c>
      <c r="AU740" s="8">
        <v>8800</v>
      </c>
      <c r="AV740" s="13">
        <f t="shared" si="340"/>
        <v>5418160</v>
      </c>
      <c r="AW740" s="18">
        <f t="shared" si="341"/>
        <v>17950020</v>
      </c>
      <c r="AX740" s="15">
        <f t="shared" si="335"/>
        <v>17951000</v>
      </c>
      <c r="AY740" s="20">
        <v>0.06</v>
      </c>
      <c r="AZ740" s="13">
        <f t="shared" si="336"/>
        <v>1077060</v>
      </c>
      <c r="BA740" s="15">
        <f t="shared" si="337"/>
        <v>1077100</v>
      </c>
      <c r="BB740" s="21">
        <f t="shared" si="342"/>
        <v>10694591</v>
      </c>
      <c r="BC740" s="10">
        <f t="shared" si="343"/>
        <v>0</v>
      </c>
      <c r="BD740" s="10">
        <f t="shared" si="344"/>
        <v>0</v>
      </c>
      <c r="BE740" s="10">
        <v>123.6</v>
      </c>
      <c r="BF740" s="10">
        <v>57.2</v>
      </c>
      <c r="BG740" s="107">
        <v>46176</v>
      </c>
      <c r="BH740" s="107">
        <f t="shared" si="318"/>
        <v>46206</v>
      </c>
      <c r="BI740" s="23">
        <v>6</v>
      </c>
      <c r="BJ740" s="6"/>
      <c r="BK740" s="6"/>
      <c r="BL740" s="6">
        <f>VLOOKUP(A740,[2]Sheet1!$D$2:$H$933,5,0)</f>
        <v>0</v>
      </c>
      <c r="BM740" s="6" t="s">
        <v>3828</v>
      </c>
      <c r="BN740" s="6" t="s">
        <v>3829</v>
      </c>
      <c r="BO740" s="6" t="s">
        <v>3820</v>
      </c>
      <c r="BP740" s="6" t="s">
        <v>3821</v>
      </c>
      <c r="BQ740" s="6" t="s">
        <v>3830</v>
      </c>
      <c r="BR740" t="s">
        <v>3823</v>
      </c>
      <c r="BS740" t="s">
        <v>3824</v>
      </c>
      <c r="BT740" t="s">
        <v>3825</v>
      </c>
      <c r="BU740" t="s">
        <v>3826</v>
      </c>
      <c r="BV740" t="s">
        <v>3827</v>
      </c>
      <c r="BW740" t="s">
        <v>3835</v>
      </c>
      <c r="BX740">
        <v>0</v>
      </c>
      <c r="BY740" t="s">
        <v>3868</v>
      </c>
      <c r="BZ740" t="s">
        <v>3863</v>
      </c>
    </row>
    <row r="741" spans="1:78" x14ac:dyDescent="0.25">
      <c r="A741" s="7" t="s">
        <v>3019</v>
      </c>
      <c r="B741" s="7" t="s">
        <v>181</v>
      </c>
      <c r="C741" s="7" t="s">
        <v>3017</v>
      </c>
      <c r="D741" s="8" t="s">
        <v>3018</v>
      </c>
      <c r="E741" s="7" t="s">
        <v>981</v>
      </c>
      <c r="F741" s="9">
        <v>45016</v>
      </c>
      <c r="G741" s="9" t="s">
        <v>404</v>
      </c>
      <c r="H741" s="9" t="s">
        <v>92</v>
      </c>
      <c r="I741" s="8" t="s">
        <v>78</v>
      </c>
      <c r="J741" s="10">
        <v>1134.96</v>
      </c>
      <c r="K741" s="10">
        <v>1134.96</v>
      </c>
      <c r="L741" s="10">
        <f t="shared" si="319"/>
        <v>0</v>
      </c>
      <c r="M741" s="10">
        <v>528.51</v>
      </c>
      <c r="N741" s="10">
        <v>528.51</v>
      </c>
      <c r="O741" s="10">
        <f t="shared" si="320"/>
        <v>0</v>
      </c>
      <c r="P741" s="11">
        <v>9000</v>
      </c>
      <c r="Q741" s="11">
        <v>19327.240733382529</v>
      </c>
      <c r="R741" s="11">
        <v>28000</v>
      </c>
      <c r="S741" s="11">
        <v>10214640</v>
      </c>
      <c r="T741" s="11">
        <v>1225758</v>
      </c>
      <c r="U741" s="12">
        <f t="shared" si="321"/>
        <v>0.12000011747844271</v>
      </c>
      <c r="V741" s="13">
        <f t="shared" si="346"/>
        <v>0</v>
      </c>
      <c r="W741" s="10">
        <f t="shared" si="323"/>
        <v>0</v>
      </c>
      <c r="X741" s="10"/>
      <c r="Y741" s="10"/>
      <c r="Z741" s="11">
        <f t="shared" si="324"/>
        <v>10214640</v>
      </c>
      <c r="AA741" s="14"/>
      <c r="AB741" s="14"/>
      <c r="AC741" s="11">
        <f t="shared" si="325"/>
        <v>10214640</v>
      </c>
      <c r="AD741" s="10">
        <f t="shared" si="326"/>
        <v>300</v>
      </c>
      <c r="AE741" s="15">
        <v>158553</v>
      </c>
      <c r="AF741" s="16">
        <v>28540</v>
      </c>
      <c r="AG741" s="15">
        <f t="shared" si="327"/>
        <v>0</v>
      </c>
      <c r="AH741" s="15">
        <f t="shared" si="328"/>
        <v>0</v>
      </c>
      <c r="AI741" s="15">
        <f t="shared" si="329"/>
        <v>158553</v>
      </c>
      <c r="AJ741" s="15">
        <f t="shared" si="330"/>
        <v>28540</v>
      </c>
      <c r="AK741" s="10">
        <v>158553</v>
      </c>
      <c r="AL741" s="15">
        <f t="shared" si="331"/>
        <v>158553</v>
      </c>
      <c r="AM741" s="15">
        <f t="shared" si="332"/>
        <v>10373193</v>
      </c>
      <c r="AN741" s="15">
        <f t="shared" si="333"/>
        <v>1254298</v>
      </c>
      <c r="AO741" s="15">
        <f t="shared" si="338"/>
        <v>1458346</v>
      </c>
      <c r="AP741" s="17">
        <f t="shared" si="334"/>
        <v>11831539</v>
      </c>
      <c r="AQ741" s="15">
        <v>1144000</v>
      </c>
      <c r="AR741" s="15">
        <v>45495</v>
      </c>
      <c r="AS741" s="18">
        <f t="shared" si="339"/>
        <v>10687539</v>
      </c>
      <c r="AT741" s="19">
        <v>0</v>
      </c>
      <c r="AU741" s="8">
        <v>8800</v>
      </c>
      <c r="AV741" s="13">
        <f t="shared" si="340"/>
        <v>4650888</v>
      </c>
      <c r="AW741" s="18">
        <f t="shared" si="341"/>
        <v>10373193</v>
      </c>
      <c r="AX741" s="15">
        <f t="shared" si="335"/>
        <v>10374000</v>
      </c>
      <c r="AY741" s="20">
        <v>7.0000000000000007E-2</v>
      </c>
      <c r="AZ741" s="13">
        <f t="shared" si="336"/>
        <v>726180.00000000012</v>
      </c>
      <c r="BA741" s="15">
        <f t="shared" si="337"/>
        <v>726200</v>
      </c>
      <c r="BB741" s="21">
        <f t="shared" si="342"/>
        <v>11413739</v>
      </c>
      <c r="BC741" s="10">
        <f t="shared" si="343"/>
        <v>0</v>
      </c>
      <c r="BD741" s="10">
        <f t="shared" si="344"/>
        <v>0</v>
      </c>
      <c r="BE741" s="10">
        <v>105.44</v>
      </c>
      <c r="BF741" s="10">
        <v>49.1</v>
      </c>
      <c r="BG741" s="107">
        <v>46176</v>
      </c>
      <c r="BH741" s="107">
        <f t="shared" si="318"/>
        <v>46206</v>
      </c>
      <c r="BI741" s="23">
        <v>7</v>
      </c>
      <c r="BJ741" s="6"/>
      <c r="BK741" s="6"/>
      <c r="BL741" s="6">
        <f>VLOOKUP(A741,[2]Sheet1!$D$2:$H$933,5,0)</f>
        <v>0</v>
      </c>
      <c r="BM741" s="6" t="s">
        <v>3828</v>
      </c>
      <c r="BN741" s="6" t="s">
        <v>3829</v>
      </c>
      <c r="BO741" s="6" t="s">
        <v>3820</v>
      </c>
      <c r="BP741" s="6" t="s">
        <v>3821</v>
      </c>
      <c r="BQ741" s="6" t="s">
        <v>3830</v>
      </c>
      <c r="BR741" t="s">
        <v>3823</v>
      </c>
      <c r="BS741" t="s">
        <v>3824</v>
      </c>
      <c r="BT741" t="s">
        <v>3825</v>
      </c>
      <c r="BU741" t="s">
        <v>3826</v>
      </c>
      <c r="BV741" t="s">
        <v>3827</v>
      </c>
      <c r="BW741" t="s">
        <v>3835</v>
      </c>
      <c r="BX741">
        <v>0</v>
      </c>
      <c r="BY741" t="s">
        <v>3865</v>
      </c>
      <c r="BZ741" t="s">
        <v>3863</v>
      </c>
    </row>
    <row r="742" spans="1:78" x14ac:dyDescent="0.25">
      <c r="A742" s="7" t="s">
        <v>3022</v>
      </c>
      <c r="B742" s="7" t="s">
        <v>181</v>
      </c>
      <c r="C742" s="7" t="s">
        <v>3020</v>
      </c>
      <c r="D742" s="8" t="s">
        <v>3021</v>
      </c>
      <c r="E742" s="7" t="s">
        <v>3023</v>
      </c>
      <c r="F742" s="9">
        <v>45003</v>
      </c>
      <c r="G742" s="9" t="s">
        <v>65</v>
      </c>
      <c r="H742" s="9" t="s">
        <v>1167</v>
      </c>
      <c r="I742" s="8" t="s">
        <v>635</v>
      </c>
      <c r="J742" s="10">
        <v>2084.13</v>
      </c>
      <c r="K742" s="10">
        <v>2084.13</v>
      </c>
      <c r="L742" s="10">
        <f t="shared" si="319"/>
        <v>0</v>
      </c>
      <c r="M742" s="10">
        <v>229.27</v>
      </c>
      <c r="N742" s="10">
        <v>229.27</v>
      </c>
      <c r="O742" s="10">
        <f t="shared" si="320"/>
        <v>0</v>
      </c>
      <c r="P742" s="11">
        <v>5500</v>
      </c>
      <c r="Q742" s="11">
        <v>49996.576089326991</v>
      </c>
      <c r="R742" s="11">
        <v>20000</v>
      </c>
      <c r="S742" s="11">
        <v>11462715</v>
      </c>
      <c r="T742" s="11">
        <v>1375526</v>
      </c>
      <c r="U742" s="12">
        <f t="shared" si="321"/>
        <v>0.12000001744787339</v>
      </c>
      <c r="V742" s="13">
        <f t="shared" si="346"/>
        <v>0</v>
      </c>
      <c r="W742" s="10">
        <f t="shared" si="323"/>
        <v>0</v>
      </c>
      <c r="X742" s="10"/>
      <c r="Y742" s="10"/>
      <c r="Z742" s="11">
        <f t="shared" si="324"/>
        <v>11462715</v>
      </c>
      <c r="AA742" s="14"/>
      <c r="AB742" s="14"/>
      <c r="AC742" s="11">
        <f t="shared" si="325"/>
        <v>11462715</v>
      </c>
      <c r="AD742" s="10">
        <f t="shared" si="326"/>
        <v>300</v>
      </c>
      <c r="AE742" s="15">
        <v>68781</v>
      </c>
      <c r="AF742" s="16">
        <v>12380</v>
      </c>
      <c r="AG742" s="15">
        <f t="shared" si="327"/>
        <v>0</v>
      </c>
      <c r="AH742" s="15">
        <f t="shared" si="328"/>
        <v>0</v>
      </c>
      <c r="AI742" s="15">
        <f t="shared" si="329"/>
        <v>68781</v>
      </c>
      <c r="AJ742" s="15">
        <f t="shared" si="330"/>
        <v>12381</v>
      </c>
      <c r="AK742" s="10">
        <v>68781</v>
      </c>
      <c r="AL742" s="15">
        <f t="shared" si="331"/>
        <v>68781</v>
      </c>
      <c r="AM742" s="15">
        <f t="shared" si="332"/>
        <v>11531496</v>
      </c>
      <c r="AN742" s="15">
        <f t="shared" si="333"/>
        <v>1387907</v>
      </c>
      <c r="AO742" s="15">
        <f t="shared" si="338"/>
        <v>1502433</v>
      </c>
      <c r="AP742" s="17">
        <f t="shared" si="334"/>
        <v>13033929</v>
      </c>
      <c r="AQ742" s="15">
        <v>2352000</v>
      </c>
      <c r="AR742" s="15">
        <v>45745</v>
      </c>
      <c r="AS742" s="18">
        <f t="shared" si="339"/>
        <v>10681929</v>
      </c>
      <c r="AT742" s="19">
        <v>0</v>
      </c>
      <c r="AU742" s="8">
        <v>8800</v>
      </c>
      <c r="AV742" s="13">
        <f t="shared" si="340"/>
        <v>2017576</v>
      </c>
      <c r="AW742" s="18">
        <f t="shared" si="341"/>
        <v>11531496</v>
      </c>
      <c r="AX742" s="15">
        <f t="shared" si="335"/>
        <v>11532000</v>
      </c>
      <c r="AY742" s="20">
        <v>0.05</v>
      </c>
      <c r="AZ742" s="13">
        <f t="shared" si="336"/>
        <v>576600</v>
      </c>
      <c r="BA742" s="15">
        <f t="shared" si="337"/>
        <v>576600</v>
      </c>
      <c r="BB742" s="21">
        <f t="shared" si="342"/>
        <v>11258529</v>
      </c>
      <c r="BC742" s="10">
        <f t="shared" si="343"/>
        <v>0</v>
      </c>
      <c r="BD742" s="10">
        <f t="shared" si="344"/>
        <v>0</v>
      </c>
      <c r="BE742" s="10">
        <v>193.62</v>
      </c>
      <c r="BF742" s="10">
        <v>21.3</v>
      </c>
      <c r="BG742" s="107">
        <v>46176</v>
      </c>
      <c r="BH742" s="107">
        <f t="shared" si="318"/>
        <v>46206</v>
      </c>
      <c r="BI742" s="23">
        <v>5</v>
      </c>
      <c r="BJ742" s="6"/>
      <c r="BK742" s="6"/>
      <c r="BL742" s="6">
        <f>VLOOKUP(A742,[2]Sheet1!$D$2:$H$933,5,0)</f>
        <v>0</v>
      </c>
      <c r="BM742" s="6" t="s">
        <v>3828</v>
      </c>
      <c r="BN742" s="6" t="s">
        <v>3829</v>
      </c>
      <c r="BO742" s="6" t="s">
        <v>3820</v>
      </c>
      <c r="BP742" s="6" t="s">
        <v>3821</v>
      </c>
      <c r="BQ742" s="6" t="s">
        <v>3830</v>
      </c>
      <c r="BR742" t="s">
        <v>3823</v>
      </c>
      <c r="BS742" t="s">
        <v>3824</v>
      </c>
      <c r="BT742" t="s">
        <v>3825</v>
      </c>
      <c r="BU742" t="s">
        <v>3826</v>
      </c>
      <c r="BV742" t="s">
        <v>3827</v>
      </c>
      <c r="BW742" t="s">
        <v>3835</v>
      </c>
      <c r="BX742">
        <v>0</v>
      </c>
      <c r="BY742" t="s">
        <v>3866</v>
      </c>
      <c r="BZ742" t="s">
        <v>3860</v>
      </c>
    </row>
    <row r="743" spans="1:78" x14ac:dyDescent="0.25">
      <c r="A743" s="7" t="s">
        <v>3026</v>
      </c>
      <c r="B743" s="7" t="s">
        <v>181</v>
      </c>
      <c r="C743" s="7" t="s">
        <v>3024</v>
      </c>
      <c r="D743" s="8" t="s">
        <v>3025</v>
      </c>
      <c r="E743" s="7" t="s">
        <v>3027</v>
      </c>
      <c r="F743" s="9">
        <v>44994</v>
      </c>
      <c r="G743" s="9" t="s">
        <v>363</v>
      </c>
      <c r="H743" s="9" t="s">
        <v>87</v>
      </c>
      <c r="I743" s="8" t="s">
        <v>67</v>
      </c>
      <c r="J743" s="10">
        <v>208.1</v>
      </c>
      <c r="K743" s="10">
        <v>208.1</v>
      </c>
      <c r="L743" s="10">
        <f t="shared" si="319"/>
        <v>0</v>
      </c>
      <c r="M743" s="10">
        <v>80.510000000000005</v>
      </c>
      <c r="N743" s="10">
        <v>80.510000000000005</v>
      </c>
      <c r="O743" s="10">
        <f t="shared" si="320"/>
        <v>0</v>
      </c>
      <c r="P743" s="11">
        <v>30218.000961076406</v>
      </c>
      <c r="Q743" s="11">
        <v>78106.645137250031</v>
      </c>
      <c r="R743" s="11">
        <v>40000</v>
      </c>
      <c r="S743" s="11">
        <v>6288366</v>
      </c>
      <c r="T743" s="11">
        <v>754606</v>
      </c>
      <c r="U743" s="12">
        <f t="shared" si="321"/>
        <v>0.12000033076955126</v>
      </c>
      <c r="V743" s="13">
        <f t="shared" si="346"/>
        <v>0</v>
      </c>
      <c r="W743" s="10">
        <f t="shared" si="323"/>
        <v>0</v>
      </c>
      <c r="X743" s="10"/>
      <c r="Y743" s="10"/>
      <c r="Z743" s="11">
        <f t="shared" si="324"/>
        <v>6288366</v>
      </c>
      <c r="AA743" s="14"/>
      <c r="AB743" s="14"/>
      <c r="AC743" s="11">
        <f t="shared" si="325"/>
        <v>6288366</v>
      </c>
      <c r="AD743" s="10">
        <f t="shared" si="326"/>
        <v>300</v>
      </c>
      <c r="AE743" s="15">
        <v>24153</v>
      </c>
      <c r="AF743" s="16">
        <v>4348</v>
      </c>
      <c r="AG743" s="15">
        <f t="shared" si="327"/>
        <v>0</v>
      </c>
      <c r="AH743" s="15">
        <f t="shared" si="328"/>
        <v>0</v>
      </c>
      <c r="AI743" s="15">
        <f t="shared" si="329"/>
        <v>24153</v>
      </c>
      <c r="AJ743" s="15">
        <f t="shared" si="330"/>
        <v>4348</v>
      </c>
      <c r="AK743" s="10">
        <v>24153</v>
      </c>
      <c r="AL743" s="15">
        <f t="shared" si="331"/>
        <v>24153</v>
      </c>
      <c r="AM743" s="15">
        <f t="shared" si="332"/>
        <v>6312519</v>
      </c>
      <c r="AN743" s="15">
        <f t="shared" si="333"/>
        <v>758954</v>
      </c>
      <c r="AO743" s="15">
        <f t="shared" si="338"/>
        <v>819189</v>
      </c>
      <c r="AP743" s="17">
        <f t="shared" si="334"/>
        <v>7131708</v>
      </c>
      <c r="AQ743" s="15">
        <v>2995316</v>
      </c>
      <c r="AR743" s="15">
        <v>36082</v>
      </c>
      <c r="AS743" s="18">
        <f t="shared" si="339"/>
        <v>4136392</v>
      </c>
      <c r="AT743" s="19">
        <v>0</v>
      </c>
      <c r="AU743" s="8">
        <v>8800</v>
      </c>
      <c r="AV743" s="13">
        <f t="shared" si="340"/>
        <v>708488</v>
      </c>
      <c r="AW743" s="18">
        <f t="shared" si="341"/>
        <v>6312519</v>
      </c>
      <c r="AX743" s="15">
        <f t="shared" si="335"/>
        <v>6313000</v>
      </c>
      <c r="AY743" s="20">
        <v>0.05</v>
      </c>
      <c r="AZ743" s="13">
        <f t="shared" si="336"/>
        <v>315650</v>
      </c>
      <c r="BA743" s="15">
        <f t="shared" si="337"/>
        <v>315700</v>
      </c>
      <c r="BB743" s="21">
        <f t="shared" si="342"/>
        <v>4452092</v>
      </c>
      <c r="BC743" s="10">
        <f t="shared" si="343"/>
        <v>0</v>
      </c>
      <c r="BD743" s="10">
        <f t="shared" si="344"/>
        <v>0</v>
      </c>
      <c r="BE743" s="10">
        <v>19.329999999999998</v>
      </c>
      <c r="BF743" s="10">
        <v>7.48</v>
      </c>
      <c r="BG743" s="107">
        <v>46176</v>
      </c>
      <c r="BH743" s="107">
        <f t="shared" si="318"/>
        <v>46206</v>
      </c>
      <c r="BI743" s="23">
        <v>5</v>
      </c>
      <c r="BJ743" s="6"/>
      <c r="BK743" s="6"/>
      <c r="BL743" s="6">
        <f>VLOOKUP(A743,[2]Sheet1!$D$2:$H$933,5,0)</f>
        <v>0</v>
      </c>
      <c r="BM743" s="6" t="s">
        <v>3828</v>
      </c>
      <c r="BN743" s="6" t="s">
        <v>3829</v>
      </c>
      <c r="BO743" s="6" t="s">
        <v>3820</v>
      </c>
      <c r="BP743" s="6" t="s">
        <v>3821</v>
      </c>
      <c r="BQ743" s="6" t="s">
        <v>3830</v>
      </c>
      <c r="BR743" t="s">
        <v>3823</v>
      </c>
      <c r="BS743" t="s">
        <v>3824</v>
      </c>
      <c r="BT743" t="s">
        <v>3825</v>
      </c>
      <c r="BU743" t="s">
        <v>3826</v>
      </c>
      <c r="BV743" t="s">
        <v>3827</v>
      </c>
      <c r="BW743" t="s">
        <v>3835</v>
      </c>
      <c r="BX743">
        <v>0</v>
      </c>
      <c r="BY743" t="s">
        <v>3870</v>
      </c>
      <c r="BZ743" t="s">
        <v>3860</v>
      </c>
    </row>
    <row r="744" spans="1:78" x14ac:dyDescent="0.25">
      <c r="A744" s="7" t="s">
        <v>3030</v>
      </c>
      <c r="B744" s="7" t="s">
        <v>181</v>
      </c>
      <c r="C744" s="7" t="s">
        <v>3028</v>
      </c>
      <c r="D744" s="8" t="s">
        <v>3029</v>
      </c>
      <c r="E744" s="7" t="s">
        <v>3031</v>
      </c>
      <c r="F744" s="9">
        <v>44903</v>
      </c>
      <c r="G744" s="9" t="s">
        <v>404</v>
      </c>
      <c r="H744" s="9" t="s">
        <v>66</v>
      </c>
      <c r="I744" s="8" t="s">
        <v>78</v>
      </c>
      <c r="J744" s="10">
        <v>775.01</v>
      </c>
      <c r="K744" s="10">
        <v>775.01</v>
      </c>
      <c r="L744" s="10">
        <f t="shared" si="319"/>
        <v>0</v>
      </c>
      <c r="M744" s="10">
        <v>358.44</v>
      </c>
      <c r="N744" s="10">
        <v>358.44</v>
      </c>
      <c r="O744" s="10">
        <f t="shared" si="320"/>
        <v>0</v>
      </c>
      <c r="P744" s="11">
        <v>12266.12946929717</v>
      </c>
      <c r="Q744" s="11">
        <v>26521.518245731502</v>
      </c>
      <c r="R744" s="11">
        <v>22000</v>
      </c>
      <c r="S744" s="11">
        <v>9506373</v>
      </c>
      <c r="T744" s="11">
        <v>1140766</v>
      </c>
      <c r="U744" s="12">
        <f t="shared" si="321"/>
        <v>0.12000013043881194</v>
      </c>
      <c r="V744" s="13">
        <f t="shared" si="346"/>
        <v>0</v>
      </c>
      <c r="W744" s="10">
        <f t="shared" si="323"/>
        <v>0</v>
      </c>
      <c r="X744" s="10"/>
      <c r="Y744" s="10"/>
      <c r="Z744" s="11">
        <f t="shared" si="324"/>
        <v>9506373</v>
      </c>
      <c r="AA744" s="14"/>
      <c r="AB744" s="14"/>
      <c r="AC744" s="11">
        <f t="shared" si="325"/>
        <v>9506373</v>
      </c>
      <c r="AD744" s="10">
        <f t="shared" si="326"/>
        <v>300</v>
      </c>
      <c r="AE744" s="15">
        <v>107532</v>
      </c>
      <c r="AF744" s="16">
        <v>19356</v>
      </c>
      <c r="AG744" s="15">
        <f t="shared" si="327"/>
        <v>0</v>
      </c>
      <c r="AH744" s="15">
        <f t="shared" si="328"/>
        <v>0</v>
      </c>
      <c r="AI744" s="15">
        <f t="shared" si="329"/>
        <v>107532</v>
      </c>
      <c r="AJ744" s="15">
        <f t="shared" si="330"/>
        <v>19356</v>
      </c>
      <c r="AK744" s="10">
        <v>107532</v>
      </c>
      <c r="AL744" s="15">
        <f t="shared" si="331"/>
        <v>107532</v>
      </c>
      <c r="AM744" s="15">
        <f t="shared" si="332"/>
        <v>9613905</v>
      </c>
      <c r="AN744" s="15">
        <f t="shared" si="333"/>
        <v>1160122</v>
      </c>
      <c r="AO744" s="15">
        <f t="shared" si="338"/>
        <v>1306208</v>
      </c>
      <c r="AP744" s="17">
        <f t="shared" si="334"/>
        <v>10920113</v>
      </c>
      <c r="AQ744" s="15">
        <v>1826328.4</v>
      </c>
      <c r="AR744" s="15">
        <v>38554</v>
      </c>
      <c r="AS744" s="18">
        <f t="shared" si="339"/>
        <v>9093785</v>
      </c>
      <c r="AT744" s="19">
        <v>0</v>
      </c>
      <c r="AU744" s="8">
        <v>8800</v>
      </c>
      <c r="AV744" s="13">
        <f t="shared" si="340"/>
        <v>3154272</v>
      </c>
      <c r="AW744" s="18">
        <f t="shared" si="341"/>
        <v>9613905</v>
      </c>
      <c r="AX744" s="15">
        <f t="shared" si="335"/>
        <v>9614000</v>
      </c>
      <c r="AY744" s="20">
        <v>7.0000000000000007E-2</v>
      </c>
      <c r="AZ744" s="13">
        <f t="shared" si="336"/>
        <v>672980.00000000012</v>
      </c>
      <c r="BA744" s="15">
        <f t="shared" si="337"/>
        <v>673000</v>
      </c>
      <c r="BB744" s="21">
        <f t="shared" si="342"/>
        <v>9766785</v>
      </c>
      <c r="BC744" s="10">
        <f t="shared" si="343"/>
        <v>0</v>
      </c>
      <c r="BD744" s="10">
        <f t="shared" si="344"/>
        <v>0</v>
      </c>
      <c r="BE744" s="10">
        <v>72</v>
      </c>
      <c r="BF744" s="10">
        <v>33.299999999999997</v>
      </c>
      <c r="BG744" s="107">
        <v>46176</v>
      </c>
      <c r="BH744" s="107">
        <f t="shared" si="318"/>
        <v>46206</v>
      </c>
      <c r="BI744" s="23">
        <v>7</v>
      </c>
      <c r="BJ744" s="6"/>
      <c r="BK744" s="6"/>
      <c r="BL744" s="6">
        <f>VLOOKUP(A744,[2]Sheet1!$D$2:$H$933,5,0)</f>
        <v>0</v>
      </c>
      <c r="BM744" s="6" t="s">
        <v>3828</v>
      </c>
      <c r="BN744" s="6" t="s">
        <v>3829</v>
      </c>
      <c r="BO744" s="6" t="s">
        <v>3820</v>
      </c>
      <c r="BP744" s="6" t="s">
        <v>3821</v>
      </c>
      <c r="BQ744" s="6" t="s">
        <v>3830</v>
      </c>
      <c r="BR744" t="s">
        <v>3823</v>
      </c>
      <c r="BS744" t="s">
        <v>3824</v>
      </c>
      <c r="BT744" t="s">
        <v>3825</v>
      </c>
      <c r="BU744" t="s">
        <v>3826</v>
      </c>
      <c r="BV744" t="s">
        <v>3827</v>
      </c>
      <c r="BW744" t="s">
        <v>3835</v>
      </c>
      <c r="BX744">
        <v>0</v>
      </c>
      <c r="BY744" t="s">
        <v>3861</v>
      </c>
      <c r="BZ744" t="s">
        <v>3863</v>
      </c>
    </row>
    <row r="745" spans="1:78" x14ac:dyDescent="0.25">
      <c r="A745" s="7" t="s">
        <v>3034</v>
      </c>
      <c r="B745" s="7" t="s">
        <v>181</v>
      </c>
      <c r="C745" s="7" t="s">
        <v>3032</v>
      </c>
      <c r="D745" s="8" t="s">
        <v>3033</v>
      </c>
      <c r="E745" s="7" t="s">
        <v>3035</v>
      </c>
      <c r="F745" s="9">
        <v>44896</v>
      </c>
      <c r="G745" s="9" t="s">
        <v>527</v>
      </c>
      <c r="H745" s="9" t="s">
        <v>72</v>
      </c>
      <c r="I745" s="8" t="s">
        <v>635</v>
      </c>
      <c r="J745" s="10">
        <v>1445.29</v>
      </c>
      <c r="K745" s="10">
        <v>1445.29</v>
      </c>
      <c r="L745" s="10">
        <f t="shared" si="319"/>
        <v>0</v>
      </c>
      <c r="M745" s="10">
        <v>219.48</v>
      </c>
      <c r="N745" s="10">
        <v>219.48</v>
      </c>
      <c r="O745" s="10">
        <f t="shared" si="320"/>
        <v>0</v>
      </c>
      <c r="P745" s="11">
        <v>8330.0002075707998</v>
      </c>
      <c r="Q745" s="11">
        <v>54853.590304355756</v>
      </c>
      <c r="R745" s="11">
        <v>20000</v>
      </c>
      <c r="S745" s="11">
        <v>12039266</v>
      </c>
      <c r="T745" s="11">
        <v>1444714</v>
      </c>
      <c r="U745" s="12">
        <f t="shared" si="321"/>
        <v>0.12000017276800762</v>
      </c>
      <c r="V745" s="13">
        <f t="shared" si="346"/>
        <v>0</v>
      </c>
      <c r="W745" s="10">
        <f t="shared" si="323"/>
        <v>0</v>
      </c>
      <c r="X745" s="10"/>
      <c r="Y745" s="10"/>
      <c r="Z745" s="11">
        <f t="shared" si="324"/>
        <v>12039266</v>
      </c>
      <c r="AA745" s="14"/>
      <c r="AB745" s="14"/>
      <c r="AC745" s="11">
        <f t="shared" si="325"/>
        <v>12039266</v>
      </c>
      <c r="AD745" s="10">
        <f t="shared" si="326"/>
        <v>300</v>
      </c>
      <c r="AE745" s="15">
        <v>65844</v>
      </c>
      <c r="AF745" s="16">
        <v>11852</v>
      </c>
      <c r="AG745" s="15">
        <f t="shared" si="327"/>
        <v>0</v>
      </c>
      <c r="AH745" s="15">
        <f t="shared" si="328"/>
        <v>0</v>
      </c>
      <c r="AI745" s="15">
        <f t="shared" si="329"/>
        <v>65844</v>
      </c>
      <c r="AJ745" s="15">
        <f t="shared" si="330"/>
        <v>11852</v>
      </c>
      <c r="AK745" s="10">
        <v>65844</v>
      </c>
      <c r="AL745" s="15">
        <f t="shared" si="331"/>
        <v>65844</v>
      </c>
      <c r="AM745" s="15">
        <f t="shared" si="332"/>
        <v>12105110</v>
      </c>
      <c r="AN745" s="15">
        <f t="shared" si="333"/>
        <v>1456566</v>
      </c>
      <c r="AO745" s="15">
        <f t="shared" si="338"/>
        <v>1555458</v>
      </c>
      <c r="AP745" s="17">
        <f t="shared" si="334"/>
        <v>13660568</v>
      </c>
      <c r="AQ745" s="15">
        <v>4348398</v>
      </c>
      <c r="AR745" s="15">
        <v>33048</v>
      </c>
      <c r="AS745" s="18">
        <f t="shared" si="339"/>
        <v>9312170</v>
      </c>
      <c r="AT745" s="19">
        <v>0</v>
      </c>
      <c r="AU745" s="8">
        <v>8800</v>
      </c>
      <c r="AV745" s="13">
        <f t="shared" si="340"/>
        <v>1931424</v>
      </c>
      <c r="AW745" s="18">
        <f t="shared" si="341"/>
        <v>12105110</v>
      </c>
      <c r="AX745" s="15">
        <f t="shared" si="335"/>
        <v>12106000</v>
      </c>
      <c r="AY745" s="20">
        <v>7.0000000000000007E-2</v>
      </c>
      <c r="AZ745" s="13">
        <f t="shared" si="336"/>
        <v>847420.00000000012</v>
      </c>
      <c r="BA745" s="15">
        <f t="shared" si="337"/>
        <v>847500</v>
      </c>
      <c r="BB745" s="21">
        <f t="shared" si="342"/>
        <v>10159670</v>
      </c>
      <c r="BC745" s="10">
        <f t="shared" si="343"/>
        <v>0</v>
      </c>
      <c r="BD745" s="10">
        <f t="shared" si="344"/>
        <v>0</v>
      </c>
      <c r="BE745" s="10">
        <v>134.27000000000001</v>
      </c>
      <c r="BF745" s="10">
        <v>20.39</v>
      </c>
      <c r="BG745" s="107">
        <v>46176</v>
      </c>
      <c r="BH745" s="107">
        <f t="shared" ref="BH745:BH808" si="347">BG745+30</f>
        <v>46206</v>
      </c>
      <c r="BI745" s="23">
        <v>7</v>
      </c>
      <c r="BJ745" s="6"/>
      <c r="BK745" s="6"/>
      <c r="BL745" s="6">
        <f>VLOOKUP(A745,[2]Sheet1!$D$2:$H$933,5,0)</f>
        <v>0</v>
      </c>
      <c r="BM745" s="6" t="s">
        <v>3828</v>
      </c>
      <c r="BN745" s="6" t="s">
        <v>3829</v>
      </c>
      <c r="BO745" s="6" t="s">
        <v>3820</v>
      </c>
      <c r="BP745" s="6" t="s">
        <v>3821</v>
      </c>
      <c r="BQ745" s="6" t="s">
        <v>3830</v>
      </c>
      <c r="BR745" t="s">
        <v>3823</v>
      </c>
      <c r="BS745" t="s">
        <v>3824</v>
      </c>
      <c r="BT745" t="s">
        <v>3825</v>
      </c>
      <c r="BU745" t="s">
        <v>3826</v>
      </c>
      <c r="BV745" t="s">
        <v>3827</v>
      </c>
      <c r="BW745" t="s">
        <v>3835</v>
      </c>
      <c r="BX745">
        <v>0</v>
      </c>
      <c r="BY745" t="s">
        <v>3869</v>
      </c>
      <c r="BZ745" t="s">
        <v>3871</v>
      </c>
    </row>
    <row r="746" spans="1:78" x14ac:dyDescent="0.25">
      <c r="A746" s="65" t="s">
        <v>3038</v>
      </c>
      <c r="B746" s="7" t="s">
        <v>181</v>
      </c>
      <c r="C746" s="7" t="s">
        <v>3036</v>
      </c>
      <c r="D746" s="8" t="s">
        <v>3037</v>
      </c>
      <c r="E746" s="7" t="s">
        <v>3039</v>
      </c>
      <c r="F746" s="9">
        <v>44958</v>
      </c>
      <c r="G746" s="9" t="s">
        <v>404</v>
      </c>
      <c r="H746" s="9" t="s">
        <v>87</v>
      </c>
      <c r="I746" s="8" t="s">
        <v>78</v>
      </c>
      <c r="J746" s="10">
        <v>458.98</v>
      </c>
      <c r="K746" s="10">
        <v>458.98</v>
      </c>
      <c r="L746" s="10">
        <f t="shared" si="319"/>
        <v>0</v>
      </c>
      <c r="M746" s="10">
        <v>205.81</v>
      </c>
      <c r="N746" s="10">
        <v>205.81</v>
      </c>
      <c r="O746" s="10">
        <f t="shared" si="320"/>
        <v>0</v>
      </c>
      <c r="P746" s="11">
        <v>19276.870451871542</v>
      </c>
      <c r="Q746" s="11">
        <v>42989.640930955735</v>
      </c>
      <c r="R746" s="11">
        <v>40000</v>
      </c>
      <c r="S746" s="11">
        <v>8847698</v>
      </c>
      <c r="T746" s="11">
        <v>1061722</v>
      </c>
      <c r="U746" s="12">
        <f t="shared" si="321"/>
        <v>0.11999980107820135</v>
      </c>
      <c r="V746" s="13">
        <f t="shared" si="346"/>
        <v>0</v>
      </c>
      <c r="W746" s="10">
        <f t="shared" si="323"/>
        <v>0</v>
      </c>
      <c r="X746" s="10"/>
      <c r="Y746" s="10"/>
      <c r="Z746" s="11">
        <f t="shared" si="324"/>
        <v>8847698</v>
      </c>
      <c r="AA746" s="14"/>
      <c r="AB746" s="14"/>
      <c r="AC746" s="11">
        <f t="shared" si="325"/>
        <v>8847698</v>
      </c>
      <c r="AD746" s="10">
        <f t="shared" si="326"/>
        <v>300</v>
      </c>
      <c r="AE746" s="15">
        <v>61743</v>
      </c>
      <c r="AF746" s="16">
        <v>11114</v>
      </c>
      <c r="AG746" s="15">
        <f t="shared" si="327"/>
        <v>0</v>
      </c>
      <c r="AH746" s="15">
        <f t="shared" si="328"/>
        <v>0</v>
      </c>
      <c r="AI746" s="15">
        <f t="shared" si="329"/>
        <v>61743</v>
      </c>
      <c r="AJ746" s="15">
        <f t="shared" si="330"/>
        <v>11114</v>
      </c>
      <c r="AK746" s="10">
        <v>61743</v>
      </c>
      <c r="AL746" s="15">
        <f t="shared" si="331"/>
        <v>61743</v>
      </c>
      <c r="AM746" s="15">
        <f t="shared" si="332"/>
        <v>8909441</v>
      </c>
      <c r="AN746" s="15">
        <f t="shared" si="333"/>
        <v>1072836</v>
      </c>
      <c r="AO746" s="15">
        <f t="shared" si="338"/>
        <v>1174811</v>
      </c>
      <c r="AP746" s="17">
        <f t="shared" si="334"/>
        <v>10084252</v>
      </c>
      <c r="AQ746" s="15">
        <v>3648636</v>
      </c>
      <c r="AR746" s="15">
        <v>40232</v>
      </c>
      <c r="AS746" s="18">
        <f t="shared" si="339"/>
        <v>6435616</v>
      </c>
      <c r="AT746" s="19">
        <v>0</v>
      </c>
      <c r="AU746" s="8">
        <v>8800</v>
      </c>
      <c r="AV746" s="13">
        <f t="shared" si="340"/>
        <v>1811128</v>
      </c>
      <c r="AW746" s="18">
        <f t="shared" si="341"/>
        <v>8909441</v>
      </c>
      <c r="AX746" s="15">
        <f t="shared" si="335"/>
        <v>8910000</v>
      </c>
      <c r="AY746" s="20">
        <v>0.06</v>
      </c>
      <c r="AZ746" s="13">
        <f t="shared" si="336"/>
        <v>534600</v>
      </c>
      <c r="BA746" s="15">
        <f t="shared" si="337"/>
        <v>534600</v>
      </c>
      <c r="BB746" s="21">
        <f t="shared" si="342"/>
        <v>6970216</v>
      </c>
      <c r="BC746" s="10">
        <f t="shared" si="343"/>
        <v>0</v>
      </c>
      <c r="BD746" s="10">
        <f t="shared" si="344"/>
        <v>0</v>
      </c>
      <c r="BE746" s="10">
        <v>42.64</v>
      </c>
      <c r="BF746" s="10">
        <v>19.12</v>
      </c>
      <c r="BG746" s="107">
        <v>46176</v>
      </c>
      <c r="BH746" s="107">
        <f t="shared" si="347"/>
        <v>46206</v>
      </c>
      <c r="BI746" s="23">
        <v>6</v>
      </c>
      <c r="BJ746" s="6"/>
      <c r="BK746" s="6"/>
      <c r="BL746" s="6">
        <f>VLOOKUP(A746,[2]Sheet1!$D$2:$H$933,5,0)</f>
        <v>0</v>
      </c>
      <c r="BM746" s="6" t="s">
        <v>3828</v>
      </c>
      <c r="BN746" s="6" t="s">
        <v>3829</v>
      </c>
      <c r="BO746" s="6" t="s">
        <v>3820</v>
      </c>
      <c r="BP746" s="6" t="s">
        <v>3821</v>
      </c>
      <c r="BQ746" s="6" t="s">
        <v>3830</v>
      </c>
      <c r="BR746" t="s">
        <v>3823</v>
      </c>
      <c r="BS746" t="s">
        <v>3824</v>
      </c>
      <c r="BT746" t="s">
        <v>3825</v>
      </c>
      <c r="BU746" t="s">
        <v>3826</v>
      </c>
      <c r="BV746" t="s">
        <v>3827</v>
      </c>
      <c r="BW746" t="s">
        <v>3835</v>
      </c>
      <c r="BX746">
        <v>0</v>
      </c>
      <c r="BY746" t="s">
        <v>3861</v>
      </c>
      <c r="BZ746" t="s">
        <v>3863</v>
      </c>
    </row>
    <row r="747" spans="1:78" x14ac:dyDescent="0.25">
      <c r="A747" s="7" t="s">
        <v>3042</v>
      </c>
      <c r="B747" s="7" t="s">
        <v>181</v>
      </c>
      <c r="C747" s="7" t="s">
        <v>3040</v>
      </c>
      <c r="D747" s="8" t="s">
        <v>3041</v>
      </c>
      <c r="E747" s="7" t="s">
        <v>526</v>
      </c>
      <c r="F747" s="9">
        <v>45014</v>
      </c>
      <c r="G747" s="9" t="s">
        <v>65</v>
      </c>
      <c r="H747" s="9" t="s">
        <v>66</v>
      </c>
      <c r="I747" s="8" t="s">
        <v>78</v>
      </c>
      <c r="J747" s="10">
        <v>489.76</v>
      </c>
      <c r="K747" s="10">
        <v>489.76</v>
      </c>
      <c r="L747" s="10">
        <f t="shared" si="319"/>
        <v>0</v>
      </c>
      <c r="M747" s="10">
        <v>219.59</v>
      </c>
      <c r="N747" s="10">
        <v>219.59</v>
      </c>
      <c r="O747" s="10">
        <f t="shared" si="320"/>
        <v>0</v>
      </c>
      <c r="P747" s="11">
        <v>15000</v>
      </c>
      <c r="Q747" s="11">
        <v>33455.075367730773</v>
      </c>
      <c r="R747" s="11">
        <v>22000</v>
      </c>
      <c r="S747" s="11">
        <v>7346400</v>
      </c>
      <c r="T747" s="11">
        <v>881568</v>
      </c>
      <c r="U747" s="12">
        <f t="shared" si="321"/>
        <v>0.12</v>
      </c>
      <c r="V747" s="13">
        <f t="shared" si="346"/>
        <v>0</v>
      </c>
      <c r="W747" s="10">
        <f t="shared" si="323"/>
        <v>0</v>
      </c>
      <c r="X747" s="10"/>
      <c r="Y747" s="10"/>
      <c r="Z747" s="11">
        <f t="shared" si="324"/>
        <v>7346400</v>
      </c>
      <c r="AA747" s="14"/>
      <c r="AB747" s="14"/>
      <c r="AC747" s="11">
        <f t="shared" si="325"/>
        <v>7346400</v>
      </c>
      <c r="AD747" s="10">
        <f t="shared" si="326"/>
        <v>300</v>
      </c>
      <c r="AE747" s="15">
        <v>65877</v>
      </c>
      <c r="AF747" s="16">
        <v>11858</v>
      </c>
      <c r="AG747" s="15">
        <f t="shared" si="327"/>
        <v>0</v>
      </c>
      <c r="AH747" s="15">
        <f t="shared" si="328"/>
        <v>0</v>
      </c>
      <c r="AI747" s="15">
        <f t="shared" si="329"/>
        <v>65877</v>
      </c>
      <c r="AJ747" s="15">
        <f t="shared" si="330"/>
        <v>11858</v>
      </c>
      <c r="AK747" s="10">
        <v>65877</v>
      </c>
      <c r="AL747" s="15">
        <f t="shared" si="331"/>
        <v>65877</v>
      </c>
      <c r="AM747" s="15">
        <f t="shared" si="332"/>
        <v>7412277</v>
      </c>
      <c r="AN747" s="15">
        <f t="shared" si="333"/>
        <v>893426</v>
      </c>
      <c r="AO747" s="15">
        <f t="shared" si="338"/>
        <v>998250</v>
      </c>
      <c r="AP747" s="17">
        <f t="shared" si="334"/>
        <v>8410527</v>
      </c>
      <c r="AQ747" s="15">
        <v>3148626</v>
      </c>
      <c r="AR747" s="15">
        <v>38947</v>
      </c>
      <c r="AS747" s="18">
        <f t="shared" si="339"/>
        <v>5261901</v>
      </c>
      <c r="AT747" s="19">
        <v>0</v>
      </c>
      <c r="AU747" s="8">
        <v>8800</v>
      </c>
      <c r="AV747" s="13">
        <f t="shared" si="340"/>
        <v>1932392</v>
      </c>
      <c r="AW747" s="18">
        <f t="shared" si="341"/>
        <v>7412277</v>
      </c>
      <c r="AX747" s="15">
        <f t="shared" si="335"/>
        <v>7413000</v>
      </c>
      <c r="AY747" s="20">
        <v>7.0000000000000007E-2</v>
      </c>
      <c r="AZ747" s="13">
        <f t="shared" si="336"/>
        <v>518910.00000000006</v>
      </c>
      <c r="BA747" s="15">
        <f t="shared" si="337"/>
        <v>519000</v>
      </c>
      <c r="BB747" s="21">
        <f t="shared" si="342"/>
        <v>5780901</v>
      </c>
      <c r="BC747" s="10">
        <f t="shared" si="343"/>
        <v>0</v>
      </c>
      <c r="BD747" s="10">
        <f t="shared" si="344"/>
        <v>0</v>
      </c>
      <c r="BE747" s="10">
        <v>45.5</v>
      </c>
      <c r="BF747" s="10">
        <v>20.399999999999999</v>
      </c>
      <c r="BG747" s="107">
        <v>46176</v>
      </c>
      <c r="BH747" s="107">
        <f t="shared" si="347"/>
        <v>46206</v>
      </c>
      <c r="BI747" s="23">
        <v>7</v>
      </c>
      <c r="BJ747" s="6"/>
      <c r="BK747" s="6"/>
      <c r="BL747" s="6">
        <f>VLOOKUP(A747,[2]Sheet1!$D$2:$H$933,5,0)</f>
        <v>0</v>
      </c>
      <c r="BM747" s="6" t="s">
        <v>3828</v>
      </c>
      <c r="BN747" s="6" t="s">
        <v>3829</v>
      </c>
      <c r="BO747" s="6" t="s">
        <v>3820</v>
      </c>
      <c r="BP747" s="6" t="s">
        <v>3821</v>
      </c>
      <c r="BQ747" s="6" t="s">
        <v>3830</v>
      </c>
      <c r="BR747" t="s">
        <v>3823</v>
      </c>
      <c r="BS747" t="s">
        <v>3824</v>
      </c>
      <c r="BT747" t="s">
        <v>3825</v>
      </c>
      <c r="BU747" t="s">
        <v>3826</v>
      </c>
      <c r="BV747" t="s">
        <v>3827</v>
      </c>
      <c r="BW747" t="s">
        <v>3835</v>
      </c>
      <c r="BX747">
        <v>0</v>
      </c>
      <c r="BY747" t="s">
        <v>3864</v>
      </c>
      <c r="BZ747" t="s">
        <v>3860</v>
      </c>
    </row>
    <row r="748" spans="1:78" x14ac:dyDescent="0.25">
      <c r="A748" s="7" t="s">
        <v>3045</v>
      </c>
      <c r="B748" s="7" t="s">
        <v>181</v>
      </c>
      <c r="C748" s="7" t="s">
        <v>3043</v>
      </c>
      <c r="D748" s="8" t="s">
        <v>3044</v>
      </c>
      <c r="E748" s="7" t="s">
        <v>3046</v>
      </c>
      <c r="F748" s="9">
        <v>44937</v>
      </c>
      <c r="G748" s="9" t="s">
        <v>527</v>
      </c>
      <c r="H748" s="9" t="s">
        <v>190</v>
      </c>
      <c r="I748" s="8" t="s">
        <v>78</v>
      </c>
      <c r="J748" s="10">
        <v>1390.71</v>
      </c>
      <c r="K748" s="10">
        <v>1390.71</v>
      </c>
      <c r="L748" s="10">
        <f t="shared" si="319"/>
        <v>0</v>
      </c>
      <c r="M748" s="10">
        <v>626.46</v>
      </c>
      <c r="N748" s="10">
        <v>626.46</v>
      </c>
      <c r="O748" s="10">
        <f t="shared" si="320"/>
        <v>0</v>
      </c>
      <c r="P748" s="11">
        <v>24729.723666328708</v>
      </c>
      <c r="Q748" s="11">
        <v>54898.754908533665</v>
      </c>
      <c r="R748" s="11">
        <v>60000</v>
      </c>
      <c r="S748" s="11">
        <v>34391874</v>
      </c>
      <c r="T748" s="11">
        <v>4127024</v>
      </c>
      <c r="U748" s="12">
        <f t="shared" si="321"/>
        <v>0.11999997441256036</v>
      </c>
      <c r="V748" s="13">
        <f t="shared" si="346"/>
        <v>0</v>
      </c>
      <c r="W748" s="10">
        <f t="shared" si="323"/>
        <v>0</v>
      </c>
      <c r="X748" s="10"/>
      <c r="Y748" s="10"/>
      <c r="Z748" s="11">
        <f t="shared" si="324"/>
        <v>34391874</v>
      </c>
      <c r="AA748" s="14"/>
      <c r="AB748" s="14"/>
      <c r="AC748" s="11">
        <f t="shared" si="325"/>
        <v>34391874</v>
      </c>
      <c r="AD748" s="10">
        <f t="shared" si="326"/>
        <v>300</v>
      </c>
      <c r="AE748" s="15">
        <v>187938</v>
      </c>
      <c r="AF748" s="16">
        <v>33828</v>
      </c>
      <c r="AG748" s="15">
        <f t="shared" si="327"/>
        <v>0</v>
      </c>
      <c r="AH748" s="15">
        <f t="shared" si="328"/>
        <v>0</v>
      </c>
      <c r="AI748" s="15">
        <f t="shared" si="329"/>
        <v>187938</v>
      </c>
      <c r="AJ748" s="15">
        <f t="shared" si="330"/>
        <v>33829</v>
      </c>
      <c r="AK748" s="10">
        <v>187938</v>
      </c>
      <c r="AL748" s="15">
        <f t="shared" si="331"/>
        <v>187938</v>
      </c>
      <c r="AM748" s="15">
        <f t="shared" si="332"/>
        <v>34579812</v>
      </c>
      <c r="AN748" s="15">
        <f t="shared" si="333"/>
        <v>4160853</v>
      </c>
      <c r="AO748" s="15">
        <f t="shared" si="338"/>
        <v>4396661</v>
      </c>
      <c r="AP748" s="17">
        <f t="shared" si="334"/>
        <v>38976473</v>
      </c>
      <c r="AQ748" s="15">
        <v>13481612.689999999</v>
      </c>
      <c r="AR748" s="15">
        <v>47870</v>
      </c>
      <c r="AS748" s="18">
        <f t="shared" si="339"/>
        <v>25494860</v>
      </c>
      <c r="AT748" s="19">
        <v>34350537</v>
      </c>
      <c r="AU748" s="8">
        <v>8800</v>
      </c>
      <c r="AV748" s="13">
        <f t="shared" si="340"/>
        <v>5512848</v>
      </c>
      <c r="AW748" s="18">
        <f t="shared" si="341"/>
        <v>34579812</v>
      </c>
      <c r="AX748" s="15">
        <f t="shared" si="335"/>
        <v>34580000</v>
      </c>
      <c r="AY748" s="20">
        <v>7.0000000000000007E-2</v>
      </c>
      <c r="AZ748" s="13">
        <f t="shared" si="336"/>
        <v>2420600</v>
      </c>
      <c r="BA748" s="15">
        <f t="shared" si="337"/>
        <v>2420600</v>
      </c>
      <c r="BB748" s="21">
        <f t="shared" si="342"/>
        <v>27915460</v>
      </c>
      <c r="BC748" s="10">
        <f t="shared" si="343"/>
        <v>0</v>
      </c>
      <c r="BD748" s="10">
        <f t="shared" si="344"/>
        <v>0</v>
      </c>
      <c r="BE748" s="10">
        <v>129.19999999999999</v>
      </c>
      <c r="BF748" s="10">
        <v>58.2</v>
      </c>
      <c r="BG748" s="107">
        <v>46176</v>
      </c>
      <c r="BH748" s="107">
        <f t="shared" si="347"/>
        <v>46206</v>
      </c>
      <c r="BI748" s="23">
        <v>7</v>
      </c>
      <c r="BJ748" s="6"/>
      <c r="BK748" s="6"/>
      <c r="BL748" s="6">
        <f>VLOOKUP(A748,[2]Sheet1!$D$2:$H$933,5,0)</f>
        <v>0</v>
      </c>
      <c r="BM748" s="6" t="s">
        <v>3828</v>
      </c>
      <c r="BN748" s="6" t="s">
        <v>3829</v>
      </c>
      <c r="BO748" s="6" t="s">
        <v>3820</v>
      </c>
      <c r="BP748" s="6" t="s">
        <v>3821</v>
      </c>
      <c r="BQ748" s="6" t="s">
        <v>3830</v>
      </c>
      <c r="BR748" t="s">
        <v>3823</v>
      </c>
      <c r="BS748" t="s">
        <v>3824</v>
      </c>
      <c r="BT748" t="s">
        <v>3825</v>
      </c>
      <c r="BU748" t="s">
        <v>3826</v>
      </c>
      <c r="BV748" t="s">
        <v>3827</v>
      </c>
      <c r="BW748" t="s">
        <v>3835</v>
      </c>
      <c r="BX748">
        <v>0</v>
      </c>
      <c r="BY748" t="s">
        <v>3868</v>
      </c>
      <c r="BZ748" t="s">
        <v>3871</v>
      </c>
    </row>
    <row r="749" spans="1:78" x14ac:dyDescent="0.25">
      <c r="A749" s="7" t="s">
        <v>3049</v>
      </c>
      <c r="B749" s="7" t="s">
        <v>181</v>
      </c>
      <c r="C749" s="7" t="s">
        <v>3047</v>
      </c>
      <c r="D749" s="8" t="s">
        <v>3048</v>
      </c>
      <c r="E749" s="7" t="s">
        <v>3050</v>
      </c>
      <c r="F749" s="9">
        <v>44989</v>
      </c>
      <c r="G749" s="9" t="s">
        <v>717</v>
      </c>
      <c r="H749" s="9" t="s">
        <v>92</v>
      </c>
      <c r="I749" s="8" t="s">
        <v>78</v>
      </c>
      <c r="J749" s="10">
        <v>764.24</v>
      </c>
      <c r="K749" s="10">
        <v>764.24</v>
      </c>
      <c r="L749" s="10">
        <f t="shared" si="319"/>
        <v>0</v>
      </c>
      <c r="M749" s="10">
        <v>352.52</v>
      </c>
      <c r="N749" s="10">
        <v>352.52</v>
      </c>
      <c r="O749" s="10">
        <f t="shared" si="320"/>
        <v>0</v>
      </c>
      <c r="P749" s="11">
        <v>19725.238145085314</v>
      </c>
      <c r="Q749" s="11">
        <v>42763.009190967889</v>
      </c>
      <c r="R749" s="11">
        <v>28000</v>
      </c>
      <c r="S749" s="11">
        <v>15074816</v>
      </c>
      <c r="T749" s="11">
        <v>1808978</v>
      </c>
      <c r="U749" s="12">
        <f t="shared" si="321"/>
        <v>0.12000000530686411</v>
      </c>
      <c r="V749" s="13">
        <f t="shared" si="346"/>
        <v>0</v>
      </c>
      <c r="W749" s="10">
        <f t="shared" si="323"/>
        <v>0</v>
      </c>
      <c r="X749" s="10"/>
      <c r="Y749" s="10"/>
      <c r="Z749" s="11">
        <f t="shared" si="324"/>
        <v>15074816</v>
      </c>
      <c r="AA749" s="14"/>
      <c r="AB749" s="14"/>
      <c r="AC749" s="11">
        <f t="shared" si="325"/>
        <v>15074816</v>
      </c>
      <c r="AD749" s="10">
        <f t="shared" si="326"/>
        <v>300</v>
      </c>
      <c r="AE749" s="15">
        <v>105756</v>
      </c>
      <c r="AF749" s="16">
        <v>19036</v>
      </c>
      <c r="AG749" s="15">
        <f t="shared" si="327"/>
        <v>0</v>
      </c>
      <c r="AH749" s="15">
        <f t="shared" si="328"/>
        <v>0</v>
      </c>
      <c r="AI749" s="15">
        <f t="shared" si="329"/>
        <v>105756</v>
      </c>
      <c r="AJ749" s="15">
        <f t="shared" si="330"/>
        <v>19037</v>
      </c>
      <c r="AK749" s="10">
        <v>105756</v>
      </c>
      <c r="AL749" s="15">
        <f t="shared" si="331"/>
        <v>105756</v>
      </c>
      <c r="AM749" s="15">
        <f t="shared" si="332"/>
        <v>15180572</v>
      </c>
      <c r="AN749" s="15">
        <f t="shared" si="333"/>
        <v>1828015</v>
      </c>
      <c r="AO749" s="15">
        <f t="shared" si="338"/>
        <v>1978278.96</v>
      </c>
      <c r="AP749" s="17">
        <f t="shared" si="334"/>
        <v>17158850.960000001</v>
      </c>
      <c r="AQ749" s="15">
        <v>7587705</v>
      </c>
      <c r="AR749" s="15">
        <v>44507.96</v>
      </c>
      <c r="AS749" s="18">
        <f t="shared" si="339"/>
        <v>9571146</v>
      </c>
      <c r="AT749" s="19">
        <v>0</v>
      </c>
      <c r="AU749" s="8">
        <v>8800</v>
      </c>
      <c r="AV749" s="13">
        <f t="shared" si="340"/>
        <v>3102176</v>
      </c>
      <c r="AW749" s="18">
        <f t="shared" si="341"/>
        <v>15180572</v>
      </c>
      <c r="AX749" s="15">
        <f t="shared" si="335"/>
        <v>15181000</v>
      </c>
      <c r="AY749" s="20">
        <v>7.0000000000000007E-2</v>
      </c>
      <c r="AZ749" s="13">
        <f t="shared" si="336"/>
        <v>1062670</v>
      </c>
      <c r="BA749" s="15">
        <f t="shared" si="337"/>
        <v>1062700</v>
      </c>
      <c r="BB749" s="21">
        <f t="shared" si="342"/>
        <v>10633846</v>
      </c>
      <c r="BC749" s="10">
        <f t="shared" si="343"/>
        <v>0</v>
      </c>
      <c r="BD749" s="10">
        <f t="shared" si="344"/>
        <v>0</v>
      </c>
      <c r="BE749" s="10">
        <v>71</v>
      </c>
      <c r="BF749" s="10">
        <v>32.75</v>
      </c>
      <c r="BG749" s="107">
        <v>46176</v>
      </c>
      <c r="BH749" s="107">
        <f t="shared" si="347"/>
        <v>46206</v>
      </c>
      <c r="BI749" s="23">
        <v>7</v>
      </c>
      <c r="BJ749" s="6"/>
      <c r="BK749" s="6"/>
      <c r="BL749" s="6">
        <f>VLOOKUP(A749,[2]Sheet1!$D$2:$H$933,5,0)</f>
        <v>0</v>
      </c>
      <c r="BM749" s="6" t="s">
        <v>3828</v>
      </c>
      <c r="BN749" s="6" t="s">
        <v>3829</v>
      </c>
      <c r="BO749" s="6" t="s">
        <v>3820</v>
      </c>
      <c r="BP749" s="6" t="s">
        <v>3821</v>
      </c>
      <c r="BQ749" s="6" t="s">
        <v>3830</v>
      </c>
      <c r="BR749" t="s">
        <v>3823</v>
      </c>
      <c r="BS749" t="s">
        <v>3824</v>
      </c>
      <c r="BT749" t="s">
        <v>3825</v>
      </c>
      <c r="BU749" t="s">
        <v>3826</v>
      </c>
      <c r="BV749" t="s">
        <v>3827</v>
      </c>
      <c r="BW749" t="s">
        <v>3835</v>
      </c>
      <c r="BX749">
        <v>0</v>
      </c>
      <c r="BY749" t="s">
        <v>3859</v>
      </c>
      <c r="BZ749" t="s">
        <v>3872</v>
      </c>
    </row>
    <row r="750" spans="1:78" x14ac:dyDescent="0.25">
      <c r="A750" s="7" t="s">
        <v>3053</v>
      </c>
      <c r="B750" s="7" t="s">
        <v>181</v>
      </c>
      <c r="C750" s="7" t="s">
        <v>3051</v>
      </c>
      <c r="D750" s="8" t="s">
        <v>3052</v>
      </c>
      <c r="E750" s="7" t="s">
        <v>3054</v>
      </c>
      <c r="F750" s="9">
        <v>45010</v>
      </c>
      <c r="G750" s="9" t="s">
        <v>363</v>
      </c>
      <c r="H750" s="9" t="s">
        <v>92</v>
      </c>
      <c r="I750" s="8" t="s">
        <v>78</v>
      </c>
      <c r="J750" s="10">
        <v>697.51</v>
      </c>
      <c r="K750" s="10">
        <v>697.51</v>
      </c>
      <c r="L750" s="10">
        <f t="shared" si="319"/>
        <v>0</v>
      </c>
      <c r="M750" s="10">
        <v>317.54000000000002</v>
      </c>
      <c r="N750" s="10">
        <v>317.54000000000002</v>
      </c>
      <c r="O750" s="10">
        <f t="shared" si="320"/>
        <v>0</v>
      </c>
      <c r="P750" s="11">
        <v>21517.999741939184</v>
      </c>
      <c r="Q750" s="11">
        <v>47266.549096176859</v>
      </c>
      <c r="R750" s="11">
        <v>28000</v>
      </c>
      <c r="S750" s="11">
        <v>15009020</v>
      </c>
      <c r="T750" s="11">
        <v>1801082</v>
      </c>
      <c r="U750" s="12">
        <f t="shared" si="321"/>
        <v>0.11999997334935925</v>
      </c>
      <c r="V750" s="13">
        <f t="shared" si="346"/>
        <v>0</v>
      </c>
      <c r="W750" s="10">
        <f t="shared" si="323"/>
        <v>0</v>
      </c>
      <c r="X750" s="10"/>
      <c r="Y750" s="10"/>
      <c r="Z750" s="11">
        <f t="shared" si="324"/>
        <v>15009020</v>
      </c>
      <c r="AA750" s="14"/>
      <c r="AB750" s="14"/>
      <c r="AC750" s="11">
        <f t="shared" si="325"/>
        <v>15009020</v>
      </c>
      <c r="AD750" s="10">
        <f t="shared" si="326"/>
        <v>300</v>
      </c>
      <c r="AE750" s="15">
        <v>95262</v>
      </c>
      <c r="AF750" s="16">
        <v>17148</v>
      </c>
      <c r="AG750" s="15">
        <f t="shared" si="327"/>
        <v>0</v>
      </c>
      <c r="AH750" s="15">
        <f t="shared" si="328"/>
        <v>0</v>
      </c>
      <c r="AI750" s="15">
        <f t="shared" si="329"/>
        <v>95262</v>
      </c>
      <c r="AJ750" s="15">
        <f t="shared" si="330"/>
        <v>17148</v>
      </c>
      <c r="AK750" s="10">
        <v>95262</v>
      </c>
      <c r="AL750" s="15">
        <f t="shared" si="331"/>
        <v>95262</v>
      </c>
      <c r="AM750" s="15">
        <f t="shared" si="332"/>
        <v>15104282</v>
      </c>
      <c r="AN750" s="15">
        <f t="shared" si="333"/>
        <v>1818230</v>
      </c>
      <c r="AO750" s="15">
        <f t="shared" si="338"/>
        <v>1963168</v>
      </c>
      <c r="AP750" s="17">
        <f t="shared" si="334"/>
        <v>17067450</v>
      </c>
      <c r="AQ750" s="15">
        <v>5135594</v>
      </c>
      <c r="AR750" s="15">
        <v>49676</v>
      </c>
      <c r="AS750" s="18">
        <f t="shared" si="339"/>
        <v>11931856</v>
      </c>
      <c r="AT750" s="19">
        <v>0</v>
      </c>
      <c r="AU750" s="8">
        <v>8800</v>
      </c>
      <c r="AV750" s="13">
        <f t="shared" si="340"/>
        <v>2794352</v>
      </c>
      <c r="AW750" s="18">
        <f t="shared" si="341"/>
        <v>15104282</v>
      </c>
      <c r="AX750" s="15">
        <f t="shared" si="335"/>
        <v>15105000</v>
      </c>
      <c r="AY750" s="20">
        <v>7.0000000000000007E-2</v>
      </c>
      <c r="AZ750" s="13">
        <f t="shared" si="336"/>
        <v>1057350</v>
      </c>
      <c r="BA750" s="15">
        <f t="shared" si="337"/>
        <v>1057400</v>
      </c>
      <c r="BB750" s="21">
        <f t="shared" si="342"/>
        <v>12989256</v>
      </c>
      <c r="BC750" s="10">
        <f t="shared" si="343"/>
        <v>0</v>
      </c>
      <c r="BD750" s="10">
        <f t="shared" si="344"/>
        <v>0</v>
      </c>
      <c r="BE750" s="10">
        <v>64.8</v>
      </c>
      <c r="BF750" s="10">
        <v>29.5</v>
      </c>
      <c r="BG750" s="107">
        <v>46176</v>
      </c>
      <c r="BH750" s="107">
        <f t="shared" si="347"/>
        <v>46206</v>
      </c>
      <c r="BI750" s="23">
        <v>7</v>
      </c>
      <c r="BJ750" s="6"/>
      <c r="BK750" s="6"/>
      <c r="BL750" s="6">
        <f>VLOOKUP(A750,[2]Sheet1!$D$2:$H$933,5,0)</f>
        <v>0</v>
      </c>
      <c r="BM750" s="6" t="s">
        <v>3828</v>
      </c>
      <c r="BN750" s="6" t="s">
        <v>3829</v>
      </c>
      <c r="BO750" s="6" t="s">
        <v>3820</v>
      </c>
      <c r="BP750" s="6" t="s">
        <v>3821</v>
      </c>
      <c r="BQ750" s="6" t="s">
        <v>3830</v>
      </c>
      <c r="BR750" t="s">
        <v>3823</v>
      </c>
      <c r="BS750" t="s">
        <v>3824</v>
      </c>
      <c r="BT750" t="s">
        <v>3825</v>
      </c>
      <c r="BU750" t="s">
        <v>3826</v>
      </c>
      <c r="BV750" t="s">
        <v>3827</v>
      </c>
      <c r="BW750" t="s">
        <v>3835</v>
      </c>
      <c r="BX750">
        <v>0</v>
      </c>
      <c r="BY750" t="s">
        <v>3868</v>
      </c>
      <c r="BZ750" t="s">
        <v>3860</v>
      </c>
    </row>
    <row r="751" spans="1:78" x14ac:dyDescent="0.25">
      <c r="A751" s="7" t="s">
        <v>3057</v>
      </c>
      <c r="B751" s="7" t="s">
        <v>181</v>
      </c>
      <c r="C751" s="7" t="s">
        <v>3055</v>
      </c>
      <c r="D751" s="8" t="s">
        <v>3056</v>
      </c>
      <c r="E751" s="7" t="s">
        <v>3058</v>
      </c>
      <c r="F751" s="9">
        <v>44935</v>
      </c>
      <c r="G751" s="9" t="s">
        <v>65</v>
      </c>
      <c r="H751" s="9" t="s">
        <v>87</v>
      </c>
      <c r="I751" s="8" t="s">
        <v>78</v>
      </c>
      <c r="J751" s="10">
        <v>969.19</v>
      </c>
      <c r="K751" s="10">
        <v>969.19</v>
      </c>
      <c r="L751" s="10">
        <f t="shared" si="319"/>
        <v>0</v>
      </c>
      <c r="M751" s="10">
        <v>442.29</v>
      </c>
      <c r="N751" s="10">
        <v>442.29</v>
      </c>
      <c r="O751" s="10">
        <f t="shared" si="320"/>
        <v>0</v>
      </c>
      <c r="P751" s="11">
        <v>24874.999742052642</v>
      </c>
      <c r="Q751" s="11">
        <v>54508.582604173731</v>
      </c>
      <c r="R751" s="11">
        <v>40000</v>
      </c>
      <c r="S751" s="11">
        <v>24108601</v>
      </c>
      <c r="T751" s="11">
        <v>2893032</v>
      </c>
      <c r="U751" s="12">
        <f t="shared" si="321"/>
        <v>0.11999999502252329</v>
      </c>
      <c r="V751" s="13">
        <f t="shared" si="346"/>
        <v>0</v>
      </c>
      <c r="W751" s="10">
        <f t="shared" si="323"/>
        <v>0</v>
      </c>
      <c r="X751" s="10"/>
      <c r="Y751" s="10"/>
      <c r="Z751" s="11">
        <f t="shared" si="324"/>
        <v>24108601</v>
      </c>
      <c r="AA751" s="14"/>
      <c r="AB751" s="14"/>
      <c r="AC751" s="11">
        <f t="shared" si="325"/>
        <v>24108601</v>
      </c>
      <c r="AD751" s="10">
        <f t="shared" si="326"/>
        <v>300</v>
      </c>
      <c r="AE751" s="15">
        <v>132687</v>
      </c>
      <c r="AF751" s="16">
        <v>23884</v>
      </c>
      <c r="AG751" s="15">
        <f t="shared" si="327"/>
        <v>0</v>
      </c>
      <c r="AH751" s="15">
        <f t="shared" si="328"/>
        <v>0</v>
      </c>
      <c r="AI751" s="15">
        <f t="shared" si="329"/>
        <v>132687</v>
      </c>
      <c r="AJ751" s="15">
        <f t="shared" si="330"/>
        <v>23884</v>
      </c>
      <c r="AK751" s="10">
        <v>132687</v>
      </c>
      <c r="AL751" s="15">
        <f t="shared" si="331"/>
        <v>132687</v>
      </c>
      <c r="AM751" s="15">
        <f t="shared" si="332"/>
        <v>24241288</v>
      </c>
      <c r="AN751" s="15">
        <f t="shared" si="333"/>
        <v>2916916</v>
      </c>
      <c r="AO751" s="15">
        <f t="shared" si="338"/>
        <v>3100146</v>
      </c>
      <c r="AP751" s="17">
        <f t="shared" si="334"/>
        <v>27341434</v>
      </c>
      <c r="AQ751" s="15">
        <v>14134018</v>
      </c>
      <c r="AR751" s="15">
        <v>50543</v>
      </c>
      <c r="AS751" s="18">
        <f t="shared" si="339"/>
        <v>13207416</v>
      </c>
      <c r="AT751" s="19">
        <v>0</v>
      </c>
      <c r="AU751" s="8">
        <v>8800</v>
      </c>
      <c r="AV751" s="13">
        <f t="shared" si="340"/>
        <v>3892152</v>
      </c>
      <c r="AW751" s="18">
        <f t="shared" si="341"/>
        <v>24241288</v>
      </c>
      <c r="AX751" s="15">
        <f t="shared" si="335"/>
        <v>24242000</v>
      </c>
      <c r="AY751" s="20">
        <v>0.05</v>
      </c>
      <c r="AZ751" s="13">
        <f t="shared" si="336"/>
        <v>1212100</v>
      </c>
      <c r="BA751" s="15">
        <f t="shared" si="337"/>
        <v>1212100</v>
      </c>
      <c r="BB751" s="21">
        <f t="shared" si="342"/>
        <v>14419516</v>
      </c>
      <c r="BC751" s="10">
        <f t="shared" si="343"/>
        <v>0</v>
      </c>
      <c r="BD751" s="10">
        <f t="shared" si="344"/>
        <v>0</v>
      </c>
      <c r="BE751" s="10">
        <v>90.04</v>
      </c>
      <c r="BF751" s="10">
        <v>41.09</v>
      </c>
      <c r="BG751" s="107">
        <v>46176</v>
      </c>
      <c r="BH751" s="107">
        <f t="shared" si="347"/>
        <v>46206</v>
      </c>
      <c r="BI751" s="23">
        <v>5</v>
      </c>
      <c r="BJ751" s="6"/>
      <c r="BK751" s="6"/>
      <c r="BL751" s="6">
        <f>VLOOKUP(A751,[2]Sheet1!$D$2:$H$933,5,0)</f>
        <v>0</v>
      </c>
      <c r="BM751" s="6" t="s">
        <v>3828</v>
      </c>
      <c r="BN751" s="6" t="s">
        <v>3829</v>
      </c>
      <c r="BO751" s="6" t="s">
        <v>3820</v>
      </c>
      <c r="BP751" s="6" t="s">
        <v>3821</v>
      </c>
      <c r="BQ751" s="6" t="s">
        <v>3830</v>
      </c>
      <c r="BR751" t="s">
        <v>3823</v>
      </c>
      <c r="BS751" t="s">
        <v>3824</v>
      </c>
      <c r="BT751" t="s">
        <v>3825</v>
      </c>
      <c r="BU751" t="s">
        <v>3826</v>
      </c>
      <c r="BV751" t="s">
        <v>3827</v>
      </c>
      <c r="BW751" t="s">
        <v>3835</v>
      </c>
      <c r="BX751">
        <v>0</v>
      </c>
      <c r="BY751" t="s">
        <v>3868</v>
      </c>
      <c r="BZ751" t="s">
        <v>3860</v>
      </c>
    </row>
    <row r="752" spans="1:78" x14ac:dyDescent="0.25">
      <c r="A752" s="7" t="s">
        <v>3061</v>
      </c>
      <c r="B752" s="7" t="s">
        <v>181</v>
      </c>
      <c r="C752" s="7" t="s">
        <v>3059</v>
      </c>
      <c r="D752" s="8" t="s">
        <v>3060</v>
      </c>
      <c r="E752" s="7" t="s">
        <v>3062</v>
      </c>
      <c r="F752" s="9">
        <v>45008</v>
      </c>
      <c r="G752" s="9" t="s">
        <v>65</v>
      </c>
      <c r="H752" s="9" t="s">
        <v>72</v>
      </c>
      <c r="I752" s="8" t="s">
        <v>78</v>
      </c>
      <c r="J752" s="10">
        <v>676.41</v>
      </c>
      <c r="K752" s="10">
        <v>676.41</v>
      </c>
      <c r="L752" s="10">
        <f t="shared" si="319"/>
        <v>0</v>
      </c>
      <c r="M752" s="10">
        <v>315.39</v>
      </c>
      <c r="N752" s="10">
        <v>315.39</v>
      </c>
      <c r="O752" s="10">
        <f t="shared" si="320"/>
        <v>0</v>
      </c>
      <c r="P752" s="11">
        <v>9000</v>
      </c>
      <c r="Q752" s="11">
        <v>19302.102159231428</v>
      </c>
      <c r="R752" s="11">
        <v>20000</v>
      </c>
      <c r="S752" s="11">
        <v>6087690</v>
      </c>
      <c r="T752" s="11">
        <v>730524</v>
      </c>
      <c r="U752" s="12">
        <f t="shared" si="321"/>
        <v>0.12000019711910428</v>
      </c>
      <c r="V752" s="13">
        <f t="shared" si="346"/>
        <v>0</v>
      </c>
      <c r="W752" s="10">
        <f t="shared" si="323"/>
        <v>0</v>
      </c>
      <c r="X752" s="10"/>
      <c r="Y752" s="10"/>
      <c r="Z752" s="11">
        <f t="shared" si="324"/>
        <v>6087690</v>
      </c>
      <c r="AA752" s="14"/>
      <c r="AB752" s="14"/>
      <c r="AC752" s="11">
        <f t="shared" si="325"/>
        <v>6087690</v>
      </c>
      <c r="AD752" s="10">
        <f t="shared" si="326"/>
        <v>300</v>
      </c>
      <c r="AE752" s="15">
        <v>94617</v>
      </c>
      <c r="AF752" s="16">
        <v>17032</v>
      </c>
      <c r="AG752" s="15">
        <f t="shared" si="327"/>
        <v>0</v>
      </c>
      <c r="AH752" s="15">
        <f t="shared" si="328"/>
        <v>0</v>
      </c>
      <c r="AI752" s="15">
        <f t="shared" si="329"/>
        <v>94617</v>
      </c>
      <c r="AJ752" s="15">
        <f t="shared" si="330"/>
        <v>17032</v>
      </c>
      <c r="AK752" s="10">
        <v>94617</v>
      </c>
      <c r="AL752" s="15">
        <f t="shared" si="331"/>
        <v>94617</v>
      </c>
      <c r="AM752" s="15">
        <f t="shared" si="332"/>
        <v>6182307</v>
      </c>
      <c r="AN752" s="15">
        <f t="shared" si="333"/>
        <v>747556</v>
      </c>
      <c r="AO752" s="15">
        <f t="shared" si="338"/>
        <v>876555</v>
      </c>
      <c r="AP752" s="17">
        <f t="shared" si="334"/>
        <v>7058862</v>
      </c>
      <c r="AQ752" s="15">
        <v>4568204</v>
      </c>
      <c r="AR752" s="15">
        <v>34382</v>
      </c>
      <c r="AS752" s="18">
        <f t="shared" si="339"/>
        <v>2490658</v>
      </c>
      <c r="AT752" s="19">
        <v>0</v>
      </c>
      <c r="AU752" s="8">
        <v>8800</v>
      </c>
      <c r="AV752" s="13">
        <f t="shared" si="340"/>
        <v>2775432</v>
      </c>
      <c r="AW752" s="18">
        <f t="shared" si="341"/>
        <v>6182307</v>
      </c>
      <c r="AX752" s="15">
        <f t="shared" si="335"/>
        <v>6183000</v>
      </c>
      <c r="AY752" s="20">
        <v>7.0000000000000007E-2</v>
      </c>
      <c r="AZ752" s="13">
        <f t="shared" si="336"/>
        <v>432810.00000000006</v>
      </c>
      <c r="BA752" s="15">
        <f t="shared" si="337"/>
        <v>432900</v>
      </c>
      <c r="BB752" s="21">
        <f t="shared" si="342"/>
        <v>2923558</v>
      </c>
      <c r="BC752" s="10">
        <f t="shared" si="343"/>
        <v>0</v>
      </c>
      <c r="BD752" s="10">
        <f t="shared" si="344"/>
        <v>0</v>
      </c>
      <c r="BE752" s="10">
        <v>62.84</v>
      </c>
      <c r="BF752" s="10">
        <v>29.3</v>
      </c>
      <c r="BG752" s="107">
        <v>46176</v>
      </c>
      <c r="BH752" s="107">
        <f t="shared" si="347"/>
        <v>46206</v>
      </c>
      <c r="BI752" s="23">
        <v>7</v>
      </c>
      <c r="BJ752" s="6"/>
      <c r="BK752" s="6"/>
      <c r="BL752" s="6">
        <f>VLOOKUP(A752,[2]Sheet1!$D$2:$H$933,5,0)</f>
        <v>0</v>
      </c>
      <c r="BM752" s="6" t="s">
        <v>3828</v>
      </c>
      <c r="BN752" s="6" t="s">
        <v>3829</v>
      </c>
      <c r="BO752" s="6" t="s">
        <v>3820</v>
      </c>
      <c r="BP752" s="6" t="s">
        <v>3821</v>
      </c>
      <c r="BQ752" s="6" t="s">
        <v>3830</v>
      </c>
      <c r="BR752" t="s">
        <v>3823</v>
      </c>
      <c r="BS752" t="s">
        <v>3824</v>
      </c>
      <c r="BT752" t="s">
        <v>3825</v>
      </c>
      <c r="BU752" t="s">
        <v>3826</v>
      </c>
      <c r="BV752" t="s">
        <v>3827</v>
      </c>
      <c r="BW752" t="s">
        <v>3835</v>
      </c>
      <c r="BX752">
        <v>0</v>
      </c>
      <c r="BY752" t="s">
        <v>3870</v>
      </c>
      <c r="BZ752" t="s">
        <v>3860</v>
      </c>
    </row>
    <row r="753" spans="1:78" x14ac:dyDescent="0.25">
      <c r="A753" s="7" t="s">
        <v>3065</v>
      </c>
      <c r="B753" s="7" t="s">
        <v>181</v>
      </c>
      <c r="C753" s="7" t="s">
        <v>3063</v>
      </c>
      <c r="D753" s="8" t="s">
        <v>3064</v>
      </c>
      <c r="E753" s="7" t="s">
        <v>3066</v>
      </c>
      <c r="F753" s="9">
        <v>44995</v>
      </c>
      <c r="G753" s="9" t="s">
        <v>527</v>
      </c>
      <c r="H753" s="9" t="s">
        <v>190</v>
      </c>
      <c r="I753" s="8" t="s">
        <v>78</v>
      </c>
      <c r="J753" s="10">
        <v>1218.48</v>
      </c>
      <c r="K753" s="10">
        <v>1218.48</v>
      </c>
      <c r="L753" s="10">
        <f t="shared" si="319"/>
        <v>0</v>
      </c>
      <c r="M753" s="10">
        <v>546.80999999999995</v>
      </c>
      <c r="N753" s="10">
        <v>546.80999999999995</v>
      </c>
      <c r="O753" s="10">
        <f t="shared" si="320"/>
        <v>0</v>
      </c>
      <c r="P753" s="11">
        <v>25000</v>
      </c>
      <c r="Q753" s="11">
        <v>55708.56421791848</v>
      </c>
      <c r="R753" s="11">
        <v>60000</v>
      </c>
      <c r="S753" s="11">
        <v>30462000</v>
      </c>
      <c r="T753" s="11">
        <v>3655440</v>
      </c>
      <c r="U753" s="12">
        <f t="shared" si="321"/>
        <v>0.12</v>
      </c>
      <c r="V753" s="13">
        <f t="shared" si="346"/>
        <v>0</v>
      </c>
      <c r="W753" s="10">
        <f t="shared" si="323"/>
        <v>0</v>
      </c>
      <c r="X753" s="10"/>
      <c r="Y753" s="10"/>
      <c r="Z753" s="11">
        <f t="shared" si="324"/>
        <v>30462000</v>
      </c>
      <c r="AA753" s="14"/>
      <c r="AB753" s="14"/>
      <c r="AC753" s="11">
        <f t="shared" si="325"/>
        <v>30462000</v>
      </c>
      <c r="AD753" s="10">
        <f t="shared" si="326"/>
        <v>300.00000000000006</v>
      </c>
      <c r="AE753" s="15">
        <v>164043</v>
      </c>
      <c r="AF753" s="16">
        <v>29528</v>
      </c>
      <c r="AG753" s="15">
        <f t="shared" si="327"/>
        <v>0</v>
      </c>
      <c r="AH753" s="15">
        <f t="shared" si="328"/>
        <v>0</v>
      </c>
      <c r="AI753" s="15">
        <f t="shared" si="329"/>
        <v>164043.00000000003</v>
      </c>
      <c r="AJ753" s="15">
        <f t="shared" si="330"/>
        <v>29528</v>
      </c>
      <c r="AK753" s="10">
        <v>164043</v>
      </c>
      <c r="AL753" s="15">
        <f t="shared" si="331"/>
        <v>164042.99999999997</v>
      </c>
      <c r="AM753" s="15">
        <f t="shared" si="332"/>
        <v>30626043</v>
      </c>
      <c r="AN753" s="15">
        <f t="shared" si="333"/>
        <v>3684968</v>
      </c>
      <c r="AO753" s="15">
        <f t="shared" si="338"/>
        <v>3899890</v>
      </c>
      <c r="AP753" s="17">
        <f t="shared" si="334"/>
        <v>34525933</v>
      </c>
      <c r="AQ753" s="15">
        <v>15352887</v>
      </c>
      <c r="AR753" s="15">
        <v>50879</v>
      </c>
      <c r="AS753" s="18">
        <f t="shared" si="339"/>
        <v>19173046</v>
      </c>
      <c r="AT753" s="19">
        <v>30462000</v>
      </c>
      <c r="AU753" s="8">
        <v>8800</v>
      </c>
      <c r="AV753" s="13">
        <f t="shared" si="340"/>
        <v>4811927.9999999991</v>
      </c>
      <c r="AW753" s="18">
        <f t="shared" si="341"/>
        <v>30626043</v>
      </c>
      <c r="AX753" s="15">
        <f t="shared" si="335"/>
        <v>30627000</v>
      </c>
      <c r="AY753" s="20">
        <v>7.0000000000000007E-2</v>
      </c>
      <c r="AZ753" s="13">
        <f t="shared" si="336"/>
        <v>2143890</v>
      </c>
      <c r="BA753" s="15">
        <f t="shared" si="337"/>
        <v>2143900</v>
      </c>
      <c r="BB753" s="21">
        <f t="shared" si="342"/>
        <v>21316946</v>
      </c>
      <c r="BC753" s="10">
        <f t="shared" si="343"/>
        <v>0</v>
      </c>
      <c r="BD753" s="10">
        <f t="shared" si="344"/>
        <v>0</v>
      </c>
      <c r="BE753" s="10">
        <v>113.2</v>
      </c>
      <c r="BF753" s="10">
        <v>50.8</v>
      </c>
      <c r="BG753" s="107">
        <v>46176</v>
      </c>
      <c r="BH753" s="107">
        <f t="shared" si="347"/>
        <v>46206</v>
      </c>
      <c r="BI753" s="23">
        <v>7</v>
      </c>
      <c r="BJ753" s="6"/>
      <c r="BK753" s="6"/>
      <c r="BL753" s="6">
        <f>VLOOKUP(A753,[2]Sheet1!$D$2:$H$933,5,0)</f>
        <v>0</v>
      </c>
      <c r="BM753" s="6" t="s">
        <v>3828</v>
      </c>
      <c r="BN753" s="6" t="s">
        <v>3829</v>
      </c>
      <c r="BO753" s="6" t="s">
        <v>3820</v>
      </c>
      <c r="BP753" s="6" t="s">
        <v>3821</v>
      </c>
      <c r="BQ753" s="6" t="s">
        <v>3830</v>
      </c>
      <c r="BR753" t="s">
        <v>3823</v>
      </c>
      <c r="BS753" t="s">
        <v>3824</v>
      </c>
      <c r="BT753" t="s">
        <v>3825</v>
      </c>
      <c r="BU753" t="s">
        <v>3826</v>
      </c>
      <c r="BV753" t="s">
        <v>3827</v>
      </c>
      <c r="BW753" t="s">
        <v>3835</v>
      </c>
      <c r="BX753">
        <v>0</v>
      </c>
      <c r="BY753" t="s">
        <v>3868</v>
      </c>
      <c r="BZ753" t="s">
        <v>3871</v>
      </c>
    </row>
    <row r="754" spans="1:78" x14ac:dyDescent="0.25">
      <c r="A754" s="7" t="s">
        <v>3069</v>
      </c>
      <c r="B754" s="7" t="s">
        <v>181</v>
      </c>
      <c r="C754" s="7" t="s">
        <v>3067</v>
      </c>
      <c r="D754" s="8" t="s">
        <v>3068</v>
      </c>
      <c r="E754" s="7" t="s">
        <v>3070</v>
      </c>
      <c r="F754" s="9">
        <v>45076</v>
      </c>
      <c r="G754" s="9" t="s">
        <v>363</v>
      </c>
      <c r="H754" s="9" t="s">
        <v>92</v>
      </c>
      <c r="I754" s="8" t="s">
        <v>78</v>
      </c>
      <c r="J754" s="10">
        <v>721.19</v>
      </c>
      <c r="K754" s="10">
        <v>721.19</v>
      </c>
      <c r="L754" s="10">
        <f t="shared" si="319"/>
        <v>0</v>
      </c>
      <c r="M754" s="10">
        <v>317.54000000000002</v>
      </c>
      <c r="N754" s="10">
        <v>317.54000000000002</v>
      </c>
      <c r="O754" s="10">
        <f t="shared" si="320"/>
        <v>0</v>
      </c>
      <c r="P754" s="11">
        <v>13999.999999999998</v>
      </c>
      <c r="Q754" s="11">
        <v>31796.498078982175</v>
      </c>
      <c r="R754" s="11">
        <v>28000</v>
      </c>
      <c r="S754" s="11">
        <v>10096660</v>
      </c>
      <c r="T754" s="11">
        <v>1211600</v>
      </c>
      <c r="U754" s="12">
        <f t="shared" si="321"/>
        <v>0.12000007923412297</v>
      </c>
      <c r="V754" s="13">
        <f t="shared" si="346"/>
        <v>0</v>
      </c>
      <c r="W754" s="10">
        <f t="shared" si="323"/>
        <v>0</v>
      </c>
      <c r="X754" s="10"/>
      <c r="Y754" s="10"/>
      <c r="Z754" s="11">
        <f t="shared" si="324"/>
        <v>10096660</v>
      </c>
      <c r="AA754" s="14"/>
      <c r="AB754" s="14"/>
      <c r="AC754" s="11">
        <f t="shared" si="325"/>
        <v>10096660</v>
      </c>
      <c r="AD754" s="10">
        <f t="shared" si="326"/>
        <v>300</v>
      </c>
      <c r="AE754" s="15">
        <v>95262</v>
      </c>
      <c r="AF754" s="16">
        <v>17148</v>
      </c>
      <c r="AG754" s="15">
        <f t="shared" si="327"/>
        <v>0</v>
      </c>
      <c r="AH754" s="15">
        <f t="shared" si="328"/>
        <v>0</v>
      </c>
      <c r="AI754" s="15">
        <f t="shared" si="329"/>
        <v>95262</v>
      </c>
      <c r="AJ754" s="15">
        <f t="shared" si="330"/>
        <v>17148</v>
      </c>
      <c r="AK754" s="10">
        <v>95262</v>
      </c>
      <c r="AL754" s="15">
        <f t="shared" si="331"/>
        <v>95262</v>
      </c>
      <c r="AM754" s="15">
        <f t="shared" si="332"/>
        <v>10191922</v>
      </c>
      <c r="AN754" s="15">
        <f t="shared" si="333"/>
        <v>1228748</v>
      </c>
      <c r="AO754" s="15">
        <f t="shared" si="338"/>
        <v>1367167.84</v>
      </c>
      <c r="AP754" s="17">
        <f t="shared" si="334"/>
        <v>11559089.84</v>
      </c>
      <c r="AQ754" s="15">
        <v>4761651.32</v>
      </c>
      <c r="AR754" s="15">
        <v>43157.84</v>
      </c>
      <c r="AS754" s="18">
        <f t="shared" si="339"/>
        <v>6797439</v>
      </c>
      <c r="AT754" s="19">
        <v>0</v>
      </c>
      <c r="AU754" s="8">
        <v>8800</v>
      </c>
      <c r="AV754" s="13">
        <f t="shared" si="340"/>
        <v>2794352</v>
      </c>
      <c r="AW754" s="18">
        <f t="shared" si="341"/>
        <v>10191922</v>
      </c>
      <c r="AX754" s="15">
        <f t="shared" si="335"/>
        <v>10192000</v>
      </c>
      <c r="AY754" s="20">
        <v>0.05</v>
      </c>
      <c r="AZ754" s="13">
        <f t="shared" si="336"/>
        <v>509600</v>
      </c>
      <c r="BA754" s="15">
        <f t="shared" si="337"/>
        <v>509600</v>
      </c>
      <c r="BB754" s="21">
        <f t="shared" si="342"/>
        <v>7307039</v>
      </c>
      <c r="BC754" s="10">
        <f t="shared" si="343"/>
        <v>0</v>
      </c>
      <c r="BD754" s="10">
        <f t="shared" si="344"/>
        <v>0</v>
      </c>
      <c r="BE754" s="10">
        <v>67</v>
      </c>
      <c r="BF754" s="10">
        <v>29.5</v>
      </c>
      <c r="BG754" s="107">
        <v>46176</v>
      </c>
      <c r="BH754" s="107">
        <f t="shared" si="347"/>
        <v>46206</v>
      </c>
      <c r="BI754" s="23">
        <v>5</v>
      </c>
      <c r="BJ754" s="6"/>
      <c r="BK754" s="6"/>
      <c r="BL754" s="6">
        <f>VLOOKUP(A754,[2]Sheet1!$D$2:$H$933,5,0)</f>
        <v>0</v>
      </c>
      <c r="BM754" s="6" t="s">
        <v>3828</v>
      </c>
      <c r="BN754" s="6" t="s">
        <v>3829</v>
      </c>
      <c r="BO754" s="6" t="s">
        <v>3820</v>
      </c>
      <c r="BP754" s="6" t="s">
        <v>3821</v>
      </c>
      <c r="BQ754" s="6" t="s">
        <v>3830</v>
      </c>
      <c r="BR754" t="s">
        <v>3823</v>
      </c>
      <c r="BS754" t="s">
        <v>3824</v>
      </c>
      <c r="BT754" t="s">
        <v>3825</v>
      </c>
      <c r="BU754" t="s">
        <v>3826</v>
      </c>
      <c r="BV754" t="s">
        <v>3827</v>
      </c>
      <c r="BW754" t="s">
        <v>3835</v>
      </c>
      <c r="BX754">
        <v>0</v>
      </c>
      <c r="BY754" t="s">
        <v>3861</v>
      </c>
      <c r="BZ754" t="s">
        <v>3860</v>
      </c>
    </row>
    <row r="755" spans="1:78" x14ac:dyDescent="0.25">
      <c r="A755" s="7" t="s">
        <v>3073</v>
      </c>
      <c r="B755" s="7" t="s">
        <v>181</v>
      </c>
      <c r="C755" s="7" t="s">
        <v>3071</v>
      </c>
      <c r="D755" s="8" t="s">
        <v>3072</v>
      </c>
      <c r="E755" s="7" t="s">
        <v>3074</v>
      </c>
      <c r="F755" s="9">
        <v>44953</v>
      </c>
      <c r="G755" s="9" t="s">
        <v>717</v>
      </c>
      <c r="H755" s="9" t="s">
        <v>87</v>
      </c>
      <c r="I755" s="8" t="s">
        <v>78</v>
      </c>
      <c r="J755" s="10">
        <v>850.36</v>
      </c>
      <c r="K755" s="10">
        <v>850.36</v>
      </c>
      <c r="L755" s="10">
        <f t="shared" si="319"/>
        <v>0</v>
      </c>
      <c r="M755" s="10">
        <v>388.58</v>
      </c>
      <c r="N755" s="10">
        <v>388.58</v>
      </c>
      <c r="O755" s="10">
        <f t="shared" si="320"/>
        <v>0</v>
      </c>
      <c r="P755" s="11">
        <v>16700</v>
      </c>
      <c r="Q755" s="11">
        <v>36545.915898913998</v>
      </c>
      <c r="R755" s="11">
        <v>40000</v>
      </c>
      <c r="S755" s="11">
        <v>14201012</v>
      </c>
      <c r="T755" s="11">
        <v>1704122</v>
      </c>
      <c r="U755" s="12">
        <f t="shared" si="321"/>
        <v>0.12000003943380937</v>
      </c>
      <c r="V755" s="13">
        <f t="shared" si="346"/>
        <v>0</v>
      </c>
      <c r="W755" s="10">
        <f t="shared" si="323"/>
        <v>0</v>
      </c>
      <c r="X755" s="10"/>
      <c r="Y755" s="10"/>
      <c r="Z755" s="11">
        <f t="shared" si="324"/>
        <v>14201012</v>
      </c>
      <c r="AA755" s="14"/>
      <c r="AB755" s="14"/>
      <c r="AC755" s="11">
        <f t="shared" si="325"/>
        <v>14201012</v>
      </c>
      <c r="AD755" s="10">
        <f t="shared" si="326"/>
        <v>300</v>
      </c>
      <c r="AE755" s="15">
        <v>116574</v>
      </c>
      <c r="AF755" s="16">
        <v>20984</v>
      </c>
      <c r="AG755" s="15">
        <f t="shared" si="327"/>
        <v>0</v>
      </c>
      <c r="AH755" s="15">
        <f t="shared" si="328"/>
        <v>0</v>
      </c>
      <c r="AI755" s="15">
        <f t="shared" si="329"/>
        <v>116574</v>
      </c>
      <c r="AJ755" s="15">
        <f t="shared" si="330"/>
        <v>20984</v>
      </c>
      <c r="AK755" s="10">
        <v>116574</v>
      </c>
      <c r="AL755" s="15">
        <f t="shared" si="331"/>
        <v>116574</v>
      </c>
      <c r="AM755" s="15">
        <f t="shared" si="332"/>
        <v>14317586</v>
      </c>
      <c r="AN755" s="15">
        <f t="shared" si="333"/>
        <v>1725106</v>
      </c>
      <c r="AO755" s="15">
        <f t="shared" si="338"/>
        <v>1893083.12</v>
      </c>
      <c r="AP755" s="17">
        <f t="shared" si="334"/>
        <v>16210669.120000001</v>
      </c>
      <c r="AQ755" s="15">
        <v>3976268</v>
      </c>
      <c r="AR755" s="15">
        <v>51403.12</v>
      </c>
      <c r="AS755" s="18">
        <f t="shared" si="339"/>
        <v>12234401</v>
      </c>
      <c r="AT755" s="19">
        <v>14317586</v>
      </c>
      <c r="AU755" s="8">
        <v>8800</v>
      </c>
      <c r="AV755" s="13">
        <f t="shared" si="340"/>
        <v>3419504</v>
      </c>
      <c r="AW755" s="18">
        <f t="shared" si="341"/>
        <v>14317586</v>
      </c>
      <c r="AX755" s="15">
        <f t="shared" si="335"/>
        <v>14318000</v>
      </c>
      <c r="AY755" s="20">
        <v>0.05</v>
      </c>
      <c r="AZ755" s="13">
        <f t="shared" si="336"/>
        <v>715900</v>
      </c>
      <c r="BA755" s="15">
        <f t="shared" si="337"/>
        <v>715900</v>
      </c>
      <c r="BB755" s="21">
        <f t="shared" si="342"/>
        <v>12950301</v>
      </c>
      <c r="BC755" s="10">
        <f t="shared" si="343"/>
        <v>0</v>
      </c>
      <c r="BD755" s="10">
        <f t="shared" si="344"/>
        <v>0</v>
      </c>
      <c r="BE755" s="10">
        <v>79</v>
      </c>
      <c r="BF755" s="10">
        <v>36.1</v>
      </c>
      <c r="BG755" s="107">
        <v>46176</v>
      </c>
      <c r="BH755" s="107">
        <f t="shared" si="347"/>
        <v>46206</v>
      </c>
      <c r="BI755" s="23">
        <v>5</v>
      </c>
      <c r="BJ755" s="6"/>
      <c r="BK755" s="6"/>
      <c r="BL755" s="6">
        <f>VLOOKUP(A755,[2]Sheet1!$D$2:$H$933,5,0)</f>
        <v>0</v>
      </c>
      <c r="BM755" s="6" t="s">
        <v>3828</v>
      </c>
      <c r="BN755" s="6" t="s">
        <v>3829</v>
      </c>
      <c r="BO755" s="6" t="s">
        <v>3820</v>
      </c>
      <c r="BP755" s="6" t="s">
        <v>3821</v>
      </c>
      <c r="BQ755" s="6" t="s">
        <v>3830</v>
      </c>
      <c r="BR755" t="s">
        <v>3823</v>
      </c>
      <c r="BS755" t="s">
        <v>3824</v>
      </c>
      <c r="BT755" t="s">
        <v>3825</v>
      </c>
      <c r="BU755" t="s">
        <v>3826</v>
      </c>
      <c r="BV755" t="s">
        <v>3827</v>
      </c>
      <c r="BW755" t="s">
        <v>3835</v>
      </c>
      <c r="BX755">
        <v>0</v>
      </c>
      <c r="BY755" t="s">
        <v>3859</v>
      </c>
      <c r="BZ755" t="s">
        <v>3872</v>
      </c>
    </row>
    <row r="756" spans="1:78" x14ac:dyDescent="0.25">
      <c r="A756" s="7" t="s">
        <v>3077</v>
      </c>
      <c r="B756" s="7" t="s">
        <v>181</v>
      </c>
      <c r="C756" s="7" t="s">
        <v>3075</v>
      </c>
      <c r="D756" s="8" t="s">
        <v>3076</v>
      </c>
      <c r="E756" s="7" t="s">
        <v>3078</v>
      </c>
      <c r="F756" s="9">
        <v>45062</v>
      </c>
      <c r="G756" s="9" t="s">
        <v>363</v>
      </c>
      <c r="H756" s="9" t="s">
        <v>92</v>
      </c>
      <c r="I756" s="8" t="s">
        <v>78</v>
      </c>
      <c r="J756" s="10">
        <v>697.51</v>
      </c>
      <c r="K756" s="10">
        <v>697.51</v>
      </c>
      <c r="L756" s="10">
        <f t="shared" ref="L756:L819" si="348">K756-J756</f>
        <v>0</v>
      </c>
      <c r="M756" s="10">
        <v>317.54000000000002</v>
      </c>
      <c r="N756" s="10">
        <v>317.54000000000002</v>
      </c>
      <c r="O756" s="10">
        <f t="shared" ref="O756:O819" si="349">N756-M756</f>
        <v>0</v>
      </c>
      <c r="P756" s="11">
        <v>21874.000372754512</v>
      </c>
      <c r="Q756" s="11">
        <v>48048.541915979084</v>
      </c>
      <c r="R756" s="11">
        <v>28000</v>
      </c>
      <c r="S756" s="11">
        <v>15257334</v>
      </c>
      <c r="T756" s="11">
        <v>1830882</v>
      </c>
      <c r="U756" s="12">
        <f t="shared" ref="U756:U819" si="350">T756/S756</f>
        <v>0.12000012584112008</v>
      </c>
      <c r="V756" s="13">
        <f t="shared" si="346"/>
        <v>0</v>
      </c>
      <c r="W756" s="10">
        <f t="shared" ref="W756:W819" si="351">V756*U756</f>
        <v>0</v>
      </c>
      <c r="X756" s="10"/>
      <c r="Y756" s="10"/>
      <c r="Z756" s="11">
        <f t="shared" ref="Z756:Z819" si="352">S756+V756+X756</f>
        <v>15257334</v>
      </c>
      <c r="AA756" s="14"/>
      <c r="AB756" s="14"/>
      <c r="AC756" s="11">
        <f t="shared" ref="AC756:AC819" si="353">Z756-AA756</f>
        <v>15257334</v>
      </c>
      <c r="AD756" s="10">
        <f t="shared" ref="AD756:AD819" si="354">AE756/M756</f>
        <v>300</v>
      </c>
      <c r="AE756" s="15">
        <v>95262</v>
      </c>
      <c r="AF756" s="16">
        <v>17148</v>
      </c>
      <c r="AG756" s="15">
        <f t="shared" ref="AG756:AG819" si="355">(AD756*O756)</f>
        <v>0</v>
      </c>
      <c r="AH756" s="15">
        <f t="shared" ref="AH756:AH819" si="356">AG756*18%</f>
        <v>0</v>
      </c>
      <c r="AI756" s="15">
        <f t="shared" ref="AI756:AI819" si="357">AD756*N756</f>
        <v>95262</v>
      </c>
      <c r="AJ756" s="15">
        <f t="shared" ref="AJ756:AJ819" si="358">ROUNDUP(AI756*18%,0)</f>
        <v>17148</v>
      </c>
      <c r="AK756" s="10">
        <v>95262</v>
      </c>
      <c r="AL756" s="15">
        <f t="shared" ref="AL756:AL819" si="359">N756*300</f>
        <v>95262</v>
      </c>
      <c r="AM756" s="15">
        <f t="shared" ref="AM756:AM819" si="360">ROUND(AI756+AC756,0)</f>
        <v>15352596</v>
      </c>
      <c r="AN756" s="15">
        <f t="shared" ref="AN756:AN819" si="361">ROUNDUP(AJ756+W756+T756+Y756-AB756,0)</f>
        <v>1848030</v>
      </c>
      <c r="AO756" s="15">
        <f t="shared" si="338"/>
        <v>1995088.2</v>
      </c>
      <c r="AP756" s="17">
        <f t="shared" ref="AP756:AP819" si="362">AM756+AO756</f>
        <v>17347684.199999999</v>
      </c>
      <c r="AQ756" s="15">
        <v>4917064.83</v>
      </c>
      <c r="AR756" s="15">
        <v>51796.2</v>
      </c>
      <c r="AS756" s="18">
        <f t="shared" si="339"/>
        <v>12430619</v>
      </c>
      <c r="AT756" s="19">
        <v>0</v>
      </c>
      <c r="AU756" s="8">
        <v>8800</v>
      </c>
      <c r="AV756" s="13">
        <f t="shared" si="340"/>
        <v>2794352</v>
      </c>
      <c r="AW756" s="18">
        <f t="shared" si="341"/>
        <v>15352596</v>
      </c>
      <c r="AX756" s="15">
        <f t="shared" ref="AX756:AX819" si="363">CEILING((AW756),1000)</f>
        <v>15353000</v>
      </c>
      <c r="AY756" s="20">
        <v>7.0000000000000007E-2</v>
      </c>
      <c r="AZ756" s="13">
        <f t="shared" ref="AZ756:AZ819" si="364">AY756*AX756</f>
        <v>1074710</v>
      </c>
      <c r="BA756" s="15">
        <f t="shared" ref="BA756:BA819" si="365">CEILING(AZ756,100)</f>
        <v>1074800</v>
      </c>
      <c r="BB756" s="21">
        <f t="shared" si="342"/>
        <v>13505419</v>
      </c>
      <c r="BC756" s="10">
        <f t="shared" si="343"/>
        <v>0</v>
      </c>
      <c r="BD756" s="10">
        <f t="shared" si="344"/>
        <v>0</v>
      </c>
      <c r="BE756" s="10">
        <v>64.8</v>
      </c>
      <c r="BF756" s="10">
        <v>29.5</v>
      </c>
      <c r="BG756" s="107">
        <v>46176</v>
      </c>
      <c r="BH756" s="107">
        <f t="shared" si="347"/>
        <v>46206</v>
      </c>
      <c r="BI756" s="23">
        <v>7</v>
      </c>
      <c r="BJ756" s="6"/>
      <c r="BK756" s="6"/>
      <c r="BL756" s="6">
        <f>VLOOKUP(A756,[2]Sheet1!$D$2:$H$933,5,0)</f>
        <v>0</v>
      </c>
      <c r="BM756" s="6" t="s">
        <v>3828</v>
      </c>
      <c r="BN756" s="6" t="s">
        <v>3829</v>
      </c>
      <c r="BO756" s="6" t="s">
        <v>3820</v>
      </c>
      <c r="BP756" s="6" t="s">
        <v>3821</v>
      </c>
      <c r="BQ756" s="6" t="s">
        <v>3830</v>
      </c>
      <c r="BR756" t="s">
        <v>3823</v>
      </c>
      <c r="BS756" t="s">
        <v>3824</v>
      </c>
      <c r="BT756" t="s">
        <v>3825</v>
      </c>
      <c r="BU756" t="s">
        <v>3826</v>
      </c>
      <c r="BV756" t="s">
        <v>3827</v>
      </c>
      <c r="BW756" t="s">
        <v>3835</v>
      </c>
      <c r="BX756">
        <v>0</v>
      </c>
      <c r="BY756" t="s">
        <v>3866</v>
      </c>
      <c r="BZ756" t="s">
        <v>3860</v>
      </c>
    </row>
    <row r="757" spans="1:78" x14ac:dyDescent="0.25">
      <c r="A757" s="7" t="s">
        <v>3081</v>
      </c>
      <c r="B757" s="7" t="s">
        <v>181</v>
      </c>
      <c r="C757" s="7" t="s">
        <v>3079</v>
      </c>
      <c r="D757" s="8" t="s">
        <v>3080</v>
      </c>
      <c r="E757" s="7" t="s">
        <v>3082</v>
      </c>
      <c r="F757" s="9">
        <v>44867</v>
      </c>
      <c r="G757" s="9" t="s">
        <v>404</v>
      </c>
      <c r="H757" s="9" t="s">
        <v>92</v>
      </c>
      <c r="I757" s="8" t="s">
        <v>78</v>
      </c>
      <c r="J757" s="10">
        <v>613.54999999999995</v>
      </c>
      <c r="K757" s="10">
        <v>613.54999999999995</v>
      </c>
      <c r="L757" s="10">
        <f t="shared" si="348"/>
        <v>0</v>
      </c>
      <c r="M757" s="10">
        <v>287.39999999999998</v>
      </c>
      <c r="N757" s="10">
        <v>287.39999999999998</v>
      </c>
      <c r="O757" s="10">
        <f t="shared" si="349"/>
        <v>0</v>
      </c>
      <c r="P757" s="11">
        <v>22950.999918507052</v>
      </c>
      <c r="Q757" s="11">
        <v>48996.471816283927</v>
      </c>
      <c r="R757" s="11">
        <v>28000</v>
      </c>
      <c r="S757" s="11">
        <v>14081586</v>
      </c>
      <c r="T757" s="11">
        <v>1689792</v>
      </c>
      <c r="U757" s="12">
        <f t="shared" si="350"/>
        <v>0.12000011930474309</v>
      </c>
      <c r="V757" s="13">
        <f t="shared" si="346"/>
        <v>0</v>
      </c>
      <c r="W757" s="10">
        <f t="shared" si="351"/>
        <v>0</v>
      </c>
      <c r="X757" s="10"/>
      <c r="Y757" s="10"/>
      <c r="Z757" s="11">
        <f t="shared" si="352"/>
        <v>14081586</v>
      </c>
      <c r="AA757" s="14"/>
      <c r="AB757" s="14"/>
      <c r="AC757" s="11">
        <f t="shared" si="353"/>
        <v>14081586</v>
      </c>
      <c r="AD757" s="10">
        <f t="shared" si="354"/>
        <v>300</v>
      </c>
      <c r="AE757" s="15">
        <v>86220</v>
      </c>
      <c r="AF757" s="16">
        <v>15520</v>
      </c>
      <c r="AG757" s="15">
        <f t="shared" si="355"/>
        <v>0</v>
      </c>
      <c r="AH757" s="15">
        <f t="shared" si="356"/>
        <v>0</v>
      </c>
      <c r="AI757" s="15">
        <f t="shared" si="357"/>
        <v>86220</v>
      </c>
      <c r="AJ757" s="15">
        <f t="shared" si="358"/>
        <v>15520</v>
      </c>
      <c r="AK757" s="10">
        <v>86220</v>
      </c>
      <c r="AL757" s="15">
        <f t="shared" si="359"/>
        <v>86220</v>
      </c>
      <c r="AM757" s="15">
        <f t="shared" si="360"/>
        <v>14167806</v>
      </c>
      <c r="AN757" s="15">
        <f t="shared" si="361"/>
        <v>1705312</v>
      </c>
      <c r="AO757" s="15">
        <f t="shared" si="338"/>
        <v>1833579</v>
      </c>
      <c r="AP757" s="17">
        <f t="shared" si="362"/>
        <v>16001385</v>
      </c>
      <c r="AQ757" s="15">
        <v>6759234</v>
      </c>
      <c r="AR757" s="15">
        <v>42047</v>
      </c>
      <c r="AS757" s="18">
        <f t="shared" si="339"/>
        <v>9242151</v>
      </c>
      <c r="AT757" s="19">
        <v>0</v>
      </c>
      <c r="AU757" s="8">
        <v>8800</v>
      </c>
      <c r="AV757" s="13">
        <f t="shared" si="340"/>
        <v>2529120</v>
      </c>
      <c r="AW757" s="18">
        <f t="shared" si="341"/>
        <v>14167806</v>
      </c>
      <c r="AX757" s="15">
        <f t="shared" si="363"/>
        <v>14168000</v>
      </c>
      <c r="AY757" s="20">
        <v>0.06</v>
      </c>
      <c r="AZ757" s="13">
        <f t="shared" si="364"/>
        <v>850080</v>
      </c>
      <c r="BA757" s="15">
        <f t="shared" si="365"/>
        <v>850100</v>
      </c>
      <c r="BB757" s="21">
        <f t="shared" si="342"/>
        <v>10092251</v>
      </c>
      <c r="BC757" s="10">
        <f t="shared" si="343"/>
        <v>0</v>
      </c>
      <c r="BD757" s="10">
        <f t="shared" si="344"/>
        <v>0</v>
      </c>
      <c r="BE757" s="10">
        <v>57</v>
      </c>
      <c r="BF757" s="10">
        <v>26.7</v>
      </c>
      <c r="BG757" s="107">
        <v>46176</v>
      </c>
      <c r="BH757" s="107">
        <f t="shared" si="347"/>
        <v>46206</v>
      </c>
      <c r="BI757" s="23">
        <v>6</v>
      </c>
      <c r="BJ757" s="6"/>
      <c r="BK757" s="6"/>
      <c r="BL757" s="6">
        <f>VLOOKUP(A757,[2]Sheet1!$D$2:$H$933,5,0)</f>
        <v>0</v>
      </c>
      <c r="BM757" s="6" t="s">
        <v>3828</v>
      </c>
      <c r="BN757" s="6" t="s">
        <v>3829</v>
      </c>
      <c r="BO757" s="6" t="s">
        <v>3820</v>
      </c>
      <c r="BP757" s="6" t="s">
        <v>3821</v>
      </c>
      <c r="BQ757" s="6" t="s">
        <v>3830</v>
      </c>
      <c r="BR757" t="s">
        <v>3823</v>
      </c>
      <c r="BS757" t="s">
        <v>3824</v>
      </c>
      <c r="BT757" t="s">
        <v>3825</v>
      </c>
      <c r="BU757" t="s">
        <v>3826</v>
      </c>
      <c r="BV757" t="s">
        <v>3827</v>
      </c>
      <c r="BW757" t="s">
        <v>3835</v>
      </c>
      <c r="BX757">
        <v>0</v>
      </c>
      <c r="BY757" t="s">
        <v>3864</v>
      </c>
      <c r="BZ757" t="s">
        <v>3863</v>
      </c>
    </row>
    <row r="758" spans="1:78" x14ac:dyDescent="0.25">
      <c r="A758" s="7" t="s">
        <v>3085</v>
      </c>
      <c r="B758" s="7" t="s">
        <v>181</v>
      </c>
      <c r="C758" s="7" t="s">
        <v>3083</v>
      </c>
      <c r="D758" s="8" t="s">
        <v>3084</v>
      </c>
      <c r="E758" s="7" t="s">
        <v>3086</v>
      </c>
      <c r="F758" s="9">
        <v>44924</v>
      </c>
      <c r="G758" s="9" t="s">
        <v>404</v>
      </c>
      <c r="H758" s="9" t="s">
        <v>190</v>
      </c>
      <c r="I758" s="8" t="s">
        <v>78</v>
      </c>
      <c r="J758" s="10">
        <v>1354.11</v>
      </c>
      <c r="K758" s="10">
        <v>1354.11</v>
      </c>
      <c r="L758" s="10">
        <f t="shared" si="348"/>
        <v>0</v>
      </c>
      <c r="M758" s="10">
        <v>622.16</v>
      </c>
      <c r="N758" s="10">
        <v>622.16</v>
      </c>
      <c r="O758" s="10">
        <f t="shared" si="349"/>
        <v>0</v>
      </c>
      <c r="P758" s="11">
        <v>25000.000000000004</v>
      </c>
      <c r="Q758" s="11">
        <v>54411.646521795039</v>
      </c>
      <c r="R758" s="11">
        <v>60000</v>
      </c>
      <c r="S758" s="11">
        <v>33852750</v>
      </c>
      <c r="T758" s="11">
        <v>4062332</v>
      </c>
      <c r="U758" s="12">
        <f t="shared" si="350"/>
        <v>0.12000005907939532</v>
      </c>
      <c r="V758" s="13">
        <f t="shared" si="346"/>
        <v>0</v>
      </c>
      <c r="W758" s="10">
        <f t="shared" si="351"/>
        <v>0</v>
      </c>
      <c r="X758" s="10"/>
      <c r="Y758" s="10"/>
      <c r="Z758" s="11">
        <f t="shared" si="352"/>
        <v>33852750</v>
      </c>
      <c r="AA758" s="14"/>
      <c r="AB758" s="14"/>
      <c r="AC758" s="11">
        <f t="shared" si="353"/>
        <v>33852750</v>
      </c>
      <c r="AD758" s="10">
        <f t="shared" si="354"/>
        <v>300</v>
      </c>
      <c r="AE758" s="15">
        <v>186648</v>
      </c>
      <c r="AF758" s="16">
        <v>33596</v>
      </c>
      <c r="AG758" s="15">
        <f t="shared" si="355"/>
        <v>0</v>
      </c>
      <c r="AH758" s="15">
        <f t="shared" si="356"/>
        <v>0</v>
      </c>
      <c r="AI758" s="15">
        <f t="shared" si="357"/>
        <v>186648</v>
      </c>
      <c r="AJ758" s="15">
        <f t="shared" si="358"/>
        <v>33597</v>
      </c>
      <c r="AK758" s="10">
        <v>186648</v>
      </c>
      <c r="AL758" s="15">
        <f t="shared" si="359"/>
        <v>186648</v>
      </c>
      <c r="AM758" s="15">
        <f t="shared" si="360"/>
        <v>34039398</v>
      </c>
      <c r="AN758" s="15">
        <f t="shared" si="361"/>
        <v>4095929</v>
      </c>
      <c r="AO758" s="15">
        <f t="shared" si="338"/>
        <v>4323788</v>
      </c>
      <c r="AP758" s="17">
        <f t="shared" si="362"/>
        <v>38363186</v>
      </c>
      <c r="AQ758" s="15">
        <v>24698272</v>
      </c>
      <c r="AR758" s="15">
        <v>41211</v>
      </c>
      <c r="AS758" s="18">
        <f t="shared" si="339"/>
        <v>13664914</v>
      </c>
      <c r="AT758" s="19">
        <v>0</v>
      </c>
      <c r="AU758" s="8">
        <v>8800</v>
      </c>
      <c r="AV758" s="13">
        <f t="shared" si="340"/>
        <v>5475008</v>
      </c>
      <c r="AW758" s="18">
        <f t="shared" si="341"/>
        <v>34039398</v>
      </c>
      <c r="AX758" s="15">
        <f t="shared" si="363"/>
        <v>34040000</v>
      </c>
      <c r="AY758" s="20">
        <v>7.0000000000000007E-2</v>
      </c>
      <c r="AZ758" s="13">
        <f t="shared" si="364"/>
        <v>2382800</v>
      </c>
      <c r="BA758" s="15">
        <f t="shared" si="365"/>
        <v>2382800</v>
      </c>
      <c r="BB758" s="21">
        <f t="shared" si="342"/>
        <v>16047714</v>
      </c>
      <c r="BC758" s="10">
        <f t="shared" si="343"/>
        <v>0</v>
      </c>
      <c r="BD758" s="10">
        <f t="shared" si="344"/>
        <v>0</v>
      </c>
      <c r="BE758" s="10">
        <v>125.8</v>
      </c>
      <c r="BF758" s="10">
        <v>57.8</v>
      </c>
      <c r="BG758" s="107">
        <v>46176</v>
      </c>
      <c r="BH758" s="107">
        <f t="shared" si="347"/>
        <v>46206</v>
      </c>
      <c r="BI758" s="23">
        <v>7</v>
      </c>
      <c r="BJ758" s="6"/>
      <c r="BK758" s="6"/>
      <c r="BL758" s="6">
        <f>VLOOKUP(A758,[2]Sheet1!$D$2:$H$933,5,0)</f>
        <v>0</v>
      </c>
      <c r="BM758" s="6" t="s">
        <v>3828</v>
      </c>
      <c r="BN758" s="6" t="s">
        <v>3829</v>
      </c>
      <c r="BO758" s="6" t="s">
        <v>3820</v>
      </c>
      <c r="BP758" s="6" t="s">
        <v>3821</v>
      </c>
      <c r="BQ758" s="6" t="s">
        <v>3830</v>
      </c>
      <c r="BR758" t="s">
        <v>3823</v>
      </c>
      <c r="BS758" t="s">
        <v>3824</v>
      </c>
      <c r="BT758" t="s">
        <v>3825</v>
      </c>
      <c r="BU758" t="s">
        <v>3826</v>
      </c>
      <c r="BV758" t="s">
        <v>3827</v>
      </c>
      <c r="BW758" t="s">
        <v>3835</v>
      </c>
      <c r="BX758">
        <v>0</v>
      </c>
      <c r="BY758" t="s">
        <v>3865</v>
      </c>
      <c r="BZ758" t="s">
        <v>3863</v>
      </c>
    </row>
    <row r="759" spans="1:78" x14ac:dyDescent="0.25">
      <c r="A759" s="7" t="s">
        <v>3089</v>
      </c>
      <c r="B759" s="7" t="s">
        <v>181</v>
      </c>
      <c r="C759" s="7" t="s">
        <v>3087</v>
      </c>
      <c r="D759" s="8" t="s">
        <v>3088</v>
      </c>
      <c r="E759" s="7" t="s">
        <v>3090</v>
      </c>
      <c r="F759" s="9">
        <v>45006</v>
      </c>
      <c r="G759" s="9" t="s">
        <v>527</v>
      </c>
      <c r="H759" s="9" t="s">
        <v>66</v>
      </c>
      <c r="I759" s="8" t="s">
        <v>78</v>
      </c>
      <c r="J759" s="10">
        <v>1111.28</v>
      </c>
      <c r="K759" s="10">
        <v>1111.28</v>
      </c>
      <c r="L759" s="10">
        <f t="shared" si="348"/>
        <v>0</v>
      </c>
      <c r="M759" s="10">
        <v>510.75</v>
      </c>
      <c r="N759" s="10">
        <v>510.75</v>
      </c>
      <c r="O759" s="10">
        <f t="shared" si="349"/>
        <v>0</v>
      </c>
      <c r="P759" s="11">
        <v>13236.236592038011</v>
      </c>
      <c r="Q759" s="11">
        <v>28799.148311306901</v>
      </c>
      <c r="R759" s="11">
        <v>22000</v>
      </c>
      <c r="S759" s="11">
        <v>14709165</v>
      </c>
      <c r="T759" s="11">
        <v>1765100</v>
      </c>
      <c r="U759" s="12">
        <f t="shared" si="350"/>
        <v>0.12000001359696488</v>
      </c>
      <c r="V759" s="13">
        <f t="shared" si="346"/>
        <v>0</v>
      </c>
      <c r="W759" s="10">
        <f t="shared" si="351"/>
        <v>0</v>
      </c>
      <c r="X759" s="10"/>
      <c r="Y759" s="10"/>
      <c r="Z759" s="11">
        <f t="shared" si="352"/>
        <v>14709165</v>
      </c>
      <c r="AA759" s="14"/>
      <c r="AB759" s="14"/>
      <c r="AC759" s="11">
        <f t="shared" si="353"/>
        <v>14709165</v>
      </c>
      <c r="AD759" s="10">
        <f t="shared" si="354"/>
        <v>300</v>
      </c>
      <c r="AE759" s="15">
        <v>153225</v>
      </c>
      <c r="AF759" s="16">
        <v>27580</v>
      </c>
      <c r="AG759" s="15">
        <f t="shared" si="355"/>
        <v>0</v>
      </c>
      <c r="AH759" s="15">
        <f t="shared" si="356"/>
        <v>0</v>
      </c>
      <c r="AI759" s="15">
        <f t="shared" si="357"/>
        <v>153225</v>
      </c>
      <c r="AJ759" s="15">
        <f t="shared" si="358"/>
        <v>27581</v>
      </c>
      <c r="AK759" s="10">
        <v>153225</v>
      </c>
      <c r="AL759" s="15">
        <f t="shared" si="359"/>
        <v>153225</v>
      </c>
      <c r="AM759" s="15">
        <f t="shared" si="360"/>
        <v>14862390</v>
      </c>
      <c r="AN759" s="15">
        <f t="shared" si="361"/>
        <v>1792681</v>
      </c>
      <c r="AO759" s="15">
        <f t="shared" si="338"/>
        <v>1996636</v>
      </c>
      <c r="AP759" s="17">
        <f t="shared" si="362"/>
        <v>16859026</v>
      </c>
      <c r="AQ759" s="15">
        <v>4677643</v>
      </c>
      <c r="AR759" s="15">
        <v>50730</v>
      </c>
      <c r="AS759" s="18">
        <f t="shared" si="339"/>
        <v>12181383</v>
      </c>
      <c r="AT759" s="19">
        <v>0</v>
      </c>
      <c r="AU759" s="8">
        <v>8800</v>
      </c>
      <c r="AV759" s="13">
        <f t="shared" si="340"/>
        <v>4494600</v>
      </c>
      <c r="AW759" s="18">
        <f t="shared" si="341"/>
        <v>14862390</v>
      </c>
      <c r="AX759" s="15">
        <f t="shared" si="363"/>
        <v>14863000</v>
      </c>
      <c r="AY759" s="20">
        <v>0.05</v>
      </c>
      <c r="AZ759" s="13">
        <f t="shared" si="364"/>
        <v>743150</v>
      </c>
      <c r="BA759" s="15">
        <f t="shared" si="365"/>
        <v>743200</v>
      </c>
      <c r="BB759" s="21">
        <f t="shared" si="342"/>
        <v>12924583</v>
      </c>
      <c r="BC759" s="10">
        <f t="shared" si="343"/>
        <v>0</v>
      </c>
      <c r="BD759" s="10">
        <f t="shared" si="344"/>
        <v>0</v>
      </c>
      <c r="BE759" s="10">
        <v>103.24</v>
      </c>
      <c r="BF759" s="10">
        <v>47.45</v>
      </c>
      <c r="BG759" s="107">
        <v>46176</v>
      </c>
      <c r="BH759" s="107">
        <f t="shared" si="347"/>
        <v>46206</v>
      </c>
      <c r="BI759" s="23">
        <v>5</v>
      </c>
      <c r="BJ759" s="6"/>
      <c r="BK759" s="6"/>
      <c r="BL759" s="6">
        <f>VLOOKUP(A759,[2]Sheet1!$D$2:$H$933,5,0)</f>
        <v>0</v>
      </c>
      <c r="BM759" s="6" t="s">
        <v>3828</v>
      </c>
      <c r="BN759" s="6" t="s">
        <v>3829</v>
      </c>
      <c r="BO759" s="6" t="s">
        <v>3820</v>
      </c>
      <c r="BP759" s="6" t="s">
        <v>3821</v>
      </c>
      <c r="BQ759" s="6" t="s">
        <v>3830</v>
      </c>
      <c r="BR759" t="s">
        <v>3823</v>
      </c>
      <c r="BS759" t="s">
        <v>3824</v>
      </c>
      <c r="BT759" t="s">
        <v>3825</v>
      </c>
      <c r="BU759" t="s">
        <v>3826</v>
      </c>
      <c r="BV759" t="s">
        <v>3827</v>
      </c>
      <c r="BW759" t="s">
        <v>3835</v>
      </c>
      <c r="BX759">
        <v>0</v>
      </c>
      <c r="BY759" t="s">
        <v>3859</v>
      </c>
      <c r="BZ759" t="s">
        <v>3871</v>
      </c>
    </row>
    <row r="760" spans="1:78" x14ac:dyDescent="0.25">
      <c r="A760" s="7" t="s">
        <v>3093</v>
      </c>
      <c r="B760" s="7" t="s">
        <v>181</v>
      </c>
      <c r="C760" s="7" t="s">
        <v>3091</v>
      </c>
      <c r="D760" s="8" t="s">
        <v>3092</v>
      </c>
      <c r="E760" s="7" t="s">
        <v>3054</v>
      </c>
      <c r="F760" s="9">
        <v>45010</v>
      </c>
      <c r="G760" s="9" t="s">
        <v>363</v>
      </c>
      <c r="H760" s="9" t="s">
        <v>92</v>
      </c>
      <c r="I760" s="8" t="s">
        <v>78</v>
      </c>
      <c r="J760" s="10">
        <v>740.56</v>
      </c>
      <c r="K760" s="10">
        <v>740.56</v>
      </c>
      <c r="L760" s="10">
        <f t="shared" si="348"/>
        <v>0</v>
      </c>
      <c r="M760" s="10">
        <v>336.91</v>
      </c>
      <c r="N760" s="10">
        <v>336.91</v>
      </c>
      <c r="O760" s="10">
        <f t="shared" si="349"/>
        <v>0</v>
      </c>
      <c r="P760" s="11">
        <v>21580.99951388139</v>
      </c>
      <c r="Q760" s="11">
        <v>47437.075183283363</v>
      </c>
      <c r="R760" s="11">
        <v>28000</v>
      </c>
      <c r="S760" s="11">
        <v>15982025</v>
      </c>
      <c r="T760" s="11">
        <v>1917840</v>
      </c>
      <c r="U760" s="12">
        <f t="shared" si="350"/>
        <v>0.11999981228911856</v>
      </c>
      <c r="V760" s="13">
        <f t="shared" si="346"/>
        <v>0</v>
      </c>
      <c r="W760" s="10">
        <f t="shared" si="351"/>
        <v>0</v>
      </c>
      <c r="X760" s="10"/>
      <c r="Y760" s="10"/>
      <c r="Z760" s="11">
        <f t="shared" si="352"/>
        <v>15982025</v>
      </c>
      <c r="AA760" s="14"/>
      <c r="AB760" s="14"/>
      <c r="AC760" s="11">
        <f t="shared" si="353"/>
        <v>15982025</v>
      </c>
      <c r="AD760" s="10">
        <f t="shared" si="354"/>
        <v>300</v>
      </c>
      <c r="AE760" s="15">
        <v>101073</v>
      </c>
      <c r="AF760" s="16">
        <v>18194</v>
      </c>
      <c r="AG760" s="15">
        <f t="shared" si="355"/>
        <v>0</v>
      </c>
      <c r="AH760" s="15">
        <f t="shared" si="356"/>
        <v>0</v>
      </c>
      <c r="AI760" s="15">
        <f t="shared" si="357"/>
        <v>101073.00000000001</v>
      </c>
      <c r="AJ760" s="15">
        <f t="shared" si="358"/>
        <v>18194</v>
      </c>
      <c r="AK760" s="10">
        <v>101073</v>
      </c>
      <c r="AL760" s="15">
        <f t="shared" si="359"/>
        <v>101073.00000000001</v>
      </c>
      <c r="AM760" s="15">
        <f t="shared" si="360"/>
        <v>16083098</v>
      </c>
      <c r="AN760" s="15">
        <f t="shared" si="361"/>
        <v>1936034</v>
      </c>
      <c r="AO760" s="15">
        <f t="shared" si="338"/>
        <v>2089828</v>
      </c>
      <c r="AP760" s="17">
        <f t="shared" si="362"/>
        <v>18172926</v>
      </c>
      <c r="AQ760" s="15">
        <v>5504403</v>
      </c>
      <c r="AR760" s="15">
        <v>52721</v>
      </c>
      <c r="AS760" s="18">
        <f t="shared" si="339"/>
        <v>12668523</v>
      </c>
      <c r="AT760" s="19">
        <v>0</v>
      </c>
      <c r="AU760" s="8">
        <v>8800</v>
      </c>
      <c r="AV760" s="13">
        <f t="shared" si="340"/>
        <v>2964808</v>
      </c>
      <c r="AW760" s="18">
        <f t="shared" si="341"/>
        <v>16083098</v>
      </c>
      <c r="AX760" s="15">
        <f t="shared" si="363"/>
        <v>16084000</v>
      </c>
      <c r="AY760" s="20">
        <v>7.0000000000000007E-2</v>
      </c>
      <c r="AZ760" s="13">
        <f t="shared" si="364"/>
        <v>1125880</v>
      </c>
      <c r="BA760" s="15">
        <f t="shared" si="365"/>
        <v>1125900</v>
      </c>
      <c r="BB760" s="21">
        <f t="shared" si="342"/>
        <v>13794423</v>
      </c>
      <c r="BC760" s="10">
        <f t="shared" si="343"/>
        <v>0</v>
      </c>
      <c r="BD760" s="10">
        <f t="shared" si="344"/>
        <v>0</v>
      </c>
      <c r="BE760" s="10">
        <v>68.8</v>
      </c>
      <c r="BF760" s="10">
        <v>31.3</v>
      </c>
      <c r="BG760" s="107">
        <v>46176</v>
      </c>
      <c r="BH760" s="107">
        <f t="shared" si="347"/>
        <v>46206</v>
      </c>
      <c r="BI760" s="23">
        <v>7</v>
      </c>
      <c r="BJ760" s="6"/>
      <c r="BK760" s="24"/>
      <c r="BL760" s="6">
        <f>VLOOKUP(A760,[2]Sheet1!$D$2:$H$933,5,0)</f>
        <v>0</v>
      </c>
      <c r="BM760" s="6" t="s">
        <v>3828</v>
      </c>
      <c r="BN760" s="6" t="s">
        <v>3829</v>
      </c>
      <c r="BO760" s="6" t="s">
        <v>3820</v>
      </c>
      <c r="BP760" s="6" t="s">
        <v>3821</v>
      </c>
      <c r="BQ760" s="6" t="s">
        <v>3830</v>
      </c>
      <c r="BR760" t="s">
        <v>3823</v>
      </c>
      <c r="BS760" t="s">
        <v>3824</v>
      </c>
      <c r="BT760" t="s">
        <v>3825</v>
      </c>
      <c r="BU760" t="s">
        <v>3826</v>
      </c>
      <c r="BV760" t="s">
        <v>3827</v>
      </c>
      <c r="BW760" t="s">
        <v>3835</v>
      </c>
      <c r="BX760">
        <v>0</v>
      </c>
      <c r="BY760" t="s">
        <v>3868</v>
      </c>
      <c r="BZ760" t="s">
        <v>3860</v>
      </c>
    </row>
    <row r="761" spans="1:78" x14ac:dyDescent="0.25">
      <c r="A761" s="7" t="s">
        <v>3096</v>
      </c>
      <c r="B761" s="7" t="s">
        <v>181</v>
      </c>
      <c r="C761" s="7" t="s">
        <v>3094</v>
      </c>
      <c r="D761" s="8" t="s">
        <v>3095</v>
      </c>
      <c r="E761" s="7" t="s">
        <v>3097</v>
      </c>
      <c r="F761" s="9">
        <v>45047</v>
      </c>
      <c r="G761" s="9" t="s">
        <v>363</v>
      </c>
      <c r="H761" s="9" t="s">
        <v>92</v>
      </c>
      <c r="I761" s="8" t="s">
        <v>78</v>
      </c>
      <c r="J761" s="10">
        <v>1132.3699999999999</v>
      </c>
      <c r="K761" s="10">
        <v>1132.3699999999999</v>
      </c>
      <c r="L761" s="10">
        <f t="shared" si="348"/>
        <v>0</v>
      </c>
      <c r="M761" s="10">
        <v>522.04999999999995</v>
      </c>
      <c r="N761" s="10">
        <v>522.04999999999995</v>
      </c>
      <c r="O761" s="10">
        <f t="shared" si="349"/>
        <v>0</v>
      </c>
      <c r="P761" s="11">
        <v>20173.385907433083</v>
      </c>
      <c r="Q761" s="11">
        <v>43757.756919835272</v>
      </c>
      <c r="R761" s="11">
        <v>28000</v>
      </c>
      <c r="S761" s="11">
        <v>22843737</v>
      </c>
      <c r="T761" s="11">
        <v>2741246</v>
      </c>
      <c r="U761" s="12">
        <f t="shared" si="350"/>
        <v>0.11999989318735371</v>
      </c>
      <c r="V761" s="13">
        <f t="shared" si="346"/>
        <v>0</v>
      </c>
      <c r="W761" s="10">
        <f t="shared" si="351"/>
        <v>0</v>
      </c>
      <c r="X761" s="10"/>
      <c r="Y761" s="10"/>
      <c r="Z761" s="11">
        <f t="shared" si="352"/>
        <v>22843737</v>
      </c>
      <c r="AA761" s="14"/>
      <c r="AB761" s="14"/>
      <c r="AC761" s="11">
        <f t="shared" si="353"/>
        <v>22843737</v>
      </c>
      <c r="AD761" s="10">
        <f t="shared" si="354"/>
        <v>300</v>
      </c>
      <c r="AE761" s="15">
        <v>156615</v>
      </c>
      <c r="AF761" s="16">
        <v>28190</v>
      </c>
      <c r="AG761" s="15">
        <f t="shared" si="355"/>
        <v>0</v>
      </c>
      <c r="AH761" s="15">
        <f t="shared" si="356"/>
        <v>0</v>
      </c>
      <c r="AI761" s="15">
        <f t="shared" si="357"/>
        <v>156615</v>
      </c>
      <c r="AJ761" s="15">
        <f t="shared" si="358"/>
        <v>28191</v>
      </c>
      <c r="AK761" s="10">
        <v>156615</v>
      </c>
      <c r="AL761" s="15">
        <f t="shared" si="359"/>
        <v>156615</v>
      </c>
      <c r="AM761" s="15">
        <f t="shared" si="360"/>
        <v>23000352</v>
      </c>
      <c r="AN761" s="15">
        <f t="shared" si="361"/>
        <v>2769437</v>
      </c>
      <c r="AO761" s="15">
        <f t="shared" si="338"/>
        <v>2978561</v>
      </c>
      <c r="AP761" s="17">
        <f t="shared" si="362"/>
        <v>25978913</v>
      </c>
      <c r="AQ761" s="15">
        <v>12777662</v>
      </c>
      <c r="AR761" s="15">
        <v>52509</v>
      </c>
      <c r="AS761" s="18">
        <f t="shared" si="339"/>
        <v>13201251</v>
      </c>
      <c r="AT761" s="19">
        <v>0</v>
      </c>
      <c r="AU761" s="8">
        <v>8800</v>
      </c>
      <c r="AV761" s="13">
        <f t="shared" si="340"/>
        <v>4594040</v>
      </c>
      <c r="AW761" s="18">
        <f t="shared" si="341"/>
        <v>23000352</v>
      </c>
      <c r="AX761" s="15">
        <f t="shared" si="363"/>
        <v>23001000</v>
      </c>
      <c r="AY761" s="20">
        <v>7.0000000000000007E-2</v>
      </c>
      <c r="AZ761" s="13">
        <f t="shared" si="364"/>
        <v>1610070.0000000002</v>
      </c>
      <c r="BA761" s="15">
        <f t="shared" si="365"/>
        <v>1610100</v>
      </c>
      <c r="BB761" s="21">
        <f t="shared" si="342"/>
        <v>14811351</v>
      </c>
      <c r="BC761" s="10">
        <f t="shared" si="343"/>
        <v>0</v>
      </c>
      <c r="BD761" s="10">
        <f t="shared" si="344"/>
        <v>0</v>
      </c>
      <c r="BE761" s="10">
        <v>105.2</v>
      </c>
      <c r="BF761" s="10">
        <v>48.5</v>
      </c>
      <c r="BG761" s="107">
        <v>46176</v>
      </c>
      <c r="BH761" s="107">
        <f t="shared" si="347"/>
        <v>46206</v>
      </c>
      <c r="BI761" s="23">
        <v>7</v>
      </c>
      <c r="BJ761" s="6"/>
      <c r="BK761" s="6"/>
      <c r="BL761" s="6">
        <f>VLOOKUP(A761,[2]Sheet1!$D$2:$H$933,5,0)</f>
        <v>0</v>
      </c>
      <c r="BM761" s="6" t="s">
        <v>3828</v>
      </c>
      <c r="BN761" s="6" t="s">
        <v>3829</v>
      </c>
      <c r="BO761" s="6" t="s">
        <v>3820</v>
      </c>
      <c r="BP761" s="6" t="s">
        <v>3821</v>
      </c>
      <c r="BQ761" s="6" t="s">
        <v>3830</v>
      </c>
      <c r="BR761" t="s">
        <v>3823</v>
      </c>
      <c r="BS761" t="s">
        <v>3824</v>
      </c>
      <c r="BT761" t="s">
        <v>3825</v>
      </c>
      <c r="BU761" t="s">
        <v>3826</v>
      </c>
      <c r="BV761" t="s">
        <v>3827</v>
      </c>
      <c r="BW761" t="s">
        <v>3835</v>
      </c>
      <c r="BX761">
        <v>0</v>
      </c>
      <c r="BY761" t="s">
        <v>3861</v>
      </c>
      <c r="BZ761" t="s">
        <v>3860</v>
      </c>
    </row>
    <row r="762" spans="1:78" x14ac:dyDescent="0.25">
      <c r="A762" s="7" t="s">
        <v>3100</v>
      </c>
      <c r="B762" s="7" t="s">
        <v>181</v>
      </c>
      <c r="C762" s="7" t="s">
        <v>3098</v>
      </c>
      <c r="D762" s="8" t="s">
        <v>3099</v>
      </c>
      <c r="E762" s="7" t="s">
        <v>2665</v>
      </c>
      <c r="F762" s="9">
        <v>45105</v>
      </c>
      <c r="G762" s="9" t="s">
        <v>77</v>
      </c>
      <c r="H762" s="9" t="s">
        <v>72</v>
      </c>
      <c r="I762" s="8" t="s">
        <v>78</v>
      </c>
      <c r="J762" s="10">
        <v>1216.33</v>
      </c>
      <c r="K762" s="10">
        <v>1216.33</v>
      </c>
      <c r="L762" s="10">
        <f t="shared" si="348"/>
        <v>0</v>
      </c>
      <c r="M762" s="10">
        <v>555.41999999999996</v>
      </c>
      <c r="N762" s="10">
        <v>555.41999999999996</v>
      </c>
      <c r="O762" s="10">
        <f t="shared" si="349"/>
        <v>0</v>
      </c>
      <c r="P762" s="11">
        <v>7107.077026793716</v>
      </c>
      <c r="Q762" s="11">
        <v>15563.989413416875</v>
      </c>
      <c r="R762" s="11">
        <v>20000</v>
      </c>
      <c r="S762" s="11">
        <v>8644551</v>
      </c>
      <c r="T762" s="11">
        <v>1037346</v>
      </c>
      <c r="U762" s="12">
        <f t="shared" si="350"/>
        <v>0.11999998611842304</v>
      </c>
      <c r="V762" s="13">
        <f t="shared" si="346"/>
        <v>0</v>
      </c>
      <c r="W762" s="10">
        <f t="shared" si="351"/>
        <v>0</v>
      </c>
      <c r="X762" s="10"/>
      <c r="Y762" s="10"/>
      <c r="Z762" s="11">
        <f t="shared" si="352"/>
        <v>8644551</v>
      </c>
      <c r="AA762" s="14"/>
      <c r="AB762" s="14"/>
      <c r="AC762" s="11">
        <f t="shared" si="353"/>
        <v>8644551</v>
      </c>
      <c r="AD762" s="10">
        <f t="shared" si="354"/>
        <v>300</v>
      </c>
      <c r="AE762" s="15">
        <v>166626</v>
      </c>
      <c r="AF762" s="16">
        <v>29992</v>
      </c>
      <c r="AG762" s="15">
        <f t="shared" si="355"/>
        <v>0</v>
      </c>
      <c r="AH762" s="15">
        <f t="shared" si="356"/>
        <v>0</v>
      </c>
      <c r="AI762" s="15">
        <f t="shared" si="357"/>
        <v>166626</v>
      </c>
      <c r="AJ762" s="15">
        <f t="shared" si="358"/>
        <v>29993</v>
      </c>
      <c r="AK762" s="10">
        <v>166626</v>
      </c>
      <c r="AL762" s="15">
        <f t="shared" si="359"/>
        <v>166626</v>
      </c>
      <c r="AM762" s="15">
        <f t="shared" si="360"/>
        <v>8811177</v>
      </c>
      <c r="AN762" s="15">
        <f t="shared" si="361"/>
        <v>1067339</v>
      </c>
      <c r="AO762" s="15">
        <f t="shared" si="338"/>
        <v>1281153</v>
      </c>
      <c r="AP762" s="17">
        <f t="shared" si="362"/>
        <v>10092330</v>
      </c>
      <c r="AQ762" s="15">
        <v>1172660</v>
      </c>
      <c r="AR762" s="15">
        <v>47188</v>
      </c>
      <c r="AS762" s="18">
        <f t="shared" si="339"/>
        <v>8919670</v>
      </c>
      <c r="AT762" s="19">
        <v>0</v>
      </c>
      <c r="AU762" s="8">
        <v>8800</v>
      </c>
      <c r="AV762" s="13">
        <f t="shared" si="340"/>
        <v>4887696</v>
      </c>
      <c r="AW762" s="18">
        <f t="shared" si="341"/>
        <v>8811177</v>
      </c>
      <c r="AX762" s="15">
        <f t="shared" si="363"/>
        <v>8812000</v>
      </c>
      <c r="AY762" s="20">
        <v>7.0000000000000007E-2</v>
      </c>
      <c r="AZ762" s="13">
        <f t="shared" si="364"/>
        <v>616840.00000000012</v>
      </c>
      <c r="BA762" s="15">
        <f t="shared" si="365"/>
        <v>616900</v>
      </c>
      <c r="BB762" s="21">
        <f t="shared" si="342"/>
        <v>9536570</v>
      </c>
      <c r="BC762" s="10">
        <f t="shared" si="343"/>
        <v>0</v>
      </c>
      <c r="BD762" s="10">
        <f t="shared" si="344"/>
        <v>0</v>
      </c>
      <c r="BE762" s="10">
        <v>113</v>
      </c>
      <c r="BF762" s="10">
        <v>51.6</v>
      </c>
      <c r="BG762" s="107">
        <v>46176</v>
      </c>
      <c r="BH762" s="107">
        <f t="shared" si="347"/>
        <v>46206</v>
      </c>
      <c r="BI762" s="23">
        <v>7</v>
      </c>
      <c r="BJ762" s="6"/>
      <c r="BK762" s="6"/>
      <c r="BL762" s="6">
        <f>VLOOKUP(A762,[2]Sheet1!$D$2:$H$933,5,0)</f>
        <v>0</v>
      </c>
      <c r="BM762" s="6" t="s">
        <v>3828</v>
      </c>
      <c r="BN762" s="6" t="s">
        <v>3829</v>
      </c>
      <c r="BO762" s="6" t="s">
        <v>3820</v>
      </c>
      <c r="BP762" s="6" t="s">
        <v>3821</v>
      </c>
      <c r="BQ762" s="6" t="s">
        <v>3830</v>
      </c>
      <c r="BR762" t="s">
        <v>3823</v>
      </c>
      <c r="BS762" t="s">
        <v>3824</v>
      </c>
      <c r="BT762" t="s">
        <v>3825</v>
      </c>
      <c r="BU762" t="s">
        <v>3826</v>
      </c>
      <c r="BV762" t="s">
        <v>3827</v>
      </c>
      <c r="BW762" t="s">
        <v>3835</v>
      </c>
      <c r="BX762">
        <v>0</v>
      </c>
      <c r="BY762" t="s">
        <v>3869</v>
      </c>
      <c r="BZ762" t="s">
        <v>3863</v>
      </c>
    </row>
    <row r="763" spans="1:78" x14ac:dyDescent="0.25">
      <c r="A763" s="7" t="s">
        <v>3103</v>
      </c>
      <c r="B763" s="7" t="s">
        <v>181</v>
      </c>
      <c r="C763" s="7" t="s">
        <v>3101</v>
      </c>
      <c r="D763" s="8" t="s">
        <v>3102</v>
      </c>
      <c r="E763" s="7" t="s">
        <v>3104</v>
      </c>
      <c r="F763" s="9">
        <v>44890</v>
      </c>
      <c r="G763" s="9" t="s">
        <v>77</v>
      </c>
      <c r="H763" s="9" t="s">
        <v>92</v>
      </c>
      <c r="I763" s="8" t="s">
        <v>78</v>
      </c>
      <c r="J763" s="10">
        <v>449.07</v>
      </c>
      <c r="K763" s="10">
        <v>443.5</v>
      </c>
      <c r="L763" s="10">
        <f t="shared" si="348"/>
        <v>-5.5699999999999932</v>
      </c>
      <c r="M763" s="10">
        <v>185.36</v>
      </c>
      <c r="N763" s="10">
        <v>192</v>
      </c>
      <c r="O763" s="10">
        <f t="shared" si="349"/>
        <v>6.6399999999999864</v>
      </c>
      <c r="P763" s="11">
        <v>22634.998997929055</v>
      </c>
      <c r="Q763" s="11">
        <v>54837.607898144146</v>
      </c>
      <c r="R763" s="11">
        <v>28000</v>
      </c>
      <c r="S763" s="11">
        <v>10164699</v>
      </c>
      <c r="T763" s="11">
        <v>1219764</v>
      </c>
      <c r="U763" s="12">
        <f t="shared" si="350"/>
        <v>0.12000001180556355</v>
      </c>
      <c r="V763" s="13">
        <f t="shared" si="346"/>
        <v>-126076.94441846469</v>
      </c>
      <c r="W763" s="10">
        <f t="shared" si="351"/>
        <v>-15129.234818625142</v>
      </c>
      <c r="X763" s="15"/>
      <c r="Y763" s="15"/>
      <c r="Z763" s="11">
        <f t="shared" si="352"/>
        <v>10038622.055581536</v>
      </c>
      <c r="AA763" s="14"/>
      <c r="AB763" s="14"/>
      <c r="AC763" s="11">
        <f t="shared" si="353"/>
        <v>10038622.055581536</v>
      </c>
      <c r="AD763" s="10">
        <f t="shared" si="354"/>
        <v>300</v>
      </c>
      <c r="AE763" s="15">
        <v>55608</v>
      </c>
      <c r="AF763" s="16">
        <v>10010</v>
      </c>
      <c r="AG763" s="15">
        <f t="shared" si="355"/>
        <v>1991.9999999999959</v>
      </c>
      <c r="AH763" s="15">
        <f t="shared" si="356"/>
        <v>358.55999999999926</v>
      </c>
      <c r="AI763" s="15">
        <f t="shared" si="357"/>
        <v>57600</v>
      </c>
      <c r="AJ763" s="15">
        <f t="shared" si="358"/>
        <v>10368</v>
      </c>
      <c r="AK763" s="10">
        <v>55608</v>
      </c>
      <c r="AL763" s="15">
        <f t="shared" si="359"/>
        <v>57600</v>
      </c>
      <c r="AM763" s="15">
        <f t="shared" si="360"/>
        <v>10096222</v>
      </c>
      <c r="AN763" s="15">
        <f t="shared" si="361"/>
        <v>1215003</v>
      </c>
      <c r="AO763" s="15">
        <f t="shared" ref="AO763:AO826" si="366">AN763+AL763+AR763</f>
        <v>1320008</v>
      </c>
      <c r="AP763" s="17">
        <f t="shared" si="362"/>
        <v>11416230</v>
      </c>
      <c r="AQ763" s="15">
        <v>3794821</v>
      </c>
      <c r="AR763" s="15">
        <v>47405</v>
      </c>
      <c r="AS763" s="18">
        <f t="shared" ref="AS763:AS826" si="367">ROUND(AP763-AQ763,0)</f>
        <v>7621409</v>
      </c>
      <c r="AT763" s="19">
        <v>0</v>
      </c>
      <c r="AU763" s="8">
        <v>8800</v>
      </c>
      <c r="AV763" s="13">
        <f t="shared" ref="AV763:AV826" si="368">AU763*N763</f>
        <v>1689600</v>
      </c>
      <c r="AW763" s="18">
        <f t="shared" ref="AW763:AW826" si="369">MAX(AM763,AT763,AV763)</f>
        <v>10096222</v>
      </c>
      <c r="AX763" s="15">
        <f t="shared" si="363"/>
        <v>10097000</v>
      </c>
      <c r="AY763" s="20">
        <v>7.0000000000000007E-2</v>
      </c>
      <c r="AZ763" s="13">
        <f t="shared" si="364"/>
        <v>706790.00000000012</v>
      </c>
      <c r="BA763" s="15">
        <f t="shared" si="365"/>
        <v>706800</v>
      </c>
      <c r="BB763" s="21">
        <f t="shared" ref="BB763:BB826" si="370">BA763+AS763</f>
        <v>8328209</v>
      </c>
      <c r="BC763" s="10">
        <f t="shared" ref="BC763:BC826" si="371">L763/J763%</f>
        <v>-1.2403411494867154</v>
      </c>
      <c r="BD763" s="10">
        <f t="shared" ref="BD763:BD826" si="372">O763/M763%</f>
        <v>3.5822183858437557</v>
      </c>
      <c r="BE763" s="10">
        <v>41.2</v>
      </c>
      <c r="BF763" s="10">
        <v>17.84</v>
      </c>
      <c r="BG763" s="107">
        <v>46176</v>
      </c>
      <c r="BH763" s="107">
        <f t="shared" si="347"/>
        <v>46206</v>
      </c>
      <c r="BI763" s="23">
        <v>7</v>
      </c>
      <c r="BJ763" s="6"/>
      <c r="BK763" s="6"/>
      <c r="BL763" s="6">
        <f>VLOOKUP(A763,[2]Sheet1!$D$2:$H$933,5,0)</f>
        <v>0</v>
      </c>
      <c r="BM763" s="6" t="s">
        <v>3828</v>
      </c>
      <c r="BN763" s="6" t="s">
        <v>3829</v>
      </c>
      <c r="BO763" s="6" t="s">
        <v>3820</v>
      </c>
      <c r="BP763" s="6" t="s">
        <v>3821</v>
      </c>
      <c r="BQ763" s="6" t="s">
        <v>3830</v>
      </c>
      <c r="BR763" t="s">
        <v>3823</v>
      </c>
      <c r="BS763" t="s">
        <v>3824</v>
      </c>
      <c r="BT763" t="s">
        <v>3825</v>
      </c>
      <c r="BU763" t="s">
        <v>3826</v>
      </c>
      <c r="BV763" t="s">
        <v>3827</v>
      </c>
      <c r="BW763" t="s">
        <v>3835</v>
      </c>
      <c r="BX763">
        <v>0</v>
      </c>
      <c r="BY763" t="s">
        <v>3864</v>
      </c>
      <c r="BZ763" t="s">
        <v>3863</v>
      </c>
    </row>
    <row r="764" spans="1:78" x14ac:dyDescent="0.25">
      <c r="A764" s="7" t="s">
        <v>3107</v>
      </c>
      <c r="B764" s="7" t="s">
        <v>181</v>
      </c>
      <c r="C764" s="7" t="s">
        <v>3105</v>
      </c>
      <c r="D764" s="8" t="s">
        <v>3106</v>
      </c>
      <c r="E764" s="7" t="s">
        <v>3108</v>
      </c>
      <c r="F764" s="9">
        <v>44998</v>
      </c>
      <c r="G764" s="9" t="s">
        <v>404</v>
      </c>
      <c r="H764" s="9" t="s">
        <v>92</v>
      </c>
      <c r="I764" s="8" t="s">
        <v>78</v>
      </c>
      <c r="J764" s="10">
        <v>612.47</v>
      </c>
      <c r="K764" s="10">
        <v>612.47</v>
      </c>
      <c r="L764" s="10">
        <f t="shared" si="348"/>
        <v>0</v>
      </c>
      <c r="M764" s="10">
        <v>283.08999999999997</v>
      </c>
      <c r="N764" s="10">
        <v>283.08999999999997</v>
      </c>
      <c r="O764" s="10">
        <f t="shared" si="349"/>
        <v>0</v>
      </c>
      <c r="P764" s="11">
        <v>22865.000734729863</v>
      </c>
      <c r="Q764" s="11">
        <v>49468.815571019819</v>
      </c>
      <c r="R764" s="11">
        <v>28000</v>
      </c>
      <c r="S764" s="11">
        <v>14004127</v>
      </c>
      <c r="T764" s="11">
        <v>1680494</v>
      </c>
      <c r="U764" s="12">
        <f t="shared" si="350"/>
        <v>0.11999991145467333</v>
      </c>
      <c r="V764" s="13">
        <f t="shared" si="346"/>
        <v>0</v>
      </c>
      <c r="W764" s="10">
        <f t="shared" si="351"/>
        <v>0</v>
      </c>
      <c r="X764" s="10"/>
      <c r="Y764" s="10"/>
      <c r="Z764" s="11">
        <f t="shared" si="352"/>
        <v>14004127</v>
      </c>
      <c r="AA764" s="14"/>
      <c r="AB764" s="14"/>
      <c r="AC764" s="11">
        <f t="shared" si="353"/>
        <v>14004127</v>
      </c>
      <c r="AD764" s="10">
        <f t="shared" si="354"/>
        <v>300</v>
      </c>
      <c r="AE764" s="15">
        <v>84927</v>
      </c>
      <c r="AF764" s="16">
        <v>15286</v>
      </c>
      <c r="AG764" s="15">
        <f t="shared" si="355"/>
        <v>0</v>
      </c>
      <c r="AH764" s="15">
        <f t="shared" si="356"/>
        <v>0</v>
      </c>
      <c r="AI764" s="15">
        <f t="shared" si="357"/>
        <v>84926.999999999985</v>
      </c>
      <c r="AJ764" s="15">
        <f t="shared" si="358"/>
        <v>15287</v>
      </c>
      <c r="AK764" s="10">
        <v>84927</v>
      </c>
      <c r="AL764" s="15">
        <f t="shared" si="359"/>
        <v>84926.999999999985</v>
      </c>
      <c r="AM764" s="15">
        <f t="shared" si="360"/>
        <v>14089054</v>
      </c>
      <c r="AN764" s="15">
        <f t="shared" si="361"/>
        <v>1695781</v>
      </c>
      <c r="AO764" s="15">
        <f t="shared" si="366"/>
        <v>1817567.84</v>
      </c>
      <c r="AP764" s="17">
        <f t="shared" si="362"/>
        <v>15906621.84</v>
      </c>
      <c r="AQ764" s="15">
        <v>14100536</v>
      </c>
      <c r="AR764" s="15">
        <v>36859.839999999997</v>
      </c>
      <c r="AS764" s="18">
        <f t="shared" si="367"/>
        <v>1806086</v>
      </c>
      <c r="AT764" s="19">
        <v>0</v>
      </c>
      <c r="AU764" s="8">
        <v>8800</v>
      </c>
      <c r="AV764" s="13">
        <f t="shared" si="368"/>
        <v>2491192</v>
      </c>
      <c r="AW764" s="18">
        <f t="shared" si="369"/>
        <v>14089054</v>
      </c>
      <c r="AX764" s="15">
        <f t="shared" si="363"/>
        <v>14090000</v>
      </c>
      <c r="AY764" s="20">
        <v>0.06</v>
      </c>
      <c r="AZ764" s="13">
        <f t="shared" si="364"/>
        <v>845400</v>
      </c>
      <c r="BA764" s="15">
        <f t="shared" si="365"/>
        <v>845400</v>
      </c>
      <c r="BB764" s="21">
        <f t="shared" si="370"/>
        <v>2651486</v>
      </c>
      <c r="BC764" s="10">
        <f t="shared" si="371"/>
        <v>0</v>
      </c>
      <c r="BD764" s="10">
        <f t="shared" si="372"/>
        <v>0</v>
      </c>
      <c r="BE764" s="10">
        <v>56.9</v>
      </c>
      <c r="BF764" s="10">
        <v>26.3</v>
      </c>
      <c r="BG764" s="107">
        <v>46176</v>
      </c>
      <c r="BH764" s="107">
        <f t="shared" si="347"/>
        <v>46206</v>
      </c>
      <c r="BI764" s="23">
        <v>6</v>
      </c>
      <c r="BJ764" s="6"/>
      <c r="BK764" s="6"/>
      <c r="BL764" s="6">
        <f>VLOOKUP(A764,[2]Sheet1!$D$2:$H$933,5,0)</f>
        <v>0</v>
      </c>
      <c r="BM764" s="6" t="s">
        <v>3828</v>
      </c>
      <c r="BN764" s="6" t="s">
        <v>3829</v>
      </c>
      <c r="BO764" s="6" t="s">
        <v>3820</v>
      </c>
      <c r="BP764" s="6" t="s">
        <v>3821</v>
      </c>
      <c r="BQ764" s="6" t="s">
        <v>3830</v>
      </c>
      <c r="BR764" t="s">
        <v>3823</v>
      </c>
      <c r="BS764" t="s">
        <v>3824</v>
      </c>
      <c r="BT764" t="s">
        <v>3825</v>
      </c>
      <c r="BU764" t="s">
        <v>3826</v>
      </c>
      <c r="BV764" t="s">
        <v>3827</v>
      </c>
      <c r="BW764" t="s">
        <v>3835</v>
      </c>
      <c r="BX764">
        <v>0</v>
      </c>
      <c r="BY764" t="s">
        <v>3861</v>
      </c>
      <c r="BZ764" t="s">
        <v>3863</v>
      </c>
    </row>
    <row r="765" spans="1:78" x14ac:dyDescent="0.25">
      <c r="A765" s="7" t="s">
        <v>3111</v>
      </c>
      <c r="B765" s="7" t="s">
        <v>181</v>
      </c>
      <c r="C765" s="7" t="s">
        <v>3109</v>
      </c>
      <c r="D765" s="8" t="s">
        <v>3110</v>
      </c>
      <c r="E765" s="7" t="s">
        <v>3112</v>
      </c>
      <c r="F765" s="9">
        <v>44997</v>
      </c>
      <c r="G765" s="9" t="s">
        <v>527</v>
      </c>
      <c r="H765" s="9" t="s">
        <v>190</v>
      </c>
      <c r="I765" s="8" t="s">
        <v>78</v>
      </c>
      <c r="J765" s="10">
        <v>1330.43</v>
      </c>
      <c r="K765" s="10">
        <v>1330.43</v>
      </c>
      <c r="L765" s="10">
        <f t="shared" si="348"/>
        <v>0</v>
      </c>
      <c r="M765" s="10">
        <v>621.08000000000004</v>
      </c>
      <c r="N765" s="10">
        <v>621.08000000000004</v>
      </c>
      <c r="O765" s="10">
        <f t="shared" si="349"/>
        <v>0</v>
      </c>
      <c r="P765" s="11">
        <v>25000</v>
      </c>
      <c r="Q765" s="11">
        <v>53553.08494879886</v>
      </c>
      <c r="R765" s="11">
        <v>60000</v>
      </c>
      <c r="S765" s="11">
        <v>33260750</v>
      </c>
      <c r="T765" s="11">
        <v>3991292</v>
      </c>
      <c r="U765" s="12">
        <f t="shared" si="350"/>
        <v>0.12000006013093512</v>
      </c>
      <c r="V765" s="13">
        <f t="shared" si="346"/>
        <v>0</v>
      </c>
      <c r="W765" s="10">
        <f t="shared" si="351"/>
        <v>0</v>
      </c>
      <c r="X765" s="10"/>
      <c r="Y765" s="10"/>
      <c r="Z765" s="11">
        <f t="shared" si="352"/>
        <v>33260750</v>
      </c>
      <c r="AA765" s="14"/>
      <c r="AB765" s="14"/>
      <c r="AC765" s="11">
        <f t="shared" si="353"/>
        <v>33260750</v>
      </c>
      <c r="AD765" s="10">
        <f t="shared" si="354"/>
        <v>300</v>
      </c>
      <c r="AE765" s="15">
        <v>186324</v>
      </c>
      <c r="AF765" s="16">
        <v>33538</v>
      </c>
      <c r="AG765" s="15">
        <f t="shared" si="355"/>
        <v>0</v>
      </c>
      <c r="AH765" s="15">
        <f t="shared" si="356"/>
        <v>0</v>
      </c>
      <c r="AI765" s="15">
        <f t="shared" si="357"/>
        <v>186324</v>
      </c>
      <c r="AJ765" s="15">
        <f t="shared" si="358"/>
        <v>33539</v>
      </c>
      <c r="AK765" s="10">
        <v>186324</v>
      </c>
      <c r="AL765" s="15">
        <f t="shared" si="359"/>
        <v>186324</v>
      </c>
      <c r="AM765" s="15">
        <f t="shared" si="360"/>
        <v>33447074</v>
      </c>
      <c r="AN765" s="15">
        <f t="shared" si="361"/>
        <v>4024831</v>
      </c>
      <c r="AO765" s="15">
        <f t="shared" si="366"/>
        <v>4266708</v>
      </c>
      <c r="AP765" s="17">
        <f t="shared" si="362"/>
        <v>37713782</v>
      </c>
      <c r="AQ765" s="15">
        <v>16763420.699999999</v>
      </c>
      <c r="AR765" s="15">
        <v>55553</v>
      </c>
      <c r="AS765" s="18">
        <f t="shared" si="367"/>
        <v>20950361</v>
      </c>
      <c r="AT765" s="19">
        <v>33260750</v>
      </c>
      <c r="AU765" s="8">
        <v>8800</v>
      </c>
      <c r="AV765" s="13">
        <f t="shared" si="368"/>
        <v>5465504</v>
      </c>
      <c r="AW765" s="18">
        <f t="shared" si="369"/>
        <v>33447074</v>
      </c>
      <c r="AX765" s="15">
        <f t="shared" si="363"/>
        <v>33448000</v>
      </c>
      <c r="AY765" s="20">
        <v>7.0000000000000007E-2</v>
      </c>
      <c r="AZ765" s="13">
        <f t="shared" si="364"/>
        <v>2341360</v>
      </c>
      <c r="BA765" s="15">
        <f t="shared" si="365"/>
        <v>2341400</v>
      </c>
      <c r="BB765" s="21">
        <f t="shared" si="370"/>
        <v>23291761</v>
      </c>
      <c r="BC765" s="10">
        <f t="shared" si="371"/>
        <v>0</v>
      </c>
      <c r="BD765" s="10">
        <f t="shared" si="372"/>
        <v>0</v>
      </c>
      <c r="BE765" s="10">
        <v>123.6</v>
      </c>
      <c r="BF765" s="10">
        <v>57.7</v>
      </c>
      <c r="BG765" s="107">
        <v>46176</v>
      </c>
      <c r="BH765" s="107">
        <f t="shared" si="347"/>
        <v>46206</v>
      </c>
      <c r="BI765" s="23">
        <v>7</v>
      </c>
      <c r="BJ765" s="6"/>
      <c r="BK765" s="6"/>
      <c r="BL765" s="6">
        <f>VLOOKUP(A765,[2]Sheet1!$D$2:$H$933,5,0)</f>
        <v>0</v>
      </c>
      <c r="BM765" s="6" t="s">
        <v>3828</v>
      </c>
      <c r="BN765" s="6" t="s">
        <v>3829</v>
      </c>
      <c r="BO765" s="6" t="s">
        <v>3820</v>
      </c>
      <c r="BP765" s="6" t="s">
        <v>3821</v>
      </c>
      <c r="BQ765" s="6" t="s">
        <v>3830</v>
      </c>
      <c r="BR765" t="s">
        <v>3823</v>
      </c>
      <c r="BS765" t="s">
        <v>3824</v>
      </c>
      <c r="BT765" t="s">
        <v>3825</v>
      </c>
      <c r="BU765" t="s">
        <v>3826</v>
      </c>
      <c r="BV765" t="s">
        <v>3827</v>
      </c>
      <c r="BW765" t="s">
        <v>3835</v>
      </c>
      <c r="BX765">
        <v>0</v>
      </c>
      <c r="BY765" t="s">
        <v>3861</v>
      </c>
      <c r="BZ765" t="s">
        <v>3871</v>
      </c>
    </row>
    <row r="766" spans="1:78" x14ac:dyDescent="0.25">
      <c r="A766" s="7" t="s">
        <v>3115</v>
      </c>
      <c r="B766" s="7" t="s">
        <v>181</v>
      </c>
      <c r="C766" s="7" t="s">
        <v>3113</v>
      </c>
      <c r="D766" s="8" t="s">
        <v>3114</v>
      </c>
      <c r="E766" s="7" t="s">
        <v>3116</v>
      </c>
      <c r="F766" s="9">
        <v>44956</v>
      </c>
      <c r="G766" s="9" t="s">
        <v>404</v>
      </c>
      <c r="H766" s="9" t="s">
        <v>66</v>
      </c>
      <c r="I766" s="8" t="s">
        <v>78</v>
      </c>
      <c r="J766" s="10">
        <v>1130.22</v>
      </c>
      <c r="K766" s="10">
        <v>1130.22</v>
      </c>
      <c r="L766" s="10">
        <f t="shared" si="348"/>
        <v>0</v>
      </c>
      <c r="M766" s="10">
        <v>520.98</v>
      </c>
      <c r="N766" s="10">
        <v>520.98</v>
      </c>
      <c r="O766" s="10">
        <f t="shared" si="349"/>
        <v>0</v>
      </c>
      <c r="P766" s="11">
        <v>15000</v>
      </c>
      <c r="Q766" s="11">
        <v>32541.17240585051</v>
      </c>
      <c r="R766" s="11">
        <v>22000</v>
      </c>
      <c r="S766" s="11">
        <v>16953300</v>
      </c>
      <c r="T766" s="11">
        <v>2034396</v>
      </c>
      <c r="U766" s="12">
        <f t="shared" si="350"/>
        <v>0.12</v>
      </c>
      <c r="V766" s="13">
        <f t="shared" si="346"/>
        <v>0</v>
      </c>
      <c r="W766" s="10">
        <f t="shared" si="351"/>
        <v>0</v>
      </c>
      <c r="X766" s="10"/>
      <c r="Y766" s="10"/>
      <c r="Z766" s="11">
        <f t="shared" si="352"/>
        <v>16953300</v>
      </c>
      <c r="AA766" s="14"/>
      <c r="AB766" s="14"/>
      <c r="AC766" s="11">
        <f t="shared" si="353"/>
        <v>16953300</v>
      </c>
      <c r="AD766" s="10">
        <f t="shared" si="354"/>
        <v>300</v>
      </c>
      <c r="AE766" s="15">
        <v>156294</v>
      </c>
      <c r="AF766" s="16">
        <v>28132</v>
      </c>
      <c r="AG766" s="15">
        <f t="shared" si="355"/>
        <v>0</v>
      </c>
      <c r="AH766" s="15">
        <f t="shared" si="356"/>
        <v>0</v>
      </c>
      <c r="AI766" s="15">
        <f t="shared" si="357"/>
        <v>156294</v>
      </c>
      <c r="AJ766" s="15">
        <f t="shared" si="358"/>
        <v>28133</v>
      </c>
      <c r="AK766" s="10">
        <v>156294</v>
      </c>
      <c r="AL766" s="15">
        <f t="shared" si="359"/>
        <v>156294</v>
      </c>
      <c r="AM766" s="15">
        <f t="shared" si="360"/>
        <v>17109594</v>
      </c>
      <c r="AN766" s="15">
        <f t="shared" si="361"/>
        <v>2062529</v>
      </c>
      <c r="AO766" s="15">
        <f t="shared" si="366"/>
        <v>2256279</v>
      </c>
      <c r="AP766" s="17">
        <f t="shared" si="362"/>
        <v>19365873</v>
      </c>
      <c r="AQ766" s="15">
        <v>17088926</v>
      </c>
      <c r="AR766" s="15">
        <v>37456</v>
      </c>
      <c r="AS766" s="18">
        <f t="shared" si="367"/>
        <v>2276947</v>
      </c>
      <c r="AT766" s="19">
        <v>0</v>
      </c>
      <c r="AU766" s="8">
        <v>8800</v>
      </c>
      <c r="AV766" s="13">
        <f t="shared" si="368"/>
        <v>4584624</v>
      </c>
      <c r="AW766" s="18">
        <f t="shared" si="369"/>
        <v>17109594</v>
      </c>
      <c r="AX766" s="15">
        <f t="shared" si="363"/>
        <v>17110000</v>
      </c>
      <c r="AY766" s="20">
        <v>0.06</v>
      </c>
      <c r="AZ766" s="13">
        <f t="shared" si="364"/>
        <v>1026600</v>
      </c>
      <c r="BA766" s="15">
        <f t="shared" si="365"/>
        <v>1026600</v>
      </c>
      <c r="BB766" s="21">
        <f t="shared" si="370"/>
        <v>3303547</v>
      </c>
      <c r="BC766" s="10">
        <f t="shared" si="371"/>
        <v>0</v>
      </c>
      <c r="BD766" s="10">
        <f t="shared" si="372"/>
        <v>0</v>
      </c>
      <c r="BE766" s="10">
        <v>105</v>
      </c>
      <c r="BF766" s="10">
        <v>48.4</v>
      </c>
      <c r="BG766" s="107">
        <v>46176</v>
      </c>
      <c r="BH766" s="107">
        <f t="shared" si="347"/>
        <v>46206</v>
      </c>
      <c r="BI766" s="23">
        <v>6</v>
      </c>
      <c r="BJ766" s="6"/>
      <c r="BK766" s="24"/>
      <c r="BL766" s="6">
        <f>VLOOKUP(A766,[2]Sheet1!$D$2:$H$933,5,0)</f>
        <v>0</v>
      </c>
      <c r="BM766" s="6" t="s">
        <v>3828</v>
      </c>
      <c r="BN766" s="6" t="s">
        <v>3829</v>
      </c>
      <c r="BO766" s="6" t="s">
        <v>3820</v>
      </c>
      <c r="BP766" s="6" t="s">
        <v>3821</v>
      </c>
      <c r="BQ766" s="6" t="s">
        <v>3830</v>
      </c>
      <c r="BR766" t="s">
        <v>3823</v>
      </c>
      <c r="BS766" t="s">
        <v>3824</v>
      </c>
      <c r="BT766" t="s">
        <v>3825</v>
      </c>
      <c r="BU766" t="s">
        <v>3826</v>
      </c>
      <c r="BV766" t="s">
        <v>3827</v>
      </c>
      <c r="BW766" t="s">
        <v>3835</v>
      </c>
      <c r="BX766">
        <v>0</v>
      </c>
      <c r="BY766" t="s">
        <v>3864</v>
      </c>
      <c r="BZ766" t="s">
        <v>3863</v>
      </c>
    </row>
    <row r="767" spans="1:78" x14ac:dyDescent="0.25">
      <c r="A767" s="25" t="s">
        <v>3119</v>
      </c>
      <c r="B767" s="7" t="s">
        <v>181</v>
      </c>
      <c r="C767" s="25" t="s">
        <v>3117</v>
      </c>
      <c r="D767" s="8" t="s">
        <v>3118</v>
      </c>
      <c r="E767" s="7" t="s">
        <v>3120</v>
      </c>
      <c r="F767" s="26">
        <v>45870</v>
      </c>
      <c r="G767" s="9" t="s">
        <v>363</v>
      </c>
      <c r="H767" s="9" t="s">
        <v>87</v>
      </c>
      <c r="I767" s="8" t="s">
        <v>78</v>
      </c>
      <c r="J767" s="27">
        <v>703.97</v>
      </c>
      <c r="K767" s="10">
        <v>703.97</v>
      </c>
      <c r="L767" s="10">
        <f t="shared" si="348"/>
        <v>0</v>
      </c>
      <c r="M767" s="28">
        <v>322.92</v>
      </c>
      <c r="N767" s="10">
        <v>322.92</v>
      </c>
      <c r="O767" s="10">
        <f t="shared" si="349"/>
        <v>0</v>
      </c>
      <c r="P767" s="14">
        <v>17996.002670568349</v>
      </c>
      <c r="Q767" s="14">
        <v>39231.531029357116</v>
      </c>
      <c r="R767" s="11">
        <v>40000</v>
      </c>
      <c r="S767" s="14">
        <v>12668646</v>
      </c>
      <c r="T767" s="11">
        <v>1520238</v>
      </c>
      <c r="U767" s="12">
        <f t="shared" si="350"/>
        <v>0.12000003788881622</v>
      </c>
      <c r="V767" s="13">
        <f t="shared" si="346"/>
        <v>0</v>
      </c>
      <c r="W767" s="10">
        <f t="shared" si="351"/>
        <v>0</v>
      </c>
      <c r="X767" s="10"/>
      <c r="Y767" s="10"/>
      <c r="Z767" s="11">
        <f t="shared" si="352"/>
        <v>12668646</v>
      </c>
      <c r="AA767" s="14"/>
      <c r="AB767" s="14"/>
      <c r="AC767" s="11">
        <f t="shared" si="353"/>
        <v>12668646</v>
      </c>
      <c r="AD767" s="10">
        <f t="shared" si="354"/>
        <v>300</v>
      </c>
      <c r="AE767" s="8">
        <v>96876</v>
      </c>
      <c r="AF767" s="16">
        <v>17438</v>
      </c>
      <c r="AG767" s="15">
        <f t="shared" si="355"/>
        <v>0</v>
      </c>
      <c r="AH767" s="15">
        <f t="shared" si="356"/>
        <v>0</v>
      </c>
      <c r="AI767" s="15">
        <f t="shared" si="357"/>
        <v>96876</v>
      </c>
      <c r="AJ767" s="15">
        <f t="shared" si="358"/>
        <v>17438</v>
      </c>
      <c r="AK767" s="8">
        <v>96876</v>
      </c>
      <c r="AL767" s="15">
        <f t="shared" si="359"/>
        <v>96876</v>
      </c>
      <c r="AM767" s="15">
        <f t="shared" si="360"/>
        <v>12765522</v>
      </c>
      <c r="AN767" s="15">
        <f t="shared" si="361"/>
        <v>1537676</v>
      </c>
      <c r="AO767" s="15">
        <f t="shared" si="366"/>
        <v>1690916</v>
      </c>
      <c r="AP767" s="17">
        <f t="shared" si="362"/>
        <v>14456438</v>
      </c>
      <c r="AQ767" s="15">
        <v>1431557.65</v>
      </c>
      <c r="AR767" s="15">
        <v>56364</v>
      </c>
      <c r="AS767" s="18">
        <f t="shared" si="367"/>
        <v>13024880</v>
      </c>
      <c r="AT767" s="19">
        <v>0</v>
      </c>
      <c r="AU767" s="8">
        <v>8800</v>
      </c>
      <c r="AV767" s="13">
        <f t="shared" si="368"/>
        <v>2841696</v>
      </c>
      <c r="AW767" s="18">
        <f t="shared" si="369"/>
        <v>12765522</v>
      </c>
      <c r="AX767" s="15">
        <f t="shared" si="363"/>
        <v>12766000</v>
      </c>
      <c r="AY767" s="20">
        <v>0.06</v>
      </c>
      <c r="AZ767" s="13">
        <f t="shared" si="364"/>
        <v>765960</v>
      </c>
      <c r="BA767" s="15">
        <f t="shared" si="365"/>
        <v>766000</v>
      </c>
      <c r="BB767" s="21">
        <f t="shared" si="370"/>
        <v>13790880</v>
      </c>
      <c r="BC767" s="10">
        <f t="shared" si="371"/>
        <v>0</v>
      </c>
      <c r="BD767" s="10">
        <f t="shared" si="372"/>
        <v>0</v>
      </c>
      <c r="BE767" s="10">
        <v>65.400000000000006</v>
      </c>
      <c r="BF767" s="10">
        <v>30</v>
      </c>
      <c r="BG767" s="107">
        <v>46176</v>
      </c>
      <c r="BH767" s="107">
        <f t="shared" si="347"/>
        <v>46206</v>
      </c>
      <c r="BI767" s="23">
        <v>6</v>
      </c>
      <c r="BJ767" s="6"/>
      <c r="BK767" s="6"/>
      <c r="BL767" s="6">
        <f>VLOOKUP(A767,[2]Sheet1!$D$2:$H$933,5,0)</f>
        <v>0</v>
      </c>
      <c r="BM767" s="6" t="s">
        <v>3828</v>
      </c>
      <c r="BN767" s="6" t="s">
        <v>3829</v>
      </c>
      <c r="BO767" s="6" t="s">
        <v>3820</v>
      </c>
      <c r="BP767" s="6" t="s">
        <v>3821</v>
      </c>
      <c r="BQ767" s="6" t="s">
        <v>3830</v>
      </c>
      <c r="BR767" t="s">
        <v>3823</v>
      </c>
      <c r="BS767" t="s">
        <v>3824</v>
      </c>
      <c r="BT767" t="s">
        <v>3825</v>
      </c>
      <c r="BU767" t="s">
        <v>3826</v>
      </c>
      <c r="BV767" t="s">
        <v>3827</v>
      </c>
      <c r="BW767" t="s">
        <v>3835</v>
      </c>
      <c r="BX767">
        <v>0</v>
      </c>
      <c r="BY767" t="s">
        <v>3868</v>
      </c>
      <c r="BZ767" t="s">
        <v>3860</v>
      </c>
    </row>
    <row r="768" spans="1:78" x14ac:dyDescent="0.25">
      <c r="A768" s="7" t="s">
        <v>3123</v>
      </c>
      <c r="B768" s="7" t="s">
        <v>181</v>
      </c>
      <c r="C768" s="7" t="s">
        <v>3121</v>
      </c>
      <c r="D768" s="8" t="s">
        <v>3122</v>
      </c>
      <c r="E768" s="7" t="s">
        <v>2074</v>
      </c>
      <c r="F768" s="9">
        <v>45008</v>
      </c>
      <c r="G768" s="9" t="s">
        <v>527</v>
      </c>
      <c r="H768" s="9" t="s">
        <v>92</v>
      </c>
      <c r="I768" s="8" t="s">
        <v>78</v>
      </c>
      <c r="J768" s="10">
        <v>883.72</v>
      </c>
      <c r="K768" s="10">
        <v>883.72</v>
      </c>
      <c r="L768" s="10">
        <f t="shared" si="348"/>
        <v>0</v>
      </c>
      <c r="M768" s="10">
        <v>398.27</v>
      </c>
      <c r="N768" s="10">
        <v>398.27</v>
      </c>
      <c r="O768" s="10">
        <f t="shared" si="349"/>
        <v>0</v>
      </c>
      <c r="P768" s="11">
        <v>18534.4950889422</v>
      </c>
      <c r="Q768" s="11">
        <v>41126.13051447511</v>
      </c>
      <c r="R768" s="11">
        <v>28000</v>
      </c>
      <c r="S768" s="11">
        <v>16379304</v>
      </c>
      <c r="T768" s="11">
        <v>1965518</v>
      </c>
      <c r="U768" s="12">
        <f t="shared" si="350"/>
        <v>0.12000009280003594</v>
      </c>
      <c r="V768" s="13">
        <f t="shared" si="346"/>
        <v>0</v>
      </c>
      <c r="W768" s="10">
        <f t="shared" si="351"/>
        <v>0</v>
      </c>
      <c r="X768" s="10"/>
      <c r="Y768" s="10"/>
      <c r="Z768" s="11">
        <f t="shared" si="352"/>
        <v>16379304</v>
      </c>
      <c r="AA768" s="14"/>
      <c r="AB768" s="14"/>
      <c r="AC768" s="11">
        <f t="shared" si="353"/>
        <v>16379304</v>
      </c>
      <c r="AD768" s="10">
        <f t="shared" si="354"/>
        <v>300</v>
      </c>
      <c r="AE768" s="15">
        <v>119481</v>
      </c>
      <c r="AF768" s="16">
        <v>21506</v>
      </c>
      <c r="AG768" s="15">
        <f t="shared" si="355"/>
        <v>0</v>
      </c>
      <c r="AH768" s="15">
        <f t="shared" si="356"/>
        <v>0</v>
      </c>
      <c r="AI768" s="15">
        <f t="shared" si="357"/>
        <v>119481</v>
      </c>
      <c r="AJ768" s="15">
        <f t="shared" si="358"/>
        <v>21507</v>
      </c>
      <c r="AK768" s="10">
        <v>119481</v>
      </c>
      <c r="AL768" s="15">
        <f t="shared" si="359"/>
        <v>119481</v>
      </c>
      <c r="AM768" s="15">
        <f t="shared" si="360"/>
        <v>16498785</v>
      </c>
      <c r="AN768" s="15">
        <f t="shared" si="361"/>
        <v>1987025</v>
      </c>
      <c r="AO768" s="15">
        <f t="shared" si="366"/>
        <v>2158523</v>
      </c>
      <c r="AP768" s="17">
        <f t="shared" si="362"/>
        <v>18657308</v>
      </c>
      <c r="AQ768" s="15">
        <v>7789364.8799999999</v>
      </c>
      <c r="AR768" s="15">
        <v>52017</v>
      </c>
      <c r="AS768" s="18">
        <f t="shared" si="367"/>
        <v>10867943</v>
      </c>
      <c r="AT768" s="19">
        <v>0</v>
      </c>
      <c r="AU768" s="8">
        <v>8800</v>
      </c>
      <c r="AV768" s="13">
        <f t="shared" si="368"/>
        <v>3504776</v>
      </c>
      <c r="AW768" s="18">
        <f t="shared" si="369"/>
        <v>16498785</v>
      </c>
      <c r="AX768" s="15">
        <f t="shared" si="363"/>
        <v>16499000</v>
      </c>
      <c r="AY768" s="20">
        <v>0.05</v>
      </c>
      <c r="AZ768" s="13">
        <f t="shared" si="364"/>
        <v>824950</v>
      </c>
      <c r="BA768" s="15">
        <f t="shared" si="365"/>
        <v>825000</v>
      </c>
      <c r="BB768" s="21">
        <f t="shared" si="370"/>
        <v>11692943</v>
      </c>
      <c r="BC768" s="10">
        <f t="shared" si="371"/>
        <v>0</v>
      </c>
      <c r="BD768" s="10">
        <f t="shared" si="372"/>
        <v>0</v>
      </c>
      <c r="BE768" s="10">
        <v>82.1</v>
      </c>
      <c r="BF768" s="10">
        <v>37</v>
      </c>
      <c r="BG768" s="107">
        <v>46176</v>
      </c>
      <c r="BH768" s="107">
        <f t="shared" si="347"/>
        <v>46206</v>
      </c>
      <c r="BI768" s="23">
        <v>5</v>
      </c>
      <c r="BJ768" s="6"/>
      <c r="BK768" s="6"/>
      <c r="BL768" s="6">
        <f>VLOOKUP(A768,[2]Sheet1!$D$2:$H$933,5,0)</f>
        <v>0</v>
      </c>
      <c r="BM768" s="6" t="s">
        <v>3828</v>
      </c>
      <c r="BN768" s="6" t="s">
        <v>3829</v>
      </c>
      <c r="BO768" s="6" t="s">
        <v>3820</v>
      </c>
      <c r="BP768" s="6" t="s">
        <v>3821</v>
      </c>
      <c r="BQ768" s="6" t="s">
        <v>3830</v>
      </c>
      <c r="BR768" t="s">
        <v>3823</v>
      </c>
      <c r="BS768" t="s">
        <v>3824</v>
      </c>
      <c r="BT768" t="s">
        <v>3825</v>
      </c>
      <c r="BU768" t="s">
        <v>3826</v>
      </c>
      <c r="BV768" t="s">
        <v>3827</v>
      </c>
      <c r="BW768" t="s">
        <v>3835</v>
      </c>
      <c r="BX768">
        <v>0</v>
      </c>
      <c r="BY768" t="s">
        <v>3861</v>
      </c>
      <c r="BZ768" t="s">
        <v>3871</v>
      </c>
    </row>
    <row r="769" spans="1:78" x14ac:dyDescent="0.25">
      <c r="A769" s="7" t="s">
        <v>3126</v>
      </c>
      <c r="B769" s="7" t="s">
        <v>181</v>
      </c>
      <c r="C769" s="7" t="s">
        <v>3124</v>
      </c>
      <c r="D769" s="8" t="s">
        <v>3125</v>
      </c>
      <c r="E769" s="7" t="s">
        <v>3127</v>
      </c>
      <c r="F769" s="9">
        <v>44998</v>
      </c>
      <c r="G769" s="9" t="s">
        <v>404</v>
      </c>
      <c r="H769" s="9" t="s">
        <v>190</v>
      </c>
      <c r="I769" s="8" t="s">
        <v>78</v>
      </c>
      <c r="J769" s="10">
        <v>1370.26</v>
      </c>
      <c r="K769" s="10">
        <v>1370.26</v>
      </c>
      <c r="L769" s="10">
        <f t="shared" si="348"/>
        <v>0</v>
      </c>
      <c r="M769" s="10">
        <v>637.23</v>
      </c>
      <c r="N769" s="10">
        <v>637.23</v>
      </c>
      <c r="O769" s="10">
        <f t="shared" si="349"/>
        <v>0</v>
      </c>
      <c r="P769" s="11">
        <v>25000</v>
      </c>
      <c r="Q769" s="11">
        <v>53758.454561147468</v>
      </c>
      <c r="R769" s="11">
        <v>60000</v>
      </c>
      <c r="S769" s="11">
        <v>34256500</v>
      </c>
      <c r="T769" s="11">
        <v>4110782</v>
      </c>
      <c r="U769" s="12">
        <f t="shared" si="350"/>
        <v>0.12000005838308059</v>
      </c>
      <c r="V769" s="13">
        <f t="shared" si="346"/>
        <v>0</v>
      </c>
      <c r="W769" s="10">
        <f t="shared" si="351"/>
        <v>0</v>
      </c>
      <c r="X769" s="10"/>
      <c r="Y769" s="10"/>
      <c r="Z769" s="11">
        <f t="shared" si="352"/>
        <v>34256500</v>
      </c>
      <c r="AA769" s="14"/>
      <c r="AB769" s="14"/>
      <c r="AC769" s="11">
        <f t="shared" si="353"/>
        <v>34256500</v>
      </c>
      <c r="AD769" s="10">
        <f t="shared" si="354"/>
        <v>300</v>
      </c>
      <c r="AE769" s="15">
        <v>191169</v>
      </c>
      <c r="AF769" s="16">
        <v>34410</v>
      </c>
      <c r="AG769" s="15">
        <f t="shared" si="355"/>
        <v>0</v>
      </c>
      <c r="AH769" s="15">
        <f t="shared" si="356"/>
        <v>0</v>
      </c>
      <c r="AI769" s="15">
        <f t="shared" si="357"/>
        <v>191169</v>
      </c>
      <c r="AJ769" s="15">
        <f t="shared" si="358"/>
        <v>34411</v>
      </c>
      <c r="AK769" s="10">
        <v>191169</v>
      </c>
      <c r="AL769" s="15">
        <f t="shared" si="359"/>
        <v>191169</v>
      </c>
      <c r="AM769" s="15">
        <f t="shared" si="360"/>
        <v>34447669</v>
      </c>
      <c r="AN769" s="15">
        <f t="shared" si="361"/>
        <v>4145193</v>
      </c>
      <c r="AO769" s="15">
        <f t="shared" si="366"/>
        <v>4393579</v>
      </c>
      <c r="AP769" s="17">
        <f t="shared" si="362"/>
        <v>38841248</v>
      </c>
      <c r="AQ769" s="15">
        <v>17265277.379999999</v>
      </c>
      <c r="AR769" s="15">
        <v>57217</v>
      </c>
      <c r="AS769" s="18">
        <f t="shared" si="367"/>
        <v>21575971</v>
      </c>
      <c r="AT769" s="19">
        <v>34447669</v>
      </c>
      <c r="AU769" s="8">
        <v>8800</v>
      </c>
      <c r="AV769" s="13">
        <f t="shared" si="368"/>
        <v>5607624</v>
      </c>
      <c r="AW769" s="18">
        <f t="shared" si="369"/>
        <v>34447669</v>
      </c>
      <c r="AX769" s="15">
        <f t="shared" si="363"/>
        <v>34448000</v>
      </c>
      <c r="AY769" s="20">
        <v>7.0000000000000007E-2</v>
      </c>
      <c r="AZ769" s="13">
        <f t="shared" si="364"/>
        <v>2411360</v>
      </c>
      <c r="BA769" s="15">
        <f t="shared" si="365"/>
        <v>2411400</v>
      </c>
      <c r="BB769" s="21">
        <f t="shared" si="370"/>
        <v>23987371</v>
      </c>
      <c r="BC769" s="10">
        <f t="shared" si="371"/>
        <v>0</v>
      </c>
      <c r="BD769" s="10">
        <f t="shared" si="372"/>
        <v>0</v>
      </c>
      <c r="BE769" s="10">
        <v>127.3</v>
      </c>
      <c r="BF769" s="10">
        <v>59.2</v>
      </c>
      <c r="BG769" s="107">
        <v>46176</v>
      </c>
      <c r="BH769" s="107">
        <f t="shared" si="347"/>
        <v>46206</v>
      </c>
      <c r="BI769" s="23">
        <v>7</v>
      </c>
      <c r="BJ769" s="6"/>
      <c r="BK769" s="6"/>
      <c r="BL769" s="6">
        <f>VLOOKUP(A769,[2]Sheet1!$D$2:$H$933,5,0)</f>
        <v>0</v>
      </c>
      <c r="BM769" s="6" t="s">
        <v>3828</v>
      </c>
      <c r="BN769" s="6" t="s">
        <v>3829</v>
      </c>
      <c r="BO769" s="6" t="s">
        <v>3820</v>
      </c>
      <c r="BP769" s="6" t="s">
        <v>3821</v>
      </c>
      <c r="BQ769" s="6" t="s">
        <v>3830</v>
      </c>
      <c r="BR769" t="s">
        <v>3823</v>
      </c>
      <c r="BS769" t="s">
        <v>3824</v>
      </c>
      <c r="BT769" t="s">
        <v>3825</v>
      </c>
      <c r="BU769" t="s">
        <v>3826</v>
      </c>
      <c r="BV769" t="s">
        <v>3827</v>
      </c>
      <c r="BW769" t="s">
        <v>3835</v>
      </c>
      <c r="BX769">
        <v>0</v>
      </c>
      <c r="BY769" t="s">
        <v>3865</v>
      </c>
      <c r="BZ769" t="s">
        <v>3863</v>
      </c>
    </row>
    <row r="770" spans="1:78" x14ac:dyDescent="0.25">
      <c r="A770" s="7" t="s">
        <v>3130</v>
      </c>
      <c r="B770" s="7" t="s">
        <v>181</v>
      </c>
      <c r="C770" s="7" t="s">
        <v>3128</v>
      </c>
      <c r="D770" s="8" t="s">
        <v>3129</v>
      </c>
      <c r="E770" s="7" t="s">
        <v>3131</v>
      </c>
      <c r="F770" s="9">
        <v>45056</v>
      </c>
      <c r="G770" s="9" t="s">
        <v>363</v>
      </c>
      <c r="H770" s="9" t="s">
        <v>87</v>
      </c>
      <c r="I770" s="8" t="s">
        <v>67</v>
      </c>
      <c r="J770" s="10">
        <v>220.06</v>
      </c>
      <c r="K770" s="10">
        <v>220.06</v>
      </c>
      <c r="L770" s="10">
        <f t="shared" si="348"/>
        <v>0</v>
      </c>
      <c r="M770" s="10">
        <v>88.26</v>
      </c>
      <c r="N770" s="10">
        <v>88.26</v>
      </c>
      <c r="O770" s="10">
        <f t="shared" si="349"/>
        <v>0</v>
      </c>
      <c r="P770" s="11">
        <v>31833.354539671</v>
      </c>
      <c r="Q770" s="11">
        <v>79370.586902334006</v>
      </c>
      <c r="R770" s="11">
        <v>40000</v>
      </c>
      <c r="S770" s="11">
        <v>7005248</v>
      </c>
      <c r="T770" s="11">
        <v>840630</v>
      </c>
      <c r="U770" s="12">
        <f t="shared" si="350"/>
        <v>0.12000003426002906</v>
      </c>
      <c r="V770" s="13">
        <f t="shared" si="346"/>
        <v>0</v>
      </c>
      <c r="W770" s="10">
        <f t="shared" si="351"/>
        <v>0</v>
      </c>
      <c r="X770" s="10"/>
      <c r="Y770" s="10"/>
      <c r="Z770" s="11">
        <f t="shared" si="352"/>
        <v>7005248</v>
      </c>
      <c r="AA770" s="14"/>
      <c r="AB770" s="14"/>
      <c r="AC770" s="11">
        <f t="shared" si="353"/>
        <v>7005248</v>
      </c>
      <c r="AD770" s="10">
        <f t="shared" si="354"/>
        <v>300</v>
      </c>
      <c r="AE770" s="15">
        <v>26478</v>
      </c>
      <c r="AF770" s="16">
        <v>4766</v>
      </c>
      <c r="AG770" s="15">
        <f t="shared" si="355"/>
        <v>0</v>
      </c>
      <c r="AH770" s="15">
        <f t="shared" si="356"/>
        <v>0</v>
      </c>
      <c r="AI770" s="15">
        <f t="shared" si="357"/>
        <v>26478</v>
      </c>
      <c r="AJ770" s="15">
        <f t="shared" si="358"/>
        <v>4767</v>
      </c>
      <c r="AK770" s="10">
        <v>26478</v>
      </c>
      <c r="AL770" s="15">
        <f t="shared" si="359"/>
        <v>26478</v>
      </c>
      <c r="AM770" s="15">
        <f t="shared" si="360"/>
        <v>7031726</v>
      </c>
      <c r="AN770" s="15">
        <f t="shared" si="361"/>
        <v>845397</v>
      </c>
      <c r="AO770" s="15">
        <f t="shared" si="366"/>
        <v>915483</v>
      </c>
      <c r="AP770" s="17">
        <f t="shared" si="362"/>
        <v>7947209</v>
      </c>
      <c r="AQ770" s="15">
        <v>3915625</v>
      </c>
      <c r="AR770" s="15">
        <v>43608</v>
      </c>
      <c r="AS770" s="18">
        <f t="shared" si="367"/>
        <v>4031584</v>
      </c>
      <c r="AT770" s="19">
        <v>0</v>
      </c>
      <c r="AU770" s="8">
        <v>8800</v>
      </c>
      <c r="AV770" s="13">
        <f t="shared" si="368"/>
        <v>776688</v>
      </c>
      <c r="AW770" s="18">
        <f t="shared" si="369"/>
        <v>7031726</v>
      </c>
      <c r="AX770" s="15">
        <f t="shared" si="363"/>
        <v>7032000</v>
      </c>
      <c r="AY770" s="20">
        <v>7.0000000000000007E-2</v>
      </c>
      <c r="AZ770" s="13">
        <f t="shared" si="364"/>
        <v>492240.00000000006</v>
      </c>
      <c r="BA770" s="15">
        <f t="shared" si="365"/>
        <v>492300</v>
      </c>
      <c r="BB770" s="21">
        <f t="shared" si="370"/>
        <v>4523884</v>
      </c>
      <c r="BC770" s="10">
        <f t="shared" si="371"/>
        <v>0</v>
      </c>
      <c r="BD770" s="10">
        <f t="shared" si="372"/>
        <v>0</v>
      </c>
      <c r="BE770" s="10">
        <v>20.440000000000001</v>
      </c>
      <c r="BF770" s="10">
        <v>8.1999999999999993</v>
      </c>
      <c r="BG770" s="107">
        <v>46176</v>
      </c>
      <c r="BH770" s="107">
        <f t="shared" si="347"/>
        <v>46206</v>
      </c>
      <c r="BI770" s="23">
        <v>7</v>
      </c>
      <c r="BJ770" s="6"/>
      <c r="BK770" s="6"/>
      <c r="BL770" s="6">
        <f>VLOOKUP(A770,[2]Sheet1!$D$2:$H$933,5,0)</f>
        <v>0</v>
      </c>
      <c r="BM770" s="6" t="s">
        <v>3828</v>
      </c>
      <c r="BN770" s="6" t="s">
        <v>3829</v>
      </c>
      <c r="BO770" s="6" t="s">
        <v>3820</v>
      </c>
      <c r="BP770" s="6" t="s">
        <v>3821</v>
      </c>
      <c r="BQ770" s="6" t="s">
        <v>3830</v>
      </c>
      <c r="BR770" t="s">
        <v>3823</v>
      </c>
      <c r="BS770" t="s">
        <v>3824</v>
      </c>
      <c r="BT770" t="s">
        <v>3825</v>
      </c>
      <c r="BU770" t="s">
        <v>3826</v>
      </c>
      <c r="BV770" t="s">
        <v>3827</v>
      </c>
      <c r="BW770" t="s">
        <v>3835</v>
      </c>
      <c r="BX770">
        <v>0</v>
      </c>
      <c r="BY770" t="s">
        <v>3859</v>
      </c>
      <c r="BZ770" t="s">
        <v>3860</v>
      </c>
    </row>
    <row r="771" spans="1:78" x14ac:dyDescent="0.25">
      <c r="A771" s="7" t="s">
        <v>3134</v>
      </c>
      <c r="B771" s="7" t="s">
        <v>181</v>
      </c>
      <c r="C771" s="7" t="s">
        <v>3132</v>
      </c>
      <c r="D771" s="8" t="s">
        <v>3133</v>
      </c>
      <c r="E771" s="7" t="s">
        <v>3135</v>
      </c>
      <c r="F771" s="9">
        <v>45002</v>
      </c>
      <c r="G771" s="9" t="s">
        <v>527</v>
      </c>
      <c r="H771" s="9" t="s">
        <v>190</v>
      </c>
      <c r="I771" s="8" t="s">
        <v>78</v>
      </c>
      <c r="J771" s="10">
        <v>1330.43</v>
      </c>
      <c r="K771" s="10">
        <v>1330.43</v>
      </c>
      <c r="L771" s="10">
        <f t="shared" si="348"/>
        <v>0</v>
      </c>
      <c r="M771" s="10">
        <v>627.54</v>
      </c>
      <c r="N771" s="10">
        <v>627.54</v>
      </c>
      <c r="O771" s="10">
        <f t="shared" si="349"/>
        <v>0</v>
      </c>
      <c r="P771" s="11">
        <v>25000</v>
      </c>
      <c r="Q771" s="11">
        <v>53001.800682028239</v>
      </c>
      <c r="R771" s="11">
        <v>60000</v>
      </c>
      <c r="S771" s="11">
        <v>33260750</v>
      </c>
      <c r="T771" s="11">
        <v>3991294</v>
      </c>
      <c r="U771" s="12">
        <f t="shared" si="350"/>
        <v>0.12000012026187022</v>
      </c>
      <c r="V771" s="13">
        <f t="shared" si="346"/>
        <v>0</v>
      </c>
      <c r="W771" s="10">
        <f t="shared" si="351"/>
        <v>0</v>
      </c>
      <c r="X771" s="10"/>
      <c r="Y771" s="10"/>
      <c r="Z771" s="11">
        <f t="shared" si="352"/>
        <v>33260750</v>
      </c>
      <c r="AA771" s="14"/>
      <c r="AB771" s="14"/>
      <c r="AC771" s="11">
        <f t="shared" si="353"/>
        <v>33260750</v>
      </c>
      <c r="AD771" s="10">
        <f t="shared" si="354"/>
        <v>300</v>
      </c>
      <c r="AE771" s="15">
        <v>188262</v>
      </c>
      <c r="AF771" s="16">
        <v>33888</v>
      </c>
      <c r="AG771" s="15">
        <f t="shared" si="355"/>
        <v>0</v>
      </c>
      <c r="AH771" s="15">
        <f t="shared" si="356"/>
        <v>0</v>
      </c>
      <c r="AI771" s="15">
        <f t="shared" si="357"/>
        <v>188262</v>
      </c>
      <c r="AJ771" s="15">
        <f t="shared" si="358"/>
        <v>33888</v>
      </c>
      <c r="AK771" s="10">
        <v>188262</v>
      </c>
      <c r="AL771" s="15">
        <f t="shared" si="359"/>
        <v>188262</v>
      </c>
      <c r="AM771" s="15">
        <f t="shared" si="360"/>
        <v>33449012</v>
      </c>
      <c r="AN771" s="15">
        <f t="shared" si="361"/>
        <v>4025182</v>
      </c>
      <c r="AO771" s="15">
        <f t="shared" si="366"/>
        <v>4253296</v>
      </c>
      <c r="AP771" s="17">
        <f t="shared" si="362"/>
        <v>37702308</v>
      </c>
      <c r="AQ771" s="15">
        <v>26821472</v>
      </c>
      <c r="AR771" s="15">
        <v>39852</v>
      </c>
      <c r="AS771" s="18">
        <f t="shared" si="367"/>
        <v>10880836</v>
      </c>
      <c r="AT771" s="19">
        <v>33260750</v>
      </c>
      <c r="AU771" s="8">
        <v>8800</v>
      </c>
      <c r="AV771" s="13">
        <f t="shared" si="368"/>
        <v>5522352</v>
      </c>
      <c r="AW771" s="18">
        <f t="shared" si="369"/>
        <v>33449012</v>
      </c>
      <c r="AX771" s="15">
        <f t="shared" si="363"/>
        <v>33450000</v>
      </c>
      <c r="AY771" s="20">
        <v>7.0000000000000007E-2</v>
      </c>
      <c r="AZ771" s="13">
        <f t="shared" si="364"/>
        <v>2341500</v>
      </c>
      <c r="BA771" s="15">
        <f t="shared" si="365"/>
        <v>2341500</v>
      </c>
      <c r="BB771" s="21">
        <f t="shared" si="370"/>
        <v>13222336</v>
      </c>
      <c r="BC771" s="10">
        <f t="shared" si="371"/>
        <v>0</v>
      </c>
      <c r="BD771" s="10">
        <f t="shared" si="372"/>
        <v>0</v>
      </c>
      <c r="BE771" s="10">
        <v>123.6</v>
      </c>
      <c r="BF771" s="10">
        <v>58.3</v>
      </c>
      <c r="BG771" s="107">
        <v>46176</v>
      </c>
      <c r="BH771" s="107">
        <f t="shared" si="347"/>
        <v>46206</v>
      </c>
      <c r="BI771" s="23">
        <v>7</v>
      </c>
      <c r="BJ771" s="6"/>
      <c r="BK771" s="6"/>
      <c r="BL771" s="6">
        <f>VLOOKUP(A771,[2]Sheet1!$D$2:$H$933,5,0)</f>
        <v>0</v>
      </c>
      <c r="BM771" s="6" t="s">
        <v>3828</v>
      </c>
      <c r="BN771" s="6" t="s">
        <v>3829</v>
      </c>
      <c r="BO771" s="6" t="s">
        <v>3820</v>
      </c>
      <c r="BP771" s="6" t="s">
        <v>3821</v>
      </c>
      <c r="BQ771" s="6" t="s">
        <v>3830</v>
      </c>
      <c r="BR771" t="s">
        <v>3823</v>
      </c>
      <c r="BS771" t="s">
        <v>3824</v>
      </c>
      <c r="BT771" t="s">
        <v>3825</v>
      </c>
      <c r="BU771" t="s">
        <v>3826</v>
      </c>
      <c r="BV771" t="s">
        <v>3827</v>
      </c>
      <c r="BW771" t="s">
        <v>3835</v>
      </c>
      <c r="BX771">
        <v>0</v>
      </c>
      <c r="BY771" t="s">
        <v>3868</v>
      </c>
      <c r="BZ771" t="s">
        <v>3871</v>
      </c>
    </row>
    <row r="772" spans="1:78" x14ac:dyDescent="0.25">
      <c r="A772" s="7" t="s">
        <v>3138</v>
      </c>
      <c r="B772" s="7" t="s">
        <v>181</v>
      </c>
      <c r="C772" s="7" t="s">
        <v>3136</v>
      </c>
      <c r="D772" s="8" t="s">
        <v>3137</v>
      </c>
      <c r="E772" s="7" t="s">
        <v>3139</v>
      </c>
      <c r="F772" s="9">
        <v>44863</v>
      </c>
      <c r="G772" s="9" t="s">
        <v>65</v>
      </c>
      <c r="H772" s="9" t="s">
        <v>72</v>
      </c>
      <c r="I772" s="8" t="s">
        <v>78</v>
      </c>
      <c r="J772" s="10">
        <v>356.5</v>
      </c>
      <c r="K772" s="10">
        <v>356.5</v>
      </c>
      <c r="L772" s="10">
        <f t="shared" si="348"/>
        <v>0</v>
      </c>
      <c r="M772" s="10">
        <v>162.54</v>
      </c>
      <c r="N772" s="10">
        <v>162.54</v>
      </c>
      <c r="O772" s="10">
        <f t="shared" si="349"/>
        <v>0</v>
      </c>
      <c r="P772" s="11">
        <v>14474.998597475456</v>
      </c>
      <c r="Q772" s="11">
        <v>31748.105081826012</v>
      </c>
      <c r="R772" s="11">
        <v>20000</v>
      </c>
      <c r="S772" s="11">
        <v>5160337</v>
      </c>
      <c r="T772" s="11">
        <v>619240</v>
      </c>
      <c r="U772" s="12">
        <f t="shared" si="350"/>
        <v>0.11999991473425088</v>
      </c>
      <c r="V772" s="13">
        <f t="shared" si="346"/>
        <v>0</v>
      </c>
      <c r="W772" s="10">
        <f t="shared" si="351"/>
        <v>0</v>
      </c>
      <c r="X772" s="10"/>
      <c r="Y772" s="10"/>
      <c r="Z772" s="11">
        <f t="shared" si="352"/>
        <v>5160337</v>
      </c>
      <c r="AA772" s="14"/>
      <c r="AB772" s="14"/>
      <c r="AC772" s="11">
        <f t="shared" si="353"/>
        <v>5160337</v>
      </c>
      <c r="AD772" s="10">
        <f t="shared" si="354"/>
        <v>300</v>
      </c>
      <c r="AE772" s="15">
        <v>48762</v>
      </c>
      <c r="AF772" s="16">
        <v>8778</v>
      </c>
      <c r="AG772" s="15">
        <f t="shared" si="355"/>
        <v>0</v>
      </c>
      <c r="AH772" s="15">
        <f t="shared" si="356"/>
        <v>0</v>
      </c>
      <c r="AI772" s="15">
        <f t="shared" si="357"/>
        <v>48762</v>
      </c>
      <c r="AJ772" s="15">
        <f t="shared" si="358"/>
        <v>8778</v>
      </c>
      <c r="AK772" s="10">
        <v>48762</v>
      </c>
      <c r="AL772" s="15">
        <f t="shared" si="359"/>
        <v>48762</v>
      </c>
      <c r="AM772" s="15">
        <f t="shared" si="360"/>
        <v>5209099</v>
      </c>
      <c r="AN772" s="15">
        <f t="shared" si="361"/>
        <v>628018</v>
      </c>
      <c r="AO772" s="15">
        <f t="shared" si="366"/>
        <v>716855.36</v>
      </c>
      <c r="AP772" s="17">
        <f t="shared" si="362"/>
        <v>5925954.3600000003</v>
      </c>
      <c r="AQ772" s="15">
        <v>5201620</v>
      </c>
      <c r="AR772" s="15">
        <v>40075.360000000001</v>
      </c>
      <c r="AS772" s="18">
        <f t="shared" si="367"/>
        <v>724334</v>
      </c>
      <c r="AT772" s="19">
        <v>0</v>
      </c>
      <c r="AU772" s="8">
        <v>8800</v>
      </c>
      <c r="AV772" s="13">
        <f t="shared" si="368"/>
        <v>1430352</v>
      </c>
      <c r="AW772" s="18">
        <f t="shared" si="369"/>
        <v>5209099</v>
      </c>
      <c r="AX772" s="15">
        <f t="shared" si="363"/>
        <v>5210000</v>
      </c>
      <c r="AY772" s="20">
        <v>0.05</v>
      </c>
      <c r="AZ772" s="13">
        <f t="shared" si="364"/>
        <v>260500</v>
      </c>
      <c r="BA772" s="15">
        <f t="shared" si="365"/>
        <v>260500</v>
      </c>
      <c r="BB772" s="21">
        <f t="shared" si="370"/>
        <v>984834</v>
      </c>
      <c r="BC772" s="10">
        <f t="shared" si="371"/>
        <v>0</v>
      </c>
      <c r="BD772" s="10">
        <f t="shared" si="372"/>
        <v>0</v>
      </c>
      <c r="BE772" s="10">
        <v>33.119999999999997</v>
      </c>
      <c r="BF772" s="10">
        <v>15.1</v>
      </c>
      <c r="BG772" s="107">
        <v>46176</v>
      </c>
      <c r="BH772" s="107">
        <f t="shared" si="347"/>
        <v>46206</v>
      </c>
      <c r="BI772" s="23">
        <v>5</v>
      </c>
      <c r="BJ772" s="6"/>
      <c r="BK772" s="6"/>
      <c r="BL772" s="6">
        <f>VLOOKUP(A772,[2]Sheet1!$D$2:$H$933,5,0)</f>
        <v>0</v>
      </c>
      <c r="BM772" s="6" t="s">
        <v>3828</v>
      </c>
      <c r="BN772" s="6" t="s">
        <v>3829</v>
      </c>
      <c r="BO772" s="6" t="s">
        <v>3820</v>
      </c>
      <c r="BP772" s="6" t="s">
        <v>3821</v>
      </c>
      <c r="BQ772" s="6" t="s">
        <v>3830</v>
      </c>
      <c r="BR772" t="s">
        <v>3823</v>
      </c>
      <c r="BS772" t="s">
        <v>3824</v>
      </c>
      <c r="BT772" t="s">
        <v>3825</v>
      </c>
      <c r="BU772" t="s">
        <v>3826</v>
      </c>
      <c r="BV772" t="s">
        <v>3827</v>
      </c>
      <c r="BW772" t="s">
        <v>3835</v>
      </c>
      <c r="BX772">
        <v>0</v>
      </c>
      <c r="BY772" t="s">
        <v>3864</v>
      </c>
      <c r="BZ772" t="s">
        <v>3860</v>
      </c>
    </row>
    <row r="773" spans="1:78" x14ac:dyDescent="0.25">
      <c r="A773" s="7" t="s">
        <v>3142</v>
      </c>
      <c r="B773" s="7" t="s">
        <v>181</v>
      </c>
      <c r="C773" s="7" t="s">
        <v>3140</v>
      </c>
      <c r="D773" s="8" t="s">
        <v>3141</v>
      </c>
      <c r="E773" s="7" t="s">
        <v>3143</v>
      </c>
      <c r="F773" s="9">
        <v>44924</v>
      </c>
      <c r="G773" s="9" t="s">
        <v>404</v>
      </c>
      <c r="H773" s="9" t="s">
        <v>66</v>
      </c>
      <c r="I773" s="8" t="s">
        <v>78</v>
      </c>
      <c r="J773" s="10">
        <v>775.01</v>
      </c>
      <c r="K773" s="10">
        <v>775.01</v>
      </c>
      <c r="L773" s="10">
        <f t="shared" si="348"/>
        <v>0</v>
      </c>
      <c r="M773" s="10">
        <v>358.44</v>
      </c>
      <c r="N773" s="10">
        <v>358.44</v>
      </c>
      <c r="O773" s="10">
        <f t="shared" si="349"/>
        <v>0</v>
      </c>
      <c r="P773" s="11">
        <v>15649.999354847034</v>
      </c>
      <c r="Q773" s="11">
        <v>33838.037049436447</v>
      </c>
      <c r="R773" s="11">
        <v>22000</v>
      </c>
      <c r="S773" s="11">
        <v>12128906</v>
      </c>
      <c r="T773" s="11">
        <v>1455470</v>
      </c>
      <c r="U773" s="12">
        <f t="shared" si="350"/>
        <v>0.12000010553301345</v>
      </c>
      <c r="V773" s="13">
        <f t="shared" si="346"/>
        <v>0</v>
      </c>
      <c r="W773" s="10">
        <f t="shared" si="351"/>
        <v>0</v>
      </c>
      <c r="X773" s="10"/>
      <c r="Y773" s="10"/>
      <c r="Z773" s="11">
        <f t="shared" si="352"/>
        <v>12128906</v>
      </c>
      <c r="AA773" s="14"/>
      <c r="AB773" s="14"/>
      <c r="AC773" s="11">
        <f t="shared" si="353"/>
        <v>12128906</v>
      </c>
      <c r="AD773" s="10">
        <f t="shared" si="354"/>
        <v>300</v>
      </c>
      <c r="AE773" s="15">
        <v>107532</v>
      </c>
      <c r="AF773" s="16">
        <v>19356</v>
      </c>
      <c r="AG773" s="15">
        <f t="shared" si="355"/>
        <v>0</v>
      </c>
      <c r="AH773" s="15">
        <f t="shared" si="356"/>
        <v>0</v>
      </c>
      <c r="AI773" s="15">
        <f t="shared" si="357"/>
        <v>107532</v>
      </c>
      <c r="AJ773" s="15">
        <f t="shared" si="358"/>
        <v>19356</v>
      </c>
      <c r="AK773" s="10">
        <v>107532</v>
      </c>
      <c r="AL773" s="15">
        <f t="shared" si="359"/>
        <v>107532</v>
      </c>
      <c r="AM773" s="15">
        <f t="shared" si="360"/>
        <v>12236438</v>
      </c>
      <c r="AN773" s="15">
        <f t="shared" si="361"/>
        <v>1474826</v>
      </c>
      <c r="AO773" s="15">
        <f t="shared" si="366"/>
        <v>1622538.16</v>
      </c>
      <c r="AP773" s="17">
        <f t="shared" si="362"/>
        <v>13858976.16</v>
      </c>
      <c r="AQ773" s="15">
        <v>12191004.699999999</v>
      </c>
      <c r="AR773" s="15">
        <v>40180.160000000003</v>
      </c>
      <c r="AS773" s="18">
        <f t="shared" si="367"/>
        <v>1667971</v>
      </c>
      <c r="AT773" s="19">
        <v>0</v>
      </c>
      <c r="AU773" s="8">
        <v>8800</v>
      </c>
      <c r="AV773" s="13">
        <f t="shared" si="368"/>
        <v>3154272</v>
      </c>
      <c r="AW773" s="18">
        <f t="shared" si="369"/>
        <v>12236438</v>
      </c>
      <c r="AX773" s="15">
        <f t="shared" si="363"/>
        <v>12237000</v>
      </c>
      <c r="AY773" s="20">
        <v>0.06</v>
      </c>
      <c r="AZ773" s="13">
        <f t="shared" si="364"/>
        <v>734220</v>
      </c>
      <c r="BA773" s="15">
        <f t="shared" si="365"/>
        <v>734300</v>
      </c>
      <c r="BB773" s="21">
        <f t="shared" si="370"/>
        <v>2402271</v>
      </c>
      <c r="BC773" s="10">
        <f t="shared" si="371"/>
        <v>0</v>
      </c>
      <c r="BD773" s="10">
        <f t="shared" si="372"/>
        <v>0</v>
      </c>
      <c r="BE773" s="10">
        <v>72</v>
      </c>
      <c r="BF773" s="10">
        <v>33.299999999999997</v>
      </c>
      <c r="BG773" s="107">
        <v>46176</v>
      </c>
      <c r="BH773" s="107">
        <f t="shared" si="347"/>
        <v>46206</v>
      </c>
      <c r="BI773" s="23">
        <v>6</v>
      </c>
      <c r="BJ773" s="6"/>
      <c r="BK773" s="6"/>
      <c r="BL773" s="6">
        <f>VLOOKUP(A773,[2]Sheet1!$D$2:$H$933,5,0)</f>
        <v>0</v>
      </c>
      <c r="BM773" s="6" t="s">
        <v>3828</v>
      </c>
      <c r="BN773" s="6" t="s">
        <v>3829</v>
      </c>
      <c r="BO773" s="6" t="s">
        <v>3820</v>
      </c>
      <c r="BP773" s="6" t="s">
        <v>3821</v>
      </c>
      <c r="BQ773" s="6" t="s">
        <v>3830</v>
      </c>
      <c r="BR773" t="s">
        <v>3823</v>
      </c>
      <c r="BS773" t="s">
        <v>3824</v>
      </c>
      <c r="BT773" t="s">
        <v>3825</v>
      </c>
      <c r="BU773" t="s">
        <v>3826</v>
      </c>
      <c r="BV773" t="s">
        <v>3827</v>
      </c>
      <c r="BW773" t="s">
        <v>3835</v>
      </c>
      <c r="BX773">
        <v>0</v>
      </c>
      <c r="BY773" t="s">
        <v>3869</v>
      </c>
      <c r="BZ773" t="s">
        <v>3863</v>
      </c>
    </row>
    <row r="774" spans="1:78" x14ac:dyDescent="0.25">
      <c r="A774" s="7" t="s">
        <v>3146</v>
      </c>
      <c r="B774" s="7" t="s">
        <v>181</v>
      </c>
      <c r="C774" s="7" t="s">
        <v>3144</v>
      </c>
      <c r="D774" s="8" t="s">
        <v>3145</v>
      </c>
      <c r="E774" s="7" t="s">
        <v>3147</v>
      </c>
      <c r="F774" s="9">
        <v>44929</v>
      </c>
      <c r="G774" s="9" t="s">
        <v>717</v>
      </c>
      <c r="H774" s="9" t="s">
        <v>72</v>
      </c>
      <c r="I774" s="8" t="s">
        <v>78</v>
      </c>
      <c r="J774" s="10">
        <v>381.05</v>
      </c>
      <c r="K774" s="10">
        <v>381.05</v>
      </c>
      <c r="L774" s="10">
        <f t="shared" si="348"/>
        <v>0</v>
      </c>
      <c r="M774" s="10">
        <v>160.38</v>
      </c>
      <c r="N774" s="10">
        <v>160.38</v>
      </c>
      <c r="O774" s="10">
        <f t="shared" si="349"/>
        <v>0</v>
      </c>
      <c r="P774" s="11">
        <v>14475.000656081878</v>
      </c>
      <c r="Q774" s="11">
        <v>34391.439082179822</v>
      </c>
      <c r="R774" s="11">
        <v>20000</v>
      </c>
      <c r="S774" s="11">
        <v>5515699</v>
      </c>
      <c r="T774" s="11">
        <v>661884</v>
      </c>
      <c r="U774" s="12">
        <f t="shared" si="350"/>
        <v>0.12000002175608204</v>
      </c>
      <c r="V774" s="13">
        <f t="shared" si="346"/>
        <v>0</v>
      </c>
      <c r="W774" s="10">
        <f t="shared" si="351"/>
        <v>0</v>
      </c>
      <c r="X774" s="10"/>
      <c r="Y774" s="10"/>
      <c r="Z774" s="11">
        <f t="shared" si="352"/>
        <v>5515699</v>
      </c>
      <c r="AA774" s="14"/>
      <c r="AB774" s="14"/>
      <c r="AC774" s="11">
        <f t="shared" si="353"/>
        <v>5515699</v>
      </c>
      <c r="AD774" s="10">
        <f t="shared" si="354"/>
        <v>300</v>
      </c>
      <c r="AE774" s="15">
        <v>48114</v>
      </c>
      <c r="AF774" s="16">
        <v>8660</v>
      </c>
      <c r="AG774" s="15">
        <f t="shared" si="355"/>
        <v>0</v>
      </c>
      <c r="AH774" s="15">
        <f t="shared" si="356"/>
        <v>0</v>
      </c>
      <c r="AI774" s="15">
        <f t="shared" si="357"/>
        <v>48114</v>
      </c>
      <c r="AJ774" s="15">
        <f t="shared" si="358"/>
        <v>8661</v>
      </c>
      <c r="AK774" s="10">
        <v>48114</v>
      </c>
      <c r="AL774" s="15">
        <f t="shared" si="359"/>
        <v>48114</v>
      </c>
      <c r="AM774" s="15">
        <f t="shared" si="360"/>
        <v>5563813</v>
      </c>
      <c r="AN774" s="15">
        <f t="shared" si="361"/>
        <v>670545</v>
      </c>
      <c r="AO774" s="15">
        <f t="shared" si="366"/>
        <v>761820</v>
      </c>
      <c r="AP774" s="17">
        <f t="shared" si="362"/>
        <v>6325633</v>
      </c>
      <c r="AQ774" s="15">
        <v>4240708</v>
      </c>
      <c r="AR774" s="15">
        <v>43161</v>
      </c>
      <c r="AS774" s="18">
        <f t="shared" si="367"/>
        <v>2084925</v>
      </c>
      <c r="AT774" s="19">
        <v>0</v>
      </c>
      <c r="AU774" s="8">
        <v>8800</v>
      </c>
      <c r="AV774" s="13">
        <f t="shared" si="368"/>
        <v>1411344</v>
      </c>
      <c r="AW774" s="18">
        <f t="shared" si="369"/>
        <v>5563813</v>
      </c>
      <c r="AX774" s="15">
        <f t="shared" si="363"/>
        <v>5564000</v>
      </c>
      <c r="AY774" s="20">
        <v>7.0000000000000007E-2</v>
      </c>
      <c r="AZ774" s="13">
        <f t="shared" si="364"/>
        <v>389480.00000000006</v>
      </c>
      <c r="BA774" s="15">
        <f t="shared" si="365"/>
        <v>389500</v>
      </c>
      <c r="BB774" s="21">
        <f t="shared" si="370"/>
        <v>2474425</v>
      </c>
      <c r="BC774" s="10">
        <f t="shared" si="371"/>
        <v>0</v>
      </c>
      <c r="BD774" s="10">
        <f t="shared" si="372"/>
        <v>0</v>
      </c>
      <c r="BE774" s="10">
        <v>35.4</v>
      </c>
      <c r="BF774" s="10">
        <v>14.9</v>
      </c>
      <c r="BG774" s="107">
        <v>46176</v>
      </c>
      <c r="BH774" s="107">
        <f t="shared" si="347"/>
        <v>46206</v>
      </c>
      <c r="BI774" s="23">
        <v>7</v>
      </c>
      <c r="BJ774" s="6"/>
      <c r="BK774" s="6"/>
      <c r="BL774" s="6">
        <f>VLOOKUP(A774,[2]Sheet1!$D$2:$H$933,5,0)</f>
        <v>0</v>
      </c>
      <c r="BM774" s="6" t="s">
        <v>3828</v>
      </c>
      <c r="BN774" s="6" t="s">
        <v>3829</v>
      </c>
      <c r="BO774" s="6" t="s">
        <v>3820</v>
      </c>
      <c r="BP774" s="6" t="s">
        <v>3821</v>
      </c>
      <c r="BQ774" s="6" t="s">
        <v>3830</v>
      </c>
      <c r="BR774" t="s">
        <v>3823</v>
      </c>
      <c r="BS774" t="s">
        <v>3824</v>
      </c>
      <c r="BT774" t="s">
        <v>3825</v>
      </c>
      <c r="BU774" t="s">
        <v>3826</v>
      </c>
      <c r="BV774" t="s">
        <v>3827</v>
      </c>
      <c r="BW774" t="s">
        <v>3835</v>
      </c>
      <c r="BX774">
        <v>0</v>
      </c>
      <c r="BY774" t="s">
        <v>3864</v>
      </c>
      <c r="BZ774" t="s">
        <v>3872</v>
      </c>
    </row>
    <row r="775" spans="1:78" x14ac:dyDescent="0.25">
      <c r="A775" s="7" t="s">
        <v>3150</v>
      </c>
      <c r="B775" s="7" t="s">
        <v>181</v>
      </c>
      <c r="C775" s="7" t="s">
        <v>3148</v>
      </c>
      <c r="D775" s="8" t="s">
        <v>3149</v>
      </c>
      <c r="E775" s="7" t="s">
        <v>3151</v>
      </c>
      <c r="F775" s="9">
        <v>45000</v>
      </c>
      <c r="G775" s="9" t="s">
        <v>717</v>
      </c>
      <c r="H775" s="9" t="s">
        <v>72</v>
      </c>
      <c r="I775" s="8" t="s">
        <v>78</v>
      </c>
      <c r="J775" s="10">
        <v>703.97</v>
      </c>
      <c r="K775" s="10">
        <v>703.97</v>
      </c>
      <c r="L775" s="10">
        <f t="shared" si="348"/>
        <v>0</v>
      </c>
      <c r="M775" s="10">
        <v>307.31</v>
      </c>
      <c r="N775" s="10">
        <v>307.31</v>
      </c>
      <c r="O775" s="10">
        <f t="shared" si="349"/>
        <v>0</v>
      </c>
      <c r="P775" s="11">
        <v>10308.077048737872</v>
      </c>
      <c r="Q775" s="11">
        <v>23613.214669226512</v>
      </c>
      <c r="R775" s="11">
        <v>20000</v>
      </c>
      <c r="S775" s="11">
        <v>7256577</v>
      </c>
      <c r="T775" s="11">
        <v>870792</v>
      </c>
      <c r="U775" s="12">
        <f t="shared" si="350"/>
        <v>0.12000038034461703</v>
      </c>
      <c r="V775" s="13">
        <f t="shared" si="346"/>
        <v>0</v>
      </c>
      <c r="W775" s="10">
        <f t="shared" si="351"/>
        <v>0</v>
      </c>
      <c r="X775" s="10"/>
      <c r="Y775" s="10"/>
      <c r="Z775" s="11">
        <f t="shared" si="352"/>
        <v>7256577</v>
      </c>
      <c r="AA775" s="14"/>
      <c r="AB775" s="14"/>
      <c r="AC775" s="11">
        <f t="shared" si="353"/>
        <v>7256577</v>
      </c>
      <c r="AD775" s="10">
        <f t="shared" si="354"/>
        <v>300</v>
      </c>
      <c r="AE775" s="15">
        <v>92193</v>
      </c>
      <c r="AF775" s="16">
        <v>16594</v>
      </c>
      <c r="AG775" s="15">
        <f t="shared" si="355"/>
        <v>0</v>
      </c>
      <c r="AH775" s="15">
        <f t="shared" si="356"/>
        <v>0</v>
      </c>
      <c r="AI775" s="15">
        <f t="shared" si="357"/>
        <v>92193</v>
      </c>
      <c r="AJ775" s="15">
        <f t="shared" si="358"/>
        <v>16595</v>
      </c>
      <c r="AK775" s="10">
        <v>92193</v>
      </c>
      <c r="AL775" s="15">
        <f t="shared" si="359"/>
        <v>92193</v>
      </c>
      <c r="AM775" s="15">
        <f t="shared" si="360"/>
        <v>7348770</v>
      </c>
      <c r="AN775" s="15">
        <f t="shared" si="361"/>
        <v>887387</v>
      </c>
      <c r="AO775" s="15">
        <f t="shared" si="366"/>
        <v>1028080</v>
      </c>
      <c r="AP775" s="17">
        <f t="shared" si="362"/>
        <v>8376850</v>
      </c>
      <c r="AQ775" s="15">
        <v>3193471</v>
      </c>
      <c r="AR775" s="15">
        <v>48500</v>
      </c>
      <c r="AS775" s="18">
        <f t="shared" si="367"/>
        <v>5183379</v>
      </c>
      <c r="AT775" s="19">
        <v>0</v>
      </c>
      <c r="AU775" s="8">
        <v>8800</v>
      </c>
      <c r="AV775" s="13">
        <f t="shared" si="368"/>
        <v>2704328</v>
      </c>
      <c r="AW775" s="18">
        <f t="shared" si="369"/>
        <v>7348770</v>
      </c>
      <c r="AX775" s="15">
        <f t="shared" si="363"/>
        <v>7349000</v>
      </c>
      <c r="AY775" s="20">
        <v>0.06</v>
      </c>
      <c r="AZ775" s="13">
        <f t="shared" si="364"/>
        <v>440940</v>
      </c>
      <c r="BA775" s="15">
        <f t="shared" si="365"/>
        <v>441000</v>
      </c>
      <c r="BB775" s="21">
        <f t="shared" si="370"/>
        <v>5624379</v>
      </c>
      <c r="BC775" s="10">
        <f t="shared" si="371"/>
        <v>0</v>
      </c>
      <c r="BD775" s="10">
        <f t="shared" si="372"/>
        <v>0</v>
      </c>
      <c r="BE775" s="10">
        <v>65.400000000000006</v>
      </c>
      <c r="BF775" s="10">
        <v>28.55</v>
      </c>
      <c r="BG775" s="107">
        <v>46176</v>
      </c>
      <c r="BH775" s="107">
        <f t="shared" si="347"/>
        <v>46206</v>
      </c>
      <c r="BI775" s="23">
        <v>6</v>
      </c>
      <c r="BJ775" s="6"/>
      <c r="BK775" s="6"/>
      <c r="BL775" s="6">
        <f>VLOOKUP(A775,[2]Sheet1!$D$2:$H$933,5,0)</f>
        <v>0</v>
      </c>
      <c r="BM775" s="6" t="s">
        <v>3828</v>
      </c>
      <c r="BN775" s="6" t="s">
        <v>3829</v>
      </c>
      <c r="BO775" s="6" t="s">
        <v>3820</v>
      </c>
      <c r="BP775" s="6" t="s">
        <v>3821</v>
      </c>
      <c r="BQ775" s="6" t="s">
        <v>3830</v>
      </c>
      <c r="BR775" t="s">
        <v>3823</v>
      </c>
      <c r="BS775" t="s">
        <v>3824</v>
      </c>
      <c r="BT775" t="s">
        <v>3825</v>
      </c>
      <c r="BU775" t="s">
        <v>3826</v>
      </c>
      <c r="BV775" t="s">
        <v>3827</v>
      </c>
      <c r="BW775" t="s">
        <v>3835</v>
      </c>
      <c r="BX775">
        <v>0</v>
      </c>
      <c r="BY775" t="s">
        <v>3859</v>
      </c>
      <c r="BZ775" t="s">
        <v>3872</v>
      </c>
    </row>
    <row r="776" spans="1:78" x14ac:dyDescent="0.25">
      <c r="A776" s="7" t="s">
        <v>3154</v>
      </c>
      <c r="B776" s="7" t="s">
        <v>181</v>
      </c>
      <c r="C776" s="7" t="s">
        <v>3152</v>
      </c>
      <c r="D776" s="8" t="s">
        <v>3153</v>
      </c>
      <c r="E776" s="7" t="s">
        <v>3155</v>
      </c>
      <c r="F776" s="9">
        <v>44997</v>
      </c>
      <c r="G776" s="9" t="s">
        <v>527</v>
      </c>
      <c r="H776" s="9" t="s">
        <v>87</v>
      </c>
      <c r="I776" s="8" t="s">
        <v>67</v>
      </c>
      <c r="J776" s="10">
        <v>224.85</v>
      </c>
      <c r="K776" s="10">
        <v>224.85</v>
      </c>
      <c r="L776" s="10">
        <f t="shared" si="348"/>
        <v>0</v>
      </c>
      <c r="M776" s="10">
        <v>89.34</v>
      </c>
      <c r="N776" s="10">
        <v>89.34</v>
      </c>
      <c r="O776" s="10">
        <f t="shared" si="349"/>
        <v>0</v>
      </c>
      <c r="P776" s="11">
        <v>23162.001334222816</v>
      </c>
      <c r="Q776" s="11">
        <v>58293.888515782404</v>
      </c>
      <c r="R776" s="11">
        <v>40000</v>
      </c>
      <c r="S776" s="11">
        <v>5207976</v>
      </c>
      <c r="T776" s="11">
        <v>624958</v>
      </c>
      <c r="U776" s="12">
        <f t="shared" si="350"/>
        <v>0.1200001689715928</v>
      </c>
      <c r="V776" s="13">
        <f t="shared" si="346"/>
        <v>0</v>
      </c>
      <c r="W776" s="10">
        <f t="shared" si="351"/>
        <v>0</v>
      </c>
      <c r="X776" s="10"/>
      <c r="Y776" s="10"/>
      <c r="Z776" s="11">
        <f t="shared" si="352"/>
        <v>5207976</v>
      </c>
      <c r="AA776" s="14"/>
      <c r="AB776" s="14"/>
      <c r="AC776" s="11">
        <f t="shared" si="353"/>
        <v>5207976</v>
      </c>
      <c r="AD776" s="10">
        <f t="shared" si="354"/>
        <v>300</v>
      </c>
      <c r="AE776" s="15">
        <v>26802</v>
      </c>
      <c r="AF776" s="16">
        <v>4824</v>
      </c>
      <c r="AG776" s="15">
        <f t="shared" si="355"/>
        <v>0</v>
      </c>
      <c r="AH776" s="15">
        <f t="shared" si="356"/>
        <v>0</v>
      </c>
      <c r="AI776" s="15">
        <f t="shared" si="357"/>
        <v>26802</v>
      </c>
      <c r="AJ776" s="15">
        <f t="shared" si="358"/>
        <v>4825</v>
      </c>
      <c r="AK776" s="10">
        <v>26802</v>
      </c>
      <c r="AL776" s="15">
        <f t="shared" si="359"/>
        <v>26802</v>
      </c>
      <c r="AM776" s="15">
        <f t="shared" si="360"/>
        <v>5234778</v>
      </c>
      <c r="AN776" s="15">
        <f t="shared" si="361"/>
        <v>629783</v>
      </c>
      <c r="AO776" s="15">
        <f t="shared" si="366"/>
        <v>698517.72</v>
      </c>
      <c r="AP776" s="17">
        <f t="shared" si="362"/>
        <v>5933295.7199999997</v>
      </c>
      <c r="AQ776" s="15">
        <v>5219973</v>
      </c>
      <c r="AR776" s="15">
        <v>41932.720000000001</v>
      </c>
      <c r="AS776" s="18">
        <f t="shared" si="367"/>
        <v>713323</v>
      </c>
      <c r="AT776" s="19">
        <v>0</v>
      </c>
      <c r="AU776" s="8">
        <v>8800</v>
      </c>
      <c r="AV776" s="13">
        <f t="shared" si="368"/>
        <v>786192</v>
      </c>
      <c r="AW776" s="18">
        <f t="shared" si="369"/>
        <v>5234778</v>
      </c>
      <c r="AX776" s="15">
        <f t="shared" si="363"/>
        <v>5235000</v>
      </c>
      <c r="AY776" s="20">
        <v>0.06</v>
      </c>
      <c r="AZ776" s="13">
        <f t="shared" si="364"/>
        <v>314100</v>
      </c>
      <c r="BA776" s="15">
        <f t="shared" si="365"/>
        <v>314100</v>
      </c>
      <c r="BB776" s="21">
        <f t="shared" si="370"/>
        <v>1027423</v>
      </c>
      <c r="BC776" s="10">
        <f t="shared" si="371"/>
        <v>0</v>
      </c>
      <c r="BD776" s="10">
        <f t="shared" si="372"/>
        <v>0</v>
      </c>
      <c r="BE776" s="10">
        <v>20.89</v>
      </c>
      <c r="BF776" s="10">
        <v>8.3000000000000007</v>
      </c>
      <c r="BG776" s="107">
        <v>46176</v>
      </c>
      <c r="BH776" s="107">
        <f t="shared" si="347"/>
        <v>46206</v>
      </c>
      <c r="BI776" s="23">
        <v>6</v>
      </c>
      <c r="BJ776" s="6"/>
      <c r="BK776" s="6"/>
      <c r="BL776" s="6">
        <f>VLOOKUP(A776,[2]Sheet1!$D$2:$H$933,5,0)</f>
        <v>0</v>
      </c>
      <c r="BM776" s="6" t="s">
        <v>3828</v>
      </c>
      <c r="BN776" s="6" t="s">
        <v>3829</v>
      </c>
      <c r="BO776" s="6" t="s">
        <v>3820</v>
      </c>
      <c r="BP776" s="6" t="s">
        <v>3821</v>
      </c>
      <c r="BQ776" s="6" t="s">
        <v>3830</v>
      </c>
      <c r="BR776" t="s">
        <v>3823</v>
      </c>
      <c r="BS776" t="s">
        <v>3824</v>
      </c>
      <c r="BT776" t="s">
        <v>3825</v>
      </c>
      <c r="BU776" t="s">
        <v>3826</v>
      </c>
      <c r="BV776" t="s">
        <v>3827</v>
      </c>
      <c r="BW776" t="s">
        <v>3835</v>
      </c>
      <c r="BX776">
        <v>0</v>
      </c>
      <c r="BY776" t="s">
        <v>3866</v>
      </c>
      <c r="BZ776" t="s">
        <v>3871</v>
      </c>
    </row>
    <row r="777" spans="1:78" x14ac:dyDescent="0.25">
      <c r="A777" s="7" t="s">
        <v>3158</v>
      </c>
      <c r="B777" s="7" t="s">
        <v>181</v>
      </c>
      <c r="C777" s="7" t="s">
        <v>3156</v>
      </c>
      <c r="D777" s="8" t="s">
        <v>3157</v>
      </c>
      <c r="E777" s="7" t="s">
        <v>3159</v>
      </c>
      <c r="F777" s="9">
        <v>44943</v>
      </c>
      <c r="G777" s="9" t="s">
        <v>65</v>
      </c>
      <c r="H777" s="9" t="s">
        <v>190</v>
      </c>
      <c r="I777" s="8" t="s">
        <v>78</v>
      </c>
      <c r="J777" s="10">
        <v>1360.57</v>
      </c>
      <c r="K777" s="10">
        <v>1360.57</v>
      </c>
      <c r="L777" s="10">
        <f t="shared" si="348"/>
        <v>0</v>
      </c>
      <c r="M777" s="10">
        <v>639.38</v>
      </c>
      <c r="N777" s="10">
        <v>639.38</v>
      </c>
      <c r="O777" s="10">
        <f t="shared" si="349"/>
        <v>0</v>
      </c>
      <c r="P777" s="11">
        <v>14349.999632506964</v>
      </c>
      <c r="Q777" s="11">
        <v>30536.111545559761</v>
      </c>
      <c r="R777" s="11">
        <v>60000</v>
      </c>
      <c r="S777" s="11">
        <v>19524179</v>
      </c>
      <c r="T777" s="11">
        <v>2342900</v>
      </c>
      <c r="U777" s="12">
        <f t="shared" si="350"/>
        <v>0.11999992419655649</v>
      </c>
      <c r="V777" s="13">
        <f t="shared" si="346"/>
        <v>0</v>
      </c>
      <c r="W777" s="10">
        <f t="shared" si="351"/>
        <v>0</v>
      </c>
      <c r="X777" s="10"/>
      <c r="Y777" s="10"/>
      <c r="Z777" s="11">
        <f t="shared" si="352"/>
        <v>19524179</v>
      </c>
      <c r="AA777" s="14"/>
      <c r="AB777" s="14"/>
      <c r="AC777" s="11">
        <f t="shared" si="353"/>
        <v>19524179</v>
      </c>
      <c r="AD777" s="10">
        <f t="shared" si="354"/>
        <v>300</v>
      </c>
      <c r="AE777" s="15">
        <v>191814</v>
      </c>
      <c r="AF777" s="16">
        <v>34526</v>
      </c>
      <c r="AG777" s="15">
        <f t="shared" si="355"/>
        <v>0</v>
      </c>
      <c r="AH777" s="15">
        <f t="shared" si="356"/>
        <v>0</v>
      </c>
      <c r="AI777" s="15">
        <f t="shared" si="357"/>
        <v>191814</v>
      </c>
      <c r="AJ777" s="15">
        <f t="shared" si="358"/>
        <v>34527</v>
      </c>
      <c r="AK777" s="10">
        <v>191814</v>
      </c>
      <c r="AL777" s="15">
        <f t="shared" si="359"/>
        <v>191814</v>
      </c>
      <c r="AM777" s="15">
        <f t="shared" si="360"/>
        <v>19715993</v>
      </c>
      <c r="AN777" s="15">
        <f t="shared" si="361"/>
        <v>2377427</v>
      </c>
      <c r="AO777" s="15">
        <f t="shared" si="366"/>
        <v>2614303.2000000002</v>
      </c>
      <c r="AP777" s="17">
        <f t="shared" si="362"/>
        <v>22330296.199999999</v>
      </c>
      <c r="AQ777" s="15">
        <v>17806959.079999998</v>
      </c>
      <c r="AR777" s="15">
        <v>45062.2</v>
      </c>
      <c r="AS777" s="18">
        <f t="shared" si="367"/>
        <v>4523337</v>
      </c>
      <c r="AT777" s="19">
        <v>0</v>
      </c>
      <c r="AU777" s="8">
        <v>8800</v>
      </c>
      <c r="AV777" s="13">
        <f t="shared" si="368"/>
        <v>5626544</v>
      </c>
      <c r="AW777" s="18">
        <f t="shared" si="369"/>
        <v>19715993</v>
      </c>
      <c r="AX777" s="15">
        <f t="shared" si="363"/>
        <v>19716000</v>
      </c>
      <c r="AY777" s="20">
        <v>7.0000000000000007E-2</v>
      </c>
      <c r="AZ777" s="13">
        <f t="shared" si="364"/>
        <v>1380120.0000000002</v>
      </c>
      <c r="BA777" s="15">
        <f t="shared" si="365"/>
        <v>1380200</v>
      </c>
      <c r="BB777" s="21">
        <f t="shared" si="370"/>
        <v>5903537</v>
      </c>
      <c r="BC777" s="10">
        <f t="shared" si="371"/>
        <v>0</v>
      </c>
      <c r="BD777" s="10">
        <f t="shared" si="372"/>
        <v>0</v>
      </c>
      <c r="BE777" s="10">
        <v>126.4</v>
      </c>
      <c r="BF777" s="10">
        <v>59.4</v>
      </c>
      <c r="BG777" s="107">
        <v>46176</v>
      </c>
      <c r="BH777" s="107">
        <f t="shared" si="347"/>
        <v>46206</v>
      </c>
      <c r="BI777" s="23">
        <v>7</v>
      </c>
      <c r="BJ777" s="6"/>
      <c r="BK777" s="6"/>
      <c r="BL777" s="6">
        <f>VLOOKUP(A777,[2]Sheet1!$D$2:$H$933,5,0)</f>
        <v>0</v>
      </c>
      <c r="BM777" s="6" t="s">
        <v>3828</v>
      </c>
      <c r="BN777" s="6" t="s">
        <v>3829</v>
      </c>
      <c r="BO777" s="6" t="s">
        <v>3820</v>
      </c>
      <c r="BP777" s="6" t="s">
        <v>3821</v>
      </c>
      <c r="BQ777" s="6" t="s">
        <v>3830</v>
      </c>
      <c r="BR777" t="s">
        <v>3823</v>
      </c>
      <c r="BS777" t="s">
        <v>3824</v>
      </c>
      <c r="BT777" t="s">
        <v>3825</v>
      </c>
      <c r="BU777" t="s">
        <v>3826</v>
      </c>
      <c r="BV777" t="s">
        <v>3827</v>
      </c>
      <c r="BW777" t="s">
        <v>3835</v>
      </c>
      <c r="BX777">
        <v>0</v>
      </c>
      <c r="BY777" t="s">
        <v>3870</v>
      </c>
      <c r="BZ777" t="s">
        <v>3860</v>
      </c>
    </row>
    <row r="778" spans="1:78" x14ac:dyDescent="0.25">
      <c r="A778" s="7" t="s">
        <v>3162</v>
      </c>
      <c r="B778" s="7" t="s">
        <v>181</v>
      </c>
      <c r="C778" s="7" t="s">
        <v>3160</v>
      </c>
      <c r="D778" s="8" t="s">
        <v>3161</v>
      </c>
      <c r="E778" s="7" t="s">
        <v>3163</v>
      </c>
      <c r="F778" s="9">
        <v>45008</v>
      </c>
      <c r="G778" s="9" t="s">
        <v>65</v>
      </c>
      <c r="H778" s="9" t="s">
        <v>190</v>
      </c>
      <c r="I778" s="8" t="s">
        <v>78</v>
      </c>
      <c r="J778" s="10">
        <v>1327.2</v>
      </c>
      <c r="K778" s="10">
        <v>1327.2</v>
      </c>
      <c r="L778" s="10">
        <f t="shared" si="348"/>
        <v>0</v>
      </c>
      <c r="M778" s="10">
        <v>623.77</v>
      </c>
      <c r="N778" s="10">
        <v>623.77</v>
      </c>
      <c r="O778" s="10">
        <f t="shared" si="349"/>
        <v>0</v>
      </c>
      <c r="P778" s="11">
        <v>11718.006329113923</v>
      </c>
      <c r="Q778" s="11">
        <v>24932.487936258556</v>
      </c>
      <c r="R778" s="11">
        <v>60000</v>
      </c>
      <c r="S778" s="11">
        <v>15552138</v>
      </c>
      <c r="T778" s="11">
        <v>1866258</v>
      </c>
      <c r="U778" s="12">
        <f t="shared" si="350"/>
        <v>0.12000009259177098</v>
      </c>
      <c r="V778" s="13">
        <f t="shared" si="346"/>
        <v>0</v>
      </c>
      <c r="W778" s="10">
        <f t="shared" si="351"/>
        <v>0</v>
      </c>
      <c r="X778" s="10"/>
      <c r="Y778" s="10"/>
      <c r="Z778" s="11">
        <f t="shared" si="352"/>
        <v>15552138</v>
      </c>
      <c r="AA778" s="14"/>
      <c r="AB778" s="14"/>
      <c r="AC778" s="11">
        <f t="shared" si="353"/>
        <v>15552138</v>
      </c>
      <c r="AD778" s="10">
        <f t="shared" si="354"/>
        <v>300</v>
      </c>
      <c r="AE778" s="15">
        <v>187131</v>
      </c>
      <c r="AF778" s="16">
        <v>33684</v>
      </c>
      <c r="AG778" s="15">
        <f t="shared" si="355"/>
        <v>0</v>
      </c>
      <c r="AH778" s="15">
        <f t="shared" si="356"/>
        <v>0</v>
      </c>
      <c r="AI778" s="15">
        <f t="shared" si="357"/>
        <v>187131</v>
      </c>
      <c r="AJ778" s="15">
        <f t="shared" si="358"/>
        <v>33684</v>
      </c>
      <c r="AK778" s="10">
        <v>187131</v>
      </c>
      <c r="AL778" s="15">
        <f t="shared" si="359"/>
        <v>187131</v>
      </c>
      <c r="AM778" s="15">
        <f t="shared" si="360"/>
        <v>15739269</v>
      </c>
      <c r="AN778" s="15">
        <f t="shared" si="361"/>
        <v>1899942</v>
      </c>
      <c r="AO778" s="15">
        <f t="shared" si="366"/>
        <v>2150088</v>
      </c>
      <c r="AP778" s="17">
        <f t="shared" si="362"/>
        <v>17889357</v>
      </c>
      <c r="AQ778" s="15">
        <v>3000000</v>
      </c>
      <c r="AR778" s="15">
        <v>63015</v>
      </c>
      <c r="AS778" s="18">
        <f t="shared" si="367"/>
        <v>14889357</v>
      </c>
      <c r="AT778" s="19">
        <v>0</v>
      </c>
      <c r="AU778" s="8">
        <v>8800</v>
      </c>
      <c r="AV778" s="13">
        <f t="shared" si="368"/>
        <v>5489176</v>
      </c>
      <c r="AW778" s="18">
        <f t="shared" si="369"/>
        <v>15739269</v>
      </c>
      <c r="AX778" s="15">
        <f t="shared" si="363"/>
        <v>15740000</v>
      </c>
      <c r="AY778" s="20">
        <v>5.67E-2</v>
      </c>
      <c r="AZ778" s="13">
        <f t="shared" si="364"/>
        <v>892458</v>
      </c>
      <c r="BA778" s="15">
        <f t="shared" si="365"/>
        <v>892500</v>
      </c>
      <c r="BB778" s="21">
        <f t="shared" si="370"/>
        <v>15781857</v>
      </c>
      <c r="BC778" s="10">
        <f t="shared" si="371"/>
        <v>0</v>
      </c>
      <c r="BD778" s="10">
        <f t="shared" si="372"/>
        <v>0</v>
      </c>
      <c r="BE778" s="10">
        <v>123.3</v>
      </c>
      <c r="BF778" s="10">
        <v>57.95</v>
      </c>
      <c r="BG778" s="107">
        <v>46176</v>
      </c>
      <c r="BH778" s="107">
        <f t="shared" si="347"/>
        <v>46206</v>
      </c>
      <c r="BI778" s="23">
        <v>5.67</v>
      </c>
      <c r="BJ778" s="6"/>
      <c r="BK778" s="6"/>
      <c r="BL778" s="6">
        <f>VLOOKUP(A778,[2]Sheet1!$D$2:$H$933,5,0)</f>
        <v>0</v>
      </c>
      <c r="BM778" s="6" t="s">
        <v>3828</v>
      </c>
      <c r="BN778" s="6" t="s">
        <v>3829</v>
      </c>
      <c r="BO778" s="6" t="s">
        <v>3820</v>
      </c>
      <c r="BP778" s="6" t="s">
        <v>3821</v>
      </c>
      <c r="BQ778" s="6" t="s">
        <v>3830</v>
      </c>
      <c r="BR778" t="s">
        <v>3823</v>
      </c>
      <c r="BS778" t="s">
        <v>3824</v>
      </c>
      <c r="BT778" t="s">
        <v>3825</v>
      </c>
      <c r="BU778" t="s">
        <v>3826</v>
      </c>
      <c r="BV778" t="s">
        <v>3827</v>
      </c>
      <c r="BW778" t="s">
        <v>3835</v>
      </c>
      <c r="BX778">
        <v>0</v>
      </c>
      <c r="BY778" t="s">
        <v>3870</v>
      </c>
      <c r="BZ778" t="s">
        <v>3860</v>
      </c>
    </row>
    <row r="779" spans="1:78" x14ac:dyDescent="0.25">
      <c r="A779" s="7" t="s">
        <v>3166</v>
      </c>
      <c r="B779" s="7" t="s">
        <v>181</v>
      </c>
      <c r="C779" s="7" t="s">
        <v>3164</v>
      </c>
      <c r="D779" s="8" t="s">
        <v>3165</v>
      </c>
      <c r="E779" s="7" t="s">
        <v>3167</v>
      </c>
      <c r="F779" s="9">
        <v>44956</v>
      </c>
      <c r="G779" s="9" t="s">
        <v>404</v>
      </c>
      <c r="H779" s="9" t="s">
        <v>190</v>
      </c>
      <c r="I779" s="8" t="s">
        <v>78</v>
      </c>
      <c r="J779" s="10">
        <v>1317.51</v>
      </c>
      <c r="K779" s="10">
        <v>1317.51</v>
      </c>
      <c r="L779" s="10">
        <f t="shared" si="348"/>
        <v>0</v>
      </c>
      <c r="M779" s="10">
        <v>615.70000000000005</v>
      </c>
      <c r="N779" s="10">
        <v>615.70000000000005</v>
      </c>
      <c r="O779" s="10">
        <f t="shared" si="349"/>
        <v>0</v>
      </c>
      <c r="P779" s="11">
        <v>23274.000197341957</v>
      </c>
      <c r="Q779" s="11">
        <v>49803.033945103132</v>
      </c>
      <c r="R779" s="11">
        <v>60000</v>
      </c>
      <c r="S779" s="11">
        <v>30663728</v>
      </c>
      <c r="T779" s="11">
        <v>3679646</v>
      </c>
      <c r="U779" s="12">
        <f t="shared" si="350"/>
        <v>0.11999995564792383</v>
      </c>
      <c r="V779" s="13">
        <f t="shared" si="346"/>
        <v>0</v>
      </c>
      <c r="W779" s="10">
        <f t="shared" si="351"/>
        <v>0</v>
      </c>
      <c r="X779" s="10"/>
      <c r="Y779" s="10"/>
      <c r="Z779" s="11">
        <f t="shared" si="352"/>
        <v>30663728</v>
      </c>
      <c r="AA779" s="14"/>
      <c r="AB779" s="14"/>
      <c r="AC779" s="11">
        <f t="shared" si="353"/>
        <v>30663728</v>
      </c>
      <c r="AD779" s="10">
        <f t="shared" si="354"/>
        <v>300</v>
      </c>
      <c r="AE779" s="15">
        <v>184710</v>
      </c>
      <c r="AF779" s="16">
        <v>33248</v>
      </c>
      <c r="AG779" s="15">
        <f t="shared" si="355"/>
        <v>0</v>
      </c>
      <c r="AH779" s="15">
        <f t="shared" si="356"/>
        <v>0</v>
      </c>
      <c r="AI779" s="15">
        <f t="shared" si="357"/>
        <v>184710</v>
      </c>
      <c r="AJ779" s="15">
        <f t="shared" si="358"/>
        <v>33248</v>
      </c>
      <c r="AK779" s="10">
        <v>184710</v>
      </c>
      <c r="AL779" s="15">
        <f t="shared" si="359"/>
        <v>184710</v>
      </c>
      <c r="AM779" s="15">
        <f t="shared" si="360"/>
        <v>30848438</v>
      </c>
      <c r="AN779" s="15">
        <f t="shared" si="361"/>
        <v>3712894</v>
      </c>
      <c r="AO779" s="15">
        <f t="shared" si="366"/>
        <v>3945101</v>
      </c>
      <c r="AP779" s="17">
        <f t="shared" si="362"/>
        <v>34793539</v>
      </c>
      <c r="AQ779" s="15">
        <v>28125979</v>
      </c>
      <c r="AR779" s="15">
        <v>47497</v>
      </c>
      <c r="AS779" s="18">
        <f t="shared" si="367"/>
        <v>6667560</v>
      </c>
      <c r="AT779" s="19">
        <v>0</v>
      </c>
      <c r="AU779" s="8">
        <v>8800</v>
      </c>
      <c r="AV779" s="13">
        <f t="shared" si="368"/>
        <v>5418160</v>
      </c>
      <c r="AW779" s="18">
        <f t="shared" si="369"/>
        <v>30848438</v>
      </c>
      <c r="AX779" s="15">
        <f t="shared" si="363"/>
        <v>30849000</v>
      </c>
      <c r="AY779" s="20">
        <v>7.0000000000000007E-2</v>
      </c>
      <c r="AZ779" s="13">
        <f t="shared" si="364"/>
        <v>2159430</v>
      </c>
      <c r="BA779" s="15">
        <f t="shared" si="365"/>
        <v>2159500</v>
      </c>
      <c r="BB779" s="21">
        <f t="shared" si="370"/>
        <v>8827060</v>
      </c>
      <c r="BC779" s="10">
        <f t="shared" si="371"/>
        <v>0</v>
      </c>
      <c r="BD779" s="10">
        <f t="shared" si="372"/>
        <v>0</v>
      </c>
      <c r="BE779" s="10">
        <v>122.4</v>
      </c>
      <c r="BF779" s="10">
        <v>57.2</v>
      </c>
      <c r="BG779" s="107">
        <v>46176</v>
      </c>
      <c r="BH779" s="107">
        <f t="shared" si="347"/>
        <v>46206</v>
      </c>
      <c r="BI779" s="23">
        <v>7</v>
      </c>
      <c r="BJ779" s="6"/>
      <c r="BK779" s="24"/>
      <c r="BL779" s="6">
        <f>VLOOKUP(A779,[2]Sheet1!$D$2:$H$933,5,0)</f>
        <v>0</v>
      </c>
      <c r="BM779" s="6" t="s">
        <v>3828</v>
      </c>
      <c r="BN779" s="6" t="s">
        <v>3829</v>
      </c>
      <c r="BO779" s="6" t="s">
        <v>3820</v>
      </c>
      <c r="BP779" s="6" t="s">
        <v>3821</v>
      </c>
      <c r="BQ779" s="6" t="s">
        <v>3830</v>
      </c>
      <c r="BR779" t="s">
        <v>3823</v>
      </c>
      <c r="BS779" t="s">
        <v>3824</v>
      </c>
      <c r="BT779" t="s">
        <v>3825</v>
      </c>
      <c r="BU779" t="s">
        <v>3826</v>
      </c>
      <c r="BV779" t="s">
        <v>3827</v>
      </c>
      <c r="BW779" t="s">
        <v>3835</v>
      </c>
      <c r="BX779" s="101">
        <v>5299421.0351376012</v>
      </c>
      <c r="BY779" t="s">
        <v>3865</v>
      </c>
      <c r="BZ779" t="s">
        <v>3863</v>
      </c>
    </row>
    <row r="780" spans="1:78" x14ac:dyDescent="0.25">
      <c r="A780" s="7" t="s">
        <v>3170</v>
      </c>
      <c r="B780" s="7" t="s">
        <v>181</v>
      </c>
      <c r="C780" s="7" t="s">
        <v>3168</v>
      </c>
      <c r="D780" s="8" t="s">
        <v>3169</v>
      </c>
      <c r="E780" s="7" t="s">
        <v>3171</v>
      </c>
      <c r="F780" s="9">
        <v>45051</v>
      </c>
      <c r="G780" s="9" t="s">
        <v>65</v>
      </c>
      <c r="H780" s="9" t="s">
        <v>87</v>
      </c>
      <c r="I780" s="8" t="s">
        <v>78</v>
      </c>
      <c r="J780" s="10">
        <v>683.3</v>
      </c>
      <c r="K780" s="10">
        <v>683.3</v>
      </c>
      <c r="L780" s="10">
        <f t="shared" si="348"/>
        <v>0</v>
      </c>
      <c r="M780" s="10">
        <v>303.54000000000002</v>
      </c>
      <c r="N780" s="10">
        <v>303.54000000000002</v>
      </c>
      <c r="O780" s="10">
        <f t="shared" si="349"/>
        <v>0</v>
      </c>
      <c r="P780" s="11">
        <v>18400</v>
      </c>
      <c r="Q780" s="11">
        <v>41420.307043552741</v>
      </c>
      <c r="R780" s="11">
        <v>40000</v>
      </c>
      <c r="S780" s="11">
        <v>12572720</v>
      </c>
      <c r="T780" s="11">
        <v>1508726</v>
      </c>
      <c r="U780" s="12">
        <f t="shared" si="350"/>
        <v>0.11999996818508644</v>
      </c>
      <c r="V780" s="13">
        <f t="shared" si="346"/>
        <v>0</v>
      </c>
      <c r="W780" s="10">
        <f t="shared" si="351"/>
        <v>0</v>
      </c>
      <c r="X780" s="10"/>
      <c r="Y780" s="10"/>
      <c r="Z780" s="11">
        <f t="shared" si="352"/>
        <v>12572720</v>
      </c>
      <c r="AA780" s="14"/>
      <c r="AB780" s="14"/>
      <c r="AC780" s="11">
        <f t="shared" si="353"/>
        <v>12572720</v>
      </c>
      <c r="AD780" s="10">
        <f t="shared" si="354"/>
        <v>300</v>
      </c>
      <c r="AE780" s="15">
        <v>91062</v>
      </c>
      <c r="AF780" s="16">
        <v>16392</v>
      </c>
      <c r="AG780" s="15">
        <f t="shared" si="355"/>
        <v>0</v>
      </c>
      <c r="AH780" s="15">
        <f t="shared" si="356"/>
        <v>0</v>
      </c>
      <c r="AI780" s="15">
        <f t="shared" si="357"/>
        <v>91062</v>
      </c>
      <c r="AJ780" s="15">
        <f t="shared" si="358"/>
        <v>16392</v>
      </c>
      <c r="AK780" s="10">
        <v>91062</v>
      </c>
      <c r="AL780" s="15">
        <f t="shared" si="359"/>
        <v>91062</v>
      </c>
      <c r="AM780" s="15">
        <f t="shared" si="360"/>
        <v>12663782</v>
      </c>
      <c r="AN780" s="15">
        <f t="shared" si="361"/>
        <v>1525118</v>
      </c>
      <c r="AO780" s="15">
        <f t="shared" si="366"/>
        <v>1660128</v>
      </c>
      <c r="AP780" s="17">
        <f t="shared" si="362"/>
        <v>14323910</v>
      </c>
      <c r="AQ780" s="15">
        <v>12569341.4</v>
      </c>
      <c r="AR780" s="15">
        <v>43948</v>
      </c>
      <c r="AS780" s="18">
        <f t="shared" si="367"/>
        <v>1754569</v>
      </c>
      <c r="AT780" s="19">
        <v>0</v>
      </c>
      <c r="AU780" s="8">
        <v>8800</v>
      </c>
      <c r="AV780" s="13">
        <f t="shared" si="368"/>
        <v>2671152</v>
      </c>
      <c r="AW780" s="18">
        <f t="shared" si="369"/>
        <v>12663782</v>
      </c>
      <c r="AX780" s="15">
        <f t="shared" si="363"/>
        <v>12664000</v>
      </c>
      <c r="AY780" s="20">
        <v>0.06</v>
      </c>
      <c r="AZ780" s="13">
        <f t="shared" si="364"/>
        <v>759840</v>
      </c>
      <c r="BA780" s="15">
        <f t="shared" si="365"/>
        <v>759900</v>
      </c>
      <c r="BB780" s="21">
        <f t="shared" si="370"/>
        <v>2514469</v>
      </c>
      <c r="BC780" s="10">
        <f t="shared" si="371"/>
        <v>0</v>
      </c>
      <c r="BD780" s="10">
        <f t="shared" si="372"/>
        <v>0</v>
      </c>
      <c r="BE780" s="10">
        <v>63.48</v>
      </c>
      <c r="BF780" s="10">
        <v>28.2</v>
      </c>
      <c r="BG780" s="107">
        <v>46176</v>
      </c>
      <c r="BH780" s="107">
        <f t="shared" si="347"/>
        <v>46206</v>
      </c>
      <c r="BI780" s="23">
        <v>6</v>
      </c>
      <c r="BJ780" s="6"/>
      <c r="BK780" s="6"/>
      <c r="BL780" s="6">
        <f>VLOOKUP(A780,[2]Sheet1!$D$2:$H$933,5,0)</f>
        <v>0</v>
      </c>
      <c r="BM780" s="6" t="s">
        <v>3828</v>
      </c>
      <c r="BN780" s="6" t="s">
        <v>3829</v>
      </c>
      <c r="BO780" s="6" t="s">
        <v>3820</v>
      </c>
      <c r="BP780" s="6" t="s">
        <v>3821</v>
      </c>
      <c r="BQ780" s="6" t="s">
        <v>3830</v>
      </c>
      <c r="BR780" t="s">
        <v>3823</v>
      </c>
      <c r="BS780" t="s">
        <v>3824</v>
      </c>
      <c r="BT780" t="s">
        <v>3825</v>
      </c>
      <c r="BU780" t="s">
        <v>3826</v>
      </c>
      <c r="BV780" t="s">
        <v>3827</v>
      </c>
      <c r="BW780" t="s">
        <v>3835</v>
      </c>
      <c r="BX780">
        <v>0</v>
      </c>
      <c r="BY780" t="s">
        <v>3862</v>
      </c>
      <c r="BZ780" t="s">
        <v>3860</v>
      </c>
    </row>
    <row r="781" spans="1:78" x14ac:dyDescent="0.25">
      <c r="A781" s="7" t="s">
        <v>3174</v>
      </c>
      <c r="B781" s="7" t="s">
        <v>181</v>
      </c>
      <c r="C781" s="7" t="s">
        <v>3172</v>
      </c>
      <c r="D781" s="8" t="s">
        <v>3173</v>
      </c>
      <c r="E781" s="7" t="s">
        <v>3175</v>
      </c>
      <c r="F781" s="9">
        <v>45005</v>
      </c>
      <c r="G781" s="9" t="s">
        <v>65</v>
      </c>
      <c r="H781" s="9" t="s">
        <v>92</v>
      </c>
      <c r="I781" s="8" t="s">
        <v>78</v>
      </c>
      <c r="J781" s="10">
        <v>904.61</v>
      </c>
      <c r="K781" s="10">
        <v>904.61</v>
      </c>
      <c r="L781" s="10">
        <f t="shared" si="348"/>
        <v>0</v>
      </c>
      <c r="M781" s="10">
        <v>413.55</v>
      </c>
      <c r="N781" s="10">
        <v>413.55</v>
      </c>
      <c r="O781" s="10">
        <f t="shared" si="349"/>
        <v>0</v>
      </c>
      <c r="P781" s="11">
        <v>19337.000475342964</v>
      </c>
      <c r="Q781" s="11">
        <v>42298.256559061781</v>
      </c>
      <c r="R781" s="11">
        <v>28000</v>
      </c>
      <c r="S781" s="11">
        <v>17492444</v>
      </c>
      <c r="T781" s="11">
        <v>2099094</v>
      </c>
      <c r="U781" s="12">
        <f t="shared" si="350"/>
        <v>0.12000004116062912</v>
      </c>
      <c r="V781" s="13">
        <f t="shared" si="346"/>
        <v>0</v>
      </c>
      <c r="W781" s="10">
        <f t="shared" si="351"/>
        <v>0</v>
      </c>
      <c r="X781" s="10"/>
      <c r="Y781" s="10"/>
      <c r="Z781" s="11">
        <f t="shared" si="352"/>
        <v>17492444</v>
      </c>
      <c r="AA781" s="14"/>
      <c r="AB781" s="14"/>
      <c r="AC781" s="11">
        <f t="shared" si="353"/>
        <v>17492444</v>
      </c>
      <c r="AD781" s="10">
        <f t="shared" si="354"/>
        <v>300</v>
      </c>
      <c r="AE781" s="15">
        <v>124065</v>
      </c>
      <c r="AF781" s="16">
        <v>22332</v>
      </c>
      <c r="AG781" s="15">
        <f t="shared" si="355"/>
        <v>0</v>
      </c>
      <c r="AH781" s="15">
        <f t="shared" si="356"/>
        <v>0</v>
      </c>
      <c r="AI781" s="15">
        <f t="shared" si="357"/>
        <v>124065</v>
      </c>
      <c r="AJ781" s="15">
        <f t="shared" si="358"/>
        <v>22332</v>
      </c>
      <c r="AK781" s="10">
        <v>124065</v>
      </c>
      <c r="AL781" s="15">
        <f t="shared" si="359"/>
        <v>124065</v>
      </c>
      <c r="AM781" s="15">
        <f t="shared" si="360"/>
        <v>17616509</v>
      </c>
      <c r="AN781" s="15">
        <f t="shared" si="361"/>
        <v>2121426</v>
      </c>
      <c r="AO781" s="15">
        <f t="shared" si="366"/>
        <v>2299202</v>
      </c>
      <c r="AP781" s="17">
        <f t="shared" si="362"/>
        <v>19915711</v>
      </c>
      <c r="AQ781" s="15">
        <v>7836616</v>
      </c>
      <c r="AR781" s="15">
        <v>53711</v>
      </c>
      <c r="AS781" s="18">
        <f t="shared" si="367"/>
        <v>12079095</v>
      </c>
      <c r="AT781" s="19">
        <v>0</v>
      </c>
      <c r="AU781" s="8">
        <v>8800</v>
      </c>
      <c r="AV781" s="13">
        <f t="shared" si="368"/>
        <v>3639240</v>
      </c>
      <c r="AW781" s="18">
        <f t="shared" si="369"/>
        <v>17616509</v>
      </c>
      <c r="AX781" s="15">
        <f t="shared" si="363"/>
        <v>17617000</v>
      </c>
      <c r="AY781" s="20">
        <v>0.05</v>
      </c>
      <c r="AZ781" s="13">
        <f t="shared" si="364"/>
        <v>880850</v>
      </c>
      <c r="BA781" s="15">
        <f t="shared" si="365"/>
        <v>880900</v>
      </c>
      <c r="BB781" s="21">
        <f t="shared" si="370"/>
        <v>12959995</v>
      </c>
      <c r="BC781" s="10">
        <f t="shared" si="371"/>
        <v>0</v>
      </c>
      <c r="BD781" s="10">
        <f t="shared" si="372"/>
        <v>0</v>
      </c>
      <c r="BE781" s="10">
        <v>84.04</v>
      </c>
      <c r="BF781" s="10">
        <v>38.42</v>
      </c>
      <c r="BG781" s="107">
        <v>46176</v>
      </c>
      <c r="BH781" s="107">
        <f t="shared" si="347"/>
        <v>46206</v>
      </c>
      <c r="BI781" s="23">
        <v>5</v>
      </c>
      <c r="BJ781" s="6"/>
      <c r="BK781" s="6"/>
      <c r="BL781" s="6">
        <f>VLOOKUP(A781,[2]Sheet1!$D$2:$H$933,5,0)</f>
        <v>0</v>
      </c>
      <c r="BM781" s="6" t="s">
        <v>3828</v>
      </c>
      <c r="BN781" s="6" t="s">
        <v>3829</v>
      </c>
      <c r="BO781" s="6" t="s">
        <v>3820</v>
      </c>
      <c r="BP781" s="6" t="s">
        <v>3821</v>
      </c>
      <c r="BQ781" s="6" t="s">
        <v>3830</v>
      </c>
      <c r="BR781" t="s">
        <v>3823</v>
      </c>
      <c r="BS781" t="s">
        <v>3824</v>
      </c>
      <c r="BT781" t="s">
        <v>3825</v>
      </c>
      <c r="BU781" t="s">
        <v>3826</v>
      </c>
      <c r="BV781" t="s">
        <v>3827</v>
      </c>
      <c r="BW781" t="s">
        <v>3835</v>
      </c>
      <c r="BX781">
        <v>0</v>
      </c>
      <c r="BY781" t="s">
        <v>3861</v>
      </c>
      <c r="BZ781" t="s">
        <v>3860</v>
      </c>
    </row>
    <row r="782" spans="1:78" x14ac:dyDescent="0.25">
      <c r="A782" s="7" t="s">
        <v>3178</v>
      </c>
      <c r="B782" s="7" t="s">
        <v>181</v>
      </c>
      <c r="C782" s="7" t="s">
        <v>3176</v>
      </c>
      <c r="D782" s="8" t="s">
        <v>3177</v>
      </c>
      <c r="E782" s="7" t="s">
        <v>3179</v>
      </c>
      <c r="F782" s="9">
        <v>45008</v>
      </c>
      <c r="G782" s="9" t="s">
        <v>363</v>
      </c>
      <c r="H782" s="9" t="s">
        <v>92</v>
      </c>
      <c r="I782" s="8" t="s">
        <v>78</v>
      </c>
      <c r="J782" s="10">
        <v>697.51</v>
      </c>
      <c r="K782" s="10">
        <v>697.51</v>
      </c>
      <c r="L782" s="10">
        <f t="shared" si="348"/>
        <v>0</v>
      </c>
      <c r="M782" s="10">
        <v>317.54000000000002</v>
      </c>
      <c r="N782" s="10">
        <v>317.54000000000002</v>
      </c>
      <c r="O782" s="10">
        <f t="shared" si="349"/>
        <v>0</v>
      </c>
      <c r="P782" s="11">
        <v>20971.851299622944</v>
      </c>
      <c r="Q782" s="11">
        <v>46066.876613969893</v>
      </c>
      <c r="R782" s="11">
        <v>28000</v>
      </c>
      <c r="S782" s="11">
        <v>14628076</v>
      </c>
      <c r="T782" s="11">
        <v>1755370</v>
      </c>
      <c r="U782" s="12">
        <f t="shared" si="350"/>
        <v>0.12000006015828739</v>
      </c>
      <c r="V782" s="13">
        <f t="shared" si="346"/>
        <v>0</v>
      </c>
      <c r="W782" s="10">
        <f t="shared" si="351"/>
        <v>0</v>
      </c>
      <c r="X782" s="10"/>
      <c r="Y782" s="10"/>
      <c r="Z782" s="11">
        <f t="shared" si="352"/>
        <v>14628076</v>
      </c>
      <c r="AA782" s="14"/>
      <c r="AB782" s="14"/>
      <c r="AC782" s="11">
        <f t="shared" si="353"/>
        <v>14628076</v>
      </c>
      <c r="AD782" s="10">
        <f t="shared" si="354"/>
        <v>300</v>
      </c>
      <c r="AE782" s="15">
        <v>95262</v>
      </c>
      <c r="AF782" s="16">
        <v>17148</v>
      </c>
      <c r="AG782" s="15">
        <f t="shared" si="355"/>
        <v>0</v>
      </c>
      <c r="AH782" s="15">
        <f t="shared" si="356"/>
        <v>0</v>
      </c>
      <c r="AI782" s="15">
        <f t="shared" si="357"/>
        <v>95262</v>
      </c>
      <c r="AJ782" s="15">
        <f t="shared" si="358"/>
        <v>17148</v>
      </c>
      <c r="AK782" s="10">
        <v>95262</v>
      </c>
      <c r="AL782" s="15">
        <f t="shared" si="359"/>
        <v>95262</v>
      </c>
      <c r="AM782" s="15">
        <f t="shared" si="360"/>
        <v>14723338</v>
      </c>
      <c r="AN782" s="15">
        <f t="shared" si="361"/>
        <v>1772518</v>
      </c>
      <c r="AO782" s="15">
        <f t="shared" si="366"/>
        <v>1926845.96</v>
      </c>
      <c r="AP782" s="17">
        <f t="shared" si="362"/>
        <v>16650183.960000001</v>
      </c>
      <c r="AQ782" s="15">
        <v>6145047.1200000001</v>
      </c>
      <c r="AR782" s="15">
        <v>59065.96</v>
      </c>
      <c r="AS782" s="18">
        <f t="shared" si="367"/>
        <v>10505137</v>
      </c>
      <c r="AT782" s="19">
        <v>0</v>
      </c>
      <c r="AU782" s="8">
        <v>8800</v>
      </c>
      <c r="AV782" s="13">
        <f t="shared" si="368"/>
        <v>2794352</v>
      </c>
      <c r="AW782" s="18">
        <f t="shared" si="369"/>
        <v>14723338</v>
      </c>
      <c r="AX782" s="15">
        <f t="shared" si="363"/>
        <v>14724000</v>
      </c>
      <c r="AY782" s="20">
        <v>0.05</v>
      </c>
      <c r="AZ782" s="13">
        <f t="shared" si="364"/>
        <v>736200</v>
      </c>
      <c r="BA782" s="15">
        <f t="shared" si="365"/>
        <v>736200</v>
      </c>
      <c r="BB782" s="21">
        <f t="shared" si="370"/>
        <v>11241337</v>
      </c>
      <c r="BC782" s="10">
        <f t="shared" si="371"/>
        <v>0</v>
      </c>
      <c r="BD782" s="10">
        <f t="shared" si="372"/>
        <v>0</v>
      </c>
      <c r="BE782" s="10">
        <v>64.8</v>
      </c>
      <c r="BF782" s="10">
        <v>29.5</v>
      </c>
      <c r="BG782" s="107">
        <v>46176</v>
      </c>
      <c r="BH782" s="107">
        <f t="shared" si="347"/>
        <v>46206</v>
      </c>
      <c r="BI782" s="23">
        <v>5</v>
      </c>
      <c r="BJ782" s="6"/>
      <c r="BK782" s="6"/>
      <c r="BL782" s="6">
        <f>VLOOKUP(A782,[2]Sheet1!$D$2:$H$933,5,0)</f>
        <v>0</v>
      </c>
      <c r="BM782" s="6" t="s">
        <v>3828</v>
      </c>
      <c r="BN782" s="6" t="s">
        <v>3829</v>
      </c>
      <c r="BO782" s="6" t="s">
        <v>3820</v>
      </c>
      <c r="BP782" s="6" t="s">
        <v>3821</v>
      </c>
      <c r="BQ782" s="6" t="s">
        <v>3830</v>
      </c>
      <c r="BR782" t="s">
        <v>3823</v>
      </c>
      <c r="BS782" t="s">
        <v>3824</v>
      </c>
      <c r="BT782" t="s">
        <v>3825</v>
      </c>
      <c r="BU782" t="s">
        <v>3826</v>
      </c>
      <c r="BV782" t="s">
        <v>3827</v>
      </c>
      <c r="BW782" t="s">
        <v>3835</v>
      </c>
      <c r="BX782">
        <v>0</v>
      </c>
      <c r="BY782" t="s">
        <v>3866</v>
      </c>
      <c r="BZ782" t="s">
        <v>3860</v>
      </c>
    </row>
    <row r="783" spans="1:78" x14ac:dyDescent="0.25">
      <c r="A783" s="7" t="s">
        <v>3182</v>
      </c>
      <c r="B783" s="7" t="s">
        <v>181</v>
      </c>
      <c r="C783" s="7" t="s">
        <v>3180</v>
      </c>
      <c r="D783" s="8" t="s">
        <v>3181</v>
      </c>
      <c r="E783" s="7" t="s">
        <v>3183</v>
      </c>
      <c r="F783" s="9">
        <v>45126</v>
      </c>
      <c r="G783" s="9" t="s">
        <v>65</v>
      </c>
      <c r="H783" s="9" t="s">
        <v>87</v>
      </c>
      <c r="I783" s="8" t="s">
        <v>78</v>
      </c>
      <c r="J783" s="10">
        <v>861.12</v>
      </c>
      <c r="K783" s="10">
        <v>861.12</v>
      </c>
      <c r="L783" s="10">
        <f t="shared" si="348"/>
        <v>0</v>
      </c>
      <c r="M783" s="10">
        <v>399.34</v>
      </c>
      <c r="N783" s="10">
        <v>399.34</v>
      </c>
      <c r="O783" s="10">
        <f t="shared" si="349"/>
        <v>0</v>
      </c>
      <c r="P783" s="11">
        <v>17000.001161278335</v>
      </c>
      <c r="Q783" s="11">
        <v>36658.08834577052</v>
      </c>
      <c r="R783" s="11">
        <v>40000</v>
      </c>
      <c r="S783" s="11">
        <v>14639041</v>
      </c>
      <c r="T783" s="11">
        <v>1756684</v>
      </c>
      <c r="U783" s="12">
        <f t="shared" si="350"/>
        <v>0.11999993715435321</v>
      </c>
      <c r="V783" s="13">
        <f t="shared" si="346"/>
        <v>0</v>
      </c>
      <c r="W783" s="10">
        <f t="shared" si="351"/>
        <v>0</v>
      </c>
      <c r="X783" s="10"/>
      <c r="Y783" s="10"/>
      <c r="Z783" s="11">
        <f t="shared" si="352"/>
        <v>14639041</v>
      </c>
      <c r="AA783" s="14"/>
      <c r="AB783" s="14"/>
      <c r="AC783" s="11">
        <f t="shared" si="353"/>
        <v>14639041</v>
      </c>
      <c r="AD783" s="10">
        <f t="shared" si="354"/>
        <v>300</v>
      </c>
      <c r="AE783" s="15">
        <v>119802</v>
      </c>
      <c r="AF783" s="16">
        <v>21564</v>
      </c>
      <c r="AG783" s="15">
        <f t="shared" si="355"/>
        <v>0</v>
      </c>
      <c r="AH783" s="15">
        <f t="shared" si="356"/>
        <v>0</v>
      </c>
      <c r="AI783" s="15">
        <f t="shared" si="357"/>
        <v>119801.99999999999</v>
      </c>
      <c r="AJ783" s="15">
        <f t="shared" si="358"/>
        <v>21565</v>
      </c>
      <c r="AK783" s="10">
        <v>119802</v>
      </c>
      <c r="AL783" s="15">
        <f t="shared" si="359"/>
        <v>119801.99999999999</v>
      </c>
      <c r="AM783" s="15">
        <f t="shared" si="360"/>
        <v>14758843</v>
      </c>
      <c r="AN783" s="15">
        <f t="shared" si="361"/>
        <v>1778249</v>
      </c>
      <c r="AO783" s="15">
        <f t="shared" si="366"/>
        <v>1961524</v>
      </c>
      <c r="AP783" s="17">
        <f t="shared" si="362"/>
        <v>16720367</v>
      </c>
      <c r="AQ783" s="15">
        <v>3607059.89</v>
      </c>
      <c r="AR783" s="15">
        <v>63473</v>
      </c>
      <c r="AS783" s="18">
        <f t="shared" si="367"/>
        <v>13113307</v>
      </c>
      <c r="AT783" s="19">
        <v>0</v>
      </c>
      <c r="AU783" s="8">
        <v>8800</v>
      </c>
      <c r="AV783" s="13">
        <f t="shared" si="368"/>
        <v>3514192</v>
      </c>
      <c r="AW783" s="18">
        <f t="shared" si="369"/>
        <v>14758843</v>
      </c>
      <c r="AX783" s="15">
        <f t="shared" si="363"/>
        <v>14759000</v>
      </c>
      <c r="AY783" s="20">
        <v>0.05</v>
      </c>
      <c r="AZ783" s="13">
        <f t="shared" si="364"/>
        <v>737950</v>
      </c>
      <c r="BA783" s="15">
        <f t="shared" si="365"/>
        <v>738000</v>
      </c>
      <c r="BB783" s="21">
        <f t="shared" si="370"/>
        <v>13851307</v>
      </c>
      <c r="BC783" s="10">
        <f t="shared" si="371"/>
        <v>0</v>
      </c>
      <c r="BD783" s="10">
        <f t="shared" si="372"/>
        <v>0</v>
      </c>
      <c r="BE783" s="10">
        <v>80</v>
      </c>
      <c r="BF783" s="10">
        <v>37.1</v>
      </c>
      <c r="BG783" s="107">
        <v>46176</v>
      </c>
      <c r="BH783" s="107">
        <f t="shared" si="347"/>
        <v>46206</v>
      </c>
      <c r="BI783" s="23">
        <v>5</v>
      </c>
      <c r="BJ783" s="6"/>
      <c r="BK783" s="6"/>
      <c r="BL783" s="6">
        <f>VLOOKUP(A783,[2]Sheet1!$D$2:$H$933,5,0)</f>
        <v>0</v>
      </c>
      <c r="BM783" s="6" t="s">
        <v>3828</v>
      </c>
      <c r="BN783" s="6" t="s">
        <v>3829</v>
      </c>
      <c r="BO783" s="6" t="s">
        <v>3820</v>
      </c>
      <c r="BP783" s="6" t="s">
        <v>3821</v>
      </c>
      <c r="BQ783" s="6" t="s">
        <v>3830</v>
      </c>
      <c r="BR783" t="s">
        <v>3823</v>
      </c>
      <c r="BS783" t="s">
        <v>3824</v>
      </c>
      <c r="BT783" t="s">
        <v>3825</v>
      </c>
      <c r="BU783" t="s">
        <v>3826</v>
      </c>
      <c r="BV783" t="s">
        <v>3827</v>
      </c>
      <c r="BW783" t="s">
        <v>3835</v>
      </c>
      <c r="BX783">
        <v>0</v>
      </c>
      <c r="BY783" t="s">
        <v>3868</v>
      </c>
      <c r="BZ783" t="s">
        <v>3860</v>
      </c>
    </row>
    <row r="784" spans="1:78" x14ac:dyDescent="0.25">
      <c r="A784" s="7" t="s">
        <v>3186</v>
      </c>
      <c r="B784" s="7" t="s">
        <v>181</v>
      </c>
      <c r="C784" s="7" t="s">
        <v>3184</v>
      </c>
      <c r="D784" s="8" t="s">
        <v>3185</v>
      </c>
      <c r="E784" s="7" t="s">
        <v>3187</v>
      </c>
      <c r="F784" s="9">
        <v>45019</v>
      </c>
      <c r="G784" s="9" t="s">
        <v>65</v>
      </c>
      <c r="H784" s="9" t="s">
        <v>66</v>
      </c>
      <c r="I784" s="8" t="s">
        <v>78</v>
      </c>
      <c r="J784" s="10">
        <v>725.49</v>
      </c>
      <c r="K784" s="10">
        <v>725.49</v>
      </c>
      <c r="L784" s="10">
        <f t="shared" si="348"/>
        <v>0</v>
      </c>
      <c r="M784" s="10">
        <v>337.99</v>
      </c>
      <c r="N784" s="10">
        <v>337.99</v>
      </c>
      <c r="O784" s="10">
        <f t="shared" si="349"/>
        <v>0</v>
      </c>
      <c r="P784" s="11">
        <v>13000</v>
      </c>
      <c r="Q784" s="11">
        <v>27904.287109086068</v>
      </c>
      <c r="R784" s="11">
        <v>22000</v>
      </c>
      <c r="S784" s="11">
        <v>9431370</v>
      </c>
      <c r="T784" s="11">
        <v>1131764</v>
      </c>
      <c r="U784" s="12">
        <f t="shared" si="350"/>
        <v>0.11999995758834613</v>
      </c>
      <c r="V784" s="13">
        <f t="shared" ref="V784:V785" si="373">L784*P784</f>
        <v>0</v>
      </c>
      <c r="W784" s="10">
        <f t="shared" si="351"/>
        <v>0</v>
      </c>
      <c r="X784" s="10"/>
      <c r="Y784" s="10"/>
      <c r="Z784" s="11">
        <f t="shared" si="352"/>
        <v>9431370</v>
      </c>
      <c r="AA784" s="14"/>
      <c r="AB784" s="14"/>
      <c r="AC784" s="11">
        <f t="shared" si="353"/>
        <v>9431370</v>
      </c>
      <c r="AD784" s="10">
        <f t="shared" si="354"/>
        <v>300</v>
      </c>
      <c r="AE784" s="15">
        <v>101397</v>
      </c>
      <c r="AF784" s="16">
        <v>18252</v>
      </c>
      <c r="AG784" s="15">
        <f t="shared" si="355"/>
        <v>0</v>
      </c>
      <c r="AH784" s="15">
        <f t="shared" si="356"/>
        <v>0</v>
      </c>
      <c r="AI784" s="15">
        <f t="shared" si="357"/>
        <v>101397</v>
      </c>
      <c r="AJ784" s="15">
        <f t="shared" si="358"/>
        <v>18252</v>
      </c>
      <c r="AK784" s="10">
        <v>101397</v>
      </c>
      <c r="AL784" s="15">
        <f t="shared" si="359"/>
        <v>101397</v>
      </c>
      <c r="AM784" s="15">
        <f t="shared" si="360"/>
        <v>9532767</v>
      </c>
      <c r="AN784" s="15">
        <f t="shared" si="361"/>
        <v>1150016</v>
      </c>
      <c r="AO784" s="15">
        <f t="shared" si="366"/>
        <v>1307854</v>
      </c>
      <c r="AP784" s="17">
        <f t="shared" si="362"/>
        <v>10840621</v>
      </c>
      <c r="AQ784" s="15">
        <v>2979628</v>
      </c>
      <c r="AR784" s="15">
        <v>56441</v>
      </c>
      <c r="AS784" s="18">
        <f t="shared" si="367"/>
        <v>7860993</v>
      </c>
      <c r="AT784" s="19">
        <v>0</v>
      </c>
      <c r="AU784" s="8">
        <v>8800</v>
      </c>
      <c r="AV784" s="13">
        <f t="shared" si="368"/>
        <v>2974312</v>
      </c>
      <c r="AW784" s="18">
        <f t="shared" si="369"/>
        <v>9532767</v>
      </c>
      <c r="AX784" s="15">
        <f t="shared" si="363"/>
        <v>9533000</v>
      </c>
      <c r="AY784" s="20">
        <v>7.0000000000000007E-2</v>
      </c>
      <c r="AZ784" s="13">
        <f t="shared" si="364"/>
        <v>667310.00000000012</v>
      </c>
      <c r="BA784" s="15">
        <f t="shared" si="365"/>
        <v>667400</v>
      </c>
      <c r="BB784" s="21">
        <f t="shared" si="370"/>
        <v>8528393</v>
      </c>
      <c r="BC784" s="10">
        <f t="shared" si="371"/>
        <v>0</v>
      </c>
      <c r="BD784" s="10">
        <f t="shared" si="372"/>
        <v>0</v>
      </c>
      <c r="BE784" s="10">
        <v>67.400000000000006</v>
      </c>
      <c r="BF784" s="10">
        <v>31.4</v>
      </c>
      <c r="BG784" s="107">
        <v>46176</v>
      </c>
      <c r="BH784" s="107">
        <f t="shared" si="347"/>
        <v>46206</v>
      </c>
      <c r="BI784" s="23">
        <v>7</v>
      </c>
      <c r="BJ784" s="6"/>
      <c r="BK784" s="6"/>
      <c r="BL784" s="6">
        <f>VLOOKUP(A784,[2]Sheet1!$D$2:$H$933,5,0)</f>
        <v>0</v>
      </c>
      <c r="BM784" s="6" t="s">
        <v>3828</v>
      </c>
      <c r="BN784" s="6" t="s">
        <v>3829</v>
      </c>
      <c r="BO784" s="6" t="s">
        <v>3820</v>
      </c>
      <c r="BP784" s="6" t="s">
        <v>3821</v>
      </c>
      <c r="BQ784" s="6" t="s">
        <v>3830</v>
      </c>
      <c r="BR784" t="s">
        <v>3823</v>
      </c>
      <c r="BS784" t="s">
        <v>3824</v>
      </c>
      <c r="BT784" t="s">
        <v>3825</v>
      </c>
      <c r="BU784" t="s">
        <v>3826</v>
      </c>
      <c r="BV784" t="s">
        <v>3827</v>
      </c>
      <c r="BW784" t="s">
        <v>3835</v>
      </c>
      <c r="BX784">
        <v>0</v>
      </c>
      <c r="BY784" t="s">
        <v>3864</v>
      </c>
      <c r="BZ784" t="s">
        <v>3860</v>
      </c>
    </row>
    <row r="785" spans="1:78" x14ac:dyDescent="0.25">
      <c r="A785" s="7" t="s">
        <v>3190</v>
      </c>
      <c r="B785" s="7" t="s">
        <v>181</v>
      </c>
      <c r="C785" s="7" t="s">
        <v>3188</v>
      </c>
      <c r="D785" s="8" t="s">
        <v>3189</v>
      </c>
      <c r="E785" s="7" t="s">
        <v>3191</v>
      </c>
      <c r="F785" s="9">
        <v>44853</v>
      </c>
      <c r="G785" s="9" t="s">
        <v>404</v>
      </c>
      <c r="H785" s="9" t="s">
        <v>190</v>
      </c>
      <c r="I785" s="8" t="s">
        <v>78</v>
      </c>
      <c r="J785" s="10">
        <v>1336.89</v>
      </c>
      <c r="K785" s="10">
        <v>1336.89</v>
      </c>
      <c r="L785" s="10">
        <f t="shared" si="348"/>
        <v>0</v>
      </c>
      <c r="M785" s="10">
        <v>621.08000000000004</v>
      </c>
      <c r="N785" s="10">
        <v>621.08000000000004</v>
      </c>
      <c r="O785" s="10">
        <f t="shared" si="349"/>
        <v>0</v>
      </c>
      <c r="P785" s="11">
        <v>12000</v>
      </c>
      <c r="Q785" s="11">
        <v>25830.295614091581</v>
      </c>
      <c r="R785" s="11">
        <v>60000</v>
      </c>
      <c r="S785" s="11">
        <v>16042680</v>
      </c>
      <c r="T785" s="11">
        <v>1925122</v>
      </c>
      <c r="U785" s="12">
        <f t="shared" si="350"/>
        <v>0.12000002493348992</v>
      </c>
      <c r="V785" s="13">
        <f t="shared" si="373"/>
        <v>0</v>
      </c>
      <c r="W785" s="10">
        <f t="shared" si="351"/>
        <v>0</v>
      </c>
      <c r="X785" s="10"/>
      <c r="Y785" s="10"/>
      <c r="Z785" s="11">
        <f t="shared" si="352"/>
        <v>16042680</v>
      </c>
      <c r="AA785" s="14"/>
      <c r="AB785" s="14"/>
      <c r="AC785" s="11">
        <f t="shared" si="353"/>
        <v>16042680</v>
      </c>
      <c r="AD785" s="10">
        <f t="shared" si="354"/>
        <v>300</v>
      </c>
      <c r="AE785" s="15">
        <v>186324</v>
      </c>
      <c r="AF785" s="16">
        <v>33538</v>
      </c>
      <c r="AG785" s="15">
        <f t="shared" si="355"/>
        <v>0</v>
      </c>
      <c r="AH785" s="15">
        <f t="shared" si="356"/>
        <v>0</v>
      </c>
      <c r="AI785" s="15">
        <f t="shared" si="357"/>
        <v>186324</v>
      </c>
      <c r="AJ785" s="15">
        <f t="shared" si="358"/>
        <v>33539</v>
      </c>
      <c r="AK785" s="10">
        <v>186324</v>
      </c>
      <c r="AL785" s="15">
        <f t="shared" si="359"/>
        <v>186324</v>
      </c>
      <c r="AM785" s="15">
        <f t="shared" si="360"/>
        <v>16229004</v>
      </c>
      <c r="AN785" s="15">
        <f t="shared" si="361"/>
        <v>1958661</v>
      </c>
      <c r="AO785" s="15">
        <f t="shared" si="366"/>
        <v>2200790</v>
      </c>
      <c r="AP785" s="17">
        <f t="shared" si="362"/>
        <v>18429794</v>
      </c>
      <c r="AQ785" s="15">
        <v>8367410.0300000003</v>
      </c>
      <c r="AR785" s="15">
        <v>55805</v>
      </c>
      <c r="AS785" s="18">
        <f t="shared" si="367"/>
        <v>10062384</v>
      </c>
      <c r="AT785" s="19">
        <v>0</v>
      </c>
      <c r="AU785" s="8">
        <v>8800</v>
      </c>
      <c r="AV785" s="13">
        <f t="shared" si="368"/>
        <v>5465504</v>
      </c>
      <c r="AW785" s="18">
        <f t="shared" si="369"/>
        <v>16229004</v>
      </c>
      <c r="AX785" s="15">
        <f t="shared" si="363"/>
        <v>16230000</v>
      </c>
      <c r="AY785" s="20">
        <v>7.0000000000000007E-2</v>
      </c>
      <c r="AZ785" s="13">
        <f t="shared" si="364"/>
        <v>1136100</v>
      </c>
      <c r="BA785" s="15">
        <f t="shared" si="365"/>
        <v>1136100</v>
      </c>
      <c r="BB785" s="21">
        <f t="shared" si="370"/>
        <v>11198484</v>
      </c>
      <c r="BC785" s="10">
        <f t="shared" si="371"/>
        <v>0</v>
      </c>
      <c r="BD785" s="10">
        <f t="shared" si="372"/>
        <v>0</v>
      </c>
      <c r="BE785" s="10">
        <v>124.2</v>
      </c>
      <c r="BF785" s="10">
        <v>57.7</v>
      </c>
      <c r="BG785" s="107">
        <v>46176</v>
      </c>
      <c r="BH785" s="107">
        <f t="shared" si="347"/>
        <v>46206</v>
      </c>
      <c r="BI785" s="23">
        <v>7</v>
      </c>
      <c r="BJ785" s="6"/>
      <c r="BK785" s="6"/>
      <c r="BL785" s="6">
        <f>VLOOKUP(A785,[2]Sheet1!$D$2:$H$933,5,0)</f>
        <v>0</v>
      </c>
      <c r="BM785" s="6" t="s">
        <v>3828</v>
      </c>
      <c r="BN785" s="6" t="s">
        <v>3829</v>
      </c>
      <c r="BO785" s="6" t="s">
        <v>3820</v>
      </c>
      <c r="BP785" s="6" t="s">
        <v>3821</v>
      </c>
      <c r="BQ785" s="6" t="s">
        <v>3830</v>
      </c>
      <c r="BR785" t="s">
        <v>3823</v>
      </c>
      <c r="BS785" t="s">
        <v>3824</v>
      </c>
      <c r="BT785" t="s">
        <v>3825</v>
      </c>
      <c r="BU785" t="s">
        <v>3826</v>
      </c>
      <c r="BV785" t="s">
        <v>3827</v>
      </c>
      <c r="BW785" t="s">
        <v>3835</v>
      </c>
      <c r="BX785">
        <v>0</v>
      </c>
      <c r="BY785" t="s">
        <v>3865</v>
      </c>
      <c r="BZ785" t="s">
        <v>3863</v>
      </c>
    </row>
    <row r="786" spans="1:78" x14ac:dyDescent="0.25">
      <c r="A786" s="7" t="s">
        <v>3194</v>
      </c>
      <c r="B786" s="7" t="s">
        <v>181</v>
      </c>
      <c r="C786" s="7" t="s">
        <v>3192</v>
      </c>
      <c r="D786" s="8" t="s">
        <v>3193</v>
      </c>
      <c r="E786" s="7" t="s">
        <v>2597</v>
      </c>
      <c r="F786" s="9">
        <v>44854</v>
      </c>
      <c r="G786" s="9" t="s">
        <v>717</v>
      </c>
      <c r="H786" s="9" t="s">
        <v>66</v>
      </c>
      <c r="I786" s="8" t="s">
        <v>78</v>
      </c>
      <c r="J786" s="10">
        <v>406.88</v>
      </c>
      <c r="K786" s="10">
        <v>412</v>
      </c>
      <c r="L786" s="10">
        <f t="shared" si="348"/>
        <v>5.1200000000000045</v>
      </c>
      <c r="M786" s="10">
        <v>175.45</v>
      </c>
      <c r="N786" s="10">
        <v>182</v>
      </c>
      <c r="O786" s="10">
        <f t="shared" si="349"/>
        <v>6.5500000000000114</v>
      </c>
      <c r="P786" s="11">
        <v>12000</v>
      </c>
      <c r="Q786" s="11">
        <v>27828.78312909661</v>
      </c>
      <c r="R786" s="11">
        <v>22000</v>
      </c>
      <c r="S786" s="11">
        <v>4882560</v>
      </c>
      <c r="T786" s="11">
        <v>585908</v>
      </c>
      <c r="U786" s="12">
        <f t="shared" si="350"/>
        <v>0.12000016384847294</v>
      </c>
      <c r="V786" s="13">
        <f>L786*R786</f>
        <v>112640.0000000001</v>
      </c>
      <c r="W786" s="10">
        <f t="shared" si="351"/>
        <v>13516.818455892004</v>
      </c>
      <c r="X786" s="15"/>
      <c r="Y786" s="15"/>
      <c r="Z786" s="11">
        <f t="shared" si="352"/>
        <v>4995200</v>
      </c>
      <c r="AA786" s="14"/>
      <c r="AB786" s="14"/>
      <c r="AC786" s="11">
        <f t="shared" si="353"/>
        <v>4995200</v>
      </c>
      <c r="AD786" s="10">
        <f t="shared" si="354"/>
        <v>300</v>
      </c>
      <c r="AE786" s="15">
        <v>52635</v>
      </c>
      <c r="AF786" s="16">
        <v>9474</v>
      </c>
      <c r="AG786" s="15">
        <f t="shared" si="355"/>
        <v>1965.0000000000034</v>
      </c>
      <c r="AH786" s="15">
        <f t="shared" si="356"/>
        <v>353.70000000000061</v>
      </c>
      <c r="AI786" s="15">
        <f t="shared" si="357"/>
        <v>54600</v>
      </c>
      <c r="AJ786" s="15">
        <f t="shared" si="358"/>
        <v>9828</v>
      </c>
      <c r="AK786" s="10">
        <v>52635</v>
      </c>
      <c r="AL786" s="15">
        <f t="shared" si="359"/>
        <v>54600</v>
      </c>
      <c r="AM786" s="15">
        <f t="shared" si="360"/>
        <v>5049800</v>
      </c>
      <c r="AN786" s="15">
        <f t="shared" si="361"/>
        <v>609253</v>
      </c>
      <c r="AO786" s="15">
        <f t="shared" si="366"/>
        <v>714127.24</v>
      </c>
      <c r="AP786" s="17">
        <f t="shared" si="362"/>
        <v>5763927.2400000002</v>
      </c>
      <c r="AQ786" s="15">
        <v>2492157</v>
      </c>
      <c r="AR786" s="15">
        <v>50274.239999999998</v>
      </c>
      <c r="AS786" s="18">
        <f t="shared" si="367"/>
        <v>3271770</v>
      </c>
      <c r="AT786" s="19">
        <v>0</v>
      </c>
      <c r="AU786" s="8">
        <v>8800</v>
      </c>
      <c r="AV786" s="13">
        <f t="shared" si="368"/>
        <v>1601600</v>
      </c>
      <c r="AW786" s="18">
        <f t="shared" si="369"/>
        <v>5049800</v>
      </c>
      <c r="AX786" s="15">
        <f t="shared" si="363"/>
        <v>5050000</v>
      </c>
      <c r="AY786" s="20">
        <v>0.06</v>
      </c>
      <c r="AZ786" s="13">
        <f t="shared" si="364"/>
        <v>303000</v>
      </c>
      <c r="BA786" s="15">
        <f t="shared" si="365"/>
        <v>303000</v>
      </c>
      <c r="BB786" s="21">
        <f t="shared" si="370"/>
        <v>3574770</v>
      </c>
      <c r="BC786" s="10">
        <f t="shared" si="371"/>
        <v>1.2583562721195451</v>
      </c>
      <c r="BD786" s="10">
        <f t="shared" si="372"/>
        <v>3.733257338273019</v>
      </c>
      <c r="BE786" s="10">
        <v>38.28</v>
      </c>
      <c r="BF786" s="10">
        <v>16.91</v>
      </c>
      <c r="BG786" s="107">
        <v>46176</v>
      </c>
      <c r="BH786" s="107">
        <f t="shared" si="347"/>
        <v>46206</v>
      </c>
      <c r="BI786" s="23">
        <v>6</v>
      </c>
      <c r="BJ786" s="6"/>
      <c r="BK786" s="6"/>
      <c r="BL786" s="6">
        <f>VLOOKUP(A786,[2]Sheet1!$D$2:$H$933,5,0)</f>
        <v>0</v>
      </c>
      <c r="BM786" s="6" t="s">
        <v>3828</v>
      </c>
      <c r="BN786" s="6" t="s">
        <v>3829</v>
      </c>
      <c r="BO786" s="6" t="s">
        <v>3820</v>
      </c>
      <c r="BP786" s="6" t="s">
        <v>3821</v>
      </c>
      <c r="BQ786" s="6" t="s">
        <v>3830</v>
      </c>
      <c r="BR786" t="s">
        <v>3823</v>
      </c>
      <c r="BS786" t="s">
        <v>3824</v>
      </c>
      <c r="BT786" t="s">
        <v>3825</v>
      </c>
      <c r="BU786" t="s">
        <v>3826</v>
      </c>
      <c r="BV786" t="s">
        <v>3827</v>
      </c>
      <c r="BW786" t="s">
        <v>3835</v>
      </c>
      <c r="BX786">
        <v>0</v>
      </c>
      <c r="BY786" t="s">
        <v>3866</v>
      </c>
      <c r="BZ786" t="s">
        <v>3872</v>
      </c>
    </row>
    <row r="787" spans="1:78" x14ac:dyDescent="0.25">
      <c r="A787" s="7" t="s">
        <v>3197</v>
      </c>
      <c r="B787" s="7" t="s">
        <v>181</v>
      </c>
      <c r="C787" s="7" t="s">
        <v>3195</v>
      </c>
      <c r="D787" s="8" t="s">
        <v>3196</v>
      </c>
      <c r="E787" s="7" t="s">
        <v>3198</v>
      </c>
      <c r="F787" s="9">
        <v>45043</v>
      </c>
      <c r="G787" s="9" t="s">
        <v>65</v>
      </c>
      <c r="H787" s="9" t="s">
        <v>92</v>
      </c>
      <c r="I787" s="8" t="s">
        <v>78</v>
      </c>
      <c r="J787" s="10">
        <v>921.83</v>
      </c>
      <c r="K787" s="10">
        <v>921.83</v>
      </c>
      <c r="L787" s="10">
        <f t="shared" si="348"/>
        <v>0</v>
      </c>
      <c r="M787" s="10">
        <v>427.76</v>
      </c>
      <c r="N787" s="10">
        <v>427.76</v>
      </c>
      <c r="O787" s="10">
        <f t="shared" si="349"/>
        <v>0</v>
      </c>
      <c r="P787" s="11">
        <v>14685.999587776487</v>
      </c>
      <c r="Q787" s="11">
        <v>31648.576304469796</v>
      </c>
      <c r="R787" s="11">
        <v>28000</v>
      </c>
      <c r="S787" s="11">
        <v>13537995</v>
      </c>
      <c r="T787" s="11">
        <v>1624560</v>
      </c>
      <c r="U787" s="12">
        <f t="shared" si="350"/>
        <v>0.12000004431970908</v>
      </c>
      <c r="V787" s="13">
        <f>L787*P787</f>
        <v>0</v>
      </c>
      <c r="W787" s="10">
        <f t="shared" si="351"/>
        <v>0</v>
      </c>
      <c r="X787" s="10"/>
      <c r="Y787" s="10"/>
      <c r="Z787" s="11">
        <f t="shared" si="352"/>
        <v>13537995</v>
      </c>
      <c r="AA787" s="14"/>
      <c r="AB787" s="14"/>
      <c r="AC787" s="11">
        <f t="shared" si="353"/>
        <v>13537995</v>
      </c>
      <c r="AD787" s="10">
        <f t="shared" si="354"/>
        <v>300</v>
      </c>
      <c r="AE787" s="15">
        <v>128328</v>
      </c>
      <c r="AF787" s="16">
        <v>23100</v>
      </c>
      <c r="AG787" s="15">
        <f t="shared" si="355"/>
        <v>0</v>
      </c>
      <c r="AH787" s="15">
        <f t="shared" si="356"/>
        <v>0</v>
      </c>
      <c r="AI787" s="15">
        <f t="shared" si="357"/>
        <v>128328</v>
      </c>
      <c r="AJ787" s="15">
        <f t="shared" si="358"/>
        <v>23100</v>
      </c>
      <c r="AK787" s="10">
        <v>128328</v>
      </c>
      <c r="AL787" s="15">
        <f t="shared" si="359"/>
        <v>128328</v>
      </c>
      <c r="AM787" s="15">
        <f t="shared" si="360"/>
        <v>13666323</v>
      </c>
      <c r="AN787" s="15">
        <f t="shared" si="361"/>
        <v>1647660</v>
      </c>
      <c r="AO787" s="15">
        <f t="shared" si="366"/>
        <v>1837795</v>
      </c>
      <c r="AP787" s="17">
        <f t="shared" si="362"/>
        <v>15504118</v>
      </c>
      <c r="AQ787" s="15">
        <v>5509404.1099999994</v>
      </c>
      <c r="AR787" s="15">
        <v>61807</v>
      </c>
      <c r="AS787" s="18">
        <f t="shared" si="367"/>
        <v>9994714</v>
      </c>
      <c r="AT787" s="19">
        <v>0</v>
      </c>
      <c r="AU787" s="8">
        <v>8800</v>
      </c>
      <c r="AV787" s="13">
        <f t="shared" si="368"/>
        <v>3764288</v>
      </c>
      <c r="AW787" s="18">
        <f t="shared" si="369"/>
        <v>13666323</v>
      </c>
      <c r="AX787" s="15">
        <f t="shared" si="363"/>
        <v>13667000</v>
      </c>
      <c r="AY787" s="20">
        <v>7.0000000000000007E-2</v>
      </c>
      <c r="AZ787" s="13">
        <f t="shared" si="364"/>
        <v>956690.00000000012</v>
      </c>
      <c r="BA787" s="15">
        <f t="shared" si="365"/>
        <v>956700</v>
      </c>
      <c r="BB787" s="21">
        <f t="shared" si="370"/>
        <v>10951414</v>
      </c>
      <c r="BC787" s="10">
        <f t="shared" si="371"/>
        <v>0</v>
      </c>
      <c r="BD787" s="10">
        <f t="shared" si="372"/>
        <v>0</v>
      </c>
      <c r="BE787" s="10">
        <v>85.64</v>
      </c>
      <c r="BF787" s="10">
        <v>39.74</v>
      </c>
      <c r="BG787" s="107">
        <v>46176</v>
      </c>
      <c r="BH787" s="107">
        <f t="shared" si="347"/>
        <v>46206</v>
      </c>
      <c r="BI787" s="23">
        <v>7</v>
      </c>
      <c r="BJ787" s="6"/>
      <c r="BK787" s="6"/>
      <c r="BL787" s="6">
        <f>VLOOKUP(A787,[2]Sheet1!$D$2:$H$933,5,0)</f>
        <v>0</v>
      </c>
      <c r="BM787" s="6" t="s">
        <v>3828</v>
      </c>
      <c r="BN787" s="6" t="s">
        <v>3829</v>
      </c>
      <c r="BO787" s="6" t="s">
        <v>3820</v>
      </c>
      <c r="BP787" s="6" t="s">
        <v>3821</v>
      </c>
      <c r="BQ787" s="6" t="s">
        <v>3830</v>
      </c>
      <c r="BR787" t="s">
        <v>3823</v>
      </c>
      <c r="BS787" t="s">
        <v>3824</v>
      </c>
      <c r="BT787" t="s">
        <v>3825</v>
      </c>
      <c r="BU787" t="s">
        <v>3826</v>
      </c>
      <c r="BV787" t="s">
        <v>3827</v>
      </c>
      <c r="BW787" t="s">
        <v>3835</v>
      </c>
      <c r="BX787">
        <v>0</v>
      </c>
      <c r="BY787" t="s">
        <v>3859</v>
      </c>
      <c r="BZ787" t="s">
        <v>3860</v>
      </c>
    </row>
    <row r="788" spans="1:78" x14ac:dyDescent="0.25">
      <c r="A788" s="7" t="s">
        <v>3201</v>
      </c>
      <c r="B788" s="7" t="s">
        <v>181</v>
      </c>
      <c r="C788" s="7" t="s">
        <v>3199</v>
      </c>
      <c r="D788" s="8" t="s">
        <v>3200</v>
      </c>
      <c r="E788" s="7" t="s">
        <v>3202</v>
      </c>
      <c r="F788" s="9">
        <v>45276</v>
      </c>
      <c r="G788" s="9" t="s">
        <v>404</v>
      </c>
      <c r="H788" s="9" t="s">
        <v>190</v>
      </c>
      <c r="I788" s="8" t="s">
        <v>78</v>
      </c>
      <c r="J788" s="10">
        <v>2849.02</v>
      </c>
      <c r="K788" s="10">
        <v>2849.02</v>
      </c>
      <c r="L788" s="10">
        <f t="shared" si="348"/>
        <v>0</v>
      </c>
      <c r="M788" s="10">
        <v>1342.81</v>
      </c>
      <c r="N788" s="10">
        <v>1342.81</v>
      </c>
      <c r="O788" s="10">
        <f t="shared" si="349"/>
        <v>0</v>
      </c>
      <c r="P788" s="11">
        <v>12230.99978238131</v>
      </c>
      <c r="Q788" s="11">
        <v>25950.330277552297</v>
      </c>
      <c r="R788" s="11">
        <v>60000</v>
      </c>
      <c r="S788" s="11">
        <v>34846363</v>
      </c>
      <c r="T788" s="11">
        <v>4181564</v>
      </c>
      <c r="U788" s="12">
        <f t="shared" si="350"/>
        <v>0.12000001262685578</v>
      </c>
      <c r="V788" s="13">
        <f>L788*P788</f>
        <v>0</v>
      </c>
      <c r="W788" s="10">
        <f t="shared" si="351"/>
        <v>0</v>
      </c>
      <c r="X788" s="10"/>
      <c r="Y788" s="10"/>
      <c r="Z788" s="11">
        <f t="shared" si="352"/>
        <v>34846363</v>
      </c>
      <c r="AA788" s="14"/>
      <c r="AB788" s="14"/>
      <c r="AC788" s="11">
        <f t="shared" si="353"/>
        <v>34846363</v>
      </c>
      <c r="AD788" s="10">
        <f t="shared" si="354"/>
        <v>300</v>
      </c>
      <c r="AE788" s="15">
        <v>402843</v>
      </c>
      <c r="AF788" s="16">
        <v>72512</v>
      </c>
      <c r="AG788" s="15">
        <f t="shared" si="355"/>
        <v>0</v>
      </c>
      <c r="AH788" s="15">
        <f t="shared" si="356"/>
        <v>0</v>
      </c>
      <c r="AI788" s="15">
        <f t="shared" si="357"/>
        <v>402843</v>
      </c>
      <c r="AJ788" s="15">
        <f t="shared" si="358"/>
        <v>72512</v>
      </c>
      <c r="AK788" s="10">
        <v>402843</v>
      </c>
      <c r="AL788" s="15">
        <f t="shared" si="359"/>
        <v>402843</v>
      </c>
      <c r="AM788" s="15">
        <f t="shared" si="360"/>
        <v>35249206</v>
      </c>
      <c r="AN788" s="15">
        <f t="shared" si="361"/>
        <v>4254076</v>
      </c>
      <c r="AO788" s="15">
        <f t="shared" si="366"/>
        <v>4714021</v>
      </c>
      <c r="AP788" s="17">
        <f t="shared" si="362"/>
        <v>39963227</v>
      </c>
      <c r="AQ788" s="15">
        <v>30020001.300000001</v>
      </c>
      <c r="AR788" s="15">
        <v>57102</v>
      </c>
      <c r="AS788" s="18">
        <f t="shared" si="367"/>
        <v>9943226</v>
      </c>
      <c r="AT788" s="19">
        <v>0</v>
      </c>
      <c r="AU788" s="8">
        <v>8800</v>
      </c>
      <c r="AV788" s="13">
        <f t="shared" si="368"/>
        <v>11816728</v>
      </c>
      <c r="AW788" s="18">
        <f t="shared" si="369"/>
        <v>35249206</v>
      </c>
      <c r="AX788" s="15">
        <f t="shared" si="363"/>
        <v>35250000</v>
      </c>
      <c r="AY788" s="20">
        <v>7.0000000000000007E-2</v>
      </c>
      <c r="AZ788" s="13">
        <f t="shared" si="364"/>
        <v>2467500.0000000005</v>
      </c>
      <c r="BA788" s="15">
        <f t="shared" si="365"/>
        <v>2467500</v>
      </c>
      <c r="BB788" s="21">
        <f t="shared" si="370"/>
        <v>12410726</v>
      </c>
      <c r="BC788" s="10">
        <f t="shared" si="371"/>
        <v>0</v>
      </c>
      <c r="BD788" s="10">
        <f t="shared" si="372"/>
        <v>0</v>
      </c>
      <c r="BE788" s="10">
        <v>264.68</v>
      </c>
      <c r="BF788" s="10">
        <v>124.75</v>
      </c>
      <c r="BG788" s="107">
        <v>46176</v>
      </c>
      <c r="BH788" s="107">
        <f t="shared" si="347"/>
        <v>46206</v>
      </c>
      <c r="BI788" s="23">
        <v>7</v>
      </c>
      <c r="BJ788" s="6"/>
      <c r="BK788" s="6"/>
      <c r="BL788" s="6">
        <f>VLOOKUP(A788,[2]Sheet1!$D$2:$H$933,5,0)</f>
        <v>0</v>
      </c>
      <c r="BM788" s="6" t="s">
        <v>3828</v>
      </c>
      <c r="BN788" s="6" t="s">
        <v>3829</v>
      </c>
      <c r="BO788" s="6" t="s">
        <v>3820</v>
      </c>
      <c r="BP788" s="6" t="s">
        <v>3821</v>
      </c>
      <c r="BQ788" s="6" t="s">
        <v>3830</v>
      </c>
      <c r="BR788" t="s">
        <v>3823</v>
      </c>
      <c r="BS788" t="s">
        <v>3824</v>
      </c>
      <c r="BT788" t="s">
        <v>3825</v>
      </c>
      <c r="BU788" t="s">
        <v>3826</v>
      </c>
      <c r="BV788" t="s">
        <v>3827</v>
      </c>
      <c r="BW788" t="s">
        <v>3835</v>
      </c>
      <c r="BX788">
        <v>0</v>
      </c>
      <c r="BY788" t="s">
        <v>3865</v>
      </c>
      <c r="BZ788" t="s">
        <v>3863</v>
      </c>
    </row>
    <row r="789" spans="1:78" x14ac:dyDescent="0.25">
      <c r="A789" s="7" t="s">
        <v>3205</v>
      </c>
      <c r="B789" s="7" t="s">
        <v>181</v>
      </c>
      <c r="C789" s="7" t="s">
        <v>3203</v>
      </c>
      <c r="D789" s="8" t="s">
        <v>3204</v>
      </c>
      <c r="E789" s="7" t="s">
        <v>3206</v>
      </c>
      <c r="F789" s="9">
        <v>45232</v>
      </c>
      <c r="G789" s="9" t="s">
        <v>363</v>
      </c>
      <c r="H789" s="9" t="s">
        <v>87</v>
      </c>
      <c r="I789" s="8" t="s">
        <v>78</v>
      </c>
      <c r="J789" s="10">
        <v>697.51</v>
      </c>
      <c r="K789" s="10">
        <v>697.51</v>
      </c>
      <c r="L789" s="10">
        <f t="shared" si="348"/>
        <v>0</v>
      </c>
      <c r="M789" s="10">
        <v>319.69</v>
      </c>
      <c r="N789" s="10">
        <v>319.69</v>
      </c>
      <c r="O789" s="10">
        <f t="shared" si="349"/>
        <v>0</v>
      </c>
      <c r="P789" s="11">
        <v>21000</v>
      </c>
      <c r="Q789" s="11">
        <v>45818.480402890302</v>
      </c>
      <c r="R789" s="11">
        <v>40000</v>
      </c>
      <c r="S789" s="11">
        <v>14647710</v>
      </c>
      <c r="T789" s="11">
        <v>1757726</v>
      </c>
      <c r="U789" s="12">
        <f t="shared" si="350"/>
        <v>0.12000005461604578</v>
      </c>
      <c r="V789" s="13">
        <f>L789*P789</f>
        <v>0</v>
      </c>
      <c r="W789" s="10">
        <f t="shared" si="351"/>
        <v>0</v>
      </c>
      <c r="X789" s="10"/>
      <c r="Y789" s="10"/>
      <c r="Z789" s="11">
        <f t="shared" si="352"/>
        <v>14647710</v>
      </c>
      <c r="AA789" s="14"/>
      <c r="AB789" s="14"/>
      <c r="AC789" s="11">
        <f t="shared" si="353"/>
        <v>14647710</v>
      </c>
      <c r="AD789" s="10">
        <f t="shared" si="354"/>
        <v>300</v>
      </c>
      <c r="AE789" s="15">
        <v>95907</v>
      </c>
      <c r="AF789" s="16">
        <v>17264</v>
      </c>
      <c r="AG789" s="15">
        <f t="shared" si="355"/>
        <v>0</v>
      </c>
      <c r="AH789" s="15">
        <f t="shared" si="356"/>
        <v>0</v>
      </c>
      <c r="AI789" s="15">
        <f t="shared" si="357"/>
        <v>95907</v>
      </c>
      <c r="AJ789" s="15">
        <f t="shared" si="358"/>
        <v>17264</v>
      </c>
      <c r="AK789" s="10">
        <v>95907</v>
      </c>
      <c r="AL789" s="15">
        <f t="shared" si="359"/>
        <v>95907</v>
      </c>
      <c r="AM789" s="15">
        <f t="shared" si="360"/>
        <v>14743617</v>
      </c>
      <c r="AN789" s="15">
        <f t="shared" si="361"/>
        <v>1774990</v>
      </c>
      <c r="AO789" s="15">
        <f t="shared" si="366"/>
        <v>1920658.6</v>
      </c>
      <c r="AP789" s="17">
        <f t="shared" si="362"/>
        <v>16664275.6</v>
      </c>
      <c r="AQ789" s="15">
        <v>14764893.550000001</v>
      </c>
      <c r="AR789" s="15">
        <v>49761.599999999999</v>
      </c>
      <c r="AS789" s="18">
        <f t="shared" si="367"/>
        <v>1899382</v>
      </c>
      <c r="AT789" s="19">
        <v>0</v>
      </c>
      <c r="AU789" s="8">
        <v>8800</v>
      </c>
      <c r="AV789" s="13">
        <f t="shared" si="368"/>
        <v>2813272</v>
      </c>
      <c r="AW789" s="18">
        <f t="shared" si="369"/>
        <v>14743617</v>
      </c>
      <c r="AX789" s="15">
        <f t="shared" si="363"/>
        <v>14744000</v>
      </c>
      <c r="AY789" s="20">
        <v>0.05</v>
      </c>
      <c r="AZ789" s="13">
        <f t="shared" si="364"/>
        <v>737200</v>
      </c>
      <c r="BA789" s="15">
        <f t="shared" si="365"/>
        <v>737200</v>
      </c>
      <c r="BB789" s="21">
        <f t="shared" si="370"/>
        <v>2636582</v>
      </c>
      <c r="BC789" s="10">
        <f t="shared" si="371"/>
        <v>0</v>
      </c>
      <c r="BD789" s="10">
        <f t="shared" si="372"/>
        <v>0</v>
      </c>
      <c r="BE789" s="10">
        <v>64.8</v>
      </c>
      <c r="BF789" s="10">
        <v>29.7</v>
      </c>
      <c r="BG789" s="107">
        <v>46176</v>
      </c>
      <c r="BH789" s="107">
        <f t="shared" si="347"/>
        <v>46206</v>
      </c>
      <c r="BI789" s="23">
        <v>5</v>
      </c>
      <c r="BJ789" s="6"/>
      <c r="BK789" s="6"/>
      <c r="BL789" s="6">
        <f>VLOOKUP(A789,[2]Sheet1!$D$2:$H$933,5,0)</f>
        <v>0</v>
      </c>
      <c r="BM789" s="6" t="s">
        <v>3828</v>
      </c>
      <c r="BN789" s="6" t="s">
        <v>3829</v>
      </c>
      <c r="BO789" s="6" t="s">
        <v>3820</v>
      </c>
      <c r="BP789" s="6" t="s">
        <v>3821</v>
      </c>
      <c r="BQ789" s="6" t="s">
        <v>3830</v>
      </c>
      <c r="BR789" t="s">
        <v>3823</v>
      </c>
      <c r="BS789" t="s">
        <v>3824</v>
      </c>
      <c r="BT789" t="s">
        <v>3825</v>
      </c>
      <c r="BU789" t="s">
        <v>3826</v>
      </c>
      <c r="BV789" t="s">
        <v>3827</v>
      </c>
      <c r="BW789" t="s">
        <v>3835</v>
      </c>
      <c r="BX789">
        <v>0</v>
      </c>
      <c r="BY789" t="s">
        <v>3862</v>
      </c>
      <c r="BZ789" t="s">
        <v>3860</v>
      </c>
    </row>
    <row r="790" spans="1:78" x14ac:dyDescent="0.25">
      <c r="A790" s="7" t="s">
        <v>3209</v>
      </c>
      <c r="B790" s="7" t="s">
        <v>181</v>
      </c>
      <c r="C790" s="7" t="s">
        <v>3207</v>
      </c>
      <c r="D790" s="8" t="s">
        <v>3208</v>
      </c>
      <c r="E790" s="7" t="s">
        <v>3210</v>
      </c>
      <c r="F790" s="9">
        <v>44996</v>
      </c>
      <c r="G790" s="9" t="s">
        <v>65</v>
      </c>
      <c r="H790" s="9" t="s">
        <v>1167</v>
      </c>
      <c r="I790" s="8" t="s">
        <v>635</v>
      </c>
      <c r="J790" s="10">
        <v>2084.13</v>
      </c>
      <c r="K790" s="10">
        <v>2084.13</v>
      </c>
      <c r="L790" s="10">
        <f t="shared" si="348"/>
        <v>0</v>
      </c>
      <c r="M790" s="10">
        <v>229.27</v>
      </c>
      <c r="N790" s="10">
        <v>229.27</v>
      </c>
      <c r="O790" s="10">
        <f t="shared" si="349"/>
        <v>0</v>
      </c>
      <c r="P790" s="11">
        <v>11895.999769688071</v>
      </c>
      <c r="Q790" s="11">
        <v>108138.046844332</v>
      </c>
      <c r="R790" s="11">
        <v>20000</v>
      </c>
      <c r="S790" s="11">
        <v>24792810</v>
      </c>
      <c r="T790" s="11">
        <v>2975138</v>
      </c>
      <c r="U790" s="12">
        <f t="shared" si="350"/>
        <v>0.12000003226741947</v>
      </c>
      <c r="V790" s="13">
        <f>L790*P790</f>
        <v>0</v>
      </c>
      <c r="W790" s="10">
        <f t="shared" si="351"/>
        <v>0</v>
      </c>
      <c r="X790" s="10"/>
      <c r="Y790" s="10"/>
      <c r="Z790" s="11">
        <f t="shared" si="352"/>
        <v>24792810</v>
      </c>
      <c r="AA790" s="14"/>
      <c r="AB790" s="14"/>
      <c r="AC790" s="11">
        <f t="shared" si="353"/>
        <v>24792810</v>
      </c>
      <c r="AD790" s="10">
        <f t="shared" si="354"/>
        <v>300</v>
      </c>
      <c r="AE790" s="15">
        <v>68781</v>
      </c>
      <c r="AF790" s="16">
        <v>12380</v>
      </c>
      <c r="AG790" s="15">
        <f t="shared" si="355"/>
        <v>0</v>
      </c>
      <c r="AH790" s="15">
        <f t="shared" si="356"/>
        <v>0</v>
      </c>
      <c r="AI790" s="15">
        <f t="shared" si="357"/>
        <v>68781</v>
      </c>
      <c r="AJ790" s="15">
        <f t="shared" si="358"/>
        <v>12381</v>
      </c>
      <c r="AK790" s="10">
        <v>68781</v>
      </c>
      <c r="AL790" s="15">
        <f t="shared" si="359"/>
        <v>68781</v>
      </c>
      <c r="AM790" s="15">
        <f t="shared" si="360"/>
        <v>24861591</v>
      </c>
      <c r="AN790" s="15">
        <f t="shared" si="361"/>
        <v>2987519</v>
      </c>
      <c r="AO790" s="15">
        <f t="shared" si="366"/>
        <v>3130867.44</v>
      </c>
      <c r="AP790" s="17">
        <f t="shared" si="362"/>
        <v>27992458.440000001</v>
      </c>
      <c r="AQ790" s="15">
        <v>10300000</v>
      </c>
      <c r="AR790" s="15">
        <v>74567.44</v>
      </c>
      <c r="AS790" s="18">
        <f t="shared" si="367"/>
        <v>17692458</v>
      </c>
      <c r="AT790" s="19">
        <v>0</v>
      </c>
      <c r="AU790" s="8">
        <v>8800</v>
      </c>
      <c r="AV790" s="13">
        <f t="shared" si="368"/>
        <v>2017576</v>
      </c>
      <c r="AW790" s="18">
        <f t="shared" si="369"/>
        <v>24861591</v>
      </c>
      <c r="AX790" s="15">
        <f t="shared" si="363"/>
        <v>24862000</v>
      </c>
      <c r="AY790" s="20">
        <v>0.06</v>
      </c>
      <c r="AZ790" s="13">
        <f t="shared" si="364"/>
        <v>1491720</v>
      </c>
      <c r="BA790" s="15">
        <f t="shared" si="365"/>
        <v>1491800</v>
      </c>
      <c r="BB790" s="21">
        <f t="shared" si="370"/>
        <v>19184258</v>
      </c>
      <c r="BC790" s="10">
        <f t="shared" si="371"/>
        <v>0</v>
      </c>
      <c r="BD790" s="10">
        <f t="shared" si="372"/>
        <v>0</v>
      </c>
      <c r="BE790" s="10">
        <v>193.62</v>
      </c>
      <c r="BF790" s="10">
        <v>21.3</v>
      </c>
      <c r="BG790" s="107">
        <v>46176</v>
      </c>
      <c r="BH790" s="107">
        <f t="shared" si="347"/>
        <v>46206</v>
      </c>
      <c r="BI790" s="23">
        <v>6</v>
      </c>
      <c r="BJ790" s="6"/>
      <c r="BK790" s="6"/>
      <c r="BL790" s="6">
        <f>VLOOKUP(A790,[2]Sheet1!$D$2:$H$933,5,0)</f>
        <v>0</v>
      </c>
      <c r="BM790" s="6" t="s">
        <v>3828</v>
      </c>
      <c r="BN790" s="6" t="s">
        <v>3829</v>
      </c>
      <c r="BO790" s="6" t="s">
        <v>3820</v>
      </c>
      <c r="BP790" s="6" t="s">
        <v>3821</v>
      </c>
      <c r="BQ790" s="6" t="s">
        <v>3830</v>
      </c>
      <c r="BR790" t="s">
        <v>3823</v>
      </c>
      <c r="BS790" t="s">
        <v>3824</v>
      </c>
      <c r="BT790" t="s">
        <v>3825</v>
      </c>
      <c r="BU790" t="s">
        <v>3826</v>
      </c>
      <c r="BV790" t="s">
        <v>3827</v>
      </c>
      <c r="BW790" t="s">
        <v>3835</v>
      </c>
      <c r="BX790">
        <v>0</v>
      </c>
      <c r="BY790" t="s">
        <v>3870</v>
      </c>
      <c r="BZ790" t="s">
        <v>3860</v>
      </c>
    </row>
    <row r="791" spans="1:78" x14ac:dyDescent="0.25">
      <c r="A791" s="7" t="s">
        <v>3213</v>
      </c>
      <c r="B791" s="7" t="s">
        <v>181</v>
      </c>
      <c r="C791" s="7" t="s">
        <v>3211</v>
      </c>
      <c r="D791" s="8" t="s">
        <v>3212</v>
      </c>
      <c r="E791" s="7" t="s">
        <v>3214</v>
      </c>
      <c r="F791" s="9">
        <v>45100</v>
      </c>
      <c r="G791" s="9" t="s">
        <v>404</v>
      </c>
      <c r="H791" s="9" t="s">
        <v>66</v>
      </c>
      <c r="I791" s="8" t="s">
        <v>78</v>
      </c>
      <c r="J791" s="10">
        <v>1111.28</v>
      </c>
      <c r="K791" s="10">
        <v>1111.28</v>
      </c>
      <c r="L791" s="10">
        <f t="shared" si="348"/>
        <v>0</v>
      </c>
      <c r="M791" s="10">
        <v>515.05999999999995</v>
      </c>
      <c r="N791" s="10">
        <v>515.05999999999995</v>
      </c>
      <c r="O791" s="10">
        <f t="shared" si="349"/>
        <v>0</v>
      </c>
      <c r="P791" s="11">
        <v>13000</v>
      </c>
      <c r="Q791" s="11">
        <v>28048.460373548714</v>
      </c>
      <c r="R791" s="11">
        <v>22000</v>
      </c>
      <c r="S791" s="11">
        <v>14446640</v>
      </c>
      <c r="T791" s="11">
        <v>1733598</v>
      </c>
      <c r="U791" s="12">
        <f t="shared" si="350"/>
        <v>0.1200000830642973</v>
      </c>
      <c r="V791" s="13">
        <f>L791*P791</f>
        <v>0</v>
      </c>
      <c r="W791" s="10">
        <f t="shared" si="351"/>
        <v>0</v>
      </c>
      <c r="X791" s="10"/>
      <c r="Y791" s="10"/>
      <c r="Z791" s="11">
        <f t="shared" si="352"/>
        <v>14446640</v>
      </c>
      <c r="AA791" s="14"/>
      <c r="AB791" s="14"/>
      <c r="AC791" s="11">
        <f t="shared" si="353"/>
        <v>14446640</v>
      </c>
      <c r="AD791" s="10">
        <f t="shared" si="354"/>
        <v>300.00000000000006</v>
      </c>
      <c r="AE791" s="15">
        <v>154518</v>
      </c>
      <c r="AF791" s="16">
        <v>27814</v>
      </c>
      <c r="AG791" s="15">
        <f t="shared" si="355"/>
        <v>0</v>
      </c>
      <c r="AH791" s="15">
        <f t="shared" si="356"/>
        <v>0</v>
      </c>
      <c r="AI791" s="15">
        <f t="shared" si="357"/>
        <v>154518</v>
      </c>
      <c r="AJ791" s="15">
        <f t="shared" si="358"/>
        <v>27814</v>
      </c>
      <c r="AK791" s="10">
        <v>154518</v>
      </c>
      <c r="AL791" s="15">
        <f t="shared" si="359"/>
        <v>154517.99999999997</v>
      </c>
      <c r="AM791" s="15">
        <f t="shared" si="360"/>
        <v>14601158</v>
      </c>
      <c r="AN791" s="15">
        <f t="shared" si="361"/>
        <v>1761412</v>
      </c>
      <c r="AO791" s="15">
        <f t="shared" si="366"/>
        <v>1979084</v>
      </c>
      <c r="AP791" s="17">
        <f t="shared" si="362"/>
        <v>16580242</v>
      </c>
      <c r="AQ791" s="15">
        <v>3688227</v>
      </c>
      <c r="AR791" s="15">
        <v>63154</v>
      </c>
      <c r="AS791" s="18">
        <f t="shared" si="367"/>
        <v>12892015</v>
      </c>
      <c r="AT791" s="19">
        <v>0</v>
      </c>
      <c r="AU791" s="8">
        <v>8800</v>
      </c>
      <c r="AV791" s="13">
        <f t="shared" si="368"/>
        <v>4532527.9999999991</v>
      </c>
      <c r="AW791" s="18">
        <f t="shared" si="369"/>
        <v>14601158</v>
      </c>
      <c r="AX791" s="15">
        <f t="shared" si="363"/>
        <v>14602000</v>
      </c>
      <c r="AY791" s="20">
        <v>0.06</v>
      </c>
      <c r="AZ791" s="13">
        <f t="shared" si="364"/>
        <v>876120</v>
      </c>
      <c r="BA791" s="15">
        <f t="shared" si="365"/>
        <v>876200</v>
      </c>
      <c r="BB791" s="21">
        <f t="shared" si="370"/>
        <v>13768215</v>
      </c>
      <c r="BC791" s="10">
        <f t="shared" si="371"/>
        <v>0</v>
      </c>
      <c r="BD791" s="10">
        <f t="shared" si="372"/>
        <v>0</v>
      </c>
      <c r="BE791" s="10">
        <v>103.24</v>
      </c>
      <c r="BF791" s="10">
        <v>47.85</v>
      </c>
      <c r="BG791" s="107">
        <v>46176</v>
      </c>
      <c r="BH791" s="107">
        <f t="shared" si="347"/>
        <v>46206</v>
      </c>
      <c r="BI791" s="23">
        <v>6</v>
      </c>
      <c r="BJ791" s="6"/>
      <c r="BK791" s="6"/>
      <c r="BL791" s="6">
        <f>VLOOKUP(A791,[2]Sheet1!$D$2:$H$933,5,0)</f>
        <v>0</v>
      </c>
      <c r="BM791" s="6" t="s">
        <v>3828</v>
      </c>
      <c r="BN791" s="6" t="s">
        <v>3829</v>
      </c>
      <c r="BO791" s="6" t="s">
        <v>3820</v>
      </c>
      <c r="BP791" s="6" t="s">
        <v>3821</v>
      </c>
      <c r="BQ791" s="6" t="s">
        <v>3830</v>
      </c>
      <c r="BR791" t="s">
        <v>3823</v>
      </c>
      <c r="BS791" t="s">
        <v>3824</v>
      </c>
      <c r="BT791" t="s">
        <v>3825</v>
      </c>
      <c r="BU791" t="s">
        <v>3826</v>
      </c>
      <c r="BV791" t="s">
        <v>3827</v>
      </c>
      <c r="BW791" t="s">
        <v>3835</v>
      </c>
      <c r="BX791">
        <v>0</v>
      </c>
      <c r="BY791" t="s">
        <v>3861</v>
      </c>
      <c r="BZ791" t="s">
        <v>3863</v>
      </c>
    </row>
    <row r="792" spans="1:78" x14ac:dyDescent="0.25">
      <c r="A792" s="7" t="s">
        <v>3217</v>
      </c>
      <c r="B792" s="7" t="s">
        <v>181</v>
      </c>
      <c r="C792" s="7" t="s">
        <v>3215</v>
      </c>
      <c r="D792" s="8" t="s">
        <v>3216</v>
      </c>
      <c r="E792" s="7" t="s">
        <v>3218</v>
      </c>
      <c r="F792" s="9">
        <v>45000</v>
      </c>
      <c r="G792" s="9" t="s">
        <v>717</v>
      </c>
      <c r="H792" s="9" t="s">
        <v>87</v>
      </c>
      <c r="I792" s="8" t="s">
        <v>78</v>
      </c>
      <c r="J792" s="10">
        <v>1173.49</v>
      </c>
      <c r="K792" s="10">
        <v>1198.25</v>
      </c>
      <c r="L792" s="10">
        <f t="shared" si="348"/>
        <v>24.759999999999991</v>
      </c>
      <c r="M792" s="10">
        <v>536.04999999999995</v>
      </c>
      <c r="N792" s="10">
        <v>553.59</v>
      </c>
      <c r="O792" s="10">
        <f t="shared" si="349"/>
        <v>17.540000000000077</v>
      </c>
      <c r="P792" s="11">
        <v>14908.999650614833</v>
      </c>
      <c r="Q792" s="11">
        <v>32637.929297640148</v>
      </c>
      <c r="R792" s="11">
        <v>40000</v>
      </c>
      <c r="S792" s="11">
        <v>17495562</v>
      </c>
      <c r="T792" s="11">
        <v>2099466</v>
      </c>
      <c r="U792" s="12">
        <f t="shared" si="350"/>
        <v>0.11999991769341277</v>
      </c>
      <c r="V792" s="13">
        <f>L792*R792</f>
        <v>990399.99999999965</v>
      </c>
      <c r="W792" s="10">
        <f t="shared" si="351"/>
        <v>118847.91848355597</v>
      </c>
      <c r="X792" s="15"/>
      <c r="Y792" s="15"/>
      <c r="Z792" s="11">
        <f t="shared" si="352"/>
        <v>18485962</v>
      </c>
      <c r="AA792" s="14"/>
      <c r="AB792" s="14"/>
      <c r="AC792" s="11">
        <f t="shared" si="353"/>
        <v>18485962</v>
      </c>
      <c r="AD792" s="10">
        <f t="shared" si="354"/>
        <v>300</v>
      </c>
      <c r="AE792" s="15">
        <v>160815</v>
      </c>
      <c r="AF792" s="16">
        <v>28946</v>
      </c>
      <c r="AG792" s="15">
        <f t="shared" si="355"/>
        <v>5262.0000000000236</v>
      </c>
      <c r="AH792" s="15">
        <f t="shared" si="356"/>
        <v>947.16000000000417</v>
      </c>
      <c r="AI792" s="15">
        <f t="shared" si="357"/>
        <v>166077</v>
      </c>
      <c r="AJ792" s="15">
        <f t="shared" si="358"/>
        <v>29894</v>
      </c>
      <c r="AK792" s="10">
        <v>160815</v>
      </c>
      <c r="AL792" s="15">
        <f t="shared" si="359"/>
        <v>166077</v>
      </c>
      <c r="AM792" s="15">
        <f t="shared" si="360"/>
        <v>18652039</v>
      </c>
      <c r="AN792" s="15">
        <f t="shared" si="361"/>
        <v>2248208</v>
      </c>
      <c r="AO792" s="15">
        <f t="shared" si="366"/>
        <v>2487399</v>
      </c>
      <c r="AP792" s="17">
        <f t="shared" si="362"/>
        <v>21139438</v>
      </c>
      <c r="AQ792" s="15">
        <v>4260000</v>
      </c>
      <c r="AR792" s="15">
        <v>73114</v>
      </c>
      <c r="AS792" s="18">
        <f t="shared" si="367"/>
        <v>16879438</v>
      </c>
      <c r="AT792" s="19">
        <v>0</v>
      </c>
      <c r="AU792" s="8">
        <v>8800</v>
      </c>
      <c r="AV792" s="13">
        <f t="shared" si="368"/>
        <v>4871592</v>
      </c>
      <c r="AW792" s="18">
        <f t="shared" si="369"/>
        <v>18652039</v>
      </c>
      <c r="AX792" s="15">
        <f t="shared" si="363"/>
        <v>18653000</v>
      </c>
      <c r="AY792" s="20">
        <v>0.06</v>
      </c>
      <c r="AZ792" s="13">
        <f t="shared" si="364"/>
        <v>1119180</v>
      </c>
      <c r="BA792" s="15">
        <f t="shared" si="365"/>
        <v>1119200</v>
      </c>
      <c r="BB792" s="21">
        <f t="shared" si="370"/>
        <v>17998638</v>
      </c>
      <c r="BC792" s="10">
        <f t="shared" si="371"/>
        <v>2.1099455470434338</v>
      </c>
      <c r="BD792" s="10">
        <f t="shared" si="372"/>
        <v>3.2720828280944092</v>
      </c>
      <c r="BE792" s="10">
        <v>111.32</v>
      </c>
      <c r="BF792" s="10">
        <v>51.43</v>
      </c>
      <c r="BG792" s="107">
        <v>46176</v>
      </c>
      <c r="BH792" s="107">
        <f t="shared" si="347"/>
        <v>46206</v>
      </c>
      <c r="BI792" s="23">
        <v>6</v>
      </c>
      <c r="BJ792" s="6"/>
      <c r="BK792" s="6"/>
      <c r="BL792" s="6">
        <f>VLOOKUP(A792,[2]Sheet1!$D$2:$H$933,5,0)</f>
        <v>0</v>
      </c>
      <c r="BM792" s="6" t="s">
        <v>3828</v>
      </c>
      <c r="BN792" s="6" t="s">
        <v>3829</v>
      </c>
      <c r="BO792" s="6" t="s">
        <v>3820</v>
      </c>
      <c r="BP792" s="6" t="s">
        <v>3821</v>
      </c>
      <c r="BQ792" s="6" t="s">
        <v>3830</v>
      </c>
      <c r="BR792" t="s">
        <v>3823</v>
      </c>
      <c r="BS792" t="s">
        <v>3824</v>
      </c>
      <c r="BT792" t="s">
        <v>3825</v>
      </c>
      <c r="BU792" t="s">
        <v>3826</v>
      </c>
      <c r="BV792" t="s">
        <v>3827</v>
      </c>
      <c r="BW792" t="s">
        <v>3835</v>
      </c>
      <c r="BX792">
        <v>0</v>
      </c>
      <c r="BY792" t="s">
        <v>3859</v>
      </c>
      <c r="BZ792" t="s">
        <v>3872</v>
      </c>
    </row>
    <row r="793" spans="1:78" x14ac:dyDescent="0.25">
      <c r="A793" s="7" t="s">
        <v>3221</v>
      </c>
      <c r="B793" s="7" t="s">
        <v>181</v>
      </c>
      <c r="C793" s="7" t="s">
        <v>3219</v>
      </c>
      <c r="D793" s="8" t="s">
        <v>3220</v>
      </c>
      <c r="E793" s="7" t="s">
        <v>3222</v>
      </c>
      <c r="F793" s="9">
        <v>45247</v>
      </c>
      <c r="G793" s="9" t="s">
        <v>527</v>
      </c>
      <c r="H793" s="9" t="s">
        <v>87</v>
      </c>
      <c r="I793" s="8" t="s">
        <v>67</v>
      </c>
      <c r="J793" s="10">
        <v>435.34</v>
      </c>
      <c r="K793" s="10">
        <v>435.34</v>
      </c>
      <c r="L793" s="10">
        <f t="shared" si="348"/>
        <v>0</v>
      </c>
      <c r="M793" s="10">
        <v>166.84</v>
      </c>
      <c r="N793" s="10">
        <v>166.84</v>
      </c>
      <c r="O793" s="10">
        <f t="shared" si="349"/>
        <v>0</v>
      </c>
      <c r="P793" s="11">
        <v>24880.054669913174</v>
      </c>
      <c r="Q793" s="11">
        <v>64920.18101174778</v>
      </c>
      <c r="R793" s="11">
        <v>40000</v>
      </c>
      <c r="S793" s="11">
        <v>10831283</v>
      </c>
      <c r="T793" s="11">
        <v>1299754</v>
      </c>
      <c r="U793" s="12">
        <f t="shared" si="350"/>
        <v>0.12000000369300663</v>
      </c>
      <c r="V793" s="13">
        <f t="shared" ref="V793:V808" si="374">L793*P793</f>
        <v>0</v>
      </c>
      <c r="W793" s="10">
        <f t="shared" si="351"/>
        <v>0</v>
      </c>
      <c r="X793" s="10"/>
      <c r="Y793" s="10"/>
      <c r="Z793" s="11">
        <f t="shared" si="352"/>
        <v>10831283</v>
      </c>
      <c r="AA793" s="14"/>
      <c r="AB793" s="14"/>
      <c r="AC793" s="11">
        <f t="shared" si="353"/>
        <v>10831283</v>
      </c>
      <c r="AD793" s="10">
        <f t="shared" si="354"/>
        <v>300</v>
      </c>
      <c r="AE793" s="15">
        <v>50052</v>
      </c>
      <c r="AF793" s="16">
        <v>9010</v>
      </c>
      <c r="AG793" s="15">
        <f t="shared" si="355"/>
        <v>0</v>
      </c>
      <c r="AH793" s="15">
        <f t="shared" si="356"/>
        <v>0</v>
      </c>
      <c r="AI793" s="15">
        <f t="shared" si="357"/>
        <v>50052</v>
      </c>
      <c r="AJ793" s="15">
        <f t="shared" si="358"/>
        <v>9010</v>
      </c>
      <c r="AK793" s="10">
        <v>50052</v>
      </c>
      <c r="AL793" s="15">
        <f t="shared" si="359"/>
        <v>50052</v>
      </c>
      <c r="AM793" s="15">
        <f t="shared" si="360"/>
        <v>10881335</v>
      </c>
      <c r="AN793" s="15">
        <f t="shared" si="361"/>
        <v>1308764</v>
      </c>
      <c r="AO793" s="15">
        <f t="shared" si="366"/>
        <v>1409954</v>
      </c>
      <c r="AP793" s="17">
        <f t="shared" si="362"/>
        <v>12291289</v>
      </c>
      <c r="AQ793" s="15">
        <v>10975112</v>
      </c>
      <c r="AR793" s="15">
        <v>51138</v>
      </c>
      <c r="AS793" s="18">
        <f t="shared" si="367"/>
        <v>1316177</v>
      </c>
      <c r="AT793" s="19">
        <v>0</v>
      </c>
      <c r="AU793" s="8">
        <v>8800</v>
      </c>
      <c r="AV793" s="13">
        <f t="shared" si="368"/>
        <v>1468192</v>
      </c>
      <c r="AW793" s="18">
        <f t="shared" si="369"/>
        <v>10881335</v>
      </c>
      <c r="AX793" s="15">
        <f t="shared" si="363"/>
        <v>10882000</v>
      </c>
      <c r="AY793" s="20">
        <v>0.05</v>
      </c>
      <c r="AZ793" s="13">
        <f t="shared" si="364"/>
        <v>544100</v>
      </c>
      <c r="BA793" s="15">
        <f t="shared" si="365"/>
        <v>544100</v>
      </c>
      <c r="BB793" s="21">
        <f t="shared" si="370"/>
        <v>1860277</v>
      </c>
      <c r="BC793" s="10">
        <f t="shared" si="371"/>
        <v>0</v>
      </c>
      <c r="BD793" s="10">
        <f t="shared" si="372"/>
        <v>0</v>
      </c>
      <c r="BE793" s="10">
        <v>40.44</v>
      </c>
      <c r="BF793" s="10">
        <v>15.5</v>
      </c>
      <c r="BG793" s="107">
        <v>46176</v>
      </c>
      <c r="BH793" s="107">
        <f t="shared" si="347"/>
        <v>46206</v>
      </c>
      <c r="BI793" s="23">
        <v>5</v>
      </c>
      <c r="BJ793" s="6"/>
      <c r="BK793" s="6"/>
      <c r="BL793" s="6">
        <f>VLOOKUP(A793,[2]Sheet1!$D$2:$H$933,5,0)</f>
        <v>0</v>
      </c>
      <c r="BM793" s="6" t="s">
        <v>3828</v>
      </c>
      <c r="BN793" s="6" t="s">
        <v>3829</v>
      </c>
      <c r="BO793" s="6" t="s">
        <v>3820</v>
      </c>
      <c r="BP793" s="6" t="s">
        <v>3821</v>
      </c>
      <c r="BQ793" s="6" t="s">
        <v>3830</v>
      </c>
      <c r="BR793" t="s">
        <v>3823</v>
      </c>
      <c r="BS793" t="s">
        <v>3824</v>
      </c>
      <c r="BT793" t="s">
        <v>3825</v>
      </c>
      <c r="BU793" t="s">
        <v>3826</v>
      </c>
      <c r="BV793" t="s">
        <v>3827</v>
      </c>
      <c r="BW793" t="s">
        <v>3835</v>
      </c>
      <c r="BX793">
        <v>0</v>
      </c>
      <c r="BY793" t="s">
        <v>3861</v>
      </c>
      <c r="BZ793" t="s">
        <v>3871</v>
      </c>
    </row>
    <row r="794" spans="1:78" x14ac:dyDescent="0.25">
      <c r="A794" s="7" t="s">
        <v>3225</v>
      </c>
      <c r="B794" s="7" t="s">
        <v>181</v>
      </c>
      <c r="C794" s="7" t="s">
        <v>3223</v>
      </c>
      <c r="D794" s="8" t="s">
        <v>3224</v>
      </c>
      <c r="E794" s="7" t="s">
        <v>3226</v>
      </c>
      <c r="F794" s="9">
        <v>44994</v>
      </c>
      <c r="G794" s="9" t="s">
        <v>65</v>
      </c>
      <c r="H794" s="9" t="s">
        <v>1167</v>
      </c>
      <c r="I794" s="8" t="s">
        <v>635</v>
      </c>
      <c r="J794" s="10">
        <v>2084.13</v>
      </c>
      <c r="K794" s="10">
        <v>2084.13</v>
      </c>
      <c r="L794" s="10">
        <f t="shared" si="348"/>
        <v>0</v>
      </c>
      <c r="M794" s="10">
        <v>229.27</v>
      </c>
      <c r="N794" s="10">
        <v>229.27</v>
      </c>
      <c r="O794" s="10">
        <f t="shared" si="349"/>
        <v>0</v>
      </c>
      <c r="P794" s="11">
        <v>10200</v>
      </c>
      <c r="Q794" s="11">
        <v>92720.922929297332</v>
      </c>
      <c r="R794" s="11">
        <v>20000</v>
      </c>
      <c r="S794" s="11">
        <v>21258126</v>
      </c>
      <c r="T794" s="11">
        <v>2550976</v>
      </c>
      <c r="U794" s="12">
        <f t="shared" si="350"/>
        <v>0.1200000413959349</v>
      </c>
      <c r="V794" s="13">
        <f t="shared" si="374"/>
        <v>0</v>
      </c>
      <c r="W794" s="10">
        <f t="shared" si="351"/>
        <v>0</v>
      </c>
      <c r="X794" s="10"/>
      <c r="Y794" s="10"/>
      <c r="Z794" s="11">
        <f t="shared" si="352"/>
        <v>21258126</v>
      </c>
      <c r="AA794" s="14"/>
      <c r="AB794" s="14"/>
      <c r="AC794" s="11">
        <f t="shared" si="353"/>
        <v>21258126</v>
      </c>
      <c r="AD794" s="10">
        <f t="shared" si="354"/>
        <v>300</v>
      </c>
      <c r="AE794" s="15">
        <v>68781</v>
      </c>
      <c r="AF794" s="16">
        <v>12380</v>
      </c>
      <c r="AG794" s="15">
        <f t="shared" si="355"/>
        <v>0</v>
      </c>
      <c r="AH794" s="15">
        <f t="shared" si="356"/>
        <v>0</v>
      </c>
      <c r="AI794" s="15">
        <f t="shared" si="357"/>
        <v>68781</v>
      </c>
      <c r="AJ794" s="15">
        <f t="shared" si="358"/>
        <v>12381</v>
      </c>
      <c r="AK794" s="10">
        <v>68781</v>
      </c>
      <c r="AL794" s="15">
        <f t="shared" si="359"/>
        <v>68781</v>
      </c>
      <c r="AM794" s="15">
        <f t="shared" si="360"/>
        <v>21326907</v>
      </c>
      <c r="AN794" s="15">
        <f t="shared" si="361"/>
        <v>2563357</v>
      </c>
      <c r="AO794" s="15">
        <f t="shared" si="366"/>
        <v>2683662</v>
      </c>
      <c r="AP794" s="17">
        <f t="shared" si="362"/>
        <v>24010569</v>
      </c>
      <c r="AQ794" s="15">
        <v>11904528</v>
      </c>
      <c r="AR794" s="15">
        <v>51524</v>
      </c>
      <c r="AS794" s="18">
        <f t="shared" si="367"/>
        <v>12106041</v>
      </c>
      <c r="AT794" s="19">
        <v>0</v>
      </c>
      <c r="AU794" s="8">
        <v>8800</v>
      </c>
      <c r="AV794" s="13">
        <f t="shared" si="368"/>
        <v>2017576</v>
      </c>
      <c r="AW794" s="18">
        <f t="shared" si="369"/>
        <v>21326907</v>
      </c>
      <c r="AX794" s="15">
        <f t="shared" si="363"/>
        <v>21327000</v>
      </c>
      <c r="AY794" s="20">
        <v>7.0000000000000007E-2</v>
      </c>
      <c r="AZ794" s="13">
        <f t="shared" si="364"/>
        <v>1492890.0000000002</v>
      </c>
      <c r="BA794" s="15">
        <f t="shared" si="365"/>
        <v>1492900</v>
      </c>
      <c r="BB794" s="21">
        <f t="shared" si="370"/>
        <v>13598941</v>
      </c>
      <c r="BC794" s="10">
        <f t="shared" si="371"/>
        <v>0</v>
      </c>
      <c r="BD794" s="10">
        <f t="shared" si="372"/>
        <v>0</v>
      </c>
      <c r="BE794" s="10">
        <v>193.62</v>
      </c>
      <c r="BF794" s="10">
        <v>21.3</v>
      </c>
      <c r="BG794" s="107">
        <v>46176</v>
      </c>
      <c r="BH794" s="107">
        <f t="shared" si="347"/>
        <v>46206</v>
      </c>
      <c r="BI794" s="23">
        <v>7</v>
      </c>
      <c r="BJ794" s="24"/>
      <c r="BK794" s="91"/>
      <c r="BL794" s="6">
        <f>VLOOKUP(A794,[2]Sheet1!$D$2:$H$933,5,0)</f>
        <v>0</v>
      </c>
      <c r="BM794" s="6" t="s">
        <v>3828</v>
      </c>
      <c r="BN794" s="6" t="s">
        <v>3829</v>
      </c>
      <c r="BO794" s="6" t="s">
        <v>3820</v>
      </c>
      <c r="BP794" s="6" t="s">
        <v>3821</v>
      </c>
      <c r="BQ794" s="6" t="s">
        <v>3830</v>
      </c>
      <c r="BR794" t="s">
        <v>3823</v>
      </c>
      <c r="BS794" t="s">
        <v>3824</v>
      </c>
      <c r="BT794" t="s">
        <v>3825</v>
      </c>
      <c r="BU794" t="s">
        <v>3826</v>
      </c>
      <c r="BV794" t="s">
        <v>3827</v>
      </c>
      <c r="BW794" t="s">
        <v>3835</v>
      </c>
      <c r="BX794">
        <v>0</v>
      </c>
      <c r="BY794" t="s">
        <v>3864</v>
      </c>
      <c r="BZ794" t="s">
        <v>3860</v>
      </c>
    </row>
    <row r="795" spans="1:78" x14ac:dyDescent="0.25">
      <c r="A795" s="7" t="s">
        <v>3229</v>
      </c>
      <c r="B795" s="7" t="s">
        <v>181</v>
      </c>
      <c r="C795" s="7" t="s">
        <v>3227</v>
      </c>
      <c r="D795" s="8" t="s">
        <v>3228</v>
      </c>
      <c r="E795" s="7" t="s">
        <v>3230</v>
      </c>
      <c r="F795" s="9">
        <v>44995</v>
      </c>
      <c r="G795" s="9" t="s">
        <v>404</v>
      </c>
      <c r="H795" s="9" t="s">
        <v>190</v>
      </c>
      <c r="I795" s="8" t="s">
        <v>78</v>
      </c>
      <c r="J795" s="10">
        <v>1336.89</v>
      </c>
      <c r="K795" s="10">
        <v>1336.89</v>
      </c>
      <c r="L795" s="10">
        <f t="shared" si="348"/>
        <v>0</v>
      </c>
      <c r="M795" s="10">
        <v>621.08000000000004</v>
      </c>
      <c r="N795" s="10">
        <v>621.08000000000004</v>
      </c>
      <c r="O795" s="10">
        <f t="shared" si="349"/>
        <v>0</v>
      </c>
      <c r="P795" s="11">
        <v>24999.999999999996</v>
      </c>
      <c r="Q795" s="11">
        <v>53813.115862690793</v>
      </c>
      <c r="R795" s="11">
        <v>60000</v>
      </c>
      <c r="S795" s="11">
        <v>33422250</v>
      </c>
      <c r="T795" s="11">
        <v>4010674</v>
      </c>
      <c r="U795" s="12">
        <f t="shared" si="350"/>
        <v>0.1200001196807516</v>
      </c>
      <c r="V795" s="13">
        <f t="shared" si="374"/>
        <v>0</v>
      </c>
      <c r="W795" s="10">
        <f t="shared" si="351"/>
        <v>0</v>
      </c>
      <c r="X795" s="10"/>
      <c r="Y795" s="10"/>
      <c r="Z795" s="11">
        <f t="shared" si="352"/>
        <v>33422250</v>
      </c>
      <c r="AA795" s="14"/>
      <c r="AB795" s="14"/>
      <c r="AC795" s="11">
        <f t="shared" si="353"/>
        <v>33422250</v>
      </c>
      <c r="AD795" s="10">
        <f t="shared" si="354"/>
        <v>300</v>
      </c>
      <c r="AE795" s="15">
        <v>186324</v>
      </c>
      <c r="AF795" s="16">
        <v>33538</v>
      </c>
      <c r="AG795" s="15">
        <f t="shared" si="355"/>
        <v>0</v>
      </c>
      <c r="AH795" s="15">
        <f t="shared" si="356"/>
        <v>0</v>
      </c>
      <c r="AI795" s="15">
        <f t="shared" si="357"/>
        <v>186324</v>
      </c>
      <c r="AJ795" s="15">
        <f t="shared" si="358"/>
        <v>33539</v>
      </c>
      <c r="AK795" s="10">
        <v>186324</v>
      </c>
      <c r="AL795" s="15">
        <f t="shared" si="359"/>
        <v>186324</v>
      </c>
      <c r="AM795" s="15">
        <f t="shared" si="360"/>
        <v>33608574</v>
      </c>
      <c r="AN795" s="15">
        <f t="shared" si="361"/>
        <v>4044213</v>
      </c>
      <c r="AO795" s="15">
        <f t="shared" si="366"/>
        <v>4290464</v>
      </c>
      <c r="AP795" s="17">
        <f t="shared" si="362"/>
        <v>37899038</v>
      </c>
      <c r="AQ795" s="15">
        <v>23345131</v>
      </c>
      <c r="AR795" s="15">
        <v>59927</v>
      </c>
      <c r="AS795" s="18">
        <f t="shared" si="367"/>
        <v>14553907</v>
      </c>
      <c r="AT795" s="19">
        <v>33638574</v>
      </c>
      <c r="AU795" s="8">
        <v>8800</v>
      </c>
      <c r="AV795" s="13">
        <f t="shared" si="368"/>
        <v>5465504</v>
      </c>
      <c r="AW795" s="18">
        <f t="shared" si="369"/>
        <v>33638574</v>
      </c>
      <c r="AX795" s="15">
        <f t="shared" si="363"/>
        <v>33639000</v>
      </c>
      <c r="AY795" s="20">
        <v>7.0000000000000007E-2</v>
      </c>
      <c r="AZ795" s="13">
        <f t="shared" si="364"/>
        <v>2354730</v>
      </c>
      <c r="BA795" s="15">
        <f t="shared" si="365"/>
        <v>2354800</v>
      </c>
      <c r="BB795" s="21">
        <f t="shared" si="370"/>
        <v>16908707</v>
      </c>
      <c r="BC795" s="10">
        <f t="shared" si="371"/>
        <v>0</v>
      </c>
      <c r="BD795" s="10">
        <f t="shared" si="372"/>
        <v>0</v>
      </c>
      <c r="BE795" s="10">
        <v>124.2</v>
      </c>
      <c r="BF795" s="10">
        <v>57.7</v>
      </c>
      <c r="BG795" s="107">
        <v>46176</v>
      </c>
      <c r="BH795" s="107">
        <f t="shared" si="347"/>
        <v>46206</v>
      </c>
      <c r="BI795" s="23">
        <v>7</v>
      </c>
      <c r="BJ795" s="6"/>
      <c r="BK795" s="6"/>
      <c r="BL795" s="6">
        <f>VLOOKUP(A795,[2]Sheet1!$D$2:$H$933,5,0)</f>
        <v>0</v>
      </c>
      <c r="BM795" s="6" t="s">
        <v>3828</v>
      </c>
      <c r="BN795" s="6" t="s">
        <v>3829</v>
      </c>
      <c r="BO795" s="6" t="s">
        <v>3820</v>
      </c>
      <c r="BP795" s="6" t="s">
        <v>3821</v>
      </c>
      <c r="BQ795" s="6" t="s">
        <v>3830</v>
      </c>
      <c r="BR795" t="s">
        <v>3823</v>
      </c>
      <c r="BS795" t="s">
        <v>3824</v>
      </c>
      <c r="BT795" t="s">
        <v>3825</v>
      </c>
      <c r="BU795" t="s">
        <v>3826</v>
      </c>
      <c r="BV795" t="s">
        <v>3827</v>
      </c>
      <c r="BW795" t="s">
        <v>3835</v>
      </c>
      <c r="BX795">
        <v>0</v>
      </c>
      <c r="BY795" t="s">
        <v>3865</v>
      </c>
      <c r="BZ795" t="s">
        <v>3863</v>
      </c>
    </row>
    <row r="796" spans="1:78" x14ac:dyDescent="0.25">
      <c r="A796" s="7" t="s">
        <v>3233</v>
      </c>
      <c r="B796" s="7" t="s">
        <v>181</v>
      </c>
      <c r="C796" s="7" t="s">
        <v>3231</v>
      </c>
      <c r="D796" s="8" t="s">
        <v>3232</v>
      </c>
      <c r="E796" s="7" t="s">
        <v>3234</v>
      </c>
      <c r="F796" s="9">
        <v>44896</v>
      </c>
      <c r="G796" s="9" t="s">
        <v>527</v>
      </c>
      <c r="H796" s="9" t="s">
        <v>190</v>
      </c>
      <c r="I796" s="8" t="s">
        <v>78</v>
      </c>
      <c r="J796" s="10">
        <v>1354.11</v>
      </c>
      <c r="K796" s="10">
        <v>1354.11</v>
      </c>
      <c r="L796" s="10">
        <f t="shared" si="348"/>
        <v>0</v>
      </c>
      <c r="M796" s="10">
        <v>621.08000000000004</v>
      </c>
      <c r="N796" s="10">
        <v>621.08000000000004</v>
      </c>
      <c r="O796" s="10">
        <f t="shared" si="349"/>
        <v>0</v>
      </c>
      <c r="P796" s="11">
        <v>24500</v>
      </c>
      <c r="Q796" s="11">
        <v>53416.138017646677</v>
      </c>
      <c r="R796" s="11">
        <v>60000</v>
      </c>
      <c r="S796" s="11">
        <v>33175695</v>
      </c>
      <c r="T796" s="11">
        <v>3981086</v>
      </c>
      <c r="U796" s="12">
        <f t="shared" si="350"/>
        <v>0.12000007837062644</v>
      </c>
      <c r="V796" s="13">
        <f t="shared" si="374"/>
        <v>0</v>
      </c>
      <c r="W796" s="10">
        <f t="shared" si="351"/>
        <v>0</v>
      </c>
      <c r="X796" s="10"/>
      <c r="Y796" s="10"/>
      <c r="Z796" s="11">
        <f t="shared" si="352"/>
        <v>33175695</v>
      </c>
      <c r="AA796" s="14"/>
      <c r="AB796" s="14"/>
      <c r="AC796" s="11">
        <f t="shared" si="353"/>
        <v>33175695</v>
      </c>
      <c r="AD796" s="10">
        <f t="shared" si="354"/>
        <v>300</v>
      </c>
      <c r="AE796" s="15">
        <v>186324</v>
      </c>
      <c r="AF796" s="16">
        <v>33538</v>
      </c>
      <c r="AG796" s="15">
        <f t="shared" si="355"/>
        <v>0</v>
      </c>
      <c r="AH796" s="15">
        <f t="shared" si="356"/>
        <v>0</v>
      </c>
      <c r="AI796" s="15">
        <f t="shared" si="357"/>
        <v>186324</v>
      </c>
      <c r="AJ796" s="15">
        <f t="shared" si="358"/>
        <v>33539</v>
      </c>
      <c r="AK796" s="10">
        <v>186324</v>
      </c>
      <c r="AL796" s="15">
        <f t="shared" si="359"/>
        <v>186324</v>
      </c>
      <c r="AM796" s="15">
        <f t="shared" si="360"/>
        <v>33362019</v>
      </c>
      <c r="AN796" s="15">
        <f t="shared" si="361"/>
        <v>4014625</v>
      </c>
      <c r="AO796" s="15">
        <f t="shared" si="366"/>
        <v>4281507.72</v>
      </c>
      <c r="AP796" s="17">
        <f t="shared" si="362"/>
        <v>37643526.719999999</v>
      </c>
      <c r="AQ796" s="15">
        <v>11147460.58</v>
      </c>
      <c r="AR796" s="15">
        <v>80558.720000000001</v>
      </c>
      <c r="AS796" s="18">
        <f t="shared" si="367"/>
        <v>26496066</v>
      </c>
      <c r="AT796" s="19">
        <v>33175695</v>
      </c>
      <c r="AU796" s="8">
        <v>8800</v>
      </c>
      <c r="AV796" s="13">
        <f t="shared" si="368"/>
        <v>5465504</v>
      </c>
      <c r="AW796" s="18">
        <f t="shared" si="369"/>
        <v>33362019</v>
      </c>
      <c r="AX796" s="15">
        <f t="shared" si="363"/>
        <v>33363000</v>
      </c>
      <c r="AY796" s="20">
        <v>0.05</v>
      </c>
      <c r="AZ796" s="13">
        <f t="shared" si="364"/>
        <v>1668150</v>
      </c>
      <c r="BA796" s="15">
        <f t="shared" si="365"/>
        <v>1668200</v>
      </c>
      <c r="BB796" s="21">
        <f t="shared" si="370"/>
        <v>28164266</v>
      </c>
      <c r="BC796" s="10">
        <f t="shared" si="371"/>
        <v>0</v>
      </c>
      <c r="BD796" s="10">
        <f t="shared" si="372"/>
        <v>0</v>
      </c>
      <c r="BE796" s="10">
        <v>125.8</v>
      </c>
      <c r="BF796" s="10">
        <v>57.7</v>
      </c>
      <c r="BG796" s="107">
        <v>46176</v>
      </c>
      <c r="BH796" s="107">
        <f t="shared" si="347"/>
        <v>46206</v>
      </c>
      <c r="BI796" s="23">
        <v>5</v>
      </c>
      <c r="BJ796" s="6"/>
      <c r="BK796" s="6"/>
      <c r="BL796" s="6">
        <f>VLOOKUP(A796,[2]Sheet1!$D$2:$H$933,5,0)</f>
        <v>0</v>
      </c>
      <c r="BM796" s="6" t="s">
        <v>3828</v>
      </c>
      <c r="BN796" s="6" t="s">
        <v>3829</v>
      </c>
      <c r="BO796" s="6" t="s">
        <v>3820</v>
      </c>
      <c r="BP796" s="6" t="s">
        <v>3821</v>
      </c>
      <c r="BQ796" s="6" t="s">
        <v>3830</v>
      </c>
      <c r="BR796" t="s">
        <v>3823</v>
      </c>
      <c r="BS796" t="s">
        <v>3824</v>
      </c>
      <c r="BT796" t="s">
        <v>3825</v>
      </c>
      <c r="BU796" t="s">
        <v>3826</v>
      </c>
      <c r="BV796" t="s">
        <v>3827</v>
      </c>
      <c r="BW796" t="s">
        <v>3835</v>
      </c>
      <c r="BX796">
        <v>0</v>
      </c>
      <c r="BY796" t="s">
        <v>3861</v>
      </c>
      <c r="BZ796" t="s">
        <v>3871</v>
      </c>
    </row>
    <row r="797" spans="1:78" x14ac:dyDescent="0.25">
      <c r="A797" s="7" t="s">
        <v>3237</v>
      </c>
      <c r="B797" s="7" t="s">
        <v>181</v>
      </c>
      <c r="C797" s="7" t="s">
        <v>3235</v>
      </c>
      <c r="D797" s="8" t="s">
        <v>3236</v>
      </c>
      <c r="E797" s="7" t="s">
        <v>3238</v>
      </c>
      <c r="F797" s="9">
        <v>45089</v>
      </c>
      <c r="G797" s="9" t="s">
        <v>363</v>
      </c>
      <c r="H797" s="9" t="s">
        <v>87</v>
      </c>
      <c r="I797" s="8" t="s">
        <v>78</v>
      </c>
      <c r="J797" s="10">
        <v>697.51</v>
      </c>
      <c r="K797" s="10">
        <v>697.51</v>
      </c>
      <c r="L797" s="10">
        <f t="shared" si="348"/>
        <v>0</v>
      </c>
      <c r="M797" s="10">
        <v>317.54000000000002</v>
      </c>
      <c r="N797" s="10">
        <v>317.54000000000002</v>
      </c>
      <c r="O797" s="10">
        <f t="shared" si="349"/>
        <v>0</v>
      </c>
      <c r="P797" s="11">
        <v>22990.00014336712</v>
      </c>
      <c r="Q797" s="11">
        <v>50499.952761856774</v>
      </c>
      <c r="R797" s="11">
        <v>40000</v>
      </c>
      <c r="S797" s="11">
        <v>16035755</v>
      </c>
      <c r="T797" s="11">
        <v>1924292</v>
      </c>
      <c r="U797" s="12">
        <f t="shared" si="350"/>
        <v>0.12000008730490083</v>
      </c>
      <c r="V797" s="13">
        <f t="shared" si="374"/>
        <v>0</v>
      </c>
      <c r="W797" s="10">
        <f t="shared" si="351"/>
        <v>0</v>
      </c>
      <c r="X797" s="10"/>
      <c r="Y797" s="10"/>
      <c r="Z797" s="11">
        <f t="shared" si="352"/>
        <v>16035755</v>
      </c>
      <c r="AA797" s="14"/>
      <c r="AB797" s="14"/>
      <c r="AC797" s="11">
        <f t="shared" si="353"/>
        <v>16035755</v>
      </c>
      <c r="AD797" s="10">
        <f t="shared" si="354"/>
        <v>300</v>
      </c>
      <c r="AE797" s="15">
        <v>95262</v>
      </c>
      <c r="AF797" s="16">
        <v>17148</v>
      </c>
      <c r="AG797" s="15">
        <f t="shared" si="355"/>
        <v>0</v>
      </c>
      <c r="AH797" s="15">
        <f t="shared" si="356"/>
        <v>0</v>
      </c>
      <c r="AI797" s="15">
        <f t="shared" si="357"/>
        <v>95262</v>
      </c>
      <c r="AJ797" s="15">
        <f t="shared" si="358"/>
        <v>17148</v>
      </c>
      <c r="AK797" s="10">
        <v>95262</v>
      </c>
      <c r="AL797" s="15">
        <f t="shared" si="359"/>
        <v>95262</v>
      </c>
      <c r="AM797" s="15">
        <f t="shared" si="360"/>
        <v>16131017</v>
      </c>
      <c r="AN797" s="15">
        <f t="shared" si="361"/>
        <v>1941440</v>
      </c>
      <c r="AO797" s="15">
        <f t="shared" si="366"/>
        <v>2091036</v>
      </c>
      <c r="AP797" s="17">
        <f t="shared" si="362"/>
        <v>18222053</v>
      </c>
      <c r="AQ797" s="15">
        <v>16083863</v>
      </c>
      <c r="AR797" s="15">
        <v>54334</v>
      </c>
      <c r="AS797" s="18">
        <f t="shared" si="367"/>
        <v>2138190</v>
      </c>
      <c r="AT797" s="19">
        <v>0</v>
      </c>
      <c r="AU797" s="8">
        <v>8800</v>
      </c>
      <c r="AV797" s="13">
        <f t="shared" si="368"/>
        <v>2794352</v>
      </c>
      <c r="AW797" s="18">
        <f t="shared" si="369"/>
        <v>16131017</v>
      </c>
      <c r="AX797" s="15">
        <f t="shared" si="363"/>
        <v>16132000</v>
      </c>
      <c r="AY797" s="20">
        <v>0.06</v>
      </c>
      <c r="AZ797" s="13">
        <f t="shared" si="364"/>
        <v>967920</v>
      </c>
      <c r="BA797" s="15">
        <f t="shared" si="365"/>
        <v>968000</v>
      </c>
      <c r="BB797" s="21">
        <f t="shared" si="370"/>
        <v>3106190</v>
      </c>
      <c r="BC797" s="10">
        <f t="shared" si="371"/>
        <v>0</v>
      </c>
      <c r="BD797" s="10">
        <f t="shared" si="372"/>
        <v>0</v>
      </c>
      <c r="BE797" s="10">
        <v>64.8</v>
      </c>
      <c r="BF797" s="10">
        <v>29.5</v>
      </c>
      <c r="BG797" s="107">
        <v>46176</v>
      </c>
      <c r="BH797" s="107">
        <f t="shared" si="347"/>
        <v>46206</v>
      </c>
      <c r="BI797" s="23">
        <v>6</v>
      </c>
      <c r="BJ797" s="6"/>
      <c r="BK797" s="6"/>
      <c r="BL797" s="6">
        <f>VLOOKUP(A797,[2]Sheet1!$D$2:$H$933,5,0)</f>
        <v>0</v>
      </c>
      <c r="BM797" s="6" t="s">
        <v>3828</v>
      </c>
      <c r="BN797" s="6" t="s">
        <v>3829</v>
      </c>
      <c r="BO797" s="6" t="s">
        <v>3820</v>
      </c>
      <c r="BP797" s="6" t="s">
        <v>3821</v>
      </c>
      <c r="BQ797" s="6" t="s">
        <v>3830</v>
      </c>
      <c r="BR797" t="s">
        <v>3823</v>
      </c>
      <c r="BS797" t="s">
        <v>3824</v>
      </c>
      <c r="BT797" t="s">
        <v>3825</v>
      </c>
      <c r="BU797" t="s">
        <v>3826</v>
      </c>
      <c r="BV797" t="s">
        <v>3827</v>
      </c>
      <c r="BW797" t="s">
        <v>3835</v>
      </c>
      <c r="BX797">
        <v>0</v>
      </c>
      <c r="BY797" t="s">
        <v>3869</v>
      </c>
      <c r="BZ797" t="s">
        <v>3860</v>
      </c>
    </row>
    <row r="798" spans="1:78" x14ac:dyDescent="0.25">
      <c r="A798" s="7" t="s">
        <v>3241</v>
      </c>
      <c r="B798" s="7" t="s">
        <v>181</v>
      </c>
      <c r="C798" s="7" t="s">
        <v>3239</v>
      </c>
      <c r="D798" s="8" t="s">
        <v>3240</v>
      </c>
      <c r="E798" s="7" t="s">
        <v>3242</v>
      </c>
      <c r="F798" s="9">
        <v>45005</v>
      </c>
      <c r="G798" s="9" t="s">
        <v>65</v>
      </c>
      <c r="H798" s="9" t="s">
        <v>66</v>
      </c>
      <c r="I798" s="8" t="s">
        <v>78</v>
      </c>
      <c r="J798" s="10">
        <v>695.35</v>
      </c>
      <c r="K798" s="10">
        <v>674.75</v>
      </c>
      <c r="L798" s="10">
        <f t="shared" si="348"/>
        <v>-20.600000000000023</v>
      </c>
      <c r="M798" s="10">
        <v>314.31</v>
      </c>
      <c r="N798" s="10">
        <v>305</v>
      </c>
      <c r="O798" s="10">
        <f t="shared" si="349"/>
        <v>-9.3100000000000023</v>
      </c>
      <c r="P798" s="11">
        <v>13563.379593010714</v>
      </c>
      <c r="Q798" s="11">
        <v>30006.350418376762</v>
      </c>
      <c r="R798" s="11">
        <v>22000</v>
      </c>
      <c r="S798" s="11">
        <v>9431296</v>
      </c>
      <c r="T798" s="11">
        <v>1131756</v>
      </c>
      <c r="U798" s="12">
        <f t="shared" si="350"/>
        <v>0.12000005089438398</v>
      </c>
      <c r="V798" s="13">
        <f t="shared" si="374"/>
        <v>-279405.61961602099</v>
      </c>
      <c r="W798" s="10">
        <f t="shared" si="351"/>
        <v>-33528.688574099411</v>
      </c>
      <c r="X798" s="15"/>
      <c r="Y798" s="15"/>
      <c r="Z798" s="11">
        <f t="shared" si="352"/>
        <v>9151890.3803839795</v>
      </c>
      <c r="AA798" s="14"/>
      <c r="AB798" s="14"/>
      <c r="AC798" s="11">
        <f t="shared" si="353"/>
        <v>9151890.3803839795</v>
      </c>
      <c r="AD798" s="10">
        <f t="shared" si="354"/>
        <v>300</v>
      </c>
      <c r="AE798" s="15">
        <v>94293</v>
      </c>
      <c r="AF798" s="16">
        <v>16972</v>
      </c>
      <c r="AG798" s="15">
        <f t="shared" si="355"/>
        <v>-2793.0000000000009</v>
      </c>
      <c r="AH798" s="15">
        <f t="shared" si="356"/>
        <v>-502.74000000000012</v>
      </c>
      <c r="AI798" s="15">
        <f t="shared" si="357"/>
        <v>91500</v>
      </c>
      <c r="AJ798" s="15">
        <f t="shared" si="358"/>
        <v>16470</v>
      </c>
      <c r="AK798" s="10">
        <v>94293</v>
      </c>
      <c r="AL798" s="15">
        <f t="shared" si="359"/>
        <v>91500</v>
      </c>
      <c r="AM798" s="15">
        <f t="shared" si="360"/>
        <v>9243390</v>
      </c>
      <c r="AN798" s="15">
        <f t="shared" si="361"/>
        <v>1114698</v>
      </c>
      <c r="AO798" s="15">
        <f t="shared" si="366"/>
        <v>1263129.8400000001</v>
      </c>
      <c r="AP798" s="17">
        <f t="shared" si="362"/>
        <v>10506519.84</v>
      </c>
      <c r="AQ798" s="15">
        <v>6629612.21</v>
      </c>
      <c r="AR798" s="15">
        <v>56931.839999999997</v>
      </c>
      <c r="AS798" s="18">
        <f t="shared" si="367"/>
        <v>3876908</v>
      </c>
      <c r="AT798" s="19">
        <v>0</v>
      </c>
      <c r="AU798" s="8">
        <v>8800</v>
      </c>
      <c r="AV798" s="13">
        <f t="shared" si="368"/>
        <v>2684000</v>
      </c>
      <c r="AW798" s="18">
        <f t="shared" si="369"/>
        <v>9243390</v>
      </c>
      <c r="AX798" s="15">
        <f t="shared" si="363"/>
        <v>9244000</v>
      </c>
      <c r="AY798" s="20">
        <v>0.06</v>
      </c>
      <c r="AZ798" s="13">
        <f t="shared" si="364"/>
        <v>554640</v>
      </c>
      <c r="BA798" s="15">
        <f t="shared" si="365"/>
        <v>554700</v>
      </c>
      <c r="BB798" s="21">
        <f t="shared" si="370"/>
        <v>4431608</v>
      </c>
      <c r="BC798" s="10">
        <f t="shared" si="371"/>
        <v>-2.962536851945067</v>
      </c>
      <c r="BD798" s="10">
        <f t="shared" si="372"/>
        <v>-2.9620438420667501</v>
      </c>
      <c r="BE798" s="10">
        <v>62.69</v>
      </c>
      <c r="BF798" s="10">
        <v>28.34</v>
      </c>
      <c r="BG798" s="107">
        <v>46176</v>
      </c>
      <c r="BH798" s="107">
        <f t="shared" si="347"/>
        <v>46206</v>
      </c>
      <c r="BI798" s="23">
        <v>6</v>
      </c>
      <c r="BJ798" s="6"/>
      <c r="BK798" s="6"/>
      <c r="BL798" s="6">
        <f>VLOOKUP(A798,[2]Sheet1!$D$2:$H$933,5,0)</f>
        <v>0</v>
      </c>
      <c r="BM798" s="6" t="s">
        <v>3828</v>
      </c>
      <c r="BN798" s="6" t="s">
        <v>3829</v>
      </c>
      <c r="BO798" s="6" t="s">
        <v>3820</v>
      </c>
      <c r="BP798" s="6" t="s">
        <v>3821</v>
      </c>
      <c r="BQ798" s="6" t="s">
        <v>3830</v>
      </c>
      <c r="BR798" t="s">
        <v>3823</v>
      </c>
      <c r="BS798" t="s">
        <v>3824</v>
      </c>
      <c r="BT798" t="s">
        <v>3825</v>
      </c>
      <c r="BU798" t="s">
        <v>3826</v>
      </c>
      <c r="BV798" t="s">
        <v>3827</v>
      </c>
      <c r="BW798" t="s">
        <v>3835</v>
      </c>
      <c r="BX798">
        <v>0</v>
      </c>
      <c r="BY798" t="s">
        <v>3864</v>
      </c>
      <c r="BZ798" t="s">
        <v>3860</v>
      </c>
    </row>
    <row r="799" spans="1:78" x14ac:dyDescent="0.25">
      <c r="A799" s="7" t="s">
        <v>3245</v>
      </c>
      <c r="B799" s="7" t="s">
        <v>181</v>
      </c>
      <c r="C799" s="7" t="s">
        <v>3243</v>
      </c>
      <c r="D799" s="8" t="s">
        <v>3244</v>
      </c>
      <c r="E799" s="7" t="s">
        <v>3246</v>
      </c>
      <c r="F799" s="9">
        <v>44894</v>
      </c>
      <c r="G799" s="9" t="s">
        <v>717</v>
      </c>
      <c r="H799" s="9" t="s">
        <v>87</v>
      </c>
      <c r="I799" s="8" t="s">
        <v>78</v>
      </c>
      <c r="J799" s="10">
        <v>475.77</v>
      </c>
      <c r="K799" s="10">
        <v>475.77</v>
      </c>
      <c r="L799" s="10">
        <f t="shared" si="348"/>
        <v>0</v>
      </c>
      <c r="M799" s="10">
        <v>207.75</v>
      </c>
      <c r="N799" s="10">
        <v>207.75</v>
      </c>
      <c r="O799" s="10">
        <f t="shared" si="349"/>
        <v>0</v>
      </c>
      <c r="P799" s="11">
        <v>30712.499737268008</v>
      </c>
      <c r="Q799" s="11">
        <v>70334.950661853189</v>
      </c>
      <c r="R799" s="11">
        <v>40000</v>
      </c>
      <c r="S799" s="11">
        <v>14612086</v>
      </c>
      <c r="T799" s="11">
        <v>1753450</v>
      </c>
      <c r="U799" s="12">
        <f t="shared" si="350"/>
        <v>0.11999997810032051</v>
      </c>
      <c r="V799" s="13">
        <f t="shared" si="374"/>
        <v>0</v>
      </c>
      <c r="W799" s="10">
        <f t="shared" si="351"/>
        <v>0</v>
      </c>
      <c r="X799" s="10"/>
      <c r="Y799" s="10"/>
      <c r="Z799" s="11">
        <f t="shared" si="352"/>
        <v>14612086</v>
      </c>
      <c r="AA799" s="14"/>
      <c r="AB799" s="14"/>
      <c r="AC799" s="11">
        <f t="shared" si="353"/>
        <v>14612086</v>
      </c>
      <c r="AD799" s="10">
        <f t="shared" si="354"/>
        <v>300</v>
      </c>
      <c r="AE799" s="15">
        <v>62325</v>
      </c>
      <c r="AF799" s="16">
        <v>11218</v>
      </c>
      <c r="AG799" s="15">
        <f t="shared" si="355"/>
        <v>0</v>
      </c>
      <c r="AH799" s="15">
        <f t="shared" si="356"/>
        <v>0</v>
      </c>
      <c r="AI799" s="15">
        <f t="shared" si="357"/>
        <v>62325</v>
      </c>
      <c r="AJ799" s="15">
        <f t="shared" si="358"/>
        <v>11219</v>
      </c>
      <c r="AK799" s="10">
        <v>62325</v>
      </c>
      <c r="AL799" s="15">
        <f t="shared" si="359"/>
        <v>62325</v>
      </c>
      <c r="AM799" s="15">
        <f t="shared" si="360"/>
        <v>14674411</v>
      </c>
      <c r="AN799" s="15">
        <f t="shared" si="361"/>
        <v>1764669</v>
      </c>
      <c r="AO799" s="15">
        <f t="shared" si="366"/>
        <v>1889212</v>
      </c>
      <c r="AP799" s="17">
        <f t="shared" si="362"/>
        <v>16563623</v>
      </c>
      <c r="AQ799" s="15">
        <v>8182769</v>
      </c>
      <c r="AR799" s="15">
        <v>62218</v>
      </c>
      <c r="AS799" s="18">
        <f t="shared" si="367"/>
        <v>8380854</v>
      </c>
      <c r="AT799" s="19">
        <v>0</v>
      </c>
      <c r="AU799" s="8">
        <v>8800</v>
      </c>
      <c r="AV799" s="13">
        <f t="shared" si="368"/>
        <v>1828200</v>
      </c>
      <c r="AW799" s="18">
        <f t="shared" si="369"/>
        <v>14674411</v>
      </c>
      <c r="AX799" s="15">
        <f t="shared" si="363"/>
        <v>14675000</v>
      </c>
      <c r="AY799" s="20">
        <v>0.06</v>
      </c>
      <c r="AZ799" s="13">
        <f t="shared" si="364"/>
        <v>880500</v>
      </c>
      <c r="BA799" s="15">
        <f t="shared" si="365"/>
        <v>880500</v>
      </c>
      <c r="BB799" s="21">
        <f t="shared" si="370"/>
        <v>9261354</v>
      </c>
      <c r="BC799" s="10">
        <f t="shared" si="371"/>
        <v>0</v>
      </c>
      <c r="BD799" s="10">
        <f t="shared" si="372"/>
        <v>0</v>
      </c>
      <c r="BE799" s="10">
        <v>44.2</v>
      </c>
      <c r="BF799" s="10">
        <v>19.3</v>
      </c>
      <c r="BG799" s="107">
        <v>46176</v>
      </c>
      <c r="BH799" s="107">
        <f t="shared" si="347"/>
        <v>46206</v>
      </c>
      <c r="BI799" s="23">
        <v>6</v>
      </c>
      <c r="BJ799" s="6"/>
      <c r="BK799" s="6"/>
      <c r="BL799" s="6">
        <f>VLOOKUP(A799,[2]Sheet1!$D$2:$H$933,5,0)</f>
        <v>0</v>
      </c>
      <c r="BM799" s="6" t="s">
        <v>3828</v>
      </c>
      <c r="BN799" s="6" t="s">
        <v>3829</v>
      </c>
      <c r="BO799" s="6" t="s">
        <v>3820</v>
      </c>
      <c r="BP799" s="6" t="s">
        <v>3821</v>
      </c>
      <c r="BQ799" s="6" t="s">
        <v>3830</v>
      </c>
      <c r="BR799" t="s">
        <v>3823</v>
      </c>
      <c r="BS799" t="s">
        <v>3824</v>
      </c>
      <c r="BT799" t="s">
        <v>3825</v>
      </c>
      <c r="BU799" t="s">
        <v>3826</v>
      </c>
      <c r="BV799" t="s">
        <v>3827</v>
      </c>
      <c r="BW799" t="s">
        <v>3835</v>
      </c>
      <c r="BX799">
        <v>0</v>
      </c>
      <c r="BY799" t="s">
        <v>3861</v>
      </c>
      <c r="BZ799" t="s">
        <v>3872</v>
      </c>
    </row>
    <row r="800" spans="1:78" x14ac:dyDescent="0.25">
      <c r="A800" s="7" t="s">
        <v>3249</v>
      </c>
      <c r="B800" s="7" t="s">
        <v>181</v>
      </c>
      <c r="C800" s="7" t="s">
        <v>3247</v>
      </c>
      <c r="D800" s="8" t="s">
        <v>3248</v>
      </c>
      <c r="E800" s="7" t="s">
        <v>3050</v>
      </c>
      <c r="F800" s="9">
        <v>44989</v>
      </c>
      <c r="G800" s="9" t="s">
        <v>717</v>
      </c>
      <c r="H800" s="9" t="s">
        <v>92</v>
      </c>
      <c r="I800" s="8" t="s">
        <v>78</v>
      </c>
      <c r="J800" s="10">
        <v>764.24</v>
      </c>
      <c r="K800" s="10">
        <v>764.24</v>
      </c>
      <c r="L800" s="10">
        <f t="shared" si="348"/>
        <v>0</v>
      </c>
      <c r="M800" s="10">
        <v>352.52</v>
      </c>
      <c r="N800" s="10">
        <v>352.52</v>
      </c>
      <c r="O800" s="10">
        <f t="shared" si="349"/>
        <v>0</v>
      </c>
      <c r="P800" s="11">
        <v>19725.238145085314</v>
      </c>
      <c r="Q800" s="11">
        <v>42763.009190967889</v>
      </c>
      <c r="R800" s="11">
        <v>28000</v>
      </c>
      <c r="S800" s="11">
        <v>15074816</v>
      </c>
      <c r="T800" s="11">
        <v>1808978</v>
      </c>
      <c r="U800" s="12">
        <f t="shared" si="350"/>
        <v>0.12000000530686411</v>
      </c>
      <c r="V800" s="13">
        <f t="shared" si="374"/>
        <v>0</v>
      </c>
      <c r="W800" s="10">
        <f t="shared" si="351"/>
        <v>0</v>
      </c>
      <c r="X800" s="10"/>
      <c r="Y800" s="10"/>
      <c r="Z800" s="11">
        <f t="shared" si="352"/>
        <v>15074816</v>
      </c>
      <c r="AA800" s="14"/>
      <c r="AB800" s="14"/>
      <c r="AC800" s="11">
        <f t="shared" si="353"/>
        <v>15074816</v>
      </c>
      <c r="AD800" s="10">
        <f t="shared" si="354"/>
        <v>300</v>
      </c>
      <c r="AE800" s="15">
        <v>105756</v>
      </c>
      <c r="AF800" s="16">
        <v>19036</v>
      </c>
      <c r="AG800" s="15">
        <f t="shared" si="355"/>
        <v>0</v>
      </c>
      <c r="AH800" s="15">
        <f t="shared" si="356"/>
        <v>0</v>
      </c>
      <c r="AI800" s="15">
        <f t="shared" si="357"/>
        <v>105756</v>
      </c>
      <c r="AJ800" s="15">
        <f t="shared" si="358"/>
        <v>19037</v>
      </c>
      <c r="AK800" s="10">
        <v>105756</v>
      </c>
      <c r="AL800" s="15">
        <f t="shared" si="359"/>
        <v>105756</v>
      </c>
      <c r="AM800" s="15">
        <f t="shared" si="360"/>
        <v>15180572</v>
      </c>
      <c r="AN800" s="15">
        <f t="shared" si="361"/>
        <v>1828015</v>
      </c>
      <c r="AO800" s="15">
        <f t="shared" si="366"/>
        <v>2004866.96</v>
      </c>
      <c r="AP800" s="17">
        <f t="shared" si="362"/>
        <v>17185438.960000001</v>
      </c>
      <c r="AQ800" s="15">
        <v>7587705</v>
      </c>
      <c r="AR800" s="15">
        <v>71095.960000000006</v>
      </c>
      <c r="AS800" s="18">
        <f t="shared" si="367"/>
        <v>9597734</v>
      </c>
      <c r="AT800" s="19">
        <v>0</v>
      </c>
      <c r="AU800" s="8">
        <v>8800</v>
      </c>
      <c r="AV800" s="13">
        <f t="shared" si="368"/>
        <v>3102176</v>
      </c>
      <c r="AW800" s="18">
        <f t="shared" si="369"/>
        <v>15180572</v>
      </c>
      <c r="AX800" s="15">
        <f t="shared" si="363"/>
        <v>15181000</v>
      </c>
      <c r="AY800" s="20">
        <v>7.0000000000000007E-2</v>
      </c>
      <c r="AZ800" s="13">
        <f t="shared" si="364"/>
        <v>1062670</v>
      </c>
      <c r="BA800" s="15">
        <f t="shared" si="365"/>
        <v>1062700</v>
      </c>
      <c r="BB800" s="21">
        <f t="shared" si="370"/>
        <v>10660434</v>
      </c>
      <c r="BC800" s="10">
        <f t="shared" si="371"/>
        <v>0</v>
      </c>
      <c r="BD800" s="10">
        <f t="shared" si="372"/>
        <v>0</v>
      </c>
      <c r="BE800" s="10">
        <v>71</v>
      </c>
      <c r="BF800" s="10">
        <v>32.75</v>
      </c>
      <c r="BG800" s="107">
        <v>46176</v>
      </c>
      <c r="BH800" s="107">
        <f t="shared" si="347"/>
        <v>46206</v>
      </c>
      <c r="BI800" s="23">
        <v>7</v>
      </c>
      <c r="BJ800" s="6"/>
      <c r="BK800" s="6"/>
      <c r="BL800" s="6">
        <f>VLOOKUP(A800,[2]Sheet1!$D$2:$H$933,5,0)</f>
        <v>0</v>
      </c>
      <c r="BM800" s="6" t="s">
        <v>3828</v>
      </c>
      <c r="BN800" s="6" t="s">
        <v>3829</v>
      </c>
      <c r="BO800" s="6" t="s">
        <v>3820</v>
      </c>
      <c r="BP800" s="6" t="s">
        <v>3821</v>
      </c>
      <c r="BQ800" s="6" t="s">
        <v>3830</v>
      </c>
      <c r="BR800" t="s">
        <v>3823</v>
      </c>
      <c r="BS800" t="s">
        <v>3824</v>
      </c>
      <c r="BT800" t="s">
        <v>3825</v>
      </c>
      <c r="BU800" t="s">
        <v>3826</v>
      </c>
      <c r="BV800" t="s">
        <v>3827</v>
      </c>
      <c r="BW800" t="s">
        <v>3835</v>
      </c>
      <c r="BX800">
        <v>0</v>
      </c>
      <c r="BY800" t="s">
        <v>3859</v>
      </c>
      <c r="BZ800" t="s">
        <v>3872</v>
      </c>
    </row>
    <row r="801" spans="1:78" x14ac:dyDescent="0.25">
      <c r="A801" s="7" t="s">
        <v>3252</v>
      </c>
      <c r="B801" s="7" t="s">
        <v>181</v>
      </c>
      <c r="C801" s="7" t="s">
        <v>3250</v>
      </c>
      <c r="D801" s="8" t="s">
        <v>3251</v>
      </c>
      <c r="E801" s="7" t="s">
        <v>3253</v>
      </c>
      <c r="F801" s="9">
        <v>45006</v>
      </c>
      <c r="G801" s="9" t="s">
        <v>717</v>
      </c>
      <c r="H801" s="9" t="s">
        <v>87</v>
      </c>
      <c r="I801" s="8" t="s">
        <v>78</v>
      </c>
      <c r="J801" s="10">
        <v>1330.86</v>
      </c>
      <c r="K801" s="10">
        <v>1330.86</v>
      </c>
      <c r="L801" s="10">
        <f t="shared" si="348"/>
        <v>0</v>
      </c>
      <c r="M801" s="10">
        <v>610.32000000000005</v>
      </c>
      <c r="N801" s="10">
        <v>610.32000000000005</v>
      </c>
      <c r="O801" s="10">
        <f t="shared" si="349"/>
        <v>0</v>
      </c>
      <c r="P801" s="11">
        <v>26315.749966187279</v>
      </c>
      <c r="Q801" s="11">
        <v>57383.960872984659</v>
      </c>
      <c r="R801" s="11">
        <v>40000</v>
      </c>
      <c r="S801" s="11">
        <v>35022579</v>
      </c>
      <c r="T801" s="11">
        <v>4202708</v>
      </c>
      <c r="U801" s="12">
        <f t="shared" si="350"/>
        <v>0.11999995774154724</v>
      </c>
      <c r="V801" s="13">
        <f t="shared" si="374"/>
        <v>0</v>
      </c>
      <c r="W801" s="10">
        <f t="shared" si="351"/>
        <v>0</v>
      </c>
      <c r="X801" s="10"/>
      <c r="Y801" s="10"/>
      <c r="Z801" s="11">
        <f t="shared" si="352"/>
        <v>35022579</v>
      </c>
      <c r="AA801" s="14"/>
      <c r="AB801" s="14"/>
      <c r="AC801" s="11">
        <f t="shared" si="353"/>
        <v>35022579</v>
      </c>
      <c r="AD801" s="10">
        <f t="shared" si="354"/>
        <v>300</v>
      </c>
      <c r="AE801" s="15">
        <v>183096</v>
      </c>
      <c r="AF801" s="16">
        <v>32958</v>
      </c>
      <c r="AG801" s="15">
        <f t="shared" si="355"/>
        <v>0</v>
      </c>
      <c r="AH801" s="15">
        <f t="shared" si="356"/>
        <v>0</v>
      </c>
      <c r="AI801" s="15">
        <f t="shared" si="357"/>
        <v>183096.00000000003</v>
      </c>
      <c r="AJ801" s="15">
        <f t="shared" si="358"/>
        <v>32958</v>
      </c>
      <c r="AK801" s="10">
        <v>183096</v>
      </c>
      <c r="AL801" s="15">
        <f t="shared" si="359"/>
        <v>183096.00000000003</v>
      </c>
      <c r="AM801" s="15">
        <f t="shared" si="360"/>
        <v>35205675</v>
      </c>
      <c r="AN801" s="15">
        <f t="shared" si="361"/>
        <v>4235666</v>
      </c>
      <c r="AO801" s="15">
        <f t="shared" si="366"/>
        <v>4521502</v>
      </c>
      <c r="AP801" s="17">
        <f t="shared" si="362"/>
        <v>39727177</v>
      </c>
      <c r="AQ801" s="15">
        <v>14634613</v>
      </c>
      <c r="AR801" s="15">
        <v>102740</v>
      </c>
      <c r="AS801" s="18">
        <f t="shared" si="367"/>
        <v>25092564</v>
      </c>
      <c r="AT801" s="19">
        <v>0</v>
      </c>
      <c r="AU801" s="8">
        <v>8800</v>
      </c>
      <c r="AV801" s="13">
        <f t="shared" si="368"/>
        <v>5370816</v>
      </c>
      <c r="AW801" s="18">
        <f t="shared" si="369"/>
        <v>35205675</v>
      </c>
      <c r="AX801" s="15">
        <f t="shared" si="363"/>
        <v>35206000</v>
      </c>
      <c r="AY801" s="20">
        <v>0.05</v>
      </c>
      <c r="AZ801" s="13">
        <f t="shared" si="364"/>
        <v>1760300</v>
      </c>
      <c r="BA801" s="15">
        <f t="shared" si="365"/>
        <v>1760300</v>
      </c>
      <c r="BB801" s="21">
        <f t="shared" si="370"/>
        <v>26852864</v>
      </c>
      <c r="BC801" s="10">
        <f t="shared" si="371"/>
        <v>0</v>
      </c>
      <c r="BD801" s="10">
        <f t="shared" si="372"/>
        <v>0</v>
      </c>
      <c r="BE801" s="10">
        <v>123.64</v>
      </c>
      <c r="BF801" s="10">
        <v>56.7</v>
      </c>
      <c r="BG801" s="107">
        <v>46176</v>
      </c>
      <c r="BH801" s="107">
        <f t="shared" si="347"/>
        <v>46206</v>
      </c>
      <c r="BI801" s="23">
        <v>5</v>
      </c>
      <c r="BJ801" s="6"/>
      <c r="BK801" s="6"/>
      <c r="BL801" s="6">
        <f>VLOOKUP(A801,[2]Sheet1!$D$2:$H$933,5,0)</f>
        <v>0</v>
      </c>
      <c r="BM801" s="6" t="s">
        <v>3828</v>
      </c>
      <c r="BN801" s="6" t="s">
        <v>3829</v>
      </c>
      <c r="BO801" s="6" t="s">
        <v>3820</v>
      </c>
      <c r="BP801" s="6" t="s">
        <v>3821</v>
      </c>
      <c r="BQ801" s="6" t="s">
        <v>3830</v>
      </c>
      <c r="BR801" t="s">
        <v>3823</v>
      </c>
      <c r="BS801" t="s">
        <v>3824</v>
      </c>
      <c r="BT801" t="s">
        <v>3825</v>
      </c>
      <c r="BU801" t="s">
        <v>3826</v>
      </c>
      <c r="BV801" t="s">
        <v>3827</v>
      </c>
      <c r="BW801" t="s">
        <v>3835</v>
      </c>
      <c r="BX801">
        <v>0</v>
      </c>
      <c r="BY801" t="s">
        <v>3859</v>
      </c>
      <c r="BZ801" t="s">
        <v>3872</v>
      </c>
    </row>
    <row r="802" spans="1:78" x14ac:dyDescent="0.25">
      <c r="A802" s="7" t="s">
        <v>3256</v>
      </c>
      <c r="B802" s="7" t="s">
        <v>181</v>
      </c>
      <c r="C802" s="7" t="s">
        <v>3254</v>
      </c>
      <c r="D802" s="8" t="s">
        <v>3255</v>
      </c>
      <c r="E802" s="7" t="s">
        <v>3257</v>
      </c>
      <c r="F802" s="9">
        <v>45058</v>
      </c>
      <c r="G802" s="9" t="s">
        <v>77</v>
      </c>
      <c r="H802" s="9" t="s">
        <v>92</v>
      </c>
      <c r="I802" s="8" t="s">
        <v>78</v>
      </c>
      <c r="J802" s="10">
        <v>1218.48</v>
      </c>
      <c r="K802" s="10">
        <v>1218.48</v>
      </c>
      <c r="L802" s="10">
        <f t="shared" si="348"/>
        <v>0</v>
      </c>
      <c r="M802" s="10">
        <v>564.03</v>
      </c>
      <c r="N802" s="10">
        <v>564.03</v>
      </c>
      <c r="O802" s="10">
        <f t="shared" si="349"/>
        <v>0</v>
      </c>
      <c r="P802" s="11">
        <v>15900</v>
      </c>
      <c r="Q802" s="11">
        <v>34348.938886229458</v>
      </c>
      <c r="R802" s="11">
        <v>28000</v>
      </c>
      <c r="S802" s="11">
        <v>19373832</v>
      </c>
      <c r="T802" s="11">
        <v>2324860</v>
      </c>
      <c r="U802" s="12">
        <f t="shared" si="350"/>
        <v>0.12000000825856237</v>
      </c>
      <c r="V802" s="13">
        <f t="shared" si="374"/>
        <v>0</v>
      </c>
      <c r="W802" s="10">
        <f t="shared" si="351"/>
        <v>0</v>
      </c>
      <c r="X802" s="10"/>
      <c r="Y802" s="10"/>
      <c r="Z802" s="11">
        <f t="shared" si="352"/>
        <v>19373832</v>
      </c>
      <c r="AA802" s="14"/>
      <c r="AB802" s="14"/>
      <c r="AC802" s="11">
        <f t="shared" si="353"/>
        <v>19373832</v>
      </c>
      <c r="AD802" s="10">
        <f t="shared" si="354"/>
        <v>300</v>
      </c>
      <c r="AE802" s="15">
        <v>169209</v>
      </c>
      <c r="AF802" s="16">
        <v>30458</v>
      </c>
      <c r="AG802" s="15">
        <f t="shared" si="355"/>
        <v>0</v>
      </c>
      <c r="AH802" s="15">
        <f t="shared" si="356"/>
        <v>0</v>
      </c>
      <c r="AI802" s="15">
        <f t="shared" si="357"/>
        <v>169209</v>
      </c>
      <c r="AJ802" s="15">
        <f t="shared" si="358"/>
        <v>30458</v>
      </c>
      <c r="AK802" s="10">
        <v>169209</v>
      </c>
      <c r="AL802" s="15">
        <f t="shared" si="359"/>
        <v>169209</v>
      </c>
      <c r="AM802" s="15">
        <f t="shared" si="360"/>
        <v>19543041</v>
      </c>
      <c r="AN802" s="15">
        <f t="shared" si="361"/>
        <v>2355318</v>
      </c>
      <c r="AO802" s="15">
        <f t="shared" si="366"/>
        <v>2618045</v>
      </c>
      <c r="AP802" s="17">
        <f t="shared" si="362"/>
        <v>22161086</v>
      </c>
      <c r="AQ802" s="15">
        <v>5424674</v>
      </c>
      <c r="AR802" s="15">
        <v>93518</v>
      </c>
      <c r="AS802" s="18">
        <f t="shared" si="367"/>
        <v>16736412</v>
      </c>
      <c r="AT802" s="19">
        <v>0</v>
      </c>
      <c r="AU802" s="8">
        <v>8800</v>
      </c>
      <c r="AV802" s="13">
        <f t="shared" si="368"/>
        <v>4963464</v>
      </c>
      <c r="AW802" s="18">
        <f t="shared" si="369"/>
        <v>19543041</v>
      </c>
      <c r="AX802" s="15">
        <f t="shared" si="363"/>
        <v>19544000</v>
      </c>
      <c r="AY802" s="20">
        <v>0.06</v>
      </c>
      <c r="AZ802" s="13">
        <f t="shared" si="364"/>
        <v>1172640</v>
      </c>
      <c r="BA802" s="15">
        <f t="shared" si="365"/>
        <v>1172700</v>
      </c>
      <c r="BB802" s="21">
        <f t="shared" si="370"/>
        <v>17909112</v>
      </c>
      <c r="BC802" s="10">
        <f t="shared" si="371"/>
        <v>0</v>
      </c>
      <c r="BD802" s="10">
        <f t="shared" si="372"/>
        <v>0</v>
      </c>
      <c r="BE802" s="10">
        <v>113.2</v>
      </c>
      <c r="BF802" s="10">
        <v>52.4</v>
      </c>
      <c r="BG802" s="107">
        <v>46176</v>
      </c>
      <c r="BH802" s="107">
        <f t="shared" si="347"/>
        <v>46206</v>
      </c>
      <c r="BI802" s="23">
        <v>6</v>
      </c>
      <c r="BJ802" s="6"/>
      <c r="BK802" s="6"/>
      <c r="BL802" s="6">
        <f>VLOOKUP(A802,[2]Sheet1!$D$2:$H$933,5,0)</f>
        <v>0</v>
      </c>
      <c r="BM802" s="6" t="s">
        <v>3828</v>
      </c>
      <c r="BN802" s="6" t="s">
        <v>3829</v>
      </c>
      <c r="BO802" s="6" t="s">
        <v>3820</v>
      </c>
      <c r="BP802" s="6" t="s">
        <v>3821</v>
      </c>
      <c r="BQ802" s="6" t="s">
        <v>3830</v>
      </c>
      <c r="BR802" t="s">
        <v>3823</v>
      </c>
      <c r="BS802" t="s">
        <v>3824</v>
      </c>
      <c r="BT802" t="s">
        <v>3825</v>
      </c>
      <c r="BU802" t="s">
        <v>3826</v>
      </c>
      <c r="BV802" t="s">
        <v>3827</v>
      </c>
      <c r="BW802" t="s">
        <v>3835</v>
      </c>
      <c r="BX802">
        <v>0</v>
      </c>
      <c r="BY802" t="s">
        <v>3859</v>
      </c>
      <c r="BZ802" t="s">
        <v>3863</v>
      </c>
    </row>
    <row r="803" spans="1:78" x14ac:dyDescent="0.25">
      <c r="A803" s="7" t="s">
        <v>3260</v>
      </c>
      <c r="B803" s="7" t="s">
        <v>181</v>
      </c>
      <c r="C803" s="7" t="s">
        <v>3258</v>
      </c>
      <c r="D803" s="8" t="s">
        <v>3259</v>
      </c>
      <c r="E803" s="7" t="s">
        <v>3261</v>
      </c>
      <c r="F803" s="9">
        <v>44958</v>
      </c>
      <c r="G803" s="9" t="s">
        <v>404</v>
      </c>
      <c r="H803" s="9" t="s">
        <v>190</v>
      </c>
      <c r="I803" s="8" t="s">
        <v>78</v>
      </c>
      <c r="J803" s="10">
        <v>1304.5999999999999</v>
      </c>
      <c r="K803" s="10">
        <v>1304.5999999999999</v>
      </c>
      <c r="L803" s="10">
        <f t="shared" si="348"/>
        <v>0</v>
      </c>
      <c r="M803" s="10">
        <v>604.94000000000005</v>
      </c>
      <c r="N803" s="10">
        <v>604.94000000000005</v>
      </c>
      <c r="O803" s="10">
        <f t="shared" si="349"/>
        <v>0</v>
      </c>
      <c r="P803" s="11">
        <v>17123.000153303696</v>
      </c>
      <c r="Q803" s="11">
        <v>36927.077065494093</v>
      </c>
      <c r="R803" s="11">
        <v>60000</v>
      </c>
      <c r="S803" s="11">
        <v>22338666</v>
      </c>
      <c r="T803" s="11">
        <v>2680640</v>
      </c>
      <c r="U803" s="12">
        <f t="shared" si="350"/>
        <v>0.12000000358123444</v>
      </c>
      <c r="V803" s="13">
        <f t="shared" si="374"/>
        <v>0</v>
      </c>
      <c r="W803" s="10">
        <f t="shared" si="351"/>
        <v>0</v>
      </c>
      <c r="X803" s="10"/>
      <c r="Y803" s="10"/>
      <c r="Z803" s="11">
        <f t="shared" si="352"/>
        <v>22338666</v>
      </c>
      <c r="AA803" s="14"/>
      <c r="AB803" s="14"/>
      <c r="AC803" s="11">
        <f t="shared" si="353"/>
        <v>22338666</v>
      </c>
      <c r="AD803" s="10">
        <f t="shared" si="354"/>
        <v>300</v>
      </c>
      <c r="AE803" s="15">
        <v>181482</v>
      </c>
      <c r="AF803" s="16">
        <v>32666</v>
      </c>
      <c r="AG803" s="15">
        <f t="shared" si="355"/>
        <v>0</v>
      </c>
      <c r="AH803" s="15">
        <f t="shared" si="356"/>
        <v>0</v>
      </c>
      <c r="AI803" s="15">
        <f t="shared" si="357"/>
        <v>181482.00000000003</v>
      </c>
      <c r="AJ803" s="15">
        <f t="shared" si="358"/>
        <v>32667</v>
      </c>
      <c r="AK803" s="10">
        <v>181482</v>
      </c>
      <c r="AL803" s="15">
        <f t="shared" si="359"/>
        <v>181482.00000000003</v>
      </c>
      <c r="AM803" s="15">
        <f t="shared" si="360"/>
        <v>22520148</v>
      </c>
      <c r="AN803" s="15">
        <f t="shared" si="361"/>
        <v>2713307</v>
      </c>
      <c r="AO803" s="15">
        <f t="shared" si="366"/>
        <v>3001253</v>
      </c>
      <c r="AP803" s="17">
        <f t="shared" si="362"/>
        <v>25521401</v>
      </c>
      <c r="AQ803" s="15">
        <v>1100000</v>
      </c>
      <c r="AR803" s="15">
        <v>106464</v>
      </c>
      <c r="AS803" s="18">
        <f t="shared" si="367"/>
        <v>24421401</v>
      </c>
      <c r="AT803" s="19">
        <v>0</v>
      </c>
      <c r="AU803" s="8">
        <v>8800</v>
      </c>
      <c r="AV803" s="13">
        <f t="shared" si="368"/>
        <v>5323472.0000000009</v>
      </c>
      <c r="AW803" s="18">
        <f t="shared" si="369"/>
        <v>22520148</v>
      </c>
      <c r="AX803" s="15">
        <f t="shared" si="363"/>
        <v>22521000</v>
      </c>
      <c r="AY803" s="20">
        <v>7.0000000000000007E-2</v>
      </c>
      <c r="AZ803" s="13">
        <f t="shared" si="364"/>
        <v>1576470.0000000002</v>
      </c>
      <c r="BA803" s="15">
        <f t="shared" si="365"/>
        <v>1576500</v>
      </c>
      <c r="BB803" s="21">
        <f t="shared" si="370"/>
        <v>25997901</v>
      </c>
      <c r="BC803" s="10">
        <f t="shared" si="371"/>
        <v>0</v>
      </c>
      <c r="BD803" s="10">
        <f t="shared" si="372"/>
        <v>0</v>
      </c>
      <c r="BE803" s="10">
        <v>121.2</v>
      </c>
      <c r="BF803" s="10">
        <v>56.2</v>
      </c>
      <c r="BG803" s="107">
        <v>46176</v>
      </c>
      <c r="BH803" s="107">
        <f t="shared" si="347"/>
        <v>46206</v>
      </c>
      <c r="BI803" s="23">
        <v>7</v>
      </c>
      <c r="BJ803" s="6"/>
      <c r="BK803" s="24"/>
      <c r="BL803" s="6">
        <f>VLOOKUP(A803,[2]Sheet1!$D$2:$H$933,5,0)</f>
        <v>0</v>
      </c>
      <c r="BM803" s="6" t="s">
        <v>3828</v>
      </c>
      <c r="BN803" s="6" t="s">
        <v>3829</v>
      </c>
      <c r="BO803" s="6" t="s">
        <v>3820</v>
      </c>
      <c r="BP803" s="6" t="s">
        <v>3821</v>
      </c>
      <c r="BQ803" s="6" t="s">
        <v>3830</v>
      </c>
      <c r="BR803" t="s">
        <v>3823</v>
      </c>
      <c r="BS803" t="s">
        <v>3824</v>
      </c>
      <c r="BT803" t="s">
        <v>3825</v>
      </c>
      <c r="BU803" t="s">
        <v>3826</v>
      </c>
      <c r="BV803" t="s">
        <v>3827</v>
      </c>
      <c r="BW803" t="s">
        <v>3835</v>
      </c>
      <c r="BX803">
        <v>0</v>
      </c>
      <c r="BY803" t="s">
        <v>3869</v>
      </c>
      <c r="BZ803" t="s">
        <v>3863</v>
      </c>
    </row>
    <row r="804" spans="1:78" x14ac:dyDescent="0.25">
      <c r="A804" s="7" t="s">
        <v>3264</v>
      </c>
      <c r="B804" s="7" t="s">
        <v>181</v>
      </c>
      <c r="C804" s="7" t="s">
        <v>3262</v>
      </c>
      <c r="D804" s="8" t="s">
        <v>3263</v>
      </c>
      <c r="E804" s="7" t="s">
        <v>3265</v>
      </c>
      <c r="F804" s="9">
        <v>45146</v>
      </c>
      <c r="G804" s="9" t="s">
        <v>404</v>
      </c>
      <c r="H804" s="9" t="s">
        <v>87</v>
      </c>
      <c r="I804" s="8" t="s">
        <v>78</v>
      </c>
      <c r="J804" s="10">
        <v>635.94000000000005</v>
      </c>
      <c r="K804" s="10">
        <v>635.94000000000005</v>
      </c>
      <c r="L804" s="10">
        <f t="shared" si="348"/>
        <v>0</v>
      </c>
      <c r="M804" s="10">
        <v>289.12</v>
      </c>
      <c r="N804" s="10">
        <v>289.12</v>
      </c>
      <c r="O804" s="10">
        <f t="shared" si="349"/>
        <v>0</v>
      </c>
      <c r="P804" s="11">
        <v>14646.001195081295</v>
      </c>
      <c r="Q804" s="11">
        <v>32214.921140011069</v>
      </c>
      <c r="R804" s="11">
        <v>40000</v>
      </c>
      <c r="S804" s="11">
        <v>9313978</v>
      </c>
      <c r="T804" s="11">
        <v>1117680</v>
      </c>
      <c r="U804" s="12">
        <f t="shared" si="350"/>
        <v>0.12000028344494694</v>
      </c>
      <c r="V804" s="13">
        <f t="shared" si="374"/>
        <v>0</v>
      </c>
      <c r="W804" s="10">
        <f t="shared" si="351"/>
        <v>0</v>
      </c>
      <c r="X804" s="10"/>
      <c r="Y804" s="10"/>
      <c r="Z804" s="11">
        <f t="shared" si="352"/>
        <v>9313978</v>
      </c>
      <c r="AA804" s="14"/>
      <c r="AB804" s="14"/>
      <c r="AC804" s="11">
        <f t="shared" si="353"/>
        <v>9313978</v>
      </c>
      <c r="AD804" s="10">
        <f t="shared" si="354"/>
        <v>300</v>
      </c>
      <c r="AE804" s="15">
        <v>86736</v>
      </c>
      <c r="AF804" s="16">
        <v>15612</v>
      </c>
      <c r="AG804" s="15">
        <f t="shared" si="355"/>
        <v>0</v>
      </c>
      <c r="AH804" s="15">
        <f t="shared" si="356"/>
        <v>0</v>
      </c>
      <c r="AI804" s="15">
        <f t="shared" si="357"/>
        <v>86736</v>
      </c>
      <c r="AJ804" s="15">
        <f t="shared" si="358"/>
        <v>15613</v>
      </c>
      <c r="AK804" s="10">
        <v>86736</v>
      </c>
      <c r="AL804" s="15">
        <f t="shared" si="359"/>
        <v>86736</v>
      </c>
      <c r="AM804" s="15">
        <f t="shared" si="360"/>
        <v>9400714</v>
      </c>
      <c r="AN804" s="15">
        <f t="shared" si="361"/>
        <v>1133293</v>
      </c>
      <c r="AO804" s="15">
        <f t="shared" si="366"/>
        <v>1296943</v>
      </c>
      <c r="AP804" s="17">
        <f t="shared" si="362"/>
        <v>10697657</v>
      </c>
      <c r="AQ804" s="15">
        <v>9961466</v>
      </c>
      <c r="AR804" s="15">
        <v>76914</v>
      </c>
      <c r="AS804" s="18">
        <f t="shared" si="367"/>
        <v>736191</v>
      </c>
      <c r="AT804" s="19">
        <v>0</v>
      </c>
      <c r="AU804" s="8">
        <v>8800</v>
      </c>
      <c r="AV804" s="13">
        <f t="shared" si="368"/>
        <v>2544256</v>
      </c>
      <c r="AW804" s="18">
        <f t="shared" si="369"/>
        <v>9400714</v>
      </c>
      <c r="AX804" s="15">
        <f t="shared" si="363"/>
        <v>9401000</v>
      </c>
      <c r="AY804" s="20">
        <v>0.05</v>
      </c>
      <c r="AZ804" s="13">
        <f t="shared" si="364"/>
        <v>470050</v>
      </c>
      <c r="BA804" s="15">
        <f t="shared" si="365"/>
        <v>470100</v>
      </c>
      <c r="BB804" s="21">
        <f t="shared" si="370"/>
        <v>1206291</v>
      </c>
      <c r="BC804" s="10">
        <f t="shared" si="371"/>
        <v>0</v>
      </c>
      <c r="BD804" s="10">
        <f t="shared" si="372"/>
        <v>0</v>
      </c>
      <c r="BE804" s="10">
        <v>59.08</v>
      </c>
      <c r="BF804" s="10">
        <v>26.86</v>
      </c>
      <c r="BG804" s="107">
        <v>46176</v>
      </c>
      <c r="BH804" s="107">
        <f t="shared" si="347"/>
        <v>46206</v>
      </c>
      <c r="BI804" s="23">
        <v>5</v>
      </c>
      <c r="BJ804" s="6"/>
      <c r="BK804" s="6"/>
      <c r="BL804" s="6">
        <f>VLOOKUP(A804,[2]Sheet1!$D$2:$H$933,5,0)</f>
        <v>0</v>
      </c>
      <c r="BM804" s="6" t="s">
        <v>3828</v>
      </c>
      <c r="BN804" s="6" t="s">
        <v>3829</v>
      </c>
      <c r="BO804" s="6" t="s">
        <v>3820</v>
      </c>
      <c r="BP804" s="6" t="s">
        <v>3821</v>
      </c>
      <c r="BQ804" s="6" t="s">
        <v>3830</v>
      </c>
      <c r="BR804" t="s">
        <v>3823</v>
      </c>
      <c r="BS804" t="s">
        <v>3824</v>
      </c>
      <c r="BT804" t="s">
        <v>3825</v>
      </c>
      <c r="BU804" t="s">
        <v>3826</v>
      </c>
      <c r="BV804" t="s">
        <v>3827</v>
      </c>
      <c r="BW804" t="s">
        <v>3835</v>
      </c>
      <c r="BX804">
        <v>0</v>
      </c>
      <c r="BY804" t="s">
        <v>3861</v>
      </c>
      <c r="BZ804" t="s">
        <v>3863</v>
      </c>
    </row>
    <row r="805" spans="1:78" x14ac:dyDescent="0.25">
      <c r="A805" s="7" t="s">
        <v>3268</v>
      </c>
      <c r="B805" s="7" t="s">
        <v>181</v>
      </c>
      <c r="C805" s="7" t="s">
        <v>3266</v>
      </c>
      <c r="D805" s="8" t="s">
        <v>3267</v>
      </c>
      <c r="E805" s="7" t="s">
        <v>3269</v>
      </c>
      <c r="F805" s="9">
        <v>44921</v>
      </c>
      <c r="G805" s="9" t="s">
        <v>527</v>
      </c>
      <c r="H805" s="9" t="s">
        <v>190</v>
      </c>
      <c r="I805" s="8" t="s">
        <v>78</v>
      </c>
      <c r="J805" s="10">
        <v>1003.85</v>
      </c>
      <c r="K805" s="10">
        <v>1003.85</v>
      </c>
      <c r="L805" s="10">
        <f t="shared" si="348"/>
        <v>0</v>
      </c>
      <c r="M805" s="10">
        <v>472</v>
      </c>
      <c r="N805" s="10">
        <v>472</v>
      </c>
      <c r="O805" s="10">
        <f t="shared" si="349"/>
        <v>0</v>
      </c>
      <c r="P805" s="11">
        <v>23289.000348657668</v>
      </c>
      <c r="Q805" s="11">
        <v>49531.0656779661</v>
      </c>
      <c r="R805" s="11">
        <v>60000</v>
      </c>
      <c r="S805" s="11">
        <v>23378663</v>
      </c>
      <c r="T805" s="11">
        <v>2805440</v>
      </c>
      <c r="U805" s="12">
        <f t="shared" si="350"/>
        <v>0.12000001882058012</v>
      </c>
      <c r="V805" s="13">
        <f t="shared" si="374"/>
        <v>0</v>
      </c>
      <c r="W805" s="10">
        <f t="shared" si="351"/>
        <v>0</v>
      </c>
      <c r="X805" s="10"/>
      <c r="Y805" s="10"/>
      <c r="Z805" s="11">
        <f t="shared" si="352"/>
        <v>23378663</v>
      </c>
      <c r="AA805" s="14"/>
      <c r="AB805" s="14"/>
      <c r="AC805" s="11">
        <f t="shared" si="353"/>
        <v>23378663</v>
      </c>
      <c r="AD805" s="10">
        <f t="shared" si="354"/>
        <v>300</v>
      </c>
      <c r="AE805" s="15">
        <v>141600</v>
      </c>
      <c r="AF805" s="16">
        <v>25488</v>
      </c>
      <c r="AG805" s="15">
        <f t="shared" si="355"/>
        <v>0</v>
      </c>
      <c r="AH805" s="15">
        <f t="shared" si="356"/>
        <v>0</v>
      </c>
      <c r="AI805" s="15">
        <f t="shared" si="357"/>
        <v>141600</v>
      </c>
      <c r="AJ805" s="15">
        <f t="shared" si="358"/>
        <v>25488</v>
      </c>
      <c r="AK805" s="10">
        <v>141600</v>
      </c>
      <c r="AL805" s="15">
        <f t="shared" si="359"/>
        <v>141600</v>
      </c>
      <c r="AM805" s="15">
        <f t="shared" si="360"/>
        <v>23520263</v>
      </c>
      <c r="AN805" s="15">
        <f t="shared" si="361"/>
        <v>2830928</v>
      </c>
      <c r="AO805" s="15">
        <f t="shared" si="366"/>
        <v>3054038.24</v>
      </c>
      <c r="AP805" s="17">
        <f t="shared" si="362"/>
        <v>26574301.240000002</v>
      </c>
      <c r="AQ805" s="15">
        <v>20829864</v>
      </c>
      <c r="AR805" s="15">
        <v>81510.240000000005</v>
      </c>
      <c r="AS805" s="18">
        <f t="shared" si="367"/>
        <v>5744437</v>
      </c>
      <c r="AT805" s="19">
        <v>0</v>
      </c>
      <c r="AU805" s="8">
        <v>8800</v>
      </c>
      <c r="AV805" s="13">
        <f t="shared" si="368"/>
        <v>4153600</v>
      </c>
      <c r="AW805" s="18">
        <f t="shared" si="369"/>
        <v>23520263</v>
      </c>
      <c r="AX805" s="15">
        <f t="shared" si="363"/>
        <v>23521000</v>
      </c>
      <c r="AY805" s="20">
        <v>7.0000000000000007E-2</v>
      </c>
      <c r="AZ805" s="13">
        <f t="shared" si="364"/>
        <v>1646470.0000000002</v>
      </c>
      <c r="BA805" s="15">
        <f t="shared" si="365"/>
        <v>1646500</v>
      </c>
      <c r="BB805" s="21">
        <f t="shared" si="370"/>
        <v>7390937</v>
      </c>
      <c r="BC805" s="10">
        <f t="shared" si="371"/>
        <v>0</v>
      </c>
      <c r="BD805" s="10">
        <f t="shared" si="372"/>
        <v>0</v>
      </c>
      <c r="BE805" s="10">
        <v>93.26</v>
      </c>
      <c r="BF805" s="10">
        <v>43.85</v>
      </c>
      <c r="BG805" s="107">
        <v>46176</v>
      </c>
      <c r="BH805" s="107">
        <f t="shared" si="347"/>
        <v>46206</v>
      </c>
      <c r="BI805" s="23">
        <v>7</v>
      </c>
      <c r="BJ805" s="6"/>
      <c r="BK805" s="6"/>
      <c r="BL805" s="6">
        <f>VLOOKUP(A805,[2]Sheet1!$D$2:$H$933,5,0)</f>
        <v>0</v>
      </c>
      <c r="BM805" s="6" t="s">
        <v>3828</v>
      </c>
      <c r="BN805" s="6" t="s">
        <v>3829</v>
      </c>
      <c r="BO805" s="6" t="s">
        <v>3820</v>
      </c>
      <c r="BP805" s="6" t="s">
        <v>3821</v>
      </c>
      <c r="BQ805" s="6" t="s">
        <v>3830</v>
      </c>
      <c r="BR805" t="s">
        <v>3823</v>
      </c>
      <c r="BS805" t="s">
        <v>3824</v>
      </c>
      <c r="BT805" t="s">
        <v>3825</v>
      </c>
      <c r="BU805" t="s">
        <v>3826</v>
      </c>
      <c r="BV805" t="s">
        <v>3827</v>
      </c>
      <c r="BW805" t="s">
        <v>3835</v>
      </c>
      <c r="BX805" s="101">
        <v>5589236.0300000003</v>
      </c>
      <c r="BY805" t="s">
        <v>3865</v>
      </c>
      <c r="BZ805" t="s">
        <v>3871</v>
      </c>
    </row>
    <row r="806" spans="1:78" x14ac:dyDescent="0.25">
      <c r="A806" s="65" t="s">
        <v>3272</v>
      </c>
      <c r="B806" s="7" t="s">
        <v>181</v>
      </c>
      <c r="C806" s="7" t="s">
        <v>3270</v>
      </c>
      <c r="D806" s="8" t="s">
        <v>3271</v>
      </c>
      <c r="E806" s="7" t="s">
        <v>3265</v>
      </c>
      <c r="F806" s="9">
        <v>45146</v>
      </c>
      <c r="G806" s="9" t="s">
        <v>404</v>
      </c>
      <c r="H806" s="9" t="s">
        <v>87</v>
      </c>
      <c r="I806" s="8" t="s">
        <v>78</v>
      </c>
      <c r="J806" s="10">
        <v>622.59</v>
      </c>
      <c r="K806" s="10">
        <v>622.59</v>
      </c>
      <c r="L806" s="10">
        <f t="shared" si="348"/>
        <v>0</v>
      </c>
      <c r="M806" s="10">
        <v>283.95</v>
      </c>
      <c r="N806" s="10">
        <v>283.95</v>
      </c>
      <c r="O806" s="10">
        <f t="shared" si="349"/>
        <v>0</v>
      </c>
      <c r="P806" s="11">
        <v>14645.99816893943</v>
      </c>
      <c r="Q806" s="11">
        <v>32112.879027997889</v>
      </c>
      <c r="R806" s="11">
        <v>40000</v>
      </c>
      <c r="S806" s="11">
        <v>9118452</v>
      </c>
      <c r="T806" s="11">
        <v>1094212</v>
      </c>
      <c r="U806" s="12">
        <f t="shared" si="350"/>
        <v>0.11999975434426809</v>
      </c>
      <c r="V806" s="13">
        <f t="shared" si="374"/>
        <v>0</v>
      </c>
      <c r="W806" s="10">
        <f t="shared" si="351"/>
        <v>0</v>
      </c>
      <c r="X806" s="10"/>
      <c r="Y806" s="10"/>
      <c r="Z806" s="11">
        <f t="shared" si="352"/>
        <v>9118452</v>
      </c>
      <c r="AA806" s="14"/>
      <c r="AB806" s="14"/>
      <c r="AC806" s="11">
        <f t="shared" si="353"/>
        <v>9118452</v>
      </c>
      <c r="AD806" s="10">
        <f t="shared" si="354"/>
        <v>300</v>
      </c>
      <c r="AE806" s="15">
        <v>85185</v>
      </c>
      <c r="AF806" s="16">
        <v>15334</v>
      </c>
      <c r="AG806" s="15">
        <f t="shared" si="355"/>
        <v>0</v>
      </c>
      <c r="AH806" s="15">
        <f t="shared" si="356"/>
        <v>0</v>
      </c>
      <c r="AI806" s="15">
        <f t="shared" si="357"/>
        <v>85185</v>
      </c>
      <c r="AJ806" s="15">
        <f t="shared" si="358"/>
        <v>15334</v>
      </c>
      <c r="AK806" s="10">
        <v>85185</v>
      </c>
      <c r="AL806" s="15">
        <f t="shared" si="359"/>
        <v>85185</v>
      </c>
      <c r="AM806" s="15">
        <f t="shared" si="360"/>
        <v>9203637</v>
      </c>
      <c r="AN806" s="15">
        <f t="shared" si="361"/>
        <v>1109546</v>
      </c>
      <c r="AO806" s="15">
        <f t="shared" si="366"/>
        <v>1273457</v>
      </c>
      <c r="AP806" s="17">
        <f t="shared" si="362"/>
        <v>10477094</v>
      </c>
      <c r="AQ806" s="15">
        <v>9755766</v>
      </c>
      <c r="AR806" s="15">
        <v>78726</v>
      </c>
      <c r="AS806" s="18">
        <f t="shared" si="367"/>
        <v>721328</v>
      </c>
      <c r="AT806" s="19">
        <v>0</v>
      </c>
      <c r="AU806" s="8">
        <v>8800</v>
      </c>
      <c r="AV806" s="13">
        <f t="shared" si="368"/>
        <v>2498760</v>
      </c>
      <c r="AW806" s="18">
        <f t="shared" si="369"/>
        <v>9203637</v>
      </c>
      <c r="AX806" s="15">
        <f t="shared" si="363"/>
        <v>9204000</v>
      </c>
      <c r="AY806" s="20">
        <v>0.05</v>
      </c>
      <c r="AZ806" s="13">
        <f t="shared" si="364"/>
        <v>460200</v>
      </c>
      <c r="BA806" s="15">
        <f t="shared" si="365"/>
        <v>460200</v>
      </c>
      <c r="BB806" s="21">
        <f t="shared" si="370"/>
        <v>1181528</v>
      </c>
      <c r="BC806" s="10">
        <f t="shared" si="371"/>
        <v>0</v>
      </c>
      <c r="BD806" s="10">
        <f t="shared" si="372"/>
        <v>0</v>
      </c>
      <c r="BE806" s="10">
        <v>57.84</v>
      </c>
      <c r="BF806" s="10">
        <v>26.38</v>
      </c>
      <c r="BG806" s="107">
        <v>46176</v>
      </c>
      <c r="BH806" s="107">
        <f t="shared" si="347"/>
        <v>46206</v>
      </c>
      <c r="BI806" s="23">
        <v>5</v>
      </c>
      <c r="BJ806" s="6"/>
      <c r="BK806" s="6"/>
      <c r="BL806" s="6">
        <f>VLOOKUP(A806,[2]Sheet1!$D$2:$H$933,5,0)</f>
        <v>0</v>
      </c>
      <c r="BM806" s="6" t="s">
        <v>3828</v>
      </c>
      <c r="BN806" s="6" t="s">
        <v>3829</v>
      </c>
      <c r="BO806" s="6" t="s">
        <v>3820</v>
      </c>
      <c r="BP806" s="6" t="s">
        <v>3821</v>
      </c>
      <c r="BQ806" s="6" t="s">
        <v>3830</v>
      </c>
      <c r="BR806" t="s">
        <v>3823</v>
      </c>
      <c r="BS806" t="s">
        <v>3824</v>
      </c>
      <c r="BT806" t="s">
        <v>3825</v>
      </c>
      <c r="BU806" t="s">
        <v>3826</v>
      </c>
      <c r="BV806" t="s">
        <v>3827</v>
      </c>
      <c r="BW806" t="s">
        <v>3835</v>
      </c>
      <c r="BX806">
        <v>0</v>
      </c>
      <c r="BY806" t="s">
        <v>3861</v>
      </c>
      <c r="BZ806" t="s">
        <v>3863</v>
      </c>
    </row>
    <row r="807" spans="1:78" x14ac:dyDescent="0.25">
      <c r="A807" s="7" t="s">
        <v>3275</v>
      </c>
      <c r="B807" s="7" t="s">
        <v>181</v>
      </c>
      <c r="C807" s="7" t="s">
        <v>3273</v>
      </c>
      <c r="D807" s="8" t="s">
        <v>3274</v>
      </c>
      <c r="E807" s="7" t="s">
        <v>3276</v>
      </c>
      <c r="F807" s="9">
        <v>45054</v>
      </c>
      <c r="G807" s="9" t="s">
        <v>65</v>
      </c>
      <c r="H807" s="9" t="s">
        <v>87</v>
      </c>
      <c r="I807" s="8" t="s">
        <v>78</v>
      </c>
      <c r="J807" s="10">
        <v>861.12</v>
      </c>
      <c r="K807" s="10">
        <v>861.12</v>
      </c>
      <c r="L807" s="10">
        <f t="shared" si="348"/>
        <v>0</v>
      </c>
      <c r="M807" s="10">
        <v>399.34</v>
      </c>
      <c r="N807" s="10">
        <v>399.34</v>
      </c>
      <c r="O807" s="10">
        <f t="shared" si="349"/>
        <v>0</v>
      </c>
      <c r="P807" s="11">
        <v>16200</v>
      </c>
      <c r="Q807" s="11">
        <v>34932.999449091003</v>
      </c>
      <c r="R807" s="11">
        <v>40000</v>
      </c>
      <c r="S807" s="11">
        <v>13950144</v>
      </c>
      <c r="T807" s="11">
        <v>1674016</v>
      </c>
      <c r="U807" s="12">
        <f t="shared" si="350"/>
        <v>0.11999990824467476</v>
      </c>
      <c r="V807" s="13">
        <f t="shared" si="374"/>
        <v>0</v>
      </c>
      <c r="W807" s="10">
        <f t="shared" si="351"/>
        <v>0</v>
      </c>
      <c r="X807" s="10"/>
      <c r="Y807" s="10"/>
      <c r="Z807" s="11">
        <f t="shared" si="352"/>
        <v>13950144</v>
      </c>
      <c r="AA807" s="14"/>
      <c r="AB807" s="14"/>
      <c r="AC807" s="11">
        <f t="shared" si="353"/>
        <v>13950144</v>
      </c>
      <c r="AD807" s="10">
        <f t="shared" si="354"/>
        <v>300</v>
      </c>
      <c r="AE807" s="15">
        <v>119802</v>
      </c>
      <c r="AF807" s="16">
        <v>21564</v>
      </c>
      <c r="AG807" s="15">
        <f t="shared" si="355"/>
        <v>0</v>
      </c>
      <c r="AH807" s="15">
        <f t="shared" si="356"/>
        <v>0</v>
      </c>
      <c r="AI807" s="15">
        <f t="shared" si="357"/>
        <v>119801.99999999999</v>
      </c>
      <c r="AJ807" s="15">
        <f t="shared" si="358"/>
        <v>21565</v>
      </c>
      <c r="AK807" s="10">
        <v>119802</v>
      </c>
      <c r="AL807" s="15">
        <f t="shared" si="359"/>
        <v>119801.99999999999</v>
      </c>
      <c r="AM807" s="15">
        <f t="shared" si="360"/>
        <v>14069946</v>
      </c>
      <c r="AN807" s="15">
        <f t="shared" si="361"/>
        <v>1695581</v>
      </c>
      <c r="AO807" s="15">
        <f t="shared" si="366"/>
        <v>1896420.6</v>
      </c>
      <c r="AP807" s="17">
        <f t="shared" si="362"/>
        <v>15966366.6</v>
      </c>
      <c r="AQ807" s="15">
        <v>14025472</v>
      </c>
      <c r="AR807" s="15">
        <v>81037.600000000006</v>
      </c>
      <c r="AS807" s="18">
        <f t="shared" si="367"/>
        <v>1940895</v>
      </c>
      <c r="AT807" s="19">
        <v>0</v>
      </c>
      <c r="AU807" s="8">
        <v>8800</v>
      </c>
      <c r="AV807" s="13">
        <f t="shared" si="368"/>
        <v>3514192</v>
      </c>
      <c r="AW807" s="18">
        <f t="shared" si="369"/>
        <v>14069946</v>
      </c>
      <c r="AX807" s="15">
        <f t="shared" si="363"/>
        <v>14070000</v>
      </c>
      <c r="AY807" s="20">
        <v>7.0000000000000007E-2</v>
      </c>
      <c r="AZ807" s="13">
        <f t="shared" si="364"/>
        <v>984900.00000000012</v>
      </c>
      <c r="BA807" s="15">
        <f t="shared" si="365"/>
        <v>984900</v>
      </c>
      <c r="BB807" s="21">
        <f t="shared" si="370"/>
        <v>2925795</v>
      </c>
      <c r="BC807" s="10">
        <f t="shared" si="371"/>
        <v>0</v>
      </c>
      <c r="BD807" s="10">
        <f t="shared" si="372"/>
        <v>0</v>
      </c>
      <c r="BE807" s="10">
        <v>80</v>
      </c>
      <c r="BF807" s="10">
        <v>37.1</v>
      </c>
      <c r="BG807" s="107">
        <v>46176</v>
      </c>
      <c r="BH807" s="107">
        <f t="shared" si="347"/>
        <v>46206</v>
      </c>
      <c r="BI807" s="23">
        <v>7</v>
      </c>
      <c r="BJ807" s="6"/>
      <c r="BK807" s="6"/>
      <c r="BL807" s="6">
        <f>VLOOKUP(A807,[2]Sheet1!$D$2:$H$933,5,0)</f>
        <v>0</v>
      </c>
      <c r="BM807" s="6" t="s">
        <v>3828</v>
      </c>
      <c r="BN807" s="6" t="s">
        <v>3829</v>
      </c>
      <c r="BO807" s="6" t="s">
        <v>3820</v>
      </c>
      <c r="BP807" s="6" t="s">
        <v>3821</v>
      </c>
      <c r="BQ807" s="6" t="s">
        <v>3830</v>
      </c>
      <c r="BR807" t="s">
        <v>3823</v>
      </c>
      <c r="BS807" t="s">
        <v>3824</v>
      </c>
      <c r="BT807" t="s">
        <v>3825</v>
      </c>
      <c r="BU807" t="s">
        <v>3826</v>
      </c>
      <c r="BV807" t="s">
        <v>3827</v>
      </c>
      <c r="BW807" t="s">
        <v>3835</v>
      </c>
      <c r="BX807">
        <v>0</v>
      </c>
      <c r="BY807" t="s">
        <v>3862</v>
      </c>
      <c r="BZ807" t="s">
        <v>3860</v>
      </c>
    </row>
    <row r="808" spans="1:78" x14ac:dyDescent="0.25">
      <c r="A808" s="7" t="s">
        <v>3279</v>
      </c>
      <c r="B808" s="7" t="s">
        <v>181</v>
      </c>
      <c r="C808" s="7" t="s">
        <v>3277</v>
      </c>
      <c r="D808" s="8" t="s">
        <v>3278</v>
      </c>
      <c r="E808" s="7" t="s">
        <v>3280</v>
      </c>
      <c r="F808" s="9">
        <v>44971</v>
      </c>
      <c r="G808" s="9" t="s">
        <v>527</v>
      </c>
      <c r="H808" s="9" t="s">
        <v>66</v>
      </c>
      <c r="I808" s="8" t="s">
        <v>78</v>
      </c>
      <c r="J808" s="10">
        <v>691.05</v>
      </c>
      <c r="K808" s="10">
        <v>691.05</v>
      </c>
      <c r="L808" s="10">
        <f t="shared" si="348"/>
        <v>0</v>
      </c>
      <c r="M808" s="10">
        <v>314.31</v>
      </c>
      <c r="N808" s="10">
        <v>314.31</v>
      </c>
      <c r="O808" s="10">
        <f t="shared" si="349"/>
        <v>0</v>
      </c>
      <c r="P808" s="11">
        <v>9591.8703422328344</v>
      </c>
      <c r="Q808" s="11">
        <v>21088.931309853328</v>
      </c>
      <c r="R808" s="11">
        <v>22000</v>
      </c>
      <c r="S808" s="11">
        <v>6628462</v>
      </c>
      <c r="T808" s="11">
        <v>795416</v>
      </c>
      <c r="U808" s="12">
        <f t="shared" si="350"/>
        <v>0.12000008448415334</v>
      </c>
      <c r="V808" s="13">
        <f t="shared" si="374"/>
        <v>0</v>
      </c>
      <c r="W808" s="10">
        <f t="shared" si="351"/>
        <v>0</v>
      </c>
      <c r="X808" s="10"/>
      <c r="Y808" s="10"/>
      <c r="Z808" s="11">
        <f t="shared" si="352"/>
        <v>6628462</v>
      </c>
      <c r="AA808" s="14"/>
      <c r="AB808" s="14"/>
      <c r="AC808" s="11">
        <f t="shared" si="353"/>
        <v>6628462</v>
      </c>
      <c r="AD808" s="10">
        <f t="shared" si="354"/>
        <v>300</v>
      </c>
      <c r="AE808" s="15">
        <v>94293</v>
      </c>
      <c r="AF808" s="16">
        <v>16972</v>
      </c>
      <c r="AG808" s="15">
        <f t="shared" si="355"/>
        <v>0</v>
      </c>
      <c r="AH808" s="15">
        <f t="shared" si="356"/>
        <v>0</v>
      </c>
      <c r="AI808" s="15">
        <f t="shared" si="357"/>
        <v>94293</v>
      </c>
      <c r="AJ808" s="15">
        <f t="shared" si="358"/>
        <v>16973</v>
      </c>
      <c r="AK808" s="10">
        <v>94293</v>
      </c>
      <c r="AL808" s="15">
        <f t="shared" si="359"/>
        <v>94293</v>
      </c>
      <c r="AM808" s="15">
        <f t="shared" si="360"/>
        <v>6722755</v>
      </c>
      <c r="AN808" s="15">
        <f t="shared" si="361"/>
        <v>812389</v>
      </c>
      <c r="AO808" s="15">
        <f t="shared" si="366"/>
        <v>996845</v>
      </c>
      <c r="AP808" s="17">
        <f t="shared" si="362"/>
        <v>7719600</v>
      </c>
      <c r="AQ808" s="15">
        <v>2240000</v>
      </c>
      <c r="AR808" s="15">
        <v>90163</v>
      </c>
      <c r="AS808" s="18">
        <f t="shared" si="367"/>
        <v>5479600</v>
      </c>
      <c r="AT808" s="19">
        <v>0</v>
      </c>
      <c r="AU808" s="8">
        <v>8800</v>
      </c>
      <c r="AV808" s="13">
        <f t="shared" si="368"/>
        <v>2765928</v>
      </c>
      <c r="AW808" s="18">
        <f t="shared" si="369"/>
        <v>6722755</v>
      </c>
      <c r="AX808" s="15">
        <f t="shared" si="363"/>
        <v>6723000</v>
      </c>
      <c r="AY808" s="20">
        <v>0.05</v>
      </c>
      <c r="AZ808" s="13">
        <f t="shared" si="364"/>
        <v>336150</v>
      </c>
      <c r="BA808" s="15">
        <f t="shared" si="365"/>
        <v>336200</v>
      </c>
      <c r="BB808" s="21">
        <f t="shared" si="370"/>
        <v>5815800</v>
      </c>
      <c r="BC808" s="10">
        <f t="shared" si="371"/>
        <v>0</v>
      </c>
      <c r="BD808" s="10">
        <f t="shared" si="372"/>
        <v>0</v>
      </c>
      <c r="BE808" s="10">
        <v>64.2</v>
      </c>
      <c r="BF808" s="10">
        <v>29.2</v>
      </c>
      <c r="BG808" s="107">
        <v>46176</v>
      </c>
      <c r="BH808" s="107">
        <f t="shared" si="347"/>
        <v>46206</v>
      </c>
      <c r="BI808" s="23">
        <v>5</v>
      </c>
      <c r="BJ808" s="6"/>
      <c r="BK808" s="6"/>
      <c r="BL808" s="6">
        <f>VLOOKUP(A808,[2]Sheet1!$D$2:$H$933,5,0)</f>
        <v>0</v>
      </c>
      <c r="BM808" s="6" t="s">
        <v>3828</v>
      </c>
      <c r="BN808" s="6" t="s">
        <v>3829</v>
      </c>
      <c r="BO808" s="6" t="s">
        <v>3820</v>
      </c>
      <c r="BP808" s="6" t="s">
        <v>3821</v>
      </c>
      <c r="BQ808" s="6" t="s">
        <v>3830</v>
      </c>
      <c r="BR808" t="s">
        <v>3823</v>
      </c>
      <c r="BS808" t="s">
        <v>3824</v>
      </c>
      <c r="BT808" t="s">
        <v>3825</v>
      </c>
      <c r="BU808" t="s">
        <v>3826</v>
      </c>
      <c r="BV808" t="s">
        <v>3827</v>
      </c>
      <c r="BW808" t="s">
        <v>3835</v>
      </c>
      <c r="BX808">
        <v>0</v>
      </c>
      <c r="BY808" t="s">
        <v>3864</v>
      </c>
      <c r="BZ808" t="s">
        <v>3871</v>
      </c>
    </row>
    <row r="809" spans="1:78" x14ac:dyDescent="0.25">
      <c r="A809" s="7" t="s">
        <v>3283</v>
      </c>
      <c r="B809" s="7" t="s">
        <v>181</v>
      </c>
      <c r="C809" s="7" t="s">
        <v>3281</v>
      </c>
      <c r="D809" s="8" t="s">
        <v>3282</v>
      </c>
      <c r="E809" s="7" t="s">
        <v>3284</v>
      </c>
      <c r="F809" s="9">
        <v>45054</v>
      </c>
      <c r="G809" s="9" t="s">
        <v>404</v>
      </c>
      <c r="H809" s="9" t="s">
        <v>190</v>
      </c>
      <c r="I809" s="8" t="s">
        <v>78</v>
      </c>
      <c r="J809" s="10">
        <v>2459.36</v>
      </c>
      <c r="K809" s="10">
        <v>2512</v>
      </c>
      <c r="L809" s="10">
        <f t="shared" si="348"/>
        <v>52.639999999999873</v>
      </c>
      <c r="M809" s="10">
        <v>1163.48</v>
      </c>
      <c r="N809" s="10">
        <v>1189</v>
      </c>
      <c r="O809" s="10">
        <f t="shared" si="349"/>
        <v>25.519999999999982</v>
      </c>
      <c r="P809" s="11">
        <v>18312.000276494698</v>
      </c>
      <c r="Q809" s="11">
        <v>38707.842850758068</v>
      </c>
      <c r="R809" s="11">
        <v>60000</v>
      </c>
      <c r="S809" s="11">
        <v>45035801</v>
      </c>
      <c r="T809" s="11">
        <v>5404296</v>
      </c>
      <c r="U809" s="12">
        <f t="shared" si="350"/>
        <v>0.11999999733545319</v>
      </c>
      <c r="V809" s="13">
        <f>L809*R809</f>
        <v>3158399.9999999925</v>
      </c>
      <c r="W809" s="10">
        <f t="shared" si="351"/>
        <v>379007.99158429448</v>
      </c>
      <c r="X809" s="15"/>
      <c r="Y809" s="15"/>
      <c r="Z809" s="11">
        <f t="shared" si="352"/>
        <v>48194200.999999993</v>
      </c>
      <c r="AA809" s="14"/>
      <c r="AB809" s="14"/>
      <c r="AC809" s="11">
        <f t="shared" si="353"/>
        <v>48194200.999999993</v>
      </c>
      <c r="AD809" s="10">
        <f t="shared" si="354"/>
        <v>300</v>
      </c>
      <c r="AE809" s="15">
        <v>349044</v>
      </c>
      <c r="AF809" s="16">
        <v>62828</v>
      </c>
      <c r="AG809" s="15">
        <f t="shared" si="355"/>
        <v>7655.9999999999945</v>
      </c>
      <c r="AH809" s="15">
        <f t="shared" si="356"/>
        <v>1378.079999999999</v>
      </c>
      <c r="AI809" s="15">
        <f t="shared" si="357"/>
        <v>356700</v>
      </c>
      <c r="AJ809" s="15">
        <f t="shared" si="358"/>
        <v>64206</v>
      </c>
      <c r="AK809" s="10">
        <v>349044</v>
      </c>
      <c r="AL809" s="15">
        <f t="shared" si="359"/>
        <v>356700</v>
      </c>
      <c r="AM809" s="15">
        <f t="shared" si="360"/>
        <v>48550901</v>
      </c>
      <c r="AN809" s="15">
        <f t="shared" si="361"/>
        <v>5847510</v>
      </c>
      <c r="AO809" s="15">
        <f t="shared" si="366"/>
        <v>6330453</v>
      </c>
      <c r="AP809" s="17">
        <f t="shared" si="362"/>
        <v>54881354</v>
      </c>
      <c r="AQ809" s="15">
        <v>24592000</v>
      </c>
      <c r="AR809" s="15">
        <v>126243</v>
      </c>
      <c r="AS809" s="18">
        <f t="shared" si="367"/>
        <v>30289354</v>
      </c>
      <c r="AT809" s="19">
        <v>0</v>
      </c>
      <c r="AU809" s="8">
        <v>8800</v>
      </c>
      <c r="AV809" s="13">
        <f t="shared" si="368"/>
        <v>10463200</v>
      </c>
      <c r="AW809" s="18">
        <f t="shared" si="369"/>
        <v>48550901</v>
      </c>
      <c r="AX809" s="15">
        <f t="shared" si="363"/>
        <v>48551000</v>
      </c>
      <c r="AY809" s="20">
        <v>7.0000000000000007E-2</v>
      </c>
      <c r="AZ809" s="13">
        <f t="shared" si="364"/>
        <v>3398570.0000000005</v>
      </c>
      <c r="BA809" s="15">
        <f t="shared" si="365"/>
        <v>3398600</v>
      </c>
      <c r="BB809" s="21">
        <f t="shared" si="370"/>
        <v>33687954</v>
      </c>
      <c r="BC809" s="10">
        <f t="shared" si="371"/>
        <v>2.1403942489102801</v>
      </c>
      <c r="BD809" s="10">
        <f t="shared" si="372"/>
        <v>2.1934197407776654</v>
      </c>
      <c r="BE809" s="10">
        <v>233.37</v>
      </c>
      <c r="BF809" s="10">
        <v>110.46</v>
      </c>
      <c r="BG809" s="107">
        <v>46176</v>
      </c>
      <c r="BH809" s="107">
        <f t="shared" ref="BH809:BH872" si="375">BG809+30</f>
        <v>46206</v>
      </c>
      <c r="BI809" s="23">
        <v>7</v>
      </c>
      <c r="BJ809" s="6"/>
      <c r="BK809" s="6"/>
      <c r="BL809" s="6">
        <f>VLOOKUP(A809,[2]Sheet1!$D$2:$H$933,5,0)</f>
        <v>0</v>
      </c>
      <c r="BM809" s="6" t="s">
        <v>3828</v>
      </c>
      <c r="BN809" s="6" t="s">
        <v>3829</v>
      </c>
      <c r="BO809" s="6" t="s">
        <v>3820</v>
      </c>
      <c r="BP809" s="6" t="s">
        <v>3821</v>
      </c>
      <c r="BQ809" s="6" t="s">
        <v>3830</v>
      </c>
      <c r="BR809" t="s">
        <v>3823</v>
      </c>
      <c r="BS809" t="s">
        <v>3824</v>
      </c>
      <c r="BT809" t="s">
        <v>3825</v>
      </c>
      <c r="BU809" t="s">
        <v>3826</v>
      </c>
      <c r="BV809" t="s">
        <v>3827</v>
      </c>
      <c r="BW809" t="s">
        <v>3835</v>
      </c>
      <c r="BX809">
        <v>0</v>
      </c>
      <c r="BY809" t="s">
        <v>3859</v>
      </c>
      <c r="BZ809" t="s">
        <v>3863</v>
      </c>
    </row>
    <row r="810" spans="1:78" x14ac:dyDescent="0.25">
      <c r="A810" s="7" t="s">
        <v>3287</v>
      </c>
      <c r="B810" s="7" t="s">
        <v>181</v>
      </c>
      <c r="C810" s="7" t="s">
        <v>3285</v>
      </c>
      <c r="D810" s="8" t="s">
        <v>3286</v>
      </c>
      <c r="E810" s="7" t="s">
        <v>3265</v>
      </c>
      <c r="F810" s="9">
        <v>45146</v>
      </c>
      <c r="G810" s="9" t="s">
        <v>404</v>
      </c>
      <c r="H810" s="9" t="s">
        <v>87</v>
      </c>
      <c r="I810" s="8" t="s">
        <v>78</v>
      </c>
      <c r="J810" s="10">
        <v>708.7</v>
      </c>
      <c r="K810" s="10">
        <v>708.7</v>
      </c>
      <c r="L810" s="10">
        <f t="shared" si="348"/>
        <v>0</v>
      </c>
      <c r="M810" s="10">
        <v>312.91000000000003</v>
      </c>
      <c r="N810" s="10">
        <v>312.91000000000003</v>
      </c>
      <c r="O810" s="10">
        <f t="shared" si="349"/>
        <v>0</v>
      </c>
      <c r="P810" s="11">
        <v>14645.998306758853</v>
      </c>
      <c r="Q810" s="11">
        <v>33171.260106739952</v>
      </c>
      <c r="R810" s="11">
        <v>40000</v>
      </c>
      <c r="S810" s="11">
        <v>10379619</v>
      </c>
      <c r="T810" s="11">
        <v>1245554</v>
      </c>
      <c r="U810" s="12">
        <f t="shared" si="350"/>
        <v>0.11999997302405802</v>
      </c>
      <c r="V810" s="13">
        <f>L810*P810</f>
        <v>0</v>
      </c>
      <c r="W810" s="10">
        <f t="shared" si="351"/>
        <v>0</v>
      </c>
      <c r="X810" s="10"/>
      <c r="Y810" s="10"/>
      <c r="Z810" s="11">
        <f t="shared" si="352"/>
        <v>10379619</v>
      </c>
      <c r="AA810" s="14"/>
      <c r="AB810" s="14"/>
      <c r="AC810" s="11">
        <f t="shared" si="353"/>
        <v>10379619</v>
      </c>
      <c r="AD810" s="10">
        <f t="shared" si="354"/>
        <v>300</v>
      </c>
      <c r="AE810" s="15">
        <v>93873</v>
      </c>
      <c r="AF810" s="16">
        <v>16898</v>
      </c>
      <c r="AG810" s="15">
        <f t="shared" si="355"/>
        <v>0</v>
      </c>
      <c r="AH810" s="15">
        <f t="shared" si="356"/>
        <v>0</v>
      </c>
      <c r="AI810" s="15">
        <f t="shared" si="357"/>
        <v>93873.000000000015</v>
      </c>
      <c r="AJ810" s="15">
        <f t="shared" si="358"/>
        <v>16898</v>
      </c>
      <c r="AK810" s="10">
        <v>93873</v>
      </c>
      <c r="AL810" s="15">
        <f t="shared" si="359"/>
        <v>93873.000000000015</v>
      </c>
      <c r="AM810" s="15">
        <f t="shared" si="360"/>
        <v>10473492</v>
      </c>
      <c r="AN810" s="15">
        <f t="shared" si="361"/>
        <v>1262452</v>
      </c>
      <c r="AO810" s="15">
        <f t="shared" si="366"/>
        <v>1442041</v>
      </c>
      <c r="AP810" s="17">
        <f t="shared" si="362"/>
        <v>11915533</v>
      </c>
      <c r="AQ810" s="15">
        <v>11101184</v>
      </c>
      <c r="AR810" s="15">
        <v>85716</v>
      </c>
      <c r="AS810" s="18">
        <f t="shared" si="367"/>
        <v>814349</v>
      </c>
      <c r="AT810" s="19">
        <v>0</v>
      </c>
      <c r="AU810" s="8">
        <v>8800</v>
      </c>
      <c r="AV810" s="13">
        <f t="shared" si="368"/>
        <v>2753608</v>
      </c>
      <c r="AW810" s="18">
        <f t="shared" si="369"/>
        <v>10473492</v>
      </c>
      <c r="AX810" s="15">
        <f t="shared" si="363"/>
        <v>10474000</v>
      </c>
      <c r="AY810" s="20">
        <v>0.05</v>
      </c>
      <c r="AZ810" s="13">
        <f t="shared" si="364"/>
        <v>523700</v>
      </c>
      <c r="BA810" s="15">
        <f t="shared" si="365"/>
        <v>523700</v>
      </c>
      <c r="BB810" s="21">
        <f t="shared" si="370"/>
        <v>1338049</v>
      </c>
      <c r="BC810" s="10">
        <f t="shared" si="371"/>
        <v>0</v>
      </c>
      <c r="BD810" s="10">
        <f t="shared" si="372"/>
        <v>0</v>
      </c>
      <c r="BE810" s="10">
        <v>65.84</v>
      </c>
      <c r="BF810" s="10">
        <v>29.07</v>
      </c>
      <c r="BG810" s="107">
        <v>46176</v>
      </c>
      <c r="BH810" s="107">
        <f t="shared" si="375"/>
        <v>46206</v>
      </c>
      <c r="BI810" s="23">
        <v>5</v>
      </c>
      <c r="BJ810" s="6"/>
      <c r="BK810" s="6"/>
      <c r="BL810" s="6">
        <f>VLOOKUP(A810,[2]Sheet1!$D$2:$H$933,5,0)</f>
        <v>0</v>
      </c>
      <c r="BM810" s="6" t="s">
        <v>3828</v>
      </c>
      <c r="BN810" s="6" t="s">
        <v>3829</v>
      </c>
      <c r="BO810" s="6" t="s">
        <v>3820</v>
      </c>
      <c r="BP810" s="6" t="s">
        <v>3821</v>
      </c>
      <c r="BQ810" s="6" t="s">
        <v>3830</v>
      </c>
      <c r="BR810" t="s">
        <v>3823</v>
      </c>
      <c r="BS810" t="s">
        <v>3824</v>
      </c>
      <c r="BT810" t="s">
        <v>3825</v>
      </c>
      <c r="BU810" t="s">
        <v>3826</v>
      </c>
      <c r="BV810" t="s">
        <v>3827</v>
      </c>
      <c r="BW810" t="s">
        <v>3835</v>
      </c>
      <c r="BX810">
        <v>0</v>
      </c>
      <c r="BY810" t="s">
        <v>3861</v>
      </c>
      <c r="BZ810" t="s">
        <v>3863</v>
      </c>
    </row>
    <row r="811" spans="1:78" x14ac:dyDescent="0.25">
      <c r="A811" s="7" t="s">
        <v>3290</v>
      </c>
      <c r="B811" s="7" t="s">
        <v>181</v>
      </c>
      <c r="C811" s="7" t="s">
        <v>3288</v>
      </c>
      <c r="D811" s="8" t="s">
        <v>3289</v>
      </c>
      <c r="E811" s="7" t="s">
        <v>3291</v>
      </c>
      <c r="F811" s="9">
        <v>44958</v>
      </c>
      <c r="G811" s="9" t="s">
        <v>65</v>
      </c>
      <c r="H811" s="9" t="s">
        <v>66</v>
      </c>
      <c r="I811" s="8" t="s">
        <v>78</v>
      </c>
      <c r="J811" s="10">
        <v>1094.7</v>
      </c>
      <c r="K811" s="10">
        <v>1094.7</v>
      </c>
      <c r="L811" s="10">
        <f t="shared" si="348"/>
        <v>0</v>
      </c>
      <c r="M811" s="10">
        <v>507.52</v>
      </c>
      <c r="N811" s="10">
        <v>507.52</v>
      </c>
      <c r="O811" s="10">
        <f t="shared" si="349"/>
        <v>0</v>
      </c>
      <c r="P811" s="11">
        <v>15500</v>
      </c>
      <c r="Q811" s="11">
        <v>33432.869640605299</v>
      </c>
      <c r="R811" s="11">
        <v>22000</v>
      </c>
      <c r="S811" s="11">
        <v>16967850</v>
      </c>
      <c r="T811" s="11">
        <v>2036140</v>
      </c>
      <c r="U811" s="12">
        <f t="shared" si="350"/>
        <v>0.11999988213002825</v>
      </c>
      <c r="V811" s="13">
        <f>L811*P811</f>
        <v>0</v>
      </c>
      <c r="W811" s="10">
        <f t="shared" si="351"/>
        <v>0</v>
      </c>
      <c r="X811" s="10"/>
      <c r="Y811" s="10"/>
      <c r="Z811" s="11">
        <f t="shared" si="352"/>
        <v>16967850</v>
      </c>
      <c r="AA811" s="14"/>
      <c r="AB811" s="14"/>
      <c r="AC811" s="11">
        <f t="shared" si="353"/>
        <v>16967850</v>
      </c>
      <c r="AD811" s="10">
        <f t="shared" si="354"/>
        <v>300</v>
      </c>
      <c r="AE811" s="15">
        <v>152256</v>
      </c>
      <c r="AF811" s="16">
        <v>27406</v>
      </c>
      <c r="AG811" s="15">
        <f t="shared" si="355"/>
        <v>0</v>
      </c>
      <c r="AH811" s="15">
        <f t="shared" si="356"/>
        <v>0</v>
      </c>
      <c r="AI811" s="15">
        <f t="shared" si="357"/>
        <v>152256</v>
      </c>
      <c r="AJ811" s="15">
        <f t="shared" si="358"/>
        <v>27407</v>
      </c>
      <c r="AK811" s="10">
        <v>152256</v>
      </c>
      <c r="AL811" s="15">
        <f t="shared" si="359"/>
        <v>152256</v>
      </c>
      <c r="AM811" s="15">
        <f t="shared" si="360"/>
        <v>17120106</v>
      </c>
      <c r="AN811" s="15">
        <f t="shared" si="361"/>
        <v>2063547</v>
      </c>
      <c r="AO811" s="15">
        <f t="shared" si="366"/>
        <v>2311123</v>
      </c>
      <c r="AP811" s="17">
        <f t="shared" si="362"/>
        <v>19431229</v>
      </c>
      <c r="AQ811" s="15">
        <v>11844755</v>
      </c>
      <c r="AR811" s="15">
        <v>95320</v>
      </c>
      <c r="AS811" s="18">
        <f t="shared" si="367"/>
        <v>7586474</v>
      </c>
      <c r="AT811" s="19">
        <v>0</v>
      </c>
      <c r="AU811" s="8">
        <v>8800</v>
      </c>
      <c r="AV811" s="13">
        <f t="shared" si="368"/>
        <v>4466176</v>
      </c>
      <c r="AW811" s="18">
        <f t="shared" si="369"/>
        <v>17120106</v>
      </c>
      <c r="AX811" s="15">
        <f t="shared" si="363"/>
        <v>17121000</v>
      </c>
      <c r="AY811" s="20">
        <v>7.0000000000000007E-2</v>
      </c>
      <c r="AZ811" s="13">
        <f t="shared" si="364"/>
        <v>1198470</v>
      </c>
      <c r="BA811" s="15">
        <f t="shared" si="365"/>
        <v>1198500</v>
      </c>
      <c r="BB811" s="21">
        <f t="shared" si="370"/>
        <v>8784974</v>
      </c>
      <c r="BC811" s="10">
        <f t="shared" si="371"/>
        <v>0</v>
      </c>
      <c r="BD811" s="10">
        <f t="shared" si="372"/>
        <v>0</v>
      </c>
      <c r="BE811" s="10">
        <v>101.7</v>
      </c>
      <c r="BF811" s="10">
        <v>47.15</v>
      </c>
      <c r="BG811" s="107">
        <v>46176</v>
      </c>
      <c r="BH811" s="107">
        <f t="shared" si="375"/>
        <v>46206</v>
      </c>
      <c r="BI811" s="23">
        <v>7</v>
      </c>
      <c r="BJ811" s="6"/>
      <c r="BK811" s="6"/>
      <c r="BL811" s="6">
        <f>VLOOKUP(A811,[2]Sheet1!$D$2:$H$933,5,0)</f>
        <v>0</v>
      </c>
      <c r="BM811" s="6" t="s">
        <v>3828</v>
      </c>
      <c r="BN811" s="6" t="s">
        <v>3829</v>
      </c>
      <c r="BO811" s="6" t="s">
        <v>3820</v>
      </c>
      <c r="BP811" s="6" t="s">
        <v>3821</v>
      </c>
      <c r="BQ811" s="6" t="s">
        <v>3830</v>
      </c>
      <c r="BR811" t="s">
        <v>3823</v>
      </c>
      <c r="BS811" t="s">
        <v>3824</v>
      </c>
      <c r="BT811" t="s">
        <v>3825</v>
      </c>
      <c r="BU811" t="s">
        <v>3826</v>
      </c>
      <c r="BV811" t="s">
        <v>3827</v>
      </c>
      <c r="BW811" t="s">
        <v>3835</v>
      </c>
      <c r="BX811">
        <v>0</v>
      </c>
      <c r="BY811" t="s">
        <v>3870</v>
      </c>
      <c r="BZ811" t="s">
        <v>3860</v>
      </c>
    </row>
    <row r="812" spans="1:78" x14ac:dyDescent="0.25">
      <c r="A812" s="7" t="s">
        <v>3294</v>
      </c>
      <c r="B812" s="7" t="s">
        <v>181</v>
      </c>
      <c r="C812" s="7" t="s">
        <v>3292</v>
      </c>
      <c r="D812" s="8" t="s">
        <v>3293</v>
      </c>
      <c r="E812" s="7" t="s">
        <v>3295</v>
      </c>
      <c r="F812" s="9">
        <v>44959</v>
      </c>
      <c r="G812" s="9" t="s">
        <v>527</v>
      </c>
      <c r="H812" s="9" t="s">
        <v>190</v>
      </c>
      <c r="I812" s="8" t="s">
        <v>78</v>
      </c>
      <c r="J812" s="10">
        <v>1354.11</v>
      </c>
      <c r="K812" s="10">
        <v>1354.11</v>
      </c>
      <c r="L812" s="10">
        <f t="shared" si="348"/>
        <v>0</v>
      </c>
      <c r="M812" s="10">
        <v>627.54</v>
      </c>
      <c r="N812" s="10">
        <v>627.54</v>
      </c>
      <c r="O812" s="10">
        <f t="shared" si="349"/>
        <v>0</v>
      </c>
      <c r="P812" s="11">
        <v>25000.000000000004</v>
      </c>
      <c r="Q812" s="11">
        <v>53945.166841954298</v>
      </c>
      <c r="R812" s="11">
        <v>60000</v>
      </c>
      <c r="S812" s="11">
        <v>33852750</v>
      </c>
      <c r="T812" s="11">
        <v>4062332</v>
      </c>
      <c r="U812" s="12">
        <f t="shared" si="350"/>
        <v>0.12000005907939532</v>
      </c>
      <c r="V812" s="13">
        <f>L812*P812</f>
        <v>0</v>
      </c>
      <c r="W812" s="10">
        <f t="shared" si="351"/>
        <v>0</v>
      </c>
      <c r="X812" s="10"/>
      <c r="Y812" s="10"/>
      <c r="Z812" s="11">
        <f t="shared" si="352"/>
        <v>33852750</v>
      </c>
      <c r="AA812" s="14"/>
      <c r="AB812" s="14"/>
      <c r="AC812" s="11">
        <f t="shared" si="353"/>
        <v>33852750</v>
      </c>
      <c r="AD812" s="10">
        <f t="shared" si="354"/>
        <v>300</v>
      </c>
      <c r="AE812" s="15">
        <v>188262</v>
      </c>
      <c r="AF812" s="16">
        <v>33888</v>
      </c>
      <c r="AG812" s="15">
        <f t="shared" si="355"/>
        <v>0</v>
      </c>
      <c r="AH812" s="15">
        <f t="shared" si="356"/>
        <v>0</v>
      </c>
      <c r="AI812" s="15">
        <f t="shared" si="357"/>
        <v>188262</v>
      </c>
      <c r="AJ812" s="15">
        <f t="shared" si="358"/>
        <v>33888</v>
      </c>
      <c r="AK812" s="10">
        <v>188262</v>
      </c>
      <c r="AL812" s="15">
        <f t="shared" si="359"/>
        <v>188262</v>
      </c>
      <c r="AM812" s="15">
        <f t="shared" si="360"/>
        <v>34041012</v>
      </c>
      <c r="AN812" s="15">
        <f t="shared" si="361"/>
        <v>4096220</v>
      </c>
      <c r="AO812" s="15">
        <f t="shared" si="366"/>
        <v>4409562</v>
      </c>
      <c r="AP812" s="17">
        <f t="shared" si="362"/>
        <v>38450574</v>
      </c>
      <c r="AQ812" s="15">
        <v>11374524</v>
      </c>
      <c r="AR812" s="15">
        <v>125080</v>
      </c>
      <c r="AS812" s="18">
        <f t="shared" si="367"/>
        <v>27076050</v>
      </c>
      <c r="AT812" s="19">
        <v>0</v>
      </c>
      <c r="AU812" s="8">
        <v>8800</v>
      </c>
      <c r="AV812" s="13">
        <f t="shared" si="368"/>
        <v>5522352</v>
      </c>
      <c r="AW812" s="18">
        <f t="shared" si="369"/>
        <v>34041012</v>
      </c>
      <c r="AX812" s="15">
        <f t="shared" si="363"/>
        <v>34042000</v>
      </c>
      <c r="AY812" s="20">
        <v>0.06</v>
      </c>
      <c r="AZ812" s="13">
        <f t="shared" si="364"/>
        <v>2042520</v>
      </c>
      <c r="BA812" s="15">
        <f t="shared" si="365"/>
        <v>2042600</v>
      </c>
      <c r="BB812" s="21">
        <f t="shared" si="370"/>
        <v>29118650</v>
      </c>
      <c r="BC812" s="10">
        <f t="shared" si="371"/>
        <v>0</v>
      </c>
      <c r="BD812" s="10">
        <f t="shared" si="372"/>
        <v>0</v>
      </c>
      <c r="BE812" s="10">
        <v>125.8</v>
      </c>
      <c r="BF812" s="10">
        <v>58.3</v>
      </c>
      <c r="BG812" s="107">
        <v>46176</v>
      </c>
      <c r="BH812" s="107">
        <f t="shared" si="375"/>
        <v>46206</v>
      </c>
      <c r="BI812" s="23">
        <v>6</v>
      </c>
      <c r="BJ812" s="6"/>
      <c r="BK812" s="6"/>
      <c r="BL812" s="6">
        <f>VLOOKUP(A812,[2]Sheet1!$D$2:$H$933,5,0)</f>
        <v>0</v>
      </c>
      <c r="BM812" s="6" t="s">
        <v>3828</v>
      </c>
      <c r="BN812" s="6" t="s">
        <v>3829</v>
      </c>
      <c r="BO812" s="6" t="s">
        <v>3820</v>
      </c>
      <c r="BP812" s="6" t="s">
        <v>3821</v>
      </c>
      <c r="BQ812" s="6" t="s">
        <v>3830</v>
      </c>
      <c r="BR812" t="s">
        <v>3823</v>
      </c>
      <c r="BS812" t="s">
        <v>3824</v>
      </c>
      <c r="BT812" t="s">
        <v>3825</v>
      </c>
      <c r="BU812" t="s">
        <v>3826</v>
      </c>
      <c r="BV812" t="s">
        <v>3827</v>
      </c>
      <c r="BW812" t="s">
        <v>3835</v>
      </c>
      <c r="BX812">
        <v>0</v>
      </c>
      <c r="BY812" t="s">
        <v>3868</v>
      </c>
      <c r="BZ812" t="s">
        <v>3871</v>
      </c>
    </row>
    <row r="813" spans="1:78" x14ac:dyDescent="0.25">
      <c r="A813" s="7" t="s">
        <v>3298</v>
      </c>
      <c r="B813" s="7" t="s">
        <v>181</v>
      </c>
      <c r="C813" s="7" t="s">
        <v>3296</v>
      </c>
      <c r="D813" s="8" t="s">
        <v>3297</v>
      </c>
      <c r="E813" s="7" t="s">
        <v>3299</v>
      </c>
      <c r="F813" s="9">
        <v>44998</v>
      </c>
      <c r="G813" s="9" t="s">
        <v>363</v>
      </c>
      <c r="H813" s="9" t="s">
        <v>92</v>
      </c>
      <c r="I813" s="8" t="s">
        <v>78</v>
      </c>
      <c r="J813" s="10">
        <v>697.51</v>
      </c>
      <c r="K813" s="10">
        <v>697.51</v>
      </c>
      <c r="L813" s="10">
        <f t="shared" si="348"/>
        <v>0</v>
      </c>
      <c r="M813" s="10">
        <v>317.54000000000002</v>
      </c>
      <c r="N813" s="10">
        <v>317.54000000000002</v>
      </c>
      <c r="O813" s="10">
        <f t="shared" si="349"/>
        <v>0</v>
      </c>
      <c r="P813" s="11">
        <v>17646.852374876347</v>
      </c>
      <c r="Q813" s="11">
        <v>38763.166845121872</v>
      </c>
      <c r="R813" s="11">
        <v>28000</v>
      </c>
      <c r="S813" s="11">
        <v>12308856</v>
      </c>
      <c r="T813" s="11">
        <v>1477064</v>
      </c>
      <c r="U813" s="12">
        <f t="shared" si="350"/>
        <v>0.12000010399016774</v>
      </c>
      <c r="V813" s="13">
        <f>L813*P813</f>
        <v>0</v>
      </c>
      <c r="W813" s="10">
        <f t="shared" si="351"/>
        <v>0</v>
      </c>
      <c r="X813" s="10"/>
      <c r="Y813" s="10"/>
      <c r="Z813" s="11">
        <f t="shared" si="352"/>
        <v>12308856</v>
      </c>
      <c r="AA813" s="14"/>
      <c r="AB813" s="14"/>
      <c r="AC813" s="11">
        <f t="shared" si="353"/>
        <v>12308856</v>
      </c>
      <c r="AD813" s="10">
        <f t="shared" si="354"/>
        <v>300</v>
      </c>
      <c r="AE813" s="15">
        <v>95262</v>
      </c>
      <c r="AF813" s="16">
        <v>17148</v>
      </c>
      <c r="AG813" s="15">
        <f t="shared" si="355"/>
        <v>0</v>
      </c>
      <c r="AH813" s="15">
        <f t="shared" si="356"/>
        <v>0</v>
      </c>
      <c r="AI813" s="15">
        <f t="shared" si="357"/>
        <v>95262</v>
      </c>
      <c r="AJ813" s="15">
        <f t="shared" si="358"/>
        <v>17148</v>
      </c>
      <c r="AK813" s="10">
        <v>95262</v>
      </c>
      <c r="AL813" s="15">
        <f t="shared" si="359"/>
        <v>95262</v>
      </c>
      <c r="AM813" s="15">
        <f t="shared" si="360"/>
        <v>12404118</v>
      </c>
      <c r="AN813" s="15">
        <f t="shared" si="361"/>
        <v>1494212</v>
      </c>
      <c r="AO813" s="15">
        <f t="shared" si="366"/>
        <v>1681686</v>
      </c>
      <c r="AP813" s="17">
        <f t="shared" si="362"/>
        <v>14085804</v>
      </c>
      <c r="AQ813" s="15">
        <v>12486883</v>
      </c>
      <c r="AR813" s="15">
        <v>92212</v>
      </c>
      <c r="AS813" s="18">
        <f t="shared" si="367"/>
        <v>1598921</v>
      </c>
      <c r="AT813" s="19">
        <v>0</v>
      </c>
      <c r="AU813" s="8">
        <v>8800</v>
      </c>
      <c r="AV813" s="13">
        <f t="shared" si="368"/>
        <v>2794352</v>
      </c>
      <c r="AW813" s="18">
        <f t="shared" si="369"/>
        <v>12404118</v>
      </c>
      <c r="AX813" s="15">
        <f t="shared" si="363"/>
        <v>12405000</v>
      </c>
      <c r="AY813" s="20">
        <v>0.05</v>
      </c>
      <c r="AZ813" s="13">
        <f t="shared" si="364"/>
        <v>620250</v>
      </c>
      <c r="BA813" s="15">
        <f t="shared" si="365"/>
        <v>620300</v>
      </c>
      <c r="BB813" s="21">
        <f t="shared" si="370"/>
        <v>2219221</v>
      </c>
      <c r="BC813" s="10">
        <f t="shared" si="371"/>
        <v>0</v>
      </c>
      <c r="BD813" s="10">
        <f t="shared" si="372"/>
        <v>0</v>
      </c>
      <c r="BE813" s="10">
        <v>64.8</v>
      </c>
      <c r="BF813" s="10">
        <v>29.5</v>
      </c>
      <c r="BG813" s="107">
        <v>46176</v>
      </c>
      <c r="BH813" s="107">
        <f t="shared" si="375"/>
        <v>46206</v>
      </c>
      <c r="BI813" s="23">
        <v>5</v>
      </c>
      <c r="BJ813" s="6"/>
      <c r="BK813" s="6"/>
      <c r="BL813" s="6">
        <f>VLOOKUP(A813,[2]Sheet1!$D$2:$H$933,5,0)</f>
        <v>0</v>
      </c>
      <c r="BM813" s="6" t="s">
        <v>3828</v>
      </c>
      <c r="BN813" s="6" t="s">
        <v>3829</v>
      </c>
      <c r="BO813" s="6" t="s">
        <v>3820</v>
      </c>
      <c r="BP813" s="6" t="s">
        <v>3821</v>
      </c>
      <c r="BQ813" s="6" t="s">
        <v>3830</v>
      </c>
      <c r="BR813" t="s">
        <v>3823</v>
      </c>
      <c r="BS813" t="s">
        <v>3824</v>
      </c>
      <c r="BT813" t="s">
        <v>3825</v>
      </c>
      <c r="BU813" t="s">
        <v>3826</v>
      </c>
      <c r="BV813" t="s">
        <v>3827</v>
      </c>
      <c r="BW813" t="s">
        <v>3835</v>
      </c>
      <c r="BX813">
        <v>0</v>
      </c>
      <c r="BY813" t="s">
        <v>3861</v>
      </c>
      <c r="BZ813" t="s">
        <v>3860</v>
      </c>
    </row>
    <row r="814" spans="1:78" x14ac:dyDescent="0.25">
      <c r="A814" s="7" t="s">
        <v>3302</v>
      </c>
      <c r="B814" s="7" t="s">
        <v>181</v>
      </c>
      <c r="C814" s="7" t="s">
        <v>3300</v>
      </c>
      <c r="D814" s="8" t="s">
        <v>3301</v>
      </c>
      <c r="E814" s="7" t="s">
        <v>3303</v>
      </c>
      <c r="F814" s="9">
        <v>45072</v>
      </c>
      <c r="G814" s="9" t="s">
        <v>77</v>
      </c>
      <c r="H814" s="9" t="s">
        <v>72</v>
      </c>
      <c r="I814" s="8" t="s">
        <v>78</v>
      </c>
      <c r="J814" s="10">
        <v>1472.52</v>
      </c>
      <c r="K814" s="10">
        <v>1504.38</v>
      </c>
      <c r="L814" s="10">
        <f t="shared" si="348"/>
        <v>31.860000000000127</v>
      </c>
      <c r="M814" s="10">
        <v>666.29</v>
      </c>
      <c r="N814" s="10">
        <v>684</v>
      </c>
      <c r="O814" s="10">
        <f t="shared" si="349"/>
        <v>17.710000000000036</v>
      </c>
      <c r="P814" s="11">
        <v>12963.000162985902</v>
      </c>
      <c r="Q814" s="11">
        <v>28648.601960107462</v>
      </c>
      <c r="R814" s="11">
        <v>20000</v>
      </c>
      <c r="S814" s="11">
        <v>19088277</v>
      </c>
      <c r="T814" s="11">
        <v>2290596</v>
      </c>
      <c r="U814" s="12">
        <f t="shared" si="350"/>
        <v>0.12000014459136359</v>
      </c>
      <c r="V814" s="13">
        <f>L814*R814</f>
        <v>637200.00000000256</v>
      </c>
      <c r="W814" s="10">
        <f t="shared" si="351"/>
        <v>76464.092133617189</v>
      </c>
      <c r="X814" s="15"/>
      <c r="Y814" s="15"/>
      <c r="Z814" s="11">
        <f t="shared" si="352"/>
        <v>19725477.000000004</v>
      </c>
      <c r="AA814" s="14"/>
      <c r="AB814" s="14"/>
      <c r="AC814" s="11">
        <f t="shared" si="353"/>
        <v>19725477.000000004</v>
      </c>
      <c r="AD814" s="10">
        <f t="shared" si="354"/>
        <v>300</v>
      </c>
      <c r="AE814" s="15">
        <v>199887</v>
      </c>
      <c r="AF814" s="16">
        <v>35980</v>
      </c>
      <c r="AG814" s="15">
        <f t="shared" si="355"/>
        <v>5313.0000000000109</v>
      </c>
      <c r="AH814" s="15">
        <f t="shared" si="356"/>
        <v>956.34000000000196</v>
      </c>
      <c r="AI814" s="15">
        <f t="shared" si="357"/>
        <v>205200</v>
      </c>
      <c r="AJ814" s="15">
        <f t="shared" si="358"/>
        <v>36936</v>
      </c>
      <c r="AK814" s="10">
        <v>199887</v>
      </c>
      <c r="AL814" s="15">
        <f t="shared" si="359"/>
        <v>205200</v>
      </c>
      <c r="AM814" s="15">
        <f t="shared" si="360"/>
        <v>19930677</v>
      </c>
      <c r="AN814" s="15">
        <f t="shared" si="361"/>
        <v>2403997</v>
      </c>
      <c r="AO814" s="15">
        <f t="shared" si="366"/>
        <v>2703121</v>
      </c>
      <c r="AP814" s="17">
        <f t="shared" si="362"/>
        <v>22633798</v>
      </c>
      <c r="AQ814" s="15">
        <v>18538909.98</v>
      </c>
      <c r="AR814" s="15">
        <v>93924</v>
      </c>
      <c r="AS814" s="18">
        <f t="shared" si="367"/>
        <v>4094888</v>
      </c>
      <c r="AT814" s="19">
        <v>0</v>
      </c>
      <c r="AU814" s="8">
        <v>8800</v>
      </c>
      <c r="AV814" s="13">
        <f t="shared" si="368"/>
        <v>6019200</v>
      </c>
      <c r="AW814" s="18">
        <f t="shared" si="369"/>
        <v>19930677</v>
      </c>
      <c r="AX814" s="15">
        <f t="shared" si="363"/>
        <v>19931000</v>
      </c>
      <c r="AY814" s="20">
        <v>7.0000000000000007E-2</v>
      </c>
      <c r="AZ814" s="13">
        <f t="shared" si="364"/>
        <v>1395170.0000000002</v>
      </c>
      <c r="BA814" s="15">
        <f t="shared" si="365"/>
        <v>1395200</v>
      </c>
      <c r="BB814" s="21">
        <f t="shared" si="370"/>
        <v>5490088</v>
      </c>
      <c r="BC814" s="10">
        <f t="shared" si="371"/>
        <v>2.163637845326388</v>
      </c>
      <c r="BD814" s="10">
        <f t="shared" si="372"/>
        <v>2.6580017710006212</v>
      </c>
      <c r="BE814" s="10">
        <v>139.76</v>
      </c>
      <c r="BF814" s="10">
        <v>63.55</v>
      </c>
      <c r="BG814" s="107">
        <v>46176</v>
      </c>
      <c r="BH814" s="107">
        <f t="shared" si="375"/>
        <v>46206</v>
      </c>
      <c r="BI814" s="23">
        <v>7</v>
      </c>
      <c r="BJ814" s="6"/>
      <c r="BK814" s="6"/>
      <c r="BL814" s="6">
        <f>VLOOKUP(A814,[2]Sheet1!$D$2:$H$933,5,0)</f>
        <v>0</v>
      </c>
      <c r="BM814" s="6" t="s">
        <v>3828</v>
      </c>
      <c r="BN814" s="6" t="s">
        <v>3829</v>
      </c>
      <c r="BO814" s="6" t="s">
        <v>3820</v>
      </c>
      <c r="BP814" s="6" t="s">
        <v>3821</v>
      </c>
      <c r="BQ814" s="6" t="s">
        <v>3830</v>
      </c>
      <c r="BR814" t="s">
        <v>3823</v>
      </c>
      <c r="BS814" t="s">
        <v>3824</v>
      </c>
      <c r="BT814" t="s">
        <v>3825</v>
      </c>
      <c r="BU814" t="s">
        <v>3826</v>
      </c>
      <c r="BV814" t="s">
        <v>3827</v>
      </c>
      <c r="BW814" t="s">
        <v>3835</v>
      </c>
      <c r="BX814">
        <v>0</v>
      </c>
      <c r="BY814" t="s">
        <v>3869</v>
      </c>
      <c r="BZ814" t="s">
        <v>3863</v>
      </c>
    </row>
    <row r="815" spans="1:78" x14ac:dyDescent="0.25">
      <c r="A815" s="7" t="s">
        <v>3306</v>
      </c>
      <c r="B815" s="7" t="s">
        <v>181</v>
      </c>
      <c r="C815" s="7" t="s">
        <v>3304</v>
      </c>
      <c r="D815" s="8" t="s">
        <v>3305</v>
      </c>
      <c r="E815" s="7" t="s">
        <v>3307</v>
      </c>
      <c r="F815" s="9">
        <v>44879</v>
      </c>
      <c r="G815" s="9" t="s">
        <v>404</v>
      </c>
      <c r="H815" s="9" t="s">
        <v>190</v>
      </c>
      <c r="I815" s="8" t="s">
        <v>78</v>
      </c>
      <c r="J815" s="10">
        <v>1354.97</v>
      </c>
      <c r="K815" s="10">
        <v>1354.97</v>
      </c>
      <c r="L815" s="10">
        <f t="shared" si="348"/>
        <v>0</v>
      </c>
      <c r="M815" s="10">
        <v>624.30999999999995</v>
      </c>
      <c r="N815" s="10">
        <v>624.30999999999995</v>
      </c>
      <c r="O815" s="10">
        <f t="shared" si="349"/>
        <v>0</v>
      </c>
      <c r="P815" s="11">
        <v>46837.999365299598</v>
      </c>
      <c r="Q815" s="11">
        <v>101654.76125642711</v>
      </c>
      <c r="R815" s="11">
        <v>60000</v>
      </c>
      <c r="S815" s="11">
        <v>63464084</v>
      </c>
      <c r="T815" s="11">
        <v>7615690</v>
      </c>
      <c r="U815" s="12">
        <f t="shared" si="350"/>
        <v>0.1199999987394445</v>
      </c>
      <c r="V815" s="13">
        <f t="shared" ref="V815:V838" si="376">L815*P815</f>
        <v>0</v>
      </c>
      <c r="W815" s="10">
        <f t="shared" si="351"/>
        <v>0</v>
      </c>
      <c r="X815" s="10"/>
      <c r="Y815" s="10"/>
      <c r="Z815" s="11">
        <f t="shared" si="352"/>
        <v>63464084</v>
      </c>
      <c r="AA815" s="14"/>
      <c r="AB815" s="14"/>
      <c r="AC815" s="11">
        <f t="shared" si="353"/>
        <v>63464084</v>
      </c>
      <c r="AD815" s="10">
        <f t="shared" si="354"/>
        <v>300</v>
      </c>
      <c r="AE815" s="15">
        <v>187293</v>
      </c>
      <c r="AF815" s="16">
        <v>33712</v>
      </c>
      <c r="AG815" s="15">
        <f t="shared" si="355"/>
        <v>0</v>
      </c>
      <c r="AH815" s="15">
        <f t="shared" si="356"/>
        <v>0</v>
      </c>
      <c r="AI815" s="15">
        <f t="shared" si="357"/>
        <v>187292.99999999997</v>
      </c>
      <c r="AJ815" s="15">
        <f t="shared" si="358"/>
        <v>33713</v>
      </c>
      <c r="AK815" s="10">
        <v>187293</v>
      </c>
      <c r="AL815" s="15">
        <f t="shared" si="359"/>
        <v>187292.99999999997</v>
      </c>
      <c r="AM815" s="15">
        <f t="shared" si="360"/>
        <v>63651377</v>
      </c>
      <c r="AN815" s="15">
        <f t="shared" si="361"/>
        <v>7649403</v>
      </c>
      <c r="AO815" s="15">
        <f t="shared" si="366"/>
        <v>7985463</v>
      </c>
      <c r="AP815" s="17">
        <f t="shared" si="362"/>
        <v>71636840</v>
      </c>
      <c r="AQ815" s="15">
        <v>35539884.420000002</v>
      </c>
      <c r="AR815" s="15">
        <v>148767</v>
      </c>
      <c r="AS815" s="18">
        <f t="shared" si="367"/>
        <v>36096956</v>
      </c>
      <c r="AT815" s="19">
        <v>0</v>
      </c>
      <c r="AU815" s="8">
        <v>8800</v>
      </c>
      <c r="AV815" s="13">
        <f t="shared" si="368"/>
        <v>5493927.9999999991</v>
      </c>
      <c r="AW815" s="18">
        <f t="shared" si="369"/>
        <v>63651377</v>
      </c>
      <c r="AX815" s="15">
        <f t="shared" si="363"/>
        <v>63652000</v>
      </c>
      <c r="AY815" s="20">
        <v>0.06</v>
      </c>
      <c r="AZ815" s="13">
        <f t="shared" si="364"/>
        <v>3819120</v>
      </c>
      <c r="BA815" s="15">
        <f t="shared" si="365"/>
        <v>3819200</v>
      </c>
      <c r="BB815" s="21">
        <f t="shared" si="370"/>
        <v>39916156</v>
      </c>
      <c r="BC815" s="10">
        <f t="shared" si="371"/>
        <v>0</v>
      </c>
      <c r="BD815" s="10">
        <f t="shared" si="372"/>
        <v>0</v>
      </c>
      <c r="BE815" s="10">
        <v>125.88</v>
      </c>
      <c r="BF815" s="10">
        <v>58</v>
      </c>
      <c r="BG815" s="107">
        <v>46176</v>
      </c>
      <c r="BH815" s="107">
        <f t="shared" si="375"/>
        <v>46206</v>
      </c>
      <c r="BI815" s="23">
        <v>6</v>
      </c>
      <c r="BJ815" s="6"/>
      <c r="BK815" s="6"/>
      <c r="BL815" s="6">
        <f>VLOOKUP(A815,[2]Sheet1!$D$2:$H$933,5,0)</f>
        <v>0</v>
      </c>
      <c r="BM815" s="6" t="s">
        <v>3828</v>
      </c>
      <c r="BN815" s="6" t="s">
        <v>3829</v>
      </c>
      <c r="BO815" s="6" t="s">
        <v>3820</v>
      </c>
      <c r="BP815" s="6" t="s">
        <v>3821</v>
      </c>
      <c r="BQ815" s="6" t="s">
        <v>3830</v>
      </c>
      <c r="BR815" t="s">
        <v>3823</v>
      </c>
      <c r="BS815" t="s">
        <v>3824</v>
      </c>
      <c r="BT815" t="s">
        <v>3825</v>
      </c>
      <c r="BU815" t="s">
        <v>3826</v>
      </c>
      <c r="BV815" t="s">
        <v>3827</v>
      </c>
      <c r="BW815" t="s">
        <v>3835</v>
      </c>
      <c r="BX815">
        <v>0</v>
      </c>
      <c r="BY815" t="s">
        <v>3859</v>
      </c>
      <c r="BZ815" t="s">
        <v>3863</v>
      </c>
    </row>
    <row r="816" spans="1:78" x14ac:dyDescent="0.25">
      <c r="A816" s="7" t="s">
        <v>3310</v>
      </c>
      <c r="B816" s="7" t="s">
        <v>181</v>
      </c>
      <c r="C816" s="7" t="s">
        <v>3308</v>
      </c>
      <c r="D816" s="8" t="s">
        <v>3309</v>
      </c>
      <c r="E816" s="7" t="s">
        <v>3311</v>
      </c>
      <c r="F816" s="9">
        <v>44906</v>
      </c>
      <c r="G816" s="9" t="s">
        <v>404</v>
      </c>
      <c r="H816" s="9" t="s">
        <v>66</v>
      </c>
      <c r="I816" s="8" t="s">
        <v>78</v>
      </c>
      <c r="J816" s="10">
        <v>1130.22</v>
      </c>
      <c r="K816" s="10">
        <v>1130.22</v>
      </c>
      <c r="L816" s="10">
        <f t="shared" si="348"/>
        <v>0</v>
      </c>
      <c r="M816" s="10">
        <v>520.98</v>
      </c>
      <c r="N816" s="10">
        <v>520.98</v>
      </c>
      <c r="O816" s="10">
        <f t="shared" si="349"/>
        <v>0</v>
      </c>
      <c r="P816" s="11">
        <v>13000</v>
      </c>
      <c r="Q816" s="11">
        <v>28202.349418403777</v>
      </c>
      <c r="R816" s="11">
        <v>22000</v>
      </c>
      <c r="S816" s="11">
        <v>14692860</v>
      </c>
      <c r="T816" s="11">
        <v>1763142</v>
      </c>
      <c r="U816" s="12">
        <f t="shared" si="350"/>
        <v>0.11999991832767752</v>
      </c>
      <c r="V816" s="13">
        <f t="shared" si="376"/>
        <v>0</v>
      </c>
      <c r="W816" s="10">
        <f t="shared" si="351"/>
        <v>0</v>
      </c>
      <c r="X816" s="10"/>
      <c r="Y816" s="10"/>
      <c r="Z816" s="11">
        <f t="shared" si="352"/>
        <v>14692860</v>
      </c>
      <c r="AA816" s="14"/>
      <c r="AB816" s="14"/>
      <c r="AC816" s="11">
        <f t="shared" si="353"/>
        <v>14692860</v>
      </c>
      <c r="AD816" s="10">
        <f t="shared" si="354"/>
        <v>300</v>
      </c>
      <c r="AE816" s="15">
        <v>156294</v>
      </c>
      <c r="AF816" s="16">
        <v>28132</v>
      </c>
      <c r="AG816" s="15">
        <f t="shared" si="355"/>
        <v>0</v>
      </c>
      <c r="AH816" s="15">
        <f t="shared" si="356"/>
        <v>0</v>
      </c>
      <c r="AI816" s="15">
        <f t="shared" si="357"/>
        <v>156294</v>
      </c>
      <c r="AJ816" s="15">
        <f t="shared" si="358"/>
        <v>28133</v>
      </c>
      <c r="AK816" s="10">
        <v>156294</v>
      </c>
      <c r="AL816" s="15">
        <f t="shared" si="359"/>
        <v>156294</v>
      </c>
      <c r="AM816" s="15">
        <f t="shared" si="360"/>
        <v>14849154</v>
      </c>
      <c r="AN816" s="15">
        <f t="shared" si="361"/>
        <v>1791275</v>
      </c>
      <c r="AO816" s="15">
        <f t="shared" si="366"/>
        <v>2056296.24</v>
      </c>
      <c r="AP816" s="17">
        <f t="shared" si="362"/>
        <v>16905450.239999998</v>
      </c>
      <c r="AQ816" s="15">
        <v>11025522</v>
      </c>
      <c r="AR816" s="15">
        <v>108727.24</v>
      </c>
      <c r="AS816" s="18">
        <f t="shared" si="367"/>
        <v>5879928</v>
      </c>
      <c r="AT816" s="19">
        <v>0</v>
      </c>
      <c r="AU816" s="8">
        <v>8800</v>
      </c>
      <c r="AV816" s="13">
        <f t="shared" si="368"/>
        <v>4584624</v>
      </c>
      <c r="AW816" s="18">
        <f t="shared" si="369"/>
        <v>14849154</v>
      </c>
      <c r="AX816" s="15">
        <f t="shared" si="363"/>
        <v>14850000</v>
      </c>
      <c r="AY816" s="20">
        <v>7.0000000000000007E-2</v>
      </c>
      <c r="AZ816" s="13">
        <f t="shared" si="364"/>
        <v>1039500.0000000001</v>
      </c>
      <c r="BA816" s="15">
        <f t="shared" si="365"/>
        <v>1039500</v>
      </c>
      <c r="BB816" s="21">
        <f t="shared" si="370"/>
        <v>6919428</v>
      </c>
      <c r="BC816" s="10">
        <f t="shared" si="371"/>
        <v>0</v>
      </c>
      <c r="BD816" s="10">
        <f t="shared" si="372"/>
        <v>0</v>
      </c>
      <c r="BE816" s="10">
        <v>105</v>
      </c>
      <c r="BF816" s="10">
        <v>48.4</v>
      </c>
      <c r="BG816" s="107">
        <v>46176</v>
      </c>
      <c r="BH816" s="107">
        <f t="shared" si="375"/>
        <v>46206</v>
      </c>
      <c r="BI816" s="23">
        <v>7</v>
      </c>
      <c r="BJ816" s="6"/>
      <c r="BK816" s="6"/>
      <c r="BL816" s="6">
        <f>VLOOKUP(A816,[2]Sheet1!$D$2:$H$933,5,0)</f>
        <v>0</v>
      </c>
      <c r="BM816" s="6" t="s">
        <v>3828</v>
      </c>
      <c r="BN816" s="6" t="s">
        <v>3829</v>
      </c>
      <c r="BO816" s="6" t="s">
        <v>3820</v>
      </c>
      <c r="BP816" s="6" t="s">
        <v>3821</v>
      </c>
      <c r="BQ816" s="6" t="s">
        <v>3830</v>
      </c>
      <c r="BR816" t="s">
        <v>3823</v>
      </c>
      <c r="BS816" t="s">
        <v>3824</v>
      </c>
      <c r="BT816" t="s">
        <v>3825</v>
      </c>
      <c r="BU816" t="s">
        <v>3826</v>
      </c>
      <c r="BV816" t="s">
        <v>3827</v>
      </c>
      <c r="BW816" t="s">
        <v>3835</v>
      </c>
      <c r="BX816">
        <v>0</v>
      </c>
      <c r="BY816" t="s">
        <v>3869</v>
      </c>
      <c r="BZ816" t="s">
        <v>3863</v>
      </c>
    </row>
    <row r="817" spans="1:78" x14ac:dyDescent="0.25">
      <c r="A817" s="7" t="s">
        <v>3314</v>
      </c>
      <c r="B817" s="7" t="s">
        <v>181</v>
      </c>
      <c r="C817" s="7" t="s">
        <v>3312</v>
      </c>
      <c r="D817" s="8" t="s">
        <v>3313</v>
      </c>
      <c r="E817" s="7" t="s">
        <v>3315</v>
      </c>
      <c r="F817" s="9">
        <v>44909</v>
      </c>
      <c r="G817" s="9" t="s">
        <v>527</v>
      </c>
      <c r="H817" s="9" t="s">
        <v>190</v>
      </c>
      <c r="I817" s="8" t="s">
        <v>78</v>
      </c>
      <c r="J817" s="10">
        <v>1354.11</v>
      </c>
      <c r="K817" s="10">
        <v>1354.11</v>
      </c>
      <c r="L817" s="10">
        <f t="shared" si="348"/>
        <v>0</v>
      </c>
      <c r="M817" s="10">
        <v>621.08000000000004</v>
      </c>
      <c r="N817" s="10">
        <v>621.08000000000004</v>
      </c>
      <c r="O817" s="10">
        <f t="shared" si="349"/>
        <v>0</v>
      </c>
      <c r="P817" s="11">
        <v>17000</v>
      </c>
      <c r="Q817" s="11">
        <v>37064.259032652793</v>
      </c>
      <c r="R817" s="11">
        <v>60000</v>
      </c>
      <c r="S817" s="11">
        <v>23019870</v>
      </c>
      <c r="T817" s="11">
        <v>2762384</v>
      </c>
      <c r="U817" s="12">
        <f t="shared" si="350"/>
        <v>0.11999998262370726</v>
      </c>
      <c r="V817" s="13">
        <f t="shared" si="376"/>
        <v>0</v>
      </c>
      <c r="W817" s="10">
        <f t="shared" si="351"/>
        <v>0</v>
      </c>
      <c r="X817" s="10"/>
      <c r="Y817" s="10"/>
      <c r="Z817" s="11">
        <f t="shared" si="352"/>
        <v>23019870</v>
      </c>
      <c r="AA817" s="14"/>
      <c r="AB817" s="14"/>
      <c r="AC817" s="11">
        <f t="shared" si="353"/>
        <v>23019870</v>
      </c>
      <c r="AD817" s="10">
        <f t="shared" si="354"/>
        <v>300</v>
      </c>
      <c r="AE817" s="15">
        <v>186324</v>
      </c>
      <c r="AF817" s="16">
        <v>33538</v>
      </c>
      <c r="AG817" s="15">
        <f t="shared" si="355"/>
        <v>0</v>
      </c>
      <c r="AH817" s="15">
        <f t="shared" si="356"/>
        <v>0</v>
      </c>
      <c r="AI817" s="15">
        <f t="shared" si="357"/>
        <v>186324</v>
      </c>
      <c r="AJ817" s="15">
        <f t="shared" si="358"/>
        <v>33539</v>
      </c>
      <c r="AK817" s="10">
        <v>186324</v>
      </c>
      <c r="AL817" s="15">
        <f t="shared" si="359"/>
        <v>186324</v>
      </c>
      <c r="AM817" s="15">
        <f t="shared" si="360"/>
        <v>23206194</v>
      </c>
      <c r="AN817" s="15">
        <f t="shared" si="361"/>
        <v>2795923</v>
      </c>
      <c r="AO817" s="15">
        <f t="shared" si="366"/>
        <v>3114995</v>
      </c>
      <c r="AP817" s="17">
        <f t="shared" si="362"/>
        <v>26321189</v>
      </c>
      <c r="AQ817" s="15">
        <v>12945562.67</v>
      </c>
      <c r="AR817" s="15">
        <v>132748</v>
      </c>
      <c r="AS817" s="18">
        <f t="shared" si="367"/>
        <v>13375626</v>
      </c>
      <c r="AT817" s="19">
        <v>0</v>
      </c>
      <c r="AU817" s="8">
        <v>8800</v>
      </c>
      <c r="AV817" s="13">
        <f t="shared" si="368"/>
        <v>5465504</v>
      </c>
      <c r="AW817" s="18">
        <f t="shared" si="369"/>
        <v>23206194</v>
      </c>
      <c r="AX817" s="15">
        <f t="shared" si="363"/>
        <v>23207000</v>
      </c>
      <c r="AY817" s="20">
        <v>7.0000000000000007E-2</v>
      </c>
      <c r="AZ817" s="13">
        <f t="shared" si="364"/>
        <v>1624490.0000000002</v>
      </c>
      <c r="BA817" s="15">
        <f t="shared" si="365"/>
        <v>1624500</v>
      </c>
      <c r="BB817" s="21">
        <f t="shared" si="370"/>
        <v>15000126</v>
      </c>
      <c r="BC817" s="10">
        <f t="shared" si="371"/>
        <v>0</v>
      </c>
      <c r="BD817" s="10">
        <f t="shared" si="372"/>
        <v>0</v>
      </c>
      <c r="BE817" s="10">
        <v>125.8</v>
      </c>
      <c r="BF817" s="10">
        <v>57.7</v>
      </c>
      <c r="BG817" s="107">
        <v>46176</v>
      </c>
      <c r="BH817" s="107">
        <f t="shared" si="375"/>
        <v>46206</v>
      </c>
      <c r="BI817" s="23">
        <v>7</v>
      </c>
      <c r="BJ817" s="6"/>
      <c r="BK817" s="6"/>
      <c r="BL817" s="6">
        <f>VLOOKUP(A817,[2]Sheet1!$D$2:$H$933,5,0)</f>
        <v>0</v>
      </c>
      <c r="BM817" s="6" t="s">
        <v>3828</v>
      </c>
      <c r="BN817" s="6" t="s">
        <v>3829</v>
      </c>
      <c r="BO817" s="6" t="s">
        <v>3820</v>
      </c>
      <c r="BP817" s="6" t="s">
        <v>3821</v>
      </c>
      <c r="BQ817" s="6" t="s">
        <v>3830</v>
      </c>
      <c r="BR817" t="s">
        <v>3823</v>
      </c>
      <c r="BS817" t="s">
        <v>3824</v>
      </c>
      <c r="BT817" t="s">
        <v>3825</v>
      </c>
      <c r="BU817" t="s">
        <v>3826</v>
      </c>
      <c r="BV817" t="s">
        <v>3827</v>
      </c>
      <c r="BW817" t="s">
        <v>3835</v>
      </c>
      <c r="BX817">
        <v>0</v>
      </c>
      <c r="BY817" t="s">
        <v>3869</v>
      </c>
      <c r="BZ817" t="s">
        <v>3871</v>
      </c>
    </row>
    <row r="818" spans="1:78" x14ac:dyDescent="0.25">
      <c r="A818" s="7" t="s">
        <v>3318</v>
      </c>
      <c r="B818" s="7" t="s">
        <v>181</v>
      </c>
      <c r="C818" s="7" t="s">
        <v>3316</v>
      </c>
      <c r="D818" s="8" t="s">
        <v>3317</v>
      </c>
      <c r="E818" s="7" t="s">
        <v>3319</v>
      </c>
      <c r="F818" s="9">
        <v>45075</v>
      </c>
      <c r="G818" s="9" t="s">
        <v>363</v>
      </c>
      <c r="H818" s="9" t="s">
        <v>87</v>
      </c>
      <c r="I818" s="8" t="s">
        <v>78</v>
      </c>
      <c r="J818" s="10">
        <v>697.51</v>
      </c>
      <c r="K818" s="10">
        <v>697.51</v>
      </c>
      <c r="L818" s="10">
        <f t="shared" si="348"/>
        <v>0</v>
      </c>
      <c r="M818" s="10">
        <v>319.69</v>
      </c>
      <c r="N818" s="10">
        <v>319.69</v>
      </c>
      <c r="O818" s="10">
        <f t="shared" si="349"/>
        <v>0</v>
      </c>
      <c r="P818" s="11">
        <v>23229.999569898639</v>
      </c>
      <c r="Q818" s="11">
        <v>50683.965716788138</v>
      </c>
      <c r="R818" s="11">
        <v>40000</v>
      </c>
      <c r="S818" s="11">
        <v>16203157</v>
      </c>
      <c r="T818" s="11">
        <v>1944380</v>
      </c>
      <c r="U818" s="12">
        <f t="shared" si="350"/>
        <v>0.12000007159098687</v>
      </c>
      <c r="V818" s="13">
        <f t="shared" si="376"/>
        <v>0</v>
      </c>
      <c r="W818" s="10">
        <f t="shared" si="351"/>
        <v>0</v>
      </c>
      <c r="X818" s="10"/>
      <c r="Y818" s="10"/>
      <c r="Z818" s="11">
        <f t="shared" si="352"/>
        <v>16203157</v>
      </c>
      <c r="AA818" s="14"/>
      <c r="AB818" s="14"/>
      <c r="AC818" s="11">
        <f t="shared" si="353"/>
        <v>16203157</v>
      </c>
      <c r="AD818" s="10">
        <f t="shared" si="354"/>
        <v>300</v>
      </c>
      <c r="AE818" s="15">
        <v>95907</v>
      </c>
      <c r="AF818" s="16">
        <v>17264</v>
      </c>
      <c r="AG818" s="15">
        <f t="shared" si="355"/>
        <v>0</v>
      </c>
      <c r="AH818" s="15">
        <f t="shared" si="356"/>
        <v>0</v>
      </c>
      <c r="AI818" s="15">
        <f t="shared" si="357"/>
        <v>95907</v>
      </c>
      <c r="AJ818" s="15">
        <f t="shared" si="358"/>
        <v>17264</v>
      </c>
      <c r="AK818" s="10">
        <v>95907</v>
      </c>
      <c r="AL818" s="15">
        <f t="shared" si="359"/>
        <v>95907</v>
      </c>
      <c r="AM818" s="15">
        <f t="shared" si="360"/>
        <v>16299064</v>
      </c>
      <c r="AN818" s="15">
        <f t="shared" si="361"/>
        <v>1961644</v>
      </c>
      <c r="AO818" s="15">
        <f t="shared" si="366"/>
        <v>2176828.6</v>
      </c>
      <c r="AP818" s="17">
        <f t="shared" si="362"/>
        <v>18475892.600000001</v>
      </c>
      <c r="AQ818" s="15">
        <v>16243665</v>
      </c>
      <c r="AR818" s="15">
        <v>119277.6</v>
      </c>
      <c r="AS818" s="18">
        <f t="shared" si="367"/>
        <v>2232228</v>
      </c>
      <c r="AT818" s="19">
        <v>0</v>
      </c>
      <c r="AU818" s="8">
        <v>8800</v>
      </c>
      <c r="AV818" s="13">
        <f t="shared" si="368"/>
        <v>2813272</v>
      </c>
      <c r="AW818" s="18">
        <f t="shared" si="369"/>
        <v>16299064</v>
      </c>
      <c r="AX818" s="15">
        <f t="shared" si="363"/>
        <v>16300000</v>
      </c>
      <c r="AY818" s="20">
        <v>7.0000000000000007E-2</v>
      </c>
      <c r="AZ818" s="13">
        <f t="shared" si="364"/>
        <v>1141000</v>
      </c>
      <c r="BA818" s="15">
        <f t="shared" si="365"/>
        <v>1141000</v>
      </c>
      <c r="BB818" s="21">
        <f t="shared" si="370"/>
        <v>3373228</v>
      </c>
      <c r="BC818" s="10">
        <f t="shared" si="371"/>
        <v>0</v>
      </c>
      <c r="BD818" s="10">
        <f t="shared" si="372"/>
        <v>0</v>
      </c>
      <c r="BE818" s="10">
        <v>64.8</v>
      </c>
      <c r="BF818" s="10">
        <v>29.7</v>
      </c>
      <c r="BG818" s="107">
        <v>46176</v>
      </c>
      <c r="BH818" s="107">
        <f t="shared" si="375"/>
        <v>46206</v>
      </c>
      <c r="BI818" s="23">
        <v>7</v>
      </c>
      <c r="BJ818" s="6"/>
      <c r="BK818" s="6"/>
      <c r="BL818" s="6">
        <f>VLOOKUP(A818,[2]Sheet1!$D$2:$H$933,5,0)</f>
        <v>0</v>
      </c>
      <c r="BM818" s="6" t="s">
        <v>3828</v>
      </c>
      <c r="BN818" s="6" t="s">
        <v>3829</v>
      </c>
      <c r="BO818" s="6" t="s">
        <v>3820</v>
      </c>
      <c r="BP818" s="6" t="s">
        <v>3821</v>
      </c>
      <c r="BQ818" s="6" t="s">
        <v>3830</v>
      </c>
      <c r="BR818" t="s">
        <v>3823</v>
      </c>
      <c r="BS818" t="s">
        <v>3824</v>
      </c>
      <c r="BT818" t="s">
        <v>3825</v>
      </c>
      <c r="BU818" t="s">
        <v>3826</v>
      </c>
      <c r="BV818" t="s">
        <v>3827</v>
      </c>
      <c r="BW818" t="s">
        <v>3835</v>
      </c>
      <c r="BX818">
        <v>0</v>
      </c>
      <c r="BY818" t="s">
        <v>3869</v>
      </c>
      <c r="BZ818" t="s">
        <v>3860</v>
      </c>
    </row>
    <row r="819" spans="1:78" x14ac:dyDescent="0.25">
      <c r="A819" s="7" t="s">
        <v>3322</v>
      </c>
      <c r="B819" s="7" t="s">
        <v>181</v>
      </c>
      <c r="C819" s="7" t="s">
        <v>3320</v>
      </c>
      <c r="D819" s="8" t="s">
        <v>3321</v>
      </c>
      <c r="E819" s="7" t="s">
        <v>3323</v>
      </c>
      <c r="F819" s="9">
        <v>45169</v>
      </c>
      <c r="G819" s="9" t="s">
        <v>527</v>
      </c>
      <c r="H819" s="9" t="s">
        <v>92</v>
      </c>
      <c r="I819" s="8" t="s">
        <v>78</v>
      </c>
      <c r="J819" s="10">
        <v>800.84</v>
      </c>
      <c r="K819" s="10">
        <v>800.84</v>
      </c>
      <c r="L819" s="10">
        <f t="shared" si="348"/>
        <v>0</v>
      </c>
      <c r="M819" s="10">
        <v>370.28</v>
      </c>
      <c r="N819" s="10">
        <v>370.28</v>
      </c>
      <c r="O819" s="10">
        <f t="shared" si="349"/>
        <v>0</v>
      </c>
      <c r="P819" s="11">
        <v>12436.999900104889</v>
      </c>
      <c r="Q819" s="11">
        <v>26898.690180404021</v>
      </c>
      <c r="R819" s="11">
        <v>28000</v>
      </c>
      <c r="S819" s="11">
        <v>9960047</v>
      </c>
      <c r="T819" s="11">
        <v>1195206</v>
      </c>
      <c r="U819" s="12">
        <f t="shared" si="350"/>
        <v>0.12000003614440775</v>
      </c>
      <c r="V819" s="13">
        <f t="shared" si="376"/>
        <v>0</v>
      </c>
      <c r="W819" s="10">
        <f t="shared" si="351"/>
        <v>0</v>
      </c>
      <c r="X819" s="10"/>
      <c r="Y819" s="10"/>
      <c r="Z819" s="11">
        <f t="shared" si="352"/>
        <v>9960047</v>
      </c>
      <c r="AA819" s="14"/>
      <c r="AB819" s="14"/>
      <c r="AC819" s="11">
        <f t="shared" si="353"/>
        <v>9960047</v>
      </c>
      <c r="AD819" s="10">
        <f t="shared" si="354"/>
        <v>300</v>
      </c>
      <c r="AE819" s="15">
        <v>111084</v>
      </c>
      <c r="AF819" s="16">
        <v>19996</v>
      </c>
      <c r="AG819" s="15">
        <f t="shared" si="355"/>
        <v>0</v>
      </c>
      <c r="AH819" s="15">
        <f t="shared" si="356"/>
        <v>0</v>
      </c>
      <c r="AI819" s="15">
        <f t="shared" si="357"/>
        <v>111083.99999999999</v>
      </c>
      <c r="AJ819" s="15">
        <f t="shared" si="358"/>
        <v>19996</v>
      </c>
      <c r="AK819" s="10">
        <v>111084</v>
      </c>
      <c r="AL819" s="15">
        <f t="shared" si="359"/>
        <v>111083.99999999999</v>
      </c>
      <c r="AM819" s="15">
        <f t="shared" si="360"/>
        <v>10071131</v>
      </c>
      <c r="AN819" s="15">
        <f t="shared" si="361"/>
        <v>1215202</v>
      </c>
      <c r="AO819" s="15">
        <f t="shared" si="366"/>
        <v>1445596</v>
      </c>
      <c r="AP819" s="17">
        <f t="shared" si="362"/>
        <v>11516727</v>
      </c>
      <c r="AQ819" s="15">
        <v>10597489</v>
      </c>
      <c r="AR819" s="15">
        <v>119310</v>
      </c>
      <c r="AS819" s="18">
        <f t="shared" si="367"/>
        <v>919238</v>
      </c>
      <c r="AT819" s="19">
        <v>0</v>
      </c>
      <c r="AU819" s="8">
        <v>8800</v>
      </c>
      <c r="AV819" s="13">
        <f t="shared" si="368"/>
        <v>3258463.9999999995</v>
      </c>
      <c r="AW819" s="18">
        <f t="shared" si="369"/>
        <v>10071131</v>
      </c>
      <c r="AX819" s="15">
        <f t="shared" si="363"/>
        <v>10072000</v>
      </c>
      <c r="AY819" s="20">
        <v>7.0000000000000007E-2</v>
      </c>
      <c r="AZ819" s="13">
        <f t="shared" si="364"/>
        <v>705040.00000000012</v>
      </c>
      <c r="BA819" s="15">
        <f t="shared" si="365"/>
        <v>705100</v>
      </c>
      <c r="BB819" s="21">
        <f t="shared" si="370"/>
        <v>1624338</v>
      </c>
      <c r="BC819" s="10">
        <f t="shared" si="371"/>
        <v>0</v>
      </c>
      <c r="BD819" s="10">
        <f t="shared" si="372"/>
        <v>0</v>
      </c>
      <c r="BE819" s="10">
        <v>74.400000000000006</v>
      </c>
      <c r="BF819" s="10">
        <v>34.4</v>
      </c>
      <c r="BG819" s="107">
        <v>46176</v>
      </c>
      <c r="BH819" s="107">
        <f t="shared" si="375"/>
        <v>46206</v>
      </c>
      <c r="BI819" s="23">
        <v>7</v>
      </c>
      <c r="BJ819" s="6"/>
      <c r="BK819" s="6"/>
      <c r="BL819" s="6">
        <f>VLOOKUP(A819,[2]Sheet1!$D$2:$H$933,5,0)</f>
        <v>0</v>
      </c>
      <c r="BM819" s="6" t="s">
        <v>3828</v>
      </c>
      <c r="BN819" s="6" t="s">
        <v>3829</v>
      </c>
      <c r="BO819" s="6" t="s">
        <v>3820</v>
      </c>
      <c r="BP819" s="6" t="s">
        <v>3821</v>
      </c>
      <c r="BQ819" s="6" t="s">
        <v>3830</v>
      </c>
      <c r="BR819" t="s">
        <v>3823</v>
      </c>
      <c r="BS819" t="s">
        <v>3824</v>
      </c>
      <c r="BT819" t="s">
        <v>3825</v>
      </c>
      <c r="BU819" t="s">
        <v>3826</v>
      </c>
      <c r="BV819" t="s">
        <v>3827</v>
      </c>
      <c r="BW819" t="s">
        <v>3835</v>
      </c>
      <c r="BX819">
        <v>0</v>
      </c>
      <c r="BY819" t="s">
        <v>3861</v>
      </c>
      <c r="BZ819" t="s">
        <v>3871</v>
      </c>
    </row>
    <row r="820" spans="1:78" x14ac:dyDescent="0.25">
      <c r="A820" s="7" t="s">
        <v>3326</v>
      </c>
      <c r="B820" s="7" t="s">
        <v>181</v>
      </c>
      <c r="C820" s="7" t="s">
        <v>3324</v>
      </c>
      <c r="D820" s="8" t="s">
        <v>3325</v>
      </c>
      <c r="E820" s="7" t="s">
        <v>3327</v>
      </c>
      <c r="F820" s="9">
        <v>45155</v>
      </c>
      <c r="G820" s="9" t="s">
        <v>717</v>
      </c>
      <c r="H820" s="9" t="s">
        <v>92</v>
      </c>
      <c r="I820" s="8" t="s">
        <v>78</v>
      </c>
      <c r="J820" s="10">
        <v>1220.6400000000001</v>
      </c>
      <c r="K820" s="10">
        <v>1220.6400000000001</v>
      </c>
      <c r="L820" s="10">
        <f t="shared" ref="L820:L883" si="377">K820-J820</f>
        <v>0</v>
      </c>
      <c r="M820" s="10">
        <v>557.58000000000004</v>
      </c>
      <c r="N820" s="10">
        <v>557.58000000000004</v>
      </c>
      <c r="O820" s="10">
        <f t="shared" ref="O820:O883" si="378">N820-M820</f>
        <v>0</v>
      </c>
      <c r="P820" s="11">
        <v>12436.997804430463</v>
      </c>
      <c r="Q820" s="11">
        <v>27226.760285519566</v>
      </c>
      <c r="R820" s="11">
        <v>28000</v>
      </c>
      <c r="S820" s="11">
        <v>15181097</v>
      </c>
      <c r="T820" s="11">
        <v>1821732</v>
      </c>
      <c r="U820" s="12">
        <f t="shared" ref="U820:U883" si="379">T820/S820</f>
        <v>0.12000002371370132</v>
      </c>
      <c r="V820" s="13">
        <f t="shared" si="376"/>
        <v>0</v>
      </c>
      <c r="W820" s="10">
        <f t="shared" ref="W820:W883" si="380">V820*U820</f>
        <v>0</v>
      </c>
      <c r="X820" s="10"/>
      <c r="Y820" s="10"/>
      <c r="Z820" s="11">
        <f t="shared" ref="Z820:Z883" si="381">S820+V820+X820</f>
        <v>15181097</v>
      </c>
      <c r="AA820" s="14"/>
      <c r="AB820" s="14"/>
      <c r="AC820" s="11">
        <f t="shared" ref="AC820:AC883" si="382">Z820-AA820</f>
        <v>15181097</v>
      </c>
      <c r="AD820" s="10">
        <f t="shared" ref="AD820:AD883" si="383">AE820/M820</f>
        <v>300</v>
      </c>
      <c r="AE820" s="15">
        <v>167274</v>
      </c>
      <c r="AF820" s="16">
        <v>30110</v>
      </c>
      <c r="AG820" s="15">
        <f t="shared" ref="AG820:AG883" si="384">(AD820*O820)</f>
        <v>0</v>
      </c>
      <c r="AH820" s="15">
        <f t="shared" ref="AH820:AH883" si="385">AG820*18%</f>
        <v>0</v>
      </c>
      <c r="AI820" s="15">
        <f t="shared" ref="AI820:AI883" si="386">AD820*N820</f>
        <v>167274</v>
      </c>
      <c r="AJ820" s="15">
        <f t="shared" ref="AJ820:AJ883" si="387">ROUNDUP(AI820*18%,0)</f>
        <v>30110</v>
      </c>
      <c r="AK820" s="10">
        <v>167274</v>
      </c>
      <c r="AL820" s="15">
        <f t="shared" ref="AL820:AL883" si="388">N820*300</f>
        <v>167274</v>
      </c>
      <c r="AM820" s="15">
        <f t="shared" ref="AM820:AM883" si="389">ROUND(AI820+AC820,0)</f>
        <v>15348371</v>
      </c>
      <c r="AN820" s="15">
        <f t="shared" ref="AN820:AN883" si="390">ROUNDUP(AJ820+W820+T820+Y820-AB820,0)</f>
        <v>1851842</v>
      </c>
      <c r="AO820" s="15">
        <f t="shared" si="366"/>
        <v>2141055.7200000002</v>
      </c>
      <c r="AP820" s="17">
        <f t="shared" ref="AP820:AP883" si="391">AM820+AO820</f>
        <v>17489426.719999999</v>
      </c>
      <c r="AQ820" s="15">
        <v>16210301</v>
      </c>
      <c r="AR820" s="15">
        <v>121939.72</v>
      </c>
      <c r="AS820" s="18">
        <f t="shared" si="367"/>
        <v>1279126</v>
      </c>
      <c r="AT820" s="19">
        <v>0</v>
      </c>
      <c r="AU820" s="8">
        <v>8800</v>
      </c>
      <c r="AV820" s="13">
        <f t="shared" si="368"/>
        <v>4906704</v>
      </c>
      <c r="AW820" s="18">
        <f t="shared" si="369"/>
        <v>15348371</v>
      </c>
      <c r="AX820" s="15">
        <f t="shared" ref="AX820:AX883" si="392">CEILING((AW820),1000)</f>
        <v>15349000</v>
      </c>
      <c r="AY820" s="20">
        <v>0.05</v>
      </c>
      <c r="AZ820" s="13">
        <f t="shared" ref="AZ820:AZ883" si="393">AY820*AX820</f>
        <v>767450</v>
      </c>
      <c r="BA820" s="15">
        <f t="shared" ref="BA820:BA883" si="394">CEILING(AZ820,100)</f>
        <v>767500</v>
      </c>
      <c r="BB820" s="21">
        <f t="shared" si="370"/>
        <v>2046626</v>
      </c>
      <c r="BC820" s="10">
        <f t="shared" si="371"/>
        <v>0</v>
      </c>
      <c r="BD820" s="10">
        <f t="shared" si="372"/>
        <v>0</v>
      </c>
      <c r="BE820" s="10">
        <v>113.4</v>
      </c>
      <c r="BF820" s="10">
        <v>51.8</v>
      </c>
      <c r="BG820" s="107">
        <v>46176</v>
      </c>
      <c r="BH820" s="107">
        <f t="shared" si="375"/>
        <v>46206</v>
      </c>
      <c r="BI820" s="23">
        <v>5</v>
      </c>
      <c r="BJ820" s="6"/>
      <c r="BK820" s="6"/>
      <c r="BL820" s="6">
        <f>VLOOKUP(A820,[2]Sheet1!$D$2:$H$933,5,0)</f>
        <v>0</v>
      </c>
      <c r="BM820" s="6" t="s">
        <v>3828</v>
      </c>
      <c r="BN820" s="6" t="s">
        <v>3829</v>
      </c>
      <c r="BO820" s="6" t="s">
        <v>3820</v>
      </c>
      <c r="BP820" s="6" t="s">
        <v>3821</v>
      </c>
      <c r="BQ820" s="6" t="s">
        <v>3830</v>
      </c>
      <c r="BR820" t="s">
        <v>3823</v>
      </c>
      <c r="BS820" t="s">
        <v>3824</v>
      </c>
      <c r="BT820" t="s">
        <v>3825</v>
      </c>
      <c r="BU820" t="s">
        <v>3826</v>
      </c>
      <c r="BV820" t="s">
        <v>3827</v>
      </c>
      <c r="BW820" t="s">
        <v>3835</v>
      </c>
      <c r="BX820">
        <v>0</v>
      </c>
      <c r="BY820" t="s">
        <v>3861</v>
      </c>
      <c r="BZ820" t="s">
        <v>3872</v>
      </c>
    </row>
    <row r="821" spans="1:78" x14ac:dyDescent="0.25">
      <c r="A821" s="7" t="s">
        <v>3330</v>
      </c>
      <c r="B821" s="7" t="s">
        <v>181</v>
      </c>
      <c r="C821" s="7" t="s">
        <v>3328</v>
      </c>
      <c r="D821" s="8" t="s">
        <v>3329</v>
      </c>
      <c r="E821" s="7" t="s">
        <v>3265</v>
      </c>
      <c r="F821" s="9">
        <v>45146</v>
      </c>
      <c r="G821" s="9" t="s">
        <v>717</v>
      </c>
      <c r="H821" s="9" t="s">
        <v>87</v>
      </c>
      <c r="I821" s="8" t="s">
        <v>78</v>
      </c>
      <c r="J821" s="10">
        <v>750.25</v>
      </c>
      <c r="K821" s="10">
        <v>750.25</v>
      </c>
      <c r="L821" s="10">
        <f t="shared" si="377"/>
        <v>0</v>
      </c>
      <c r="M821" s="10">
        <v>315.39</v>
      </c>
      <c r="N821" s="10">
        <v>315.39</v>
      </c>
      <c r="O821" s="10">
        <f t="shared" si="378"/>
        <v>0</v>
      </c>
      <c r="P821" s="11">
        <v>14646.000666444519</v>
      </c>
      <c r="Q821" s="11">
        <v>34839.918830654111</v>
      </c>
      <c r="R821" s="11">
        <v>40000</v>
      </c>
      <c r="S821" s="11">
        <v>10988162</v>
      </c>
      <c r="T821" s="11">
        <v>1318580</v>
      </c>
      <c r="U821" s="12">
        <f t="shared" si="379"/>
        <v>0.12000005096393737</v>
      </c>
      <c r="V821" s="13">
        <f t="shared" si="376"/>
        <v>0</v>
      </c>
      <c r="W821" s="10">
        <f t="shared" si="380"/>
        <v>0</v>
      </c>
      <c r="X821" s="10"/>
      <c r="Y821" s="10"/>
      <c r="Z821" s="11">
        <f t="shared" si="381"/>
        <v>10988162</v>
      </c>
      <c r="AA821" s="14"/>
      <c r="AB821" s="14"/>
      <c r="AC821" s="11">
        <f t="shared" si="382"/>
        <v>10988162</v>
      </c>
      <c r="AD821" s="10">
        <f t="shared" si="383"/>
        <v>300</v>
      </c>
      <c r="AE821" s="15">
        <v>94617</v>
      </c>
      <c r="AF821" s="16">
        <v>17032</v>
      </c>
      <c r="AG821" s="15">
        <f t="shared" si="384"/>
        <v>0</v>
      </c>
      <c r="AH821" s="15">
        <f t="shared" si="385"/>
        <v>0</v>
      </c>
      <c r="AI821" s="15">
        <f t="shared" si="386"/>
        <v>94617</v>
      </c>
      <c r="AJ821" s="15">
        <f t="shared" si="387"/>
        <v>17032</v>
      </c>
      <c r="AK821" s="10">
        <v>94617</v>
      </c>
      <c r="AL821" s="15">
        <f t="shared" si="388"/>
        <v>94617</v>
      </c>
      <c r="AM821" s="15">
        <f t="shared" si="389"/>
        <v>11082779</v>
      </c>
      <c r="AN821" s="15">
        <f t="shared" si="390"/>
        <v>1335612</v>
      </c>
      <c r="AO821" s="15">
        <f t="shared" si="366"/>
        <v>1555129</v>
      </c>
      <c r="AP821" s="17">
        <f t="shared" si="391"/>
        <v>12637908</v>
      </c>
      <c r="AQ821" s="15">
        <v>11691403</v>
      </c>
      <c r="AR821" s="15">
        <v>124900</v>
      </c>
      <c r="AS821" s="18">
        <f t="shared" si="367"/>
        <v>946505</v>
      </c>
      <c r="AT821" s="19">
        <v>0</v>
      </c>
      <c r="AU821" s="8">
        <v>8800</v>
      </c>
      <c r="AV821" s="13">
        <f t="shared" si="368"/>
        <v>2775432</v>
      </c>
      <c r="AW821" s="18">
        <f t="shared" si="369"/>
        <v>11082779</v>
      </c>
      <c r="AX821" s="15">
        <f t="shared" si="392"/>
        <v>11083000</v>
      </c>
      <c r="AY821" s="20">
        <v>0.05</v>
      </c>
      <c r="AZ821" s="13">
        <f t="shared" si="393"/>
        <v>554150</v>
      </c>
      <c r="BA821" s="15">
        <f t="shared" si="394"/>
        <v>554200</v>
      </c>
      <c r="BB821" s="21">
        <f t="shared" si="370"/>
        <v>1500705</v>
      </c>
      <c r="BC821" s="10">
        <f t="shared" si="371"/>
        <v>0</v>
      </c>
      <c r="BD821" s="10">
        <f t="shared" si="372"/>
        <v>0</v>
      </c>
      <c r="BE821" s="10">
        <v>69.7</v>
      </c>
      <c r="BF821" s="10">
        <v>29.3</v>
      </c>
      <c r="BG821" s="107">
        <v>46176</v>
      </c>
      <c r="BH821" s="107">
        <f t="shared" si="375"/>
        <v>46206</v>
      </c>
      <c r="BI821" s="23">
        <v>5</v>
      </c>
      <c r="BJ821" s="6"/>
      <c r="BK821" s="6"/>
      <c r="BL821" s="6">
        <f>VLOOKUP(A821,[2]Sheet1!$D$2:$H$933,5,0)</f>
        <v>0</v>
      </c>
      <c r="BM821" s="6" t="s">
        <v>3828</v>
      </c>
      <c r="BN821" s="6" t="s">
        <v>3829</v>
      </c>
      <c r="BO821" s="6" t="s">
        <v>3820</v>
      </c>
      <c r="BP821" s="6" t="s">
        <v>3821</v>
      </c>
      <c r="BQ821" s="6" t="s">
        <v>3830</v>
      </c>
      <c r="BR821" t="s">
        <v>3823</v>
      </c>
      <c r="BS821" t="s">
        <v>3824</v>
      </c>
      <c r="BT821" t="s">
        <v>3825</v>
      </c>
      <c r="BU821" t="s">
        <v>3826</v>
      </c>
      <c r="BV821" t="s">
        <v>3827</v>
      </c>
      <c r="BW821" t="s">
        <v>3835</v>
      </c>
      <c r="BX821">
        <v>0</v>
      </c>
      <c r="BY821" t="s">
        <v>3861</v>
      </c>
      <c r="BZ821" t="s">
        <v>3872</v>
      </c>
    </row>
    <row r="822" spans="1:78" x14ac:dyDescent="0.25">
      <c r="A822" s="7" t="s">
        <v>3333</v>
      </c>
      <c r="B822" s="7" t="s">
        <v>181</v>
      </c>
      <c r="C822" s="7" t="s">
        <v>3331</v>
      </c>
      <c r="D822" s="8" t="s">
        <v>3332</v>
      </c>
      <c r="E822" s="7" t="s">
        <v>3334</v>
      </c>
      <c r="F822" s="9">
        <v>44908</v>
      </c>
      <c r="G822" s="9" t="s">
        <v>527</v>
      </c>
      <c r="H822" s="9" t="s">
        <v>66</v>
      </c>
      <c r="I822" s="8" t="s">
        <v>78</v>
      </c>
      <c r="J822" s="10">
        <v>775.01</v>
      </c>
      <c r="K822" s="10">
        <v>775.01</v>
      </c>
      <c r="L822" s="10">
        <f t="shared" si="377"/>
        <v>0</v>
      </c>
      <c r="M822" s="10">
        <v>358.44</v>
      </c>
      <c r="N822" s="10">
        <v>358.44</v>
      </c>
      <c r="O822" s="10">
        <f t="shared" si="378"/>
        <v>0</v>
      </c>
      <c r="P822" s="11">
        <v>15350.000645152966</v>
      </c>
      <c r="Q822" s="11">
        <v>33189.387345162373</v>
      </c>
      <c r="R822" s="11">
        <v>22000</v>
      </c>
      <c r="S822" s="11">
        <v>11896404</v>
      </c>
      <c r="T822" s="11">
        <v>1427570</v>
      </c>
      <c r="U822" s="12">
        <f t="shared" si="379"/>
        <v>0.12000012776970251</v>
      </c>
      <c r="V822" s="13">
        <f t="shared" si="376"/>
        <v>0</v>
      </c>
      <c r="W822" s="10">
        <f t="shared" si="380"/>
        <v>0</v>
      </c>
      <c r="X822" s="10"/>
      <c r="Y822" s="10"/>
      <c r="Z822" s="11">
        <f t="shared" si="381"/>
        <v>11896404</v>
      </c>
      <c r="AA822" s="14"/>
      <c r="AB822" s="14"/>
      <c r="AC822" s="11">
        <f t="shared" si="382"/>
        <v>11896404</v>
      </c>
      <c r="AD822" s="10">
        <f t="shared" si="383"/>
        <v>300</v>
      </c>
      <c r="AE822" s="15">
        <v>107532</v>
      </c>
      <c r="AF822" s="16">
        <v>19356</v>
      </c>
      <c r="AG822" s="15">
        <f t="shared" si="384"/>
        <v>0</v>
      </c>
      <c r="AH822" s="15">
        <f t="shared" si="385"/>
        <v>0</v>
      </c>
      <c r="AI822" s="15">
        <f t="shared" si="386"/>
        <v>107532</v>
      </c>
      <c r="AJ822" s="15">
        <f t="shared" si="387"/>
        <v>19356</v>
      </c>
      <c r="AK822" s="10">
        <v>107532</v>
      </c>
      <c r="AL822" s="15">
        <f t="shared" si="388"/>
        <v>107532</v>
      </c>
      <c r="AM822" s="15">
        <f t="shared" si="389"/>
        <v>12003936</v>
      </c>
      <c r="AN822" s="15">
        <f t="shared" si="390"/>
        <v>1446926</v>
      </c>
      <c r="AO822" s="15">
        <f t="shared" si="366"/>
        <v>1685135</v>
      </c>
      <c r="AP822" s="17">
        <f t="shared" si="391"/>
        <v>13689071</v>
      </c>
      <c r="AQ822" s="15">
        <v>6519229</v>
      </c>
      <c r="AR822" s="15">
        <v>130677</v>
      </c>
      <c r="AS822" s="18">
        <f t="shared" si="367"/>
        <v>7169842</v>
      </c>
      <c r="AT822" s="19">
        <v>0</v>
      </c>
      <c r="AU822" s="8">
        <v>8800</v>
      </c>
      <c r="AV822" s="13">
        <f t="shared" si="368"/>
        <v>3154272</v>
      </c>
      <c r="AW822" s="18">
        <f t="shared" si="369"/>
        <v>12003936</v>
      </c>
      <c r="AX822" s="15">
        <f t="shared" si="392"/>
        <v>12004000</v>
      </c>
      <c r="AY822" s="20">
        <v>0.05</v>
      </c>
      <c r="AZ822" s="13">
        <f t="shared" si="393"/>
        <v>600200</v>
      </c>
      <c r="BA822" s="15">
        <f t="shared" si="394"/>
        <v>600200</v>
      </c>
      <c r="BB822" s="21">
        <f t="shared" si="370"/>
        <v>7770042</v>
      </c>
      <c r="BC822" s="10">
        <f t="shared" si="371"/>
        <v>0</v>
      </c>
      <c r="BD822" s="10">
        <f t="shared" si="372"/>
        <v>0</v>
      </c>
      <c r="BE822" s="10">
        <v>72</v>
      </c>
      <c r="BF822" s="10">
        <v>33.299999999999997</v>
      </c>
      <c r="BG822" s="107">
        <v>46176</v>
      </c>
      <c r="BH822" s="107">
        <f t="shared" si="375"/>
        <v>46206</v>
      </c>
      <c r="BI822" s="23">
        <v>5</v>
      </c>
      <c r="BJ822" s="6"/>
      <c r="BK822" s="6"/>
      <c r="BL822" s="6">
        <f>VLOOKUP(A822,[2]Sheet1!$D$2:$H$933,5,0)</f>
        <v>0</v>
      </c>
      <c r="BM822" s="6" t="s">
        <v>3828</v>
      </c>
      <c r="BN822" s="6" t="s">
        <v>3829</v>
      </c>
      <c r="BO822" s="6" t="s">
        <v>3820</v>
      </c>
      <c r="BP822" s="6" t="s">
        <v>3821</v>
      </c>
      <c r="BQ822" s="6" t="s">
        <v>3830</v>
      </c>
      <c r="BR822" t="s">
        <v>3823</v>
      </c>
      <c r="BS822" t="s">
        <v>3824</v>
      </c>
      <c r="BT822" t="s">
        <v>3825</v>
      </c>
      <c r="BU822" t="s">
        <v>3826</v>
      </c>
      <c r="BV822" t="s">
        <v>3827</v>
      </c>
      <c r="BW822" t="s">
        <v>3835</v>
      </c>
      <c r="BX822">
        <v>0</v>
      </c>
      <c r="BY822" t="s">
        <v>3868</v>
      </c>
      <c r="BZ822" t="s">
        <v>3871</v>
      </c>
    </row>
    <row r="823" spans="1:78" x14ac:dyDescent="0.25">
      <c r="A823" s="7" t="s">
        <v>3337</v>
      </c>
      <c r="B823" s="7" t="s">
        <v>181</v>
      </c>
      <c r="C823" s="7" t="s">
        <v>3335</v>
      </c>
      <c r="D823" s="8" t="s">
        <v>3336</v>
      </c>
      <c r="E823" s="7" t="s">
        <v>3338</v>
      </c>
      <c r="F823" s="9">
        <v>44869</v>
      </c>
      <c r="G823" s="9" t="s">
        <v>404</v>
      </c>
      <c r="H823" s="9" t="s">
        <v>66</v>
      </c>
      <c r="I823" s="8" t="s">
        <v>78</v>
      </c>
      <c r="J823" s="10">
        <v>775.01</v>
      </c>
      <c r="K823" s="10">
        <v>775.01</v>
      </c>
      <c r="L823" s="10">
        <f t="shared" si="377"/>
        <v>0</v>
      </c>
      <c r="M823" s="10">
        <v>358.44</v>
      </c>
      <c r="N823" s="10">
        <v>358.44</v>
      </c>
      <c r="O823" s="10">
        <f t="shared" si="378"/>
        <v>0</v>
      </c>
      <c r="P823" s="11">
        <v>12000</v>
      </c>
      <c r="Q823" s="11">
        <v>25946.099765651154</v>
      </c>
      <c r="R823" s="11">
        <v>22000</v>
      </c>
      <c r="S823" s="11">
        <v>9300120</v>
      </c>
      <c r="T823" s="11">
        <v>1116016</v>
      </c>
      <c r="U823" s="12">
        <f t="shared" si="379"/>
        <v>0.12000017204079087</v>
      </c>
      <c r="V823" s="13">
        <f t="shared" si="376"/>
        <v>0</v>
      </c>
      <c r="W823" s="10">
        <f t="shared" si="380"/>
        <v>0</v>
      </c>
      <c r="X823" s="10"/>
      <c r="Y823" s="10"/>
      <c r="Z823" s="11">
        <f t="shared" si="381"/>
        <v>9300120</v>
      </c>
      <c r="AA823" s="14"/>
      <c r="AB823" s="14"/>
      <c r="AC823" s="11">
        <f t="shared" si="382"/>
        <v>9300120</v>
      </c>
      <c r="AD823" s="10">
        <f t="shared" si="383"/>
        <v>300</v>
      </c>
      <c r="AE823" s="15">
        <v>107532</v>
      </c>
      <c r="AF823" s="16">
        <v>19356</v>
      </c>
      <c r="AG823" s="15">
        <f t="shared" si="384"/>
        <v>0</v>
      </c>
      <c r="AH823" s="15">
        <f t="shared" si="385"/>
        <v>0</v>
      </c>
      <c r="AI823" s="15">
        <f t="shared" si="386"/>
        <v>107532</v>
      </c>
      <c r="AJ823" s="15">
        <f t="shared" si="387"/>
        <v>19356</v>
      </c>
      <c r="AK823" s="10">
        <v>107532</v>
      </c>
      <c r="AL823" s="15">
        <f t="shared" si="388"/>
        <v>107532</v>
      </c>
      <c r="AM823" s="15">
        <f t="shared" si="389"/>
        <v>9407652</v>
      </c>
      <c r="AN823" s="15">
        <f t="shared" si="390"/>
        <v>1135372</v>
      </c>
      <c r="AO823" s="15">
        <f t="shared" si="366"/>
        <v>1368243</v>
      </c>
      <c r="AP823" s="17">
        <f t="shared" si="391"/>
        <v>10775895</v>
      </c>
      <c r="AQ823" s="15">
        <v>7812102</v>
      </c>
      <c r="AR823" s="15">
        <v>125339</v>
      </c>
      <c r="AS823" s="18">
        <f t="shared" si="367"/>
        <v>2963793</v>
      </c>
      <c r="AT823" s="19">
        <v>0</v>
      </c>
      <c r="AU823" s="8">
        <v>8800</v>
      </c>
      <c r="AV823" s="13">
        <f t="shared" si="368"/>
        <v>3154272</v>
      </c>
      <c r="AW823" s="18">
        <f t="shared" si="369"/>
        <v>9407652</v>
      </c>
      <c r="AX823" s="15">
        <f t="shared" si="392"/>
        <v>9408000</v>
      </c>
      <c r="AY823" s="20">
        <v>7.0000000000000007E-2</v>
      </c>
      <c r="AZ823" s="13">
        <f t="shared" si="393"/>
        <v>658560.00000000012</v>
      </c>
      <c r="BA823" s="15">
        <f t="shared" si="394"/>
        <v>658600</v>
      </c>
      <c r="BB823" s="21">
        <f t="shared" si="370"/>
        <v>3622393</v>
      </c>
      <c r="BC823" s="10">
        <f t="shared" si="371"/>
        <v>0</v>
      </c>
      <c r="BD823" s="10">
        <f t="shared" si="372"/>
        <v>0</v>
      </c>
      <c r="BE823" s="10">
        <v>72</v>
      </c>
      <c r="BF823" s="10">
        <v>33.299999999999997</v>
      </c>
      <c r="BG823" s="107">
        <v>46176</v>
      </c>
      <c r="BH823" s="107">
        <f t="shared" si="375"/>
        <v>46206</v>
      </c>
      <c r="BI823" s="23">
        <v>7</v>
      </c>
      <c r="BJ823" s="6"/>
      <c r="BK823" s="6"/>
      <c r="BL823" s="6">
        <f>VLOOKUP(A823,[2]Sheet1!$D$2:$H$933,5,0)</f>
        <v>0</v>
      </c>
      <c r="BM823" s="6" t="s">
        <v>3828</v>
      </c>
      <c r="BN823" s="6" t="s">
        <v>3829</v>
      </c>
      <c r="BO823" s="6" t="s">
        <v>3820</v>
      </c>
      <c r="BP823" s="6" t="s">
        <v>3821</v>
      </c>
      <c r="BQ823" s="6" t="s">
        <v>3830</v>
      </c>
      <c r="BR823" t="s">
        <v>3823</v>
      </c>
      <c r="BS823" t="s">
        <v>3824</v>
      </c>
      <c r="BT823" t="s">
        <v>3825</v>
      </c>
      <c r="BU823" t="s">
        <v>3826</v>
      </c>
      <c r="BV823" t="s">
        <v>3827</v>
      </c>
      <c r="BW823" t="s">
        <v>3835</v>
      </c>
      <c r="BX823">
        <v>0</v>
      </c>
      <c r="BY823" t="s">
        <v>3864</v>
      </c>
      <c r="BZ823" t="s">
        <v>3863</v>
      </c>
    </row>
    <row r="824" spans="1:78" x14ac:dyDescent="0.25">
      <c r="A824" s="7" t="s">
        <v>3341</v>
      </c>
      <c r="B824" s="7" t="s">
        <v>181</v>
      </c>
      <c r="C824" s="7" t="s">
        <v>3339</v>
      </c>
      <c r="D824" s="8" t="s">
        <v>3340</v>
      </c>
      <c r="E824" s="7" t="s">
        <v>3342</v>
      </c>
      <c r="F824" s="9">
        <v>45087</v>
      </c>
      <c r="G824" s="9" t="s">
        <v>77</v>
      </c>
      <c r="H824" s="9" t="s">
        <v>87</v>
      </c>
      <c r="I824" s="8" t="s">
        <v>78</v>
      </c>
      <c r="J824" s="10">
        <v>405.8</v>
      </c>
      <c r="K824" s="10">
        <v>405.8</v>
      </c>
      <c r="L824" s="10">
        <f t="shared" si="377"/>
        <v>0</v>
      </c>
      <c r="M824" s="10">
        <v>178.68</v>
      </c>
      <c r="N824" s="10">
        <v>178.68</v>
      </c>
      <c r="O824" s="10">
        <f t="shared" si="378"/>
        <v>0</v>
      </c>
      <c r="P824" s="11">
        <v>22750</v>
      </c>
      <c r="Q824" s="11">
        <v>51667.506156256997</v>
      </c>
      <c r="R824" s="11">
        <v>40000</v>
      </c>
      <c r="S824" s="11">
        <v>9231950</v>
      </c>
      <c r="T824" s="11">
        <v>1107834</v>
      </c>
      <c r="U824" s="12">
        <f t="shared" si="379"/>
        <v>0.12</v>
      </c>
      <c r="V824" s="13">
        <f t="shared" si="376"/>
        <v>0</v>
      </c>
      <c r="W824" s="10">
        <f t="shared" si="380"/>
        <v>0</v>
      </c>
      <c r="X824" s="10"/>
      <c r="Y824" s="10"/>
      <c r="Z824" s="11">
        <f t="shared" si="381"/>
        <v>9231950</v>
      </c>
      <c r="AA824" s="14"/>
      <c r="AB824" s="14"/>
      <c r="AC824" s="11">
        <f t="shared" si="382"/>
        <v>9231950</v>
      </c>
      <c r="AD824" s="10">
        <f t="shared" si="383"/>
        <v>300</v>
      </c>
      <c r="AE824" s="15">
        <v>53604</v>
      </c>
      <c r="AF824" s="16">
        <v>9648</v>
      </c>
      <c r="AG824" s="15">
        <f t="shared" si="384"/>
        <v>0</v>
      </c>
      <c r="AH824" s="15">
        <f t="shared" si="385"/>
        <v>0</v>
      </c>
      <c r="AI824" s="15">
        <f t="shared" si="386"/>
        <v>53604</v>
      </c>
      <c r="AJ824" s="15">
        <f t="shared" si="387"/>
        <v>9649</v>
      </c>
      <c r="AK824" s="10">
        <v>53604</v>
      </c>
      <c r="AL824" s="15">
        <f t="shared" si="388"/>
        <v>53604</v>
      </c>
      <c r="AM824" s="15">
        <f t="shared" si="389"/>
        <v>9285554</v>
      </c>
      <c r="AN824" s="15">
        <f t="shared" si="390"/>
        <v>1117483</v>
      </c>
      <c r="AO824" s="15">
        <f t="shared" si="366"/>
        <v>1303612</v>
      </c>
      <c r="AP824" s="17">
        <f t="shared" si="391"/>
        <v>10589166</v>
      </c>
      <c r="AQ824" s="15">
        <v>9365812.5600000005</v>
      </c>
      <c r="AR824" s="15">
        <v>132525</v>
      </c>
      <c r="AS824" s="18">
        <f t="shared" si="367"/>
        <v>1223353</v>
      </c>
      <c r="AT824" s="19">
        <v>0</v>
      </c>
      <c r="AU824" s="8">
        <v>8800</v>
      </c>
      <c r="AV824" s="13">
        <f t="shared" si="368"/>
        <v>1572384</v>
      </c>
      <c r="AW824" s="18">
        <f t="shared" si="369"/>
        <v>9285554</v>
      </c>
      <c r="AX824" s="15">
        <f t="shared" si="392"/>
        <v>9286000</v>
      </c>
      <c r="AY824" s="20">
        <v>0.06</v>
      </c>
      <c r="AZ824" s="13">
        <f t="shared" si="393"/>
        <v>557160</v>
      </c>
      <c r="BA824" s="15">
        <f t="shared" si="394"/>
        <v>557200</v>
      </c>
      <c r="BB824" s="21">
        <f t="shared" si="370"/>
        <v>1780553</v>
      </c>
      <c r="BC824" s="10">
        <f t="shared" si="371"/>
        <v>0</v>
      </c>
      <c r="BD824" s="10">
        <f t="shared" si="372"/>
        <v>0</v>
      </c>
      <c r="BE824" s="10">
        <v>37.700000000000003</v>
      </c>
      <c r="BF824" s="10">
        <v>16.600000000000001</v>
      </c>
      <c r="BG824" s="107">
        <v>46176</v>
      </c>
      <c r="BH824" s="107">
        <f t="shared" si="375"/>
        <v>46206</v>
      </c>
      <c r="BI824" s="23">
        <v>6</v>
      </c>
      <c r="BJ824" s="6"/>
      <c r="BK824" s="6"/>
      <c r="BL824" s="6">
        <f>VLOOKUP(A824,[2]Sheet1!$D$2:$H$933,5,0)</f>
        <v>0</v>
      </c>
      <c r="BM824" s="6" t="s">
        <v>3828</v>
      </c>
      <c r="BN824" s="6" t="s">
        <v>3829</v>
      </c>
      <c r="BO824" s="6" t="s">
        <v>3820</v>
      </c>
      <c r="BP824" s="6" t="s">
        <v>3821</v>
      </c>
      <c r="BQ824" s="6" t="s">
        <v>3830</v>
      </c>
      <c r="BR824" t="s">
        <v>3823</v>
      </c>
      <c r="BS824" t="s">
        <v>3824</v>
      </c>
      <c r="BT824" t="s">
        <v>3825</v>
      </c>
      <c r="BU824" t="s">
        <v>3826</v>
      </c>
      <c r="BV824" t="s">
        <v>3827</v>
      </c>
      <c r="BW824" t="s">
        <v>3835</v>
      </c>
      <c r="BX824">
        <v>0</v>
      </c>
      <c r="BY824" t="s">
        <v>3862</v>
      </c>
      <c r="BZ824" t="s">
        <v>3863</v>
      </c>
    </row>
    <row r="825" spans="1:78" x14ac:dyDescent="0.25">
      <c r="A825" s="7" t="s">
        <v>3345</v>
      </c>
      <c r="B825" s="7" t="s">
        <v>181</v>
      </c>
      <c r="C825" s="7" t="s">
        <v>3343</v>
      </c>
      <c r="D825" s="8" t="s">
        <v>3344</v>
      </c>
      <c r="E825" s="7" t="s">
        <v>3346</v>
      </c>
      <c r="F825" s="9">
        <v>44910</v>
      </c>
      <c r="G825" s="9" t="s">
        <v>404</v>
      </c>
      <c r="H825" s="9" t="s">
        <v>1167</v>
      </c>
      <c r="I825" s="8" t="s">
        <v>635</v>
      </c>
      <c r="J825" s="10">
        <v>2084.13</v>
      </c>
      <c r="K825" s="10">
        <v>2084.13</v>
      </c>
      <c r="L825" s="10">
        <f t="shared" si="377"/>
        <v>0</v>
      </c>
      <c r="M825" s="10">
        <v>229.27</v>
      </c>
      <c r="N825" s="10">
        <v>229.27</v>
      </c>
      <c r="O825" s="10">
        <f t="shared" si="378"/>
        <v>0</v>
      </c>
      <c r="P825" s="11">
        <v>10999.999520183481</v>
      </c>
      <c r="Q825" s="11">
        <v>99993.147816984332</v>
      </c>
      <c r="R825" s="11">
        <v>20000</v>
      </c>
      <c r="S825" s="11">
        <v>22925429</v>
      </c>
      <c r="T825" s="11">
        <v>2751048</v>
      </c>
      <c r="U825" s="12">
        <f t="shared" si="379"/>
        <v>0.11999984820349491</v>
      </c>
      <c r="V825" s="13">
        <f t="shared" si="376"/>
        <v>0</v>
      </c>
      <c r="W825" s="10">
        <f t="shared" si="380"/>
        <v>0</v>
      </c>
      <c r="X825" s="10"/>
      <c r="Y825" s="10"/>
      <c r="Z825" s="11">
        <f t="shared" si="381"/>
        <v>22925429</v>
      </c>
      <c r="AA825" s="14"/>
      <c r="AB825" s="14"/>
      <c r="AC825" s="11">
        <f t="shared" si="382"/>
        <v>22925429</v>
      </c>
      <c r="AD825" s="10">
        <f t="shared" si="383"/>
        <v>300</v>
      </c>
      <c r="AE825" s="15">
        <v>68781</v>
      </c>
      <c r="AF825" s="16">
        <v>12380</v>
      </c>
      <c r="AG825" s="15">
        <f t="shared" si="384"/>
        <v>0</v>
      </c>
      <c r="AH825" s="15">
        <f t="shared" si="385"/>
        <v>0</v>
      </c>
      <c r="AI825" s="15">
        <f t="shared" si="386"/>
        <v>68781</v>
      </c>
      <c r="AJ825" s="15">
        <f t="shared" si="387"/>
        <v>12381</v>
      </c>
      <c r="AK825" s="10">
        <v>68781</v>
      </c>
      <c r="AL825" s="15">
        <f t="shared" si="388"/>
        <v>68781</v>
      </c>
      <c r="AM825" s="15">
        <f t="shared" si="389"/>
        <v>22994210</v>
      </c>
      <c r="AN825" s="15">
        <f t="shared" si="390"/>
        <v>2763429</v>
      </c>
      <c r="AO825" s="15">
        <f t="shared" si="366"/>
        <v>2999649.08</v>
      </c>
      <c r="AP825" s="17">
        <f t="shared" si="391"/>
        <v>25993859.079999998</v>
      </c>
      <c r="AQ825" s="15">
        <v>10150593.689999999</v>
      </c>
      <c r="AR825" s="15">
        <v>167439.07999999999</v>
      </c>
      <c r="AS825" s="18">
        <f t="shared" si="367"/>
        <v>15843265</v>
      </c>
      <c r="AT825" s="19">
        <v>0</v>
      </c>
      <c r="AU825" s="8">
        <v>8800</v>
      </c>
      <c r="AV825" s="13">
        <f t="shared" si="368"/>
        <v>2017576</v>
      </c>
      <c r="AW825" s="18">
        <f t="shared" si="369"/>
        <v>22994210</v>
      </c>
      <c r="AX825" s="15">
        <f t="shared" si="392"/>
        <v>22995000</v>
      </c>
      <c r="AY825" s="20">
        <v>0.06</v>
      </c>
      <c r="AZ825" s="13">
        <f t="shared" si="393"/>
        <v>1379700</v>
      </c>
      <c r="BA825" s="15">
        <f t="shared" si="394"/>
        <v>1379700</v>
      </c>
      <c r="BB825" s="21">
        <f t="shared" si="370"/>
        <v>17222965</v>
      </c>
      <c r="BC825" s="10">
        <f t="shared" si="371"/>
        <v>0</v>
      </c>
      <c r="BD825" s="10">
        <f t="shared" si="372"/>
        <v>0</v>
      </c>
      <c r="BE825" s="10">
        <v>193.62</v>
      </c>
      <c r="BF825" s="10">
        <v>21.3</v>
      </c>
      <c r="BG825" s="107">
        <v>46176</v>
      </c>
      <c r="BH825" s="107">
        <f t="shared" si="375"/>
        <v>46206</v>
      </c>
      <c r="BI825" s="23">
        <v>6</v>
      </c>
      <c r="BJ825" s="6"/>
      <c r="BK825" s="6" t="s">
        <v>2315</v>
      </c>
      <c r="BL825" s="6">
        <f>VLOOKUP(A825,[2]Sheet1!$D$2:$H$933,5,0)</f>
        <v>0</v>
      </c>
      <c r="BM825" s="6" t="s">
        <v>3828</v>
      </c>
      <c r="BN825" s="6" t="s">
        <v>3829</v>
      </c>
      <c r="BO825" s="6" t="s">
        <v>3820</v>
      </c>
      <c r="BP825" s="6" t="s">
        <v>3821</v>
      </c>
      <c r="BQ825" s="6" t="s">
        <v>3830</v>
      </c>
      <c r="BR825" t="s">
        <v>3823</v>
      </c>
      <c r="BS825" t="s">
        <v>3824</v>
      </c>
      <c r="BT825" t="s">
        <v>3825</v>
      </c>
      <c r="BU825" t="s">
        <v>3826</v>
      </c>
      <c r="BV825" t="s">
        <v>3827</v>
      </c>
      <c r="BW825" t="s">
        <v>3835</v>
      </c>
      <c r="BX825">
        <v>0</v>
      </c>
      <c r="BY825" t="s">
        <v>3868</v>
      </c>
      <c r="BZ825" t="s">
        <v>3863</v>
      </c>
    </row>
    <row r="826" spans="1:78" x14ac:dyDescent="0.25">
      <c r="A826" s="7" t="s">
        <v>3349</v>
      </c>
      <c r="B826" s="7" t="s">
        <v>181</v>
      </c>
      <c r="C826" s="7" t="s">
        <v>3347</v>
      </c>
      <c r="D826" s="8" t="s">
        <v>3348</v>
      </c>
      <c r="E826" s="7" t="s">
        <v>3346</v>
      </c>
      <c r="F826" s="9">
        <v>44910</v>
      </c>
      <c r="G826" s="9" t="s">
        <v>527</v>
      </c>
      <c r="H826" s="9" t="s">
        <v>1167</v>
      </c>
      <c r="I826" s="8" t="s">
        <v>635</v>
      </c>
      <c r="J826" s="10">
        <v>2084.13</v>
      </c>
      <c r="K826" s="10">
        <v>2084.13</v>
      </c>
      <c r="L826" s="10">
        <f t="shared" si="377"/>
        <v>0</v>
      </c>
      <c r="M826" s="10">
        <v>229.27</v>
      </c>
      <c r="N826" s="10">
        <v>229.27</v>
      </c>
      <c r="O826" s="10">
        <f t="shared" si="378"/>
        <v>0</v>
      </c>
      <c r="P826" s="11">
        <v>10999.999520183481</v>
      </c>
      <c r="Q826" s="11">
        <v>99993.147816984332</v>
      </c>
      <c r="R826" s="11">
        <v>20000</v>
      </c>
      <c r="S826" s="11">
        <v>22925429</v>
      </c>
      <c r="T826" s="11">
        <v>2751050</v>
      </c>
      <c r="U826" s="12">
        <f t="shared" si="379"/>
        <v>0.11999993544286565</v>
      </c>
      <c r="V826" s="13">
        <f t="shared" si="376"/>
        <v>0</v>
      </c>
      <c r="W826" s="10">
        <f t="shared" si="380"/>
        <v>0</v>
      </c>
      <c r="X826" s="10"/>
      <c r="Y826" s="10"/>
      <c r="Z826" s="11">
        <f t="shared" si="381"/>
        <v>22925429</v>
      </c>
      <c r="AA826" s="14"/>
      <c r="AB826" s="14"/>
      <c r="AC826" s="11">
        <f t="shared" si="382"/>
        <v>22925429</v>
      </c>
      <c r="AD826" s="10">
        <f t="shared" si="383"/>
        <v>300</v>
      </c>
      <c r="AE826" s="15">
        <v>68781</v>
      </c>
      <c r="AF826" s="16">
        <v>12380</v>
      </c>
      <c r="AG826" s="15">
        <f t="shared" si="384"/>
        <v>0</v>
      </c>
      <c r="AH826" s="15">
        <f t="shared" si="385"/>
        <v>0</v>
      </c>
      <c r="AI826" s="15">
        <f t="shared" si="386"/>
        <v>68781</v>
      </c>
      <c r="AJ826" s="15">
        <f t="shared" si="387"/>
        <v>12381</v>
      </c>
      <c r="AK826" s="10">
        <v>68781</v>
      </c>
      <c r="AL826" s="15">
        <f t="shared" si="388"/>
        <v>68781</v>
      </c>
      <c r="AM826" s="15">
        <f t="shared" si="389"/>
        <v>22994210</v>
      </c>
      <c r="AN826" s="15">
        <f t="shared" si="390"/>
        <v>2763431</v>
      </c>
      <c r="AO826" s="15">
        <f t="shared" si="366"/>
        <v>2999651.08</v>
      </c>
      <c r="AP826" s="17">
        <f t="shared" si="391"/>
        <v>25993861.079999998</v>
      </c>
      <c r="AQ826" s="15">
        <v>10150593.689999999</v>
      </c>
      <c r="AR826" s="15">
        <v>167439.07999999999</v>
      </c>
      <c r="AS826" s="18">
        <f t="shared" si="367"/>
        <v>15843267</v>
      </c>
      <c r="AT826" s="19">
        <v>0</v>
      </c>
      <c r="AU826" s="8">
        <v>8800</v>
      </c>
      <c r="AV826" s="13">
        <f t="shared" si="368"/>
        <v>2017576</v>
      </c>
      <c r="AW826" s="18">
        <f t="shared" si="369"/>
        <v>22994210</v>
      </c>
      <c r="AX826" s="15">
        <f t="shared" si="392"/>
        <v>22995000</v>
      </c>
      <c r="AY826" s="20">
        <v>0.06</v>
      </c>
      <c r="AZ826" s="13">
        <f t="shared" si="393"/>
        <v>1379700</v>
      </c>
      <c r="BA826" s="15">
        <f t="shared" si="394"/>
        <v>1379700</v>
      </c>
      <c r="BB826" s="21">
        <f t="shared" si="370"/>
        <v>17222967</v>
      </c>
      <c r="BC826" s="10">
        <f t="shared" si="371"/>
        <v>0</v>
      </c>
      <c r="BD826" s="10">
        <f t="shared" si="372"/>
        <v>0</v>
      </c>
      <c r="BE826" s="10">
        <v>193.62</v>
      </c>
      <c r="BF826" s="10">
        <v>21.3</v>
      </c>
      <c r="BG826" s="107">
        <v>46176</v>
      </c>
      <c r="BH826" s="107">
        <f t="shared" si="375"/>
        <v>46206</v>
      </c>
      <c r="BI826" s="23">
        <v>6</v>
      </c>
      <c r="BJ826" s="6"/>
      <c r="BK826" s="6"/>
      <c r="BL826" s="6">
        <f>VLOOKUP(A826,[2]Sheet1!$D$2:$H$933,5,0)</f>
        <v>0</v>
      </c>
      <c r="BM826" s="6" t="s">
        <v>3828</v>
      </c>
      <c r="BN826" s="6" t="s">
        <v>3829</v>
      </c>
      <c r="BO826" s="6" t="s">
        <v>3820</v>
      </c>
      <c r="BP826" s="6" t="s">
        <v>3821</v>
      </c>
      <c r="BQ826" s="6" t="s">
        <v>3830</v>
      </c>
      <c r="BR826" t="s">
        <v>3823</v>
      </c>
      <c r="BS826" t="s">
        <v>3824</v>
      </c>
      <c r="BT826" t="s">
        <v>3825</v>
      </c>
      <c r="BU826" t="s">
        <v>3826</v>
      </c>
      <c r="BV826" t="s">
        <v>3827</v>
      </c>
      <c r="BW826" t="s">
        <v>3835</v>
      </c>
      <c r="BX826">
        <v>0</v>
      </c>
      <c r="BY826" t="s">
        <v>3868</v>
      </c>
      <c r="BZ826" t="s">
        <v>3871</v>
      </c>
    </row>
    <row r="827" spans="1:78" x14ac:dyDescent="0.25">
      <c r="A827" s="7" t="s">
        <v>3352</v>
      </c>
      <c r="B827" s="7" t="s">
        <v>181</v>
      </c>
      <c r="C827" s="7" t="s">
        <v>3350</v>
      </c>
      <c r="D827" s="8" t="s">
        <v>3351</v>
      </c>
      <c r="E827" s="7" t="s">
        <v>3265</v>
      </c>
      <c r="F827" s="9">
        <v>45146</v>
      </c>
      <c r="G827" s="9" t="s">
        <v>527</v>
      </c>
      <c r="H827" s="9" t="s">
        <v>87</v>
      </c>
      <c r="I827" s="8" t="s">
        <v>78</v>
      </c>
      <c r="J827" s="10">
        <v>881.79</v>
      </c>
      <c r="K827" s="10">
        <v>881.79</v>
      </c>
      <c r="L827" s="10">
        <f t="shared" si="377"/>
        <v>0</v>
      </c>
      <c r="M827" s="10">
        <v>403.65</v>
      </c>
      <c r="N827" s="10">
        <v>403.65</v>
      </c>
      <c r="O827" s="10">
        <f t="shared" si="378"/>
        <v>0</v>
      </c>
      <c r="P827" s="11">
        <v>14646.000748477529</v>
      </c>
      <c r="Q827" s="11">
        <v>31994.790040877</v>
      </c>
      <c r="R827" s="11">
        <v>40000</v>
      </c>
      <c r="S827" s="11">
        <v>12914697</v>
      </c>
      <c r="T827" s="11">
        <v>1549764</v>
      </c>
      <c r="U827" s="12">
        <f t="shared" si="379"/>
        <v>0.12000002787521845</v>
      </c>
      <c r="V827" s="13">
        <f t="shared" si="376"/>
        <v>0</v>
      </c>
      <c r="W827" s="10">
        <f t="shared" si="380"/>
        <v>0</v>
      </c>
      <c r="X827" s="10"/>
      <c r="Y827" s="10"/>
      <c r="Z827" s="11">
        <f t="shared" si="381"/>
        <v>12914697</v>
      </c>
      <c r="AA827" s="14"/>
      <c r="AB827" s="14"/>
      <c r="AC827" s="11">
        <f t="shared" si="382"/>
        <v>12914697</v>
      </c>
      <c r="AD827" s="10">
        <f t="shared" si="383"/>
        <v>300</v>
      </c>
      <c r="AE827" s="15">
        <v>121095</v>
      </c>
      <c r="AF827" s="16">
        <v>21798</v>
      </c>
      <c r="AG827" s="15">
        <f t="shared" si="384"/>
        <v>0</v>
      </c>
      <c r="AH827" s="15">
        <f t="shared" si="385"/>
        <v>0</v>
      </c>
      <c r="AI827" s="15">
        <f t="shared" si="386"/>
        <v>121095</v>
      </c>
      <c r="AJ827" s="15">
        <f t="shared" si="387"/>
        <v>21798</v>
      </c>
      <c r="AK827" s="10">
        <v>121095</v>
      </c>
      <c r="AL827" s="15">
        <f t="shared" si="388"/>
        <v>121095</v>
      </c>
      <c r="AM827" s="15">
        <f t="shared" si="389"/>
        <v>13035792</v>
      </c>
      <c r="AN827" s="15">
        <f t="shared" si="390"/>
        <v>1571562</v>
      </c>
      <c r="AO827" s="15">
        <f t="shared" ref="AO827:AO890" si="395">AN827+AL827+AR827</f>
        <v>1839717</v>
      </c>
      <c r="AP827" s="17">
        <f t="shared" si="391"/>
        <v>14875509</v>
      </c>
      <c r="AQ827" s="15">
        <v>13741240</v>
      </c>
      <c r="AR827" s="15">
        <v>147060</v>
      </c>
      <c r="AS827" s="18">
        <f t="shared" ref="AS827:AS890" si="396">ROUND(AP827-AQ827,0)</f>
        <v>1134269</v>
      </c>
      <c r="AT827" s="19">
        <v>0</v>
      </c>
      <c r="AU827" s="8">
        <v>8800</v>
      </c>
      <c r="AV827" s="13">
        <f t="shared" ref="AV827:AV890" si="397">AU827*N827</f>
        <v>3552120</v>
      </c>
      <c r="AW827" s="18">
        <f t="shared" ref="AW827:AW890" si="398">MAX(AM827,AT827,AV827)</f>
        <v>13035792</v>
      </c>
      <c r="AX827" s="15">
        <f t="shared" si="392"/>
        <v>13036000</v>
      </c>
      <c r="AY827" s="20">
        <v>0.05</v>
      </c>
      <c r="AZ827" s="13">
        <f t="shared" si="393"/>
        <v>651800</v>
      </c>
      <c r="BA827" s="15">
        <f t="shared" si="394"/>
        <v>651800</v>
      </c>
      <c r="BB827" s="21">
        <f t="shared" ref="BB827:BB890" si="399">BA827+AS827</f>
        <v>1786069</v>
      </c>
      <c r="BC827" s="10">
        <f t="shared" ref="BC827:BC890" si="400">L827/J827%</f>
        <v>0</v>
      </c>
      <c r="BD827" s="10">
        <f t="shared" ref="BD827:BD890" si="401">O827/M827%</f>
        <v>0</v>
      </c>
      <c r="BE827" s="10">
        <v>81.92</v>
      </c>
      <c r="BF827" s="10">
        <v>37.5</v>
      </c>
      <c r="BG827" s="107">
        <v>46176</v>
      </c>
      <c r="BH827" s="107">
        <f t="shared" si="375"/>
        <v>46206</v>
      </c>
      <c r="BI827" s="23">
        <v>5</v>
      </c>
      <c r="BJ827" s="6"/>
      <c r="BK827" s="6"/>
      <c r="BL827" s="6">
        <f>VLOOKUP(A827,[2]Sheet1!$D$2:$H$933,5,0)</f>
        <v>0</v>
      </c>
      <c r="BM827" s="6" t="s">
        <v>3828</v>
      </c>
      <c r="BN827" s="6" t="s">
        <v>3829</v>
      </c>
      <c r="BO827" s="6" t="s">
        <v>3820</v>
      </c>
      <c r="BP827" s="6" t="s">
        <v>3821</v>
      </c>
      <c r="BQ827" s="6" t="s">
        <v>3830</v>
      </c>
      <c r="BR827" t="s">
        <v>3823</v>
      </c>
      <c r="BS827" t="s">
        <v>3824</v>
      </c>
      <c r="BT827" t="s">
        <v>3825</v>
      </c>
      <c r="BU827" t="s">
        <v>3826</v>
      </c>
      <c r="BV827" t="s">
        <v>3827</v>
      </c>
      <c r="BW827" t="s">
        <v>3835</v>
      </c>
      <c r="BX827">
        <v>0</v>
      </c>
      <c r="BY827" t="s">
        <v>3861</v>
      </c>
      <c r="BZ827" t="s">
        <v>3871</v>
      </c>
    </row>
    <row r="828" spans="1:78" x14ac:dyDescent="0.25">
      <c r="A828" s="7" t="s">
        <v>3355</v>
      </c>
      <c r="B828" s="7" t="s">
        <v>181</v>
      </c>
      <c r="C828" s="7" t="s">
        <v>3353</v>
      </c>
      <c r="D828" s="8" t="s">
        <v>3354</v>
      </c>
      <c r="E828" s="7" t="s">
        <v>3356</v>
      </c>
      <c r="F828" s="9">
        <v>45061</v>
      </c>
      <c r="G828" s="9" t="s">
        <v>363</v>
      </c>
      <c r="H828" s="9" t="s">
        <v>87</v>
      </c>
      <c r="I828" s="8" t="s">
        <v>67</v>
      </c>
      <c r="J828" s="10">
        <v>442.52</v>
      </c>
      <c r="K828" s="10">
        <v>442.52</v>
      </c>
      <c r="L828" s="10">
        <f t="shared" si="377"/>
        <v>0</v>
      </c>
      <c r="M828" s="10">
        <v>162.97</v>
      </c>
      <c r="N828" s="10">
        <v>162.97</v>
      </c>
      <c r="O828" s="10">
        <f t="shared" si="378"/>
        <v>0</v>
      </c>
      <c r="P828" s="11">
        <v>24302.883485492181</v>
      </c>
      <c r="Q828" s="11">
        <v>65990.74676320795</v>
      </c>
      <c r="R828" s="11">
        <v>40000</v>
      </c>
      <c r="S828" s="11">
        <v>10754512</v>
      </c>
      <c r="T828" s="11">
        <v>1290542</v>
      </c>
      <c r="U828" s="12">
        <f t="shared" si="379"/>
        <v>0.1200000520711679</v>
      </c>
      <c r="V828" s="13">
        <f t="shared" si="376"/>
        <v>0</v>
      </c>
      <c r="W828" s="10">
        <f t="shared" si="380"/>
        <v>0</v>
      </c>
      <c r="X828" s="10"/>
      <c r="Y828" s="10"/>
      <c r="Z828" s="11">
        <f t="shared" si="381"/>
        <v>10754512</v>
      </c>
      <c r="AA828" s="14"/>
      <c r="AB828" s="14"/>
      <c r="AC828" s="11">
        <f t="shared" si="382"/>
        <v>10754512</v>
      </c>
      <c r="AD828" s="10">
        <f t="shared" si="383"/>
        <v>300</v>
      </c>
      <c r="AE828" s="15">
        <v>48891</v>
      </c>
      <c r="AF828" s="16">
        <v>8800</v>
      </c>
      <c r="AG828" s="15">
        <f t="shared" si="384"/>
        <v>0</v>
      </c>
      <c r="AH828" s="15">
        <f t="shared" si="385"/>
        <v>0</v>
      </c>
      <c r="AI828" s="15">
        <f t="shared" si="386"/>
        <v>48891</v>
      </c>
      <c r="AJ828" s="15">
        <f t="shared" si="387"/>
        <v>8801</v>
      </c>
      <c r="AK828" s="10">
        <v>48891</v>
      </c>
      <c r="AL828" s="15">
        <f t="shared" si="388"/>
        <v>48891</v>
      </c>
      <c r="AM828" s="15">
        <f t="shared" si="389"/>
        <v>10803403</v>
      </c>
      <c r="AN828" s="15">
        <f t="shared" si="390"/>
        <v>1299343</v>
      </c>
      <c r="AO828" s="15">
        <f t="shared" si="395"/>
        <v>1499058.12</v>
      </c>
      <c r="AP828" s="17">
        <f t="shared" si="391"/>
        <v>12302461.120000001</v>
      </c>
      <c r="AQ828" s="15">
        <v>10361922.140000001</v>
      </c>
      <c r="AR828" s="15">
        <v>150824.12</v>
      </c>
      <c r="AS828" s="18">
        <f t="shared" si="396"/>
        <v>1940539</v>
      </c>
      <c r="AT828" s="19">
        <v>0</v>
      </c>
      <c r="AU828" s="8">
        <v>8800</v>
      </c>
      <c r="AV828" s="13">
        <f t="shared" si="397"/>
        <v>1434136</v>
      </c>
      <c r="AW828" s="18">
        <f t="shared" si="398"/>
        <v>10803403</v>
      </c>
      <c r="AX828" s="15">
        <f t="shared" si="392"/>
        <v>10804000</v>
      </c>
      <c r="AY828" s="20">
        <v>0.06</v>
      </c>
      <c r="AZ828" s="13">
        <f t="shared" si="393"/>
        <v>648240</v>
      </c>
      <c r="BA828" s="15">
        <f t="shared" si="394"/>
        <v>648300</v>
      </c>
      <c r="BB828" s="21">
        <f t="shared" si="399"/>
        <v>2588839</v>
      </c>
      <c r="BC828" s="10">
        <f t="shared" si="400"/>
        <v>0</v>
      </c>
      <c r="BD828" s="10">
        <f t="shared" si="401"/>
        <v>0</v>
      </c>
      <c r="BE828" s="10">
        <v>41.11</v>
      </c>
      <c r="BF828" s="10">
        <v>15.14</v>
      </c>
      <c r="BG828" s="107">
        <v>46176</v>
      </c>
      <c r="BH828" s="107">
        <f t="shared" si="375"/>
        <v>46206</v>
      </c>
      <c r="BI828" s="23">
        <v>6</v>
      </c>
      <c r="BJ828" s="6"/>
      <c r="BK828" s="6"/>
      <c r="BL828" s="6">
        <f>VLOOKUP(A828,[2]Sheet1!$D$2:$H$933,5,0)</f>
        <v>0</v>
      </c>
      <c r="BM828" s="6" t="s">
        <v>3828</v>
      </c>
      <c r="BN828" s="6" t="s">
        <v>3829</v>
      </c>
      <c r="BO828" s="6" t="s">
        <v>3820</v>
      </c>
      <c r="BP828" s="6" t="s">
        <v>3821</v>
      </c>
      <c r="BQ828" s="6" t="s">
        <v>3830</v>
      </c>
      <c r="BR828" t="s">
        <v>3823</v>
      </c>
      <c r="BS828" t="s">
        <v>3824</v>
      </c>
      <c r="BT828" t="s">
        <v>3825</v>
      </c>
      <c r="BU828" t="s">
        <v>3826</v>
      </c>
      <c r="BV828" t="s">
        <v>3827</v>
      </c>
      <c r="BW828" t="s">
        <v>3835</v>
      </c>
      <c r="BX828">
        <v>0</v>
      </c>
      <c r="BY828" t="s">
        <v>3862</v>
      </c>
      <c r="BZ828" t="s">
        <v>3860</v>
      </c>
    </row>
    <row r="829" spans="1:78" x14ac:dyDescent="0.25">
      <c r="A829" s="7" t="s">
        <v>3359</v>
      </c>
      <c r="B829" s="7" t="s">
        <v>181</v>
      </c>
      <c r="C829" s="7" t="s">
        <v>3357</v>
      </c>
      <c r="D829" s="8" t="s">
        <v>3358</v>
      </c>
      <c r="E829" s="7" t="s">
        <v>2950</v>
      </c>
      <c r="F829" s="9">
        <v>45008</v>
      </c>
      <c r="G829" s="9" t="s">
        <v>404</v>
      </c>
      <c r="H829" s="9" t="s">
        <v>92</v>
      </c>
      <c r="I829" s="8" t="s">
        <v>78</v>
      </c>
      <c r="J829" s="10">
        <v>710.42</v>
      </c>
      <c r="K829" s="10">
        <v>710.42</v>
      </c>
      <c r="L829" s="10">
        <f t="shared" si="377"/>
        <v>0</v>
      </c>
      <c r="M829" s="10">
        <v>321.83999999999997</v>
      </c>
      <c r="N829" s="10">
        <v>321.83999999999997</v>
      </c>
      <c r="O829" s="10">
        <f t="shared" si="378"/>
        <v>0</v>
      </c>
      <c r="P829" s="11">
        <v>14207.000084457082</v>
      </c>
      <c r="Q829" s="11">
        <v>31360.107506835699</v>
      </c>
      <c r="R829" s="11">
        <v>28000</v>
      </c>
      <c r="S829" s="11">
        <v>10092937</v>
      </c>
      <c r="T829" s="11">
        <v>1211154</v>
      </c>
      <c r="U829" s="12">
        <f t="shared" si="379"/>
        <v>0.1200001545635329</v>
      </c>
      <c r="V829" s="13">
        <f t="shared" si="376"/>
        <v>0</v>
      </c>
      <c r="W829" s="10">
        <f t="shared" si="380"/>
        <v>0</v>
      </c>
      <c r="X829" s="10"/>
      <c r="Y829" s="10"/>
      <c r="Z829" s="11">
        <f t="shared" si="381"/>
        <v>10092937</v>
      </c>
      <c r="AA829" s="14"/>
      <c r="AB829" s="14"/>
      <c r="AC829" s="11">
        <f t="shared" si="382"/>
        <v>10092937</v>
      </c>
      <c r="AD829" s="10">
        <f t="shared" si="383"/>
        <v>300</v>
      </c>
      <c r="AE829" s="15">
        <v>96552</v>
      </c>
      <c r="AF829" s="16">
        <v>17380</v>
      </c>
      <c r="AG829" s="15">
        <f t="shared" si="384"/>
        <v>0</v>
      </c>
      <c r="AH829" s="15">
        <f t="shared" si="385"/>
        <v>0</v>
      </c>
      <c r="AI829" s="15">
        <f t="shared" si="386"/>
        <v>96551.999999999985</v>
      </c>
      <c r="AJ829" s="15">
        <f t="shared" si="387"/>
        <v>17380</v>
      </c>
      <c r="AK829" s="10">
        <v>96552</v>
      </c>
      <c r="AL829" s="15">
        <f t="shared" si="388"/>
        <v>96551.999999999985</v>
      </c>
      <c r="AM829" s="15">
        <f t="shared" si="389"/>
        <v>10189489</v>
      </c>
      <c r="AN829" s="15">
        <f t="shared" si="390"/>
        <v>1228534</v>
      </c>
      <c r="AO829" s="15">
        <f t="shared" si="395"/>
        <v>1484410</v>
      </c>
      <c r="AP829" s="17">
        <f t="shared" si="391"/>
        <v>11673899</v>
      </c>
      <c r="AQ829" s="15">
        <v>8652390</v>
      </c>
      <c r="AR829" s="15">
        <v>159324</v>
      </c>
      <c r="AS829" s="18">
        <f t="shared" si="396"/>
        <v>3021509</v>
      </c>
      <c r="AT829" s="19">
        <v>0</v>
      </c>
      <c r="AU829" s="8">
        <v>8800</v>
      </c>
      <c r="AV829" s="13">
        <f t="shared" si="397"/>
        <v>2832192</v>
      </c>
      <c r="AW829" s="18">
        <f t="shared" si="398"/>
        <v>10189489</v>
      </c>
      <c r="AX829" s="15">
        <f t="shared" si="392"/>
        <v>10190000</v>
      </c>
      <c r="AY829" s="20">
        <v>6.3399999999999998E-2</v>
      </c>
      <c r="AZ829" s="13">
        <f t="shared" si="393"/>
        <v>646046</v>
      </c>
      <c r="BA829" s="15">
        <f t="shared" si="394"/>
        <v>646100</v>
      </c>
      <c r="BB829" s="21">
        <f t="shared" si="399"/>
        <v>3667609</v>
      </c>
      <c r="BC829" s="10">
        <f t="shared" si="400"/>
        <v>0</v>
      </c>
      <c r="BD829" s="10">
        <f t="shared" si="401"/>
        <v>0</v>
      </c>
      <c r="BE829" s="10">
        <v>66</v>
      </c>
      <c r="BF829" s="10">
        <v>29.9</v>
      </c>
      <c r="BG829" s="107">
        <v>46176</v>
      </c>
      <c r="BH829" s="107">
        <f t="shared" si="375"/>
        <v>46206</v>
      </c>
      <c r="BI829" s="23">
        <v>6.34</v>
      </c>
      <c r="BJ829" s="6"/>
      <c r="BK829" s="6"/>
      <c r="BL829" s="6">
        <f>VLOOKUP(A829,[2]Sheet1!$D$2:$H$933,5,0)</f>
        <v>0</v>
      </c>
      <c r="BM829" s="6" t="s">
        <v>3828</v>
      </c>
      <c r="BN829" s="6" t="s">
        <v>3829</v>
      </c>
      <c r="BO829" s="6" t="s">
        <v>3820</v>
      </c>
      <c r="BP829" s="6" t="s">
        <v>3821</v>
      </c>
      <c r="BQ829" s="6" t="s">
        <v>3830</v>
      </c>
      <c r="BR829" t="s">
        <v>3823</v>
      </c>
      <c r="BS829" t="s">
        <v>3824</v>
      </c>
      <c r="BT829" t="s">
        <v>3825</v>
      </c>
      <c r="BU829" t="s">
        <v>3826</v>
      </c>
      <c r="BV829" t="s">
        <v>3827</v>
      </c>
      <c r="BW829" t="s">
        <v>3835</v>
      </c>
      <c r="BX829">
        <v>0</v>
      </c>
      <c r="BY829" t="s">
        <v>3869</v>
      </c>
      <c r="BZ829" t="s">
        <v>3863</v>
      </c>
    </row>
    <row r="830" spans="1:78" x14ac:dyDescent="0.25">
      <c r="A830" s="7" t="s">
        <v>3362</v>
      </c>
      <c r="B830" s="7" t="s">
        <v>181</v>
      </c>
      <c r="C830" s="7" t="s">
        <v>3360</v>
      </c>
      <c r="D830" s="8" t="s">
        <v>3361</v>
      </c>
      <c r="E830" s="7" t="s">
        <v>3363</v>
      </c>
      <c r="F830" s="9">
        <v>45146</v>
      </c>
      <c r="G830" s="9" t="s">
        <v>717</v>
      </c>
      <c r="H830" s="9" t="s">
        <v>66</v>
      </c>
      <c r="I830" s="8" t="s">
        <v>78</v>
      </c>
      <c r="J830" s="10">
        <v>1013.54</v>
      </c>
      <c r="K830" s="10">
        <v>1013.54</v>
      </c>
      <c r="L830" s="10">
        <f t="shared" si="377"/>
        <v>0</v>
      </c>
      <c r="M830" s="10">
        <v>460.7</v>
      </c>
      <c r="N830" s="10">
        <v>460.7</v>
      </c>
      <c r="O830" s="10">
        <f t="shared" si="378"/>
        <v>0</v>
      </c>
      <c r="P830" s="11">
        <v>10027.999881603095</v>
      </c>
      <c r="Q830" s="11">
        <v>22061.599739526806</v>
      </c>
      <c r="R830" s="11">
        <v>22000</v>
      </c>
      <c r="S830" s="11">
        <v>10163779</v>
      </c>
      <c r="T830" s="11">
        <v>1219652</v>
      </c>
      <c r="U830" s="12">
        <f t="shared" si="379"/>
        <v>0.11999985438487004</v>
      </c>
      <c r="V830" s="13">
        <f t="shared" si="376"/>
        <v>0</v>
      </c>
      <c r="W830" s="10">
        <f t="shared" si="380"/>
        <v>0</v>
      </c>
      <c r="X830" s="10"/>
      <c r="Y830" s="10"/>
      <c r="Z830" s="11">
        <f t="shared" si="381"/>
        <v>10163779</v>
      </c>
      <c r="AA830" s="14"/>
      <c r="AB830" s="14"/>
      <c r="AC830" s="11">
        <f t="shared" si="382"/>
        <v>10163779</v>
      </c>
      <c r="AD830" s="10">
        <f t="shared" si="383"/>
        <v>300</v>
      </c>
      <c r="AE830" s="15">
        <v>138210</v>
      </c>
      <c r="AF830" s="16">
        <v>24878</v>
      </c>
      <c r="AG830" s="15">
        <f t="shared" si="384"/>
        <v>0</v>
      </c>
      <c r="AH830" s="15">
        <f t="shared" si="385"/>
        <v>0</v>
      </c>
      <c r="AI830" s="15">
        <f t="shared" si="386"/>
        <v>138210</v>
      </c>
      <c r="AJ830" s="15">
        <f t="shared" si="387"/>
        <v>24878</v>
      </c>
      <c r="AK830" s="10">
        <v>138210</v>
      </c>
      <c r="AL830" s="15">
        <f t="shared" si="388"/>
        <v>138210</v>
      </c>
      <c r="AM830" s="15">
        <f t="shared" si="389"/>
        <v>10301989</v>
      </c>
      <c r="AN830" s="15">
        <f t="shared" si="390"/>
        <v>1244530</v>
      </c>
      <c r="AO830" s="15">
        <f t="shared" si="395"/>
        <v>1542154</v>
      </c>
      <c r="AP830" s="17">
        <f t="shared" si="391"/>
        <v>11844143</v>
      </c>
      <c r="AQ830" s="15">
        <v>10814265</v>
      </c>
      <c r="AR830" s="15">
        <v>159414</v>
      </c>
      <c r="AS830" s="18">
        <f t="shared" si="396"/>
        <v>1029878</v>
      </c>
      <c r="AT830" s="19">
        <v>0</v>
      </c>
      <c r="AU830" s="8">
        <v>8800</v>
      </c>
      <c r="AV830" s="13">
        <f t="shared" si="397"/>
        <v>4054160</v>
      </c>
      <c r="AW830" s="18">
        <f t="shared" si="398"/>
        <v>10301989</v>
      </c>
      <c r="AX830" s="15">
        <f t="shared" si="392"/>
        <v>10302000</v>
      </c>
      <c r="AY830" s="20">
        <v>7.0000000000000007E-2</v>
      </c>
      <c r="AZ830" s="13">
        <f t="shared" si="393"/>
        <v>721140.00000000012</v>
      </c>
      <c r="BA830" s="15">
        <f t="shared" si="394"/>
        <v>721200</v>
      </c>
      <c r="BB830" s="21">
        <f t="shared" si="399"/>
        <v>1751078</v>
      </c>
      <c r="BC830" s="10">
        <f t="shared" si="400"/>
        <v>0</v>
      </c>
      <c r="BD830" s="10">
        <f t="shared" si="401"/>
        <v>0</v>
      </c>
      <c r="BE830" s="10">
        <v>94.16</v>
      </c>
      <c r="BF830" s="10">
        <v>42.8</v>
      </c>
      <c r="BG830" s="107">
        <v>46176</v>
      </c>
      <c r="BH830" s="107">
        <f t="shared" si="375"/>
        <v>46206</v>
      </c>
      <c r="BI830" s="23">
        <v>7</v>
      </c>
      <c r="BJ830" s="6"/>
      <c r="BK830" s="6"/>
      <c r="BL830" s="6">
        <f>VLOOKUP(A830,[2]Sheet1!$D$2:$H$933,5,0)</f>
        <v>0</v>
      </c>
      <c r="BM830" s="6" t="s">
        <v>3828</v>
      </c>
      <c r="BN830" s="6" t="s">
        <v>3829</v>
      </c>
      <c r="BO830" s="6" t="s">
        <v>3820</v>
      </c>
      <c r="BP830" s="6" t="s">
        <v>3821</v>
      </c>
      <c r="BQ830" s="6" t="s">
        <v>3830</v>
      </c>
      <c r="BR830" t="s">
        <v>3823</v>
      </c>
      <c r="BS830" t="s">
        <v>3824</v>
      </c>
      <c r="BT830" t="s">
        <v>3825</v>
      </c>
      <c r="BU830" t="s">
        <v>3826</v>
      </c>
      <c r="BV830" t="s">
        <v>3827</v>
      </c>
      <c r="BW830" t="s">
        <v>3835</v>
      </c>
      <c r="BX830">
        <v>0</v>
      </c>
      <c r="BY830" t="s">
        <v>3861</v>
      </c>
      <c r="BZ830" t="s">
        <v>3872</v>
      </c>
    </row>
    <row r="831" spans="1:78" x14ac:dyDescent="0.25">
      <c r="A831" s="7" t="s">
        <v>3366</v>
      </c>
      <c r="B831" s="7" t="s">
        <v>181</v>
      </c>
      <c r="C831" s="7" t="s">
        <v>3364</v>
      </c>
      <c r="D831" s="8" t="s">
        <v>3365</v>
      </c>
      <c r="E831" s="7" t="s">
        <v>3367</v>
      </c>
      <c r="F831" s="9">
        <v>45051</v>
      </c>
      <c r="G831" s="9" t="s">
        <v>404</v>
      </c>
      <c r="H831" s="9" t="s">
        <v>87</v>
      </c>
      <c r="I831" s="8" t="s">
        <v>78</v>
      </c>
      <c r="J831" s="10">
        <v>875.11</v>
      </c>
      <c r="K831" s="10">
        <v>875.11</v>
      </c>
      <c r="L831" s="10">
        <f t="shared" si="377"/>
        <v>0</v>
      </c>
      <c r="M831" s="10">
        <v>404.73</v>
      </c>
      <c r="N831" s="10">
        <v>404.73</v>
      </c>
      <c r="O831" s="10">
        <f t="shared" si="378"/>
        <v>0</v>
      </c>
      <c r="P831" s="11">
        <v>22866.225960165008</v>
      </c>
      <c r="Q831" s="11">
        <v>49441.511625033971</v>
      </c>
      <c r="R831" s="11">
        <v>40000</v>
      </c>
      <c r="S831" s="11">
        <v>20010463</v>
      </c>
      <c r="T831" s="11">
        <v>2401258</v>
      </c>
      <c r="U831" s="12">
        <f t="shared" si="379"/>
        <v>0.12000012193620907</v>
      </c>
      <c r="V831" s="13">
        <f t="shared" si="376"/>
        <v>0</v>
      </c>
      <c r="W831" s="10">
        <f t="shared" si="380"/>
        <v>0</v>
      </c>
      <c r="X831" s="10"/>
      <c r="Y831" s="10"/>
      <c r="Z831" s="11">
        <f t="shared" si="381"/>
        <v>20010463</v>
      </c>
      <c r="AA831" s="14">
        <v>4948832</v>
      </c>
      <c r="AB831" s="14">
        <v>593860</v>
      </c>
      <c r="AC831" s="11">
        <f t="shared" si="382"/>
        <v>15061631</v>
      </c>
      <c r="AD831" s="10">
        <f t="shared" si="383"/>
        <v>300</v>
      </c>
      <c r="AE831" s="15">
        <v>121419</v>
      </c>
      <c r="AF831" s="16">
        <v>21856</v>
      </c>
      <c r="AG831" s="15">
        <f t="shared" si="384"/>
        <v>0</v>
      </c>
      <c r="AH831" s="15">
        <f t="shared" si="385"/>
        <v>0</v>
      </c>
      <c r="AI831" s="15">
        <f t="shared" si="386"/>
        <v>121419</v>
      </c>
      <c r="AJ831" s="15">
        <f t="shared" si="387"/>
        <v>21856</v>
      </c>
      <c r="AK831" s="10">
        <v>121419</v>
      </c>
      <c r="AL831" s="15">
        <f t="shared" si="388"/>
        <v>121419</v>
      </c>
      <c r="AM831" s="15">
        <f t="shared" si="389"/>
        <v>15183050</v>
      </c>
      <c r="AN831" s="15">
        <f t="shared" si="390"/>
        <v>1829254</v>
      </c>
      <c r="AO831" s="15">
        <f t="shared" si="395"/>
        <v>2118766</v>
      </c>
      <c r="AP831" s="17">
        <f t="shared" si="391"/>
        <v>17301816</v>
      </c>
      <c r="AQ831" s="15">
        <v>14739845</v>
      </c>
      <c r="AR831" s="15">
        <v>168093</v>
      </c>
      <c r="AS831" s="18">
        <f t="shared" si="396"/>
        <v>2561971</v>
      </c>
      <c r="AT831" s="19">
        <v>0</v>
      </c>
      <c r="AU831" s="8">
        <v>8800</v>
      </c>
      <c r="AV831" s="13">
        <f t="shared" si="397"/>
        <v>3561624</v>
      </c>
      <c r="AW831" s="18">
        <f t="shared" si="398"/>
        <v>15183050</v>
      </c>
      <c r="AX831" s="15">
        <f t="shared" si="392"/>
        <v>15184000</v>
      </c>
      <c r="AY831" s="20">
        <v>7.0000000000000007E-2</v>
      </c>
      <c r="AZ831" s="13">
        <f t="shared" si="393"/>
        <v>1062880</v>
      </c>
      <c r="BA831" s="15">
        <f t="shared" si="394"/>
        <v>1062900</v>
      </c>
      <c r="BB831" s="21">
        <f t="shared" si="399"/>
        <v>3624871</v>
      </c>
      <c r="BC831" s="10">
        <f t="shared" si="400"/>
        <v>0</v>
      </c>
      <c r="BD831" s="10">
        <f t="shared" si="401"/>
        <v>0</v>
      </c>
      <c r="BE831" s="10">
        <v>81.3</v>
      </c>
      <c r="BF831" s="10">
        <v>37.6</v>
      </c>
      <c r="BG831" s="107">
        <v>46176</v>
      </c>
      <c r="BH831" s="107">
        <f t="shared" si="375"/>
        <v>46206</v>
      </c>
      <c r="BI831" s="23">
        <v>7</v>
      </c>
      <c r="BJ831" s="6"/>
      <c r="BK831" s="24"/>
      <c r="BL831" s="6">
        <f>VLOOKUP(A831,[2]Sheet1!$D$2:$H$933,5,0)</f>
        <v>0</v>
      </c>
      <c r="BM831" s="6" t="s">
        <v>3828</v>
      </c>
      <c r="BN831" s="6" t="s">
        <v>3829</v>
      </c>
      <c r="BO831" s="6" t="s">
        <v>3820</v>
      </c>
      <c r="BP831" s="6" t="s">
        <v>3821</v>
      </c>
      <c r="BQ831" s="6" t="s">
        <v>3830</v>
      </c>
      <c r="BR831" t="s">
        <v>3823</v>
      </c>
      <c r="BS831" t="s">
        <v>3824</v>
      </c>
      <c r="BT831" t="s">
        <v>3825</v>
      </c>
      <c r="BU831" t="s">
        <v>3826</v>
      </c>
      <c r="BV831" t="s">
        <v>3827</v>
      </c>
      <c r="BW831" t="s">
        <v>3835</v>
      </c>
      <c r="BX831">
        <v>0</v>
      </c>
      <c r="BY831" t="s">
        <v>3862</v>
      </c>
      <c r="BZ831" t="s">
        <v>3863</v>
      </c>
    </row>
    <row r="832" spans="1:78" x14ac:dyDescent="0.25">
      <c r="A832" s="7" t="s">
        <v>3370</v>
      </c>
      <c r="B832" s="7" t="s">
        <v>181</v>
      </c>
      <c r="C832" s="7" t="s">
        <v>3368</v>
      </c>
      <c r="D832" s="8" t="s">
        <v>3369</v>
      </c>
      <c r="E832" s="7" t="s">
        <v>3371</v>
      </c>
      <c r="F832" s="9">
        <v>45147</v>
      </c>
      <c r="G832" s="9" t="s">
        <v>717</v>
      </c>
      <c r="H832" s="9" t="s">
        <v>87</v>
      </c>
      <c r="I832" s="8" t="s">
        <v>78</v>
      </c>
      <c r="J832" s="10">
        <v>405.8</v>
      </c>
      <c r="K832" s="10">
        <v>405.8</v>
      </c>
      <c r="L832" s="10">
        <f t="shared" si="377"/>
        <v>0</v>
      </c>
      <c r="M832" s="10">
        <v>166.84</v>
      </c>
      <c r="N832" s="10">
        <v>166.84</v>
      </c>
      <c r="O832" s="10">
        <f t="shared" si="378"/>
        <v>0</v>
      </c>
      <c r="P832" s="11">
        <v>14645.998028585509</v>
      </c>
      <c r="Q832" s="11">
        <v>35623.028050827139</v>
      </c>
      <c r="R832" s="11">
        <v>40000</v>
      </c>
      <c r="S832" s="11">
        <v>5943346</v>
      </c>
      <c r="T832" s="11">
        <v>713200</v>
      </c>
      <c r="U832" s="12">
        <f t="shared" si="379"/>
        <v>0.11999974425180698</v>
      </c>
      <c r="V832" s="13">
        <f t="shared" si="376"/>
        <v>0</v>
      </c>
      <c r="W832" s="10">
        <f t="shared" si="380"/>
        <v>0</v>
      </c>
      <c r="X832" s="10"/>
      <c r="Y832" s="10"/>
      <c r="Z832" s="11">
        <f t="shared" si="381"/>
        <v>5943346</v>
      </c>
      <c r="AA832" s="14"/>
      <c r="AB832" s="14"/>
      <c r="AC832" s="11">
        <f t="shared" si="382"/>
        <v>5943346</v>
      </c>
      <c r="AD832" s="10">
        <f t="shared" si="383"/>
        <v>300</v>
      </c>
      <c r="AE832" s="15">
        <v>50052</v>
      </c>
      <c r="AF832" s="16">
        <v>9010</v>
      </c>
      <c r="AG832" s="15">
        <f t="shared" si="384"/>
        <v>0</v>
      </c>
      <c r="AH832" s="15">
        <f t="shared" si="385"/>
        <v>0</v>
      </c>
      <c r="AI832" s="15">
        <f t="shared" si="386"/>
        <v>50052</v>
      </c>
      <c r="AJ832" s="15">
        <f t="shared" si="387"/>
        <v>9010</v>
      </c>
      <c r="AK832" s="10">
        <v>50052</v>
      </c>
      <c r="AL832" s="15">
        <f t="shared" si="388"/>
        <v>50052</v>
      </c>
      <c r="AM832" s="15">
        <f t="shared" si="389"/>
        <v>5993398</v>
      </c>
      <c r="AN832" s="15">
        <f t="shared" si="390"/>
        <v>722210</v>
      </c>
      <c r="AO832" s="15">
        <f t="shared" si="395"/>
        <v>949437</v>
      </c>
      <c r="AP832" s="17">
        <f t="shared" si="391"/>
        <v>6942835</v>
      </c>
      <c r="AQ832" s="15">
        <v>6386958.5199999996</v>
      </c>
      <c r="AR832" s="15">
        <v>177175</v>
      </c>
      <c r="AS832" s="18">
        <f t="shared" si="396"/>
        <v>555876</v>
      </c>
      <c r="AT832" s="19">
        <v>0</v>
      </c>
      <c r="AU832" s="8">
        <v>8800</v>
      </c>
      <c r="AV832" s="13">
        <f t="shared" si="397"/>
        <v>1468192</v>
      </c>
      <c r="AW832" s="18">
        <f t="shared" si="398"/>
        <v>5993398</v>
      </c>
      <c r="AX832" s="15">
        <f t="shared" si="392"/>
        <v>5994000</v>
      </c>
      <c r="AY832" s="20">
        <v>7.0000000000000007E-2</v>
      </c>
      <c r="AZ832" s="13">
        <f t="shared" si="393"/>
        <v>419580.00000000006</v>
      </c>
      <c r="BA832" s="15">
        <f t="shared" si="394"/>
        <v>419600</v>
      </c>
      <c r="BB832" s="21">
        <f t="shared" si="399"/>
        <v>975476</v>
      </c>
      <c r="BC832" s="10">
        <f t="shared" si="400"/>
        <v>0</v>
      </c>
      <c r="BD832" s="10">
        <f t="shared" si="401"/>
        <v>0</v>
      </c>
      <c r="BE832" s="10">
        <v>37.700000000000003</v>
      </c>
      <c r="BF832" s="10">
        <v>15.5</v>
      </c>
      <c r="BG832" s="107">
        <v>46176</v>
      </c>
      <c r="BH832" s="107">
        <f t="shared" si="375"/>
        <v>46206</v>
      </c>
      <c r="BI832" s="23">
        <v>7</v>
      </c>
      <c r="BJ832" s="6"/>
      <c r="BK832" s="6"/>
      <c r="BL832" s="6">
        <f>VLOOKUP(A832,[2]Sheet1!$D$2:$H$933,5,0)</f>
        <v>0</v>
      </c>
      <c r="BM832" s="6" t="s">
        <v>3828</v>
      </c>
      <c r="BN832" s="6" t="s">
        <v>3829</v>
      </c>
      <c r="BO832" s="6" t="s">
        <v>3820</v>
      </c>
      <c r="BP832" s="6" t="s">
        <v>3821</v>
      </c>
      <c r="BQ832" s="6" t="s">
        <v>3830</v>
      </c>
      <c r="BR832" t="s">
        <v>3823</v>
      </c>
      <c r="BS832" t="s">
        <v>3824</v>
      </c>
      <c r="BT832" t="s">
        <v>3825</v>
      </c>
      <c r="BU832" t="s">
        <v>3826</v>
      </c>
      <c r="BV832" t="s">
        <v>3827</v>
      </c>
      <c r="BW832" t="s">
        <v>3835</v>
      </c>
      <c r="BX832">
        <v>0</v>
      </c>
      <c r="BY832" t="s">
        <v>3861</v>
      </c>
      <c r="BZ832" t="s">
        <v>3872</v>
      </c>
    </row>
    <row r="833" spans="1:78" x14ac:dyDescent="0.25">
      <c r="A833" s="7" t="s">
        <v>3374</v>
      </c>
      <c r="B833" s="7" t="s">
        <v>181</v>
      </c>
      <c r="C833" s="7" t="s">
        <v>3372</v>
      </c>
      <c r="D833" s="8" t="s">
        <v>3373</v>
      </c>
      <c r="E833" s="7" t="s">
        <v>3375</v>
      </c>
      <c r="F833" s="9">
        <v>44996</v>
      </c>
      <c r="G833" s="9" t="s">
        <v>65</v>
      </c>
      <c r="H833" s="9" t="s">
        <v>190</v>
      </c>
      <c r="I833" s="8" t="s">
        <v>78</v>
      </c>
      <c r="J833" s="10">
        <v>1908.46</v>
      </c>
      <c r="K833" s="10">
        <v>1908.46</v>
      </c>
      <c r="L833" s="10">
        <f t="shared" si="377"/>
        <v>0</v>
      </c>
      <c r="M833" s="10">
        <v>870.81</v>
      </c>
      <c r="N833" s="10">
        <v>870.81</v>
      </c>
      <c r="O833" s="10">
        <f t="shared" si="378"/>
        <v>0</v>
      </c>
      <c r="P833" s="11">
        <v>24726.226381480355</v>
      </c>
      <c r="Q833" s="11">
        <v>54189.793410732542</v>
      </c>
      <c r="R833" s="11">
        <v>60000</v>
      </c>
      <c r="S833" s="11">
        <v>47189014</v>
      </c>
      <c r="T833" s="11">
        <v>5662682</v>
      </c>
      <c r="U833" s="12">
        <f t="shared" si="379"/>
        <v>0.12000000678123939</v>
      </c>
      <c r="V833" s="13">
        <f t="shared" si="376"/>
        <v>0</v>
      </c>
      <c r="W833" s="10">
        <f t="shared" si="380"/>
        <v>0</v>
      </c>
      <c r="X833" s="10"/>
      <c r="Y833" s="10"/>
      <c r="Z833" s="11">
        <f t="shared" si="381"/>
        <v>47189014</v>
      </c>
      <c r="AA833" s="14"/>
      <c r="AB833" s="14"/>
      <c r="AC833" s="11">
        <f t="shared" si="382"/>
        <v>47189014</v>
      </c>
      <c r="AD833" s="10">
        <f t="shared" si="383"/>
        <v>300</v>
      </c>
      <c r="AE833" s="15">
        <v>261243</v>
      </c>
      <c r="AF833" s="16">
        <v>47024</v>
      </c>
      <c r="AG833" s="15">
        <f t="shared" si="384"/>
        <v>0</v>
      </c>
      <c r="AH833" s="15">
        <f t="shared" si="385"/>
        <v>0</v>
      </c>
      <c r="AI833" s="15">
        <f t="shared" si="386"/>
        <v>261242.99999999997</v>
      </c>
      <c r="AJ833" s="15">
        <f t="shared" si="387"/>
        <v>47024</v>
      </c>
      <c r="AK833" s="10">
        <v>261243</v>
      </c>
      <c r="AL833" s="15">
        <f t="shared" si="388"/>
        <v>261242.99999999997</v>
      </c>
      <c r="AM833" s="15">
        <f t="shared" si="389"/>
        <v>47450257</v>
      </c>
      <c r="AN833" s="15">
        <f t="shared" si="390"/>
        <v>5709706</v>
      </c>
      <c r="AO833" s="15">
        <f t="shared" si="395"/>
        <v>6219072</v>
      </c>
      <c r="AP833" s="17">
        <f t="shared" si="391"/>
        <v>53669329</v>
      </c>
      <c r="AQ833" s="15">
        <v>14430002</v>
      </c>
      <c r="AR833" s="15">
        <v>248123</v>
      </c>
      <c r="AS833" s="18">
        <f t="shared" si="396"/>
        <v>39239327</v>
      </c>
      <c r="AT833" s="19">
        <v>0</v>
      </c>
      <c r="AU833" s="8">
        <v>8800</v>
      </c>
      <c r="AV833" s="13">
        <f t="shared" si="397"/>
        <v>7663127.9999999991</v>
      </c>
      <c r="AW833" s="18">
        <f t="shared" si="398"/>
        <v>47450257</v>
      </c>
      <c r="AX833" s="15">
        <f t="shared" si="392"/>
        <v>47451000</v>
      </c>
      <c r="AY833" s="20">
        <v>0.06</v>
      </c>
      <c r="AZ833" s="13">
        <f t="shared" si="393"/>
        <v>2847060</v>
      </c>
      <c r="BA833" s="15">
        <f t="shared" si="394"/>
        <v>2847100</v>
      </c>
      <c r="BB833" s="21">
        <f t="shared" si="399"/>
        <v>42086427</v>
      </c>
      <c r="BC833" s="10">
        <f t="shared" si="400"/>
        <v>0</v>
      </c>
      <c r="BD833" s="10">
        <f t="shared" si="401"/>
        <v>0</v>
      </c>
      <c r="BE833" s="10">
        <v>177.3</v>
      </c>
      <c r="BF833" s="10">
        <v>80.900000000000006</v>
      </c>
      <c r="BG833" s="107">
        <v>46176</v>
      </c>
      <c r="BH833" s="107">
        <f t="shared" si="375"/>
        <v>46206</v>
      </c>
      <c r="BI833" s="23">
        <v>6</v>
      </c>
      <c r="BJ833" s="6"/>
      <c r="BK833" s="6"/>
      <c r="BL833" s="6">
        <f>VLOOKUP(A833,[2]Sheet1!$D$2:$H$933,5,0)</f>
        <v>0</v>
      </c>
      <c r="BM833" s="6" t="s">
        <v>3828</v>
      </c>
      <c r="BN833" s="6" t="s">
        <v>3829</v>
      </c>
      <c r="BO833" s="6" t="s">
        <v>3820</v>
      </c>
      <c r="BP833" s="6" t="s">
        <v>3821</v>
      </c>
      <c r="BQ833" s="6" t="s">
        <v>3830</v>
      </c>
      <c r="BR833" t="s">
        <v>3823</v>
      </c>
      <c r="BS833" t="s">
        <v>3824</v>
      </c>
      <c r="BT833" t="s">
        <v>3825</v>
      </c>
      <c r="BU833" t="s">
        <v>3826</v>
      </c>
      <c r="BV833" t="s">
        <v>3827</v>
      </c>
      <c r="BW833" t="s">
        <v>3835</v>
      </c>
      <c r="BX833">
        <v>0</v>
      </c>
      <c r="BY833" t="s">
        <v>3870</v>
      </c>
      <c r="BZ833" t="s">
        <v>3860</v>
      </c>
    </row>
    <row r="834" spans="1:78" x14ac:dyDescent="0.25">
      <c r="A834" s="7" t="s">
        <v>3378</v>
      </c>
      <c r="B834" s="7" t="s">
        <v>181</v>
      </c>
      <c r="C834" s="7" t="s">
        <v>3376</v>
      </c>
      <c r="D834" s="8" t="s">
        <v>3377</v>
      </c>
      <c r="E834" s="7" t="s">
        <v>3363</v>
      </c>
      <c r="F834" s="9">
        <v>45146</v>
      </c>
      <c r="G834" s="9" t="s">
        <v>717</v>
      </c>
      <c r="H834" s="9" t="s">
        <v>66</v>
      </c>
      <c r="I834" s="8" t="s">
        <v>78</v>
      </c>
      <c r="J834" s="10">
        <v>1220.6400000000001</v>
      </c>
      <c r="K834" s="10">
        <v>1220.6400000000001</v>
      </c>
      <c r="L834" s="10">
        <f t="shared" si="377"/>
        <v>0</v>
      </c>
      <c r="M834" s="10">
        <v>561.88</v>
      </c>
      <c r="N834" s="10">
        <v>561.88</v>
      </c>
      <c r="O834" s="10">
        <f t="shared" si="378"/>
        <v>0</v>
      </c>
      <c r="P834" s="11">
        <v>10028.000065539389</v>
      </c>
      <c r="Q834" s="11">
        <v>21785.039510215705</v>
      </c>
      <c r="R834" s="11">
        <v>22000</v>
      </c>
      <c r="S834" s="11">
        <v>12240578</v>
      </c>
      <c r="T834" s="11">
        <v>1468868</v>
      </c>
      <c r="U834" s="12">
        <f t="shared" si="379"/>
        <v>0.11999988889413556</v>
      </c>
      <c r="V834" s="13">
        <f t="shared" si="376"/>
        <v>0</v>
      </c>
      <c r="W834" s="10">
        <f t="shared" si="380"/>
        <v>0</v>
      </c>
      <c r="X834" s="10"/>
      <c r="Y834" s="10"/>
      <c r="Z834" s="11">
        <f t="shared" si="381"/>
        <v>12240578</v>
      </c>
      <c r="AA834" s="14"/>
      <c r="AB834" s="14"/>
      <c r="AC834" s="11">
        <f t="shared" si="382"/>
        <v>12240578</v>
      </c>
      <c r="AD834" s="10">
        <f t="shared" si="383"/>
        <v>300</v>
      </c>
      <c r="AE834" s="15">
        <v>168564</v>
      </c>
      <c r="AF834" s="16">
        <v>30342</v>
      </c>
      <c r="AG834" s="15">
        <f t="shared" si="384"/>
        <v>0</v>
      </c>
      <c r="AH834" s="15">
        <f t="shared" si="385"/>
        <v>0</v>
      </c>
      <c r="AI834" s="15">
        <f t="shared" si="386"/>
        <v>168564</v>
      </c>
      <c r="AJ834" s="15">
        <f t="shared" si="387"/>
        <v>30342</v>
      </c>
      <c r="AK834" s="10">
        <v>168564</v>
      </c>
      <c r="AL834" s="15">
        <f t="shared" si="388"/>
        <v>168564</v>
      </c>
      <c r="AM834" s="15">
        <f t="shared" si="389"/>
        <v>12409142</v>
      </c>
      <c r="AN834" s="15">
        <f t="shared" si="390"/>
        <v>1499210</v>
      </c>
      <c r="AO834" s="15">
        <f t="shared" si="395"/>
        <v>1861268</v>
      </c>
      <c r="AP834" s="17">
        <f t="shared" si="391"/>
        <v>14270410</v>
      </c>
      <c r="AQ834" s="15">
        <v>13023973.48</v>
      </c>
      <c r="AR834" s="15">
        <v>193494</v>
      </c>
      <c r="AS834" s="18">
        <f t="shared" si="396"/>
        <v>1246437</v>
      </c>
      <c r="AT834" s="19">
        <v>0</v>
      </c>
      <c r="AU834" s="8">
        <v>8800</v>
      </c>
      <c r="AV834" s="13">
        <f t="shared" si="397"/>
        <v>4944544</v>
      </c>
      <c r="AW834" s="18">
        <f t="shared" si="398"/>
        <v>12409142</v>
      </c>
      <c r="AX834" s="15">
        <f t="shared" si="392"/>
        <v>12410000</v>
      </c>
      <c r="AY834" s="20">
        <v>7.0000000000000007E-2</v>
      </c>
      <c r="AZ834" s="13">
        <f t="shared" si="393"/>
        <v>868700.00000000012</v>
      </c>
      <c r="BA834" s="15">
        <f t="shared" si="394"/>
        <v>868700</v>
      </c>
      <c r="BB834" s="21">
        <f t="shared" si="399"/>
        <v>2115137</v>
      </c>
      <c r="BC834" s="10">
        <f t="shared" si="400"/>
        <v>0</v>
      </c>
      <c r="BD834" s="10">
        <f t="shared" si="401"/>
        <v>0</v>
      </c>
      <c r="BE834" s="10">
        <v>113.4</v>
      </c>
      <c r="BF834" s="10">
        <v>52.2</v>
      </c>
      <c r="BG834" s="107">
        <v>46176</v>
      </c>
      <c r="BH834" s="107">
        <f t="shared" si="375"/>
        <v>46206</v>
      </c>
      <c r="BI834" s="23">
        <v>7</v>
      </c>
      <c r="BJ834" s="6"/>
      <c r="BK834" s="6"/>
      <c r="BL834" s="6">
        <f>VLOOKUP(A834,[2]Sheet1!$D$2:$H$933,5,0)</f>
        <v>0</v>
      </c>
      <c r="BM834" s="6" t="s">
        <v>3828</v>
      </c>
      <c r="BN834" s="6" t="s">
        <v>3829</v>
      </c>
      <c r="BO834" s="6" t="s">
        <v>3820</v>
      </c>
      <c r="BP834" s="6" t="s">
        <v>3821</v>
      </c>
      <c r="BQ834" s="6" t="s">
        <v>3830</v>
      </c>
      <c r="BR834" t="s">
        <v>3823</v>
      </c>
      <c r="BS834" t="s">
        <v>3824</v>
      </c>
      <c r="BT834" t="s">
        <v>3825</v>
      </c>
      <c r="BU834" t="s">
        <v>3826</v>
      </c>
      <c r="BV834" t="s">
        <v>3827</v>
      </c>
      <c r="BW834" t="s">
        <v>3835</v>
      </c>
      <c r="BX834">
        <v>0</v>
      </c>
      <c r="BY834" t="s">
        <v>3861</v>
      </c>
      <c r="BZ834" t="s">
        <v>3872</v>
      </c>
    </row>
    <row r="835" spans="1:78" x14ac:dyDescent="0.25">
      <c r="A835" s="7" t="s">
        <v>3381</v>
      </c>
      <c r="B835" s="7" t="s">
        <v>181</v>
      </c>
      <c r="C835" s="7" t="s">
        <v>3379</v>
      </c>
      <c r="D835" s="8" t="s">
        <v>3380</v>
      </c>
      <c r="E835" s="7" t="s">
        <v>3363</v>
      </c>
      <c r="F835" s="9">
        <v>45146</v>
      </c>
      <c r="G835" s="9" t="s">
        <v>717</v>
      </c>
      <c r="H835" s="9" t="s">
        <v>66</v>
      </c>
      <c r="I835" s="8" t="s">
        <v>78</v>
      </c>
      <c r="J835" s="10">
        <v>1006.43</v>
      </c>
      <c r="K835" s="10">
        <v>1006.43</v>
      </c>
      <c r="L835" s="10">
        <f t="shared" si="377"/>
        <v>0</v>
      </c>
      <c r="M835" s="10">
        <v>461.13</v>
      </c>
      <c r="N835" s="10">
        <v>461.13</v>
      </c>
      <c r="O835" s="10">
        <f t="shared" si="378"/>
        <v>0</v>
      </c>
      <c r="P835" s="11">
        <v>10027.999960255558</v>
      </c>
      <c r="Q835" s="11">
        <v>21886.40947238306</v>
      </c>
      <c r="R835" s="11">
        <v>22000</v>
      </c>
      <c r="S835" s="11">
        <v>10092480</v>
      </c>
      <c r="T835" s="11">
        <v>1211098</v>
      </c>
      <c r="U835" s="12">
        <f t="shared" si="379"/>
        <v>0.12000003963346967</v>
      </c>
      <c r="V835" s="13">
        <f t="shared" si="376"/>
        <v>0</v>
      </c>
      <c r="W835" s="10">
        <f t="shared" si="380"/>
        <v>0</v>
      </c>
      <c r="X835" s="10"/>
      <c r="Y835" s="10"/>
      <c r="Z835" s="11">
        <f t="shared" si="381"/>
        <v>10092480</v>
      </c>
      <c r="AA835" s="14"/>
      <c r="AB835" s="14"/>
      <c r="AC835" s="11">
        <f t="shared" si="382"/>
        <v>10092480</v>
      </c>
      <c r="AD835" s="10">
        <f t="shared" si="383"/>
        <v>300</v>
      </c>
      <c r="AE835" s="15">
        <v>138339</v>
      </c>
      <c r="AF835" s="16">
        <v>24902</v>
      </c>
      <c r="AG835" s="15">
        <f t="shared" si="384"/>
        <v>0</v>
      </c>
      <c r="AH835" s="15">
        <f t="shared" si="385"/>
        <v>0</v>
      </c>
      <c r="AI835" s="15">
        <f t="shared" si="386"/>
        <v>138339</v>
      </c>
      <c r="AJ835" s="15">
        <f t="shared" si="387"/>
        <v>24902</v>
      </c>
      <c r="AK835" s="10">
        <v>138339</v>
      </c>
      <c r="AL835" s="15">
        <f t="shared" si="388"/>
        <v>138339</v>
      </c>
      <c r="AM835" s="15">
        <f t="shared" si="389"/>
        <v>10230819</v>
      </c>
      <c r="AN835" s="15">
        <f t="shared" si="390"/>
        <v>1236000</v>
      </c>
      <c r="AO835" s="15">
        <f t="shared" si="395"/>
        <v>1569948</v>
      </c>
      <c r="AP835" s="17">
        <f t="shared" si="391"/>
        <v>11800767</v>
      </c>
      <c r="AQ835" s="15">
        <v>10738398.68</v>
      </c>
      <c r="AR835" s="15">
        <v>195609</v>
      </c>
      <c r="AS835" s="18">
        <f t="shared" si="396"/>
        <v>1062368</v>
      </c>
      <c r="AT835" s="19">
        <v>0</v>
      </c>
      <c r="AU835" s="8">
        <v>8800</v>
      </c>
      <c r="AV835" s="13">
        <f t="shared" si="397"/>
        <v>4057944</v>
      </c>
      <c r="AW835" s="18">
        <f t="shared" si="398"/>
        <v>10230819</v>
      </c>
      <c r="AX835" s="15">
        <f t="shared" si="392"/>
        <v>10231000</v>
      </c>
      <c r="AY835" s="20">
        <v>7.0000000000000007E-2</v>
      </c>
      <c r="AZ835" s="13">
        <f t="shared" si="393"/>
        <v>716170.00000000012</v>
      </c>
      <c r="BA835" s="15">
        <f t="shared" si="394"/>
        <v>716200</v>
      </c>
      <c r="BB835" s="21">
        <f t="shared" si="399"/>
        <v>1778568</v>
      </c>
      <c r="BC835" s="10">
        <f t="shared" si="400"/>
        <v>0</v>
      </c>
      <c r="BD835" s="10">
        <f t="shared" si="401"/>
        <v>0</v>
      </c>
      <c r="BE835" s="10">
        <v>93.5</v>
      </c>
      <c r="BF835" s="10">
        <v>42.84</v>
      </c>
      <c r="BG835" s="107">
        <v>46176</v>
      </c>
      <c r="BH835" s="107">
        <f t="shared" si="375"/>
        <v>46206</v>
      </c>
      <c r="BI835" s="23">
        <v>7</v>
      </c>
      <c r="BJ835" s="6"/>
      <c r="BK835" s="6"/>
      <c r="BL835" s="6">
        <f>VLOOKUP(A835,[2]Sheet1!$D$2:$H$933,5,0)</f>
        <v>0</v>
      </c>
      <c r="BM835" s="6" t="s">
        <v>3828</v>
      </c>
      <c r="BN835" s="6" t="s">
        <v>3829</v>
      </c>
      <c r="BO835" s="6" t="s">
        <v>3820</v>
      </c>
      <c r="BP835" s="6" t="s">
        <v>3821</v>
      </c>
      <c r="BQ835" s="6" t="s">
        <v>3830</v>
      </c>
      <c r="BR835" t="s">
        <v>3823</v>
      </c>
      <c r="BS835" t="s">
        <v>3824</v>
      </c>
      <c r="BT835" t="s">
        <v>3825</v>
      </c>
      <c r="BU835" t="s">
        <v>3826</v>
      </c>
      <c r="BV835" t="s">
        <v>3827</v>
      </c>
      <c r="BW835" t="s">
        <v>3835</v>
      </c>
      <c r="BX835">
        <v>0</v>
      </c>
      <c r="BY835" t="s">
        <v>3861</v>
      </c>
      <c r="BZ835" t="s">
        <v>3872</v>
      </c>
    </row>
    <row r="836" spans="1:78" x14ac:dyDescent="0.25">
      <c r="A836" s="7" t="s">
        <v>3384</v>
      </c>
      <c r="B836" s="7" t="s">
        <v>181</v>
      </c>
      <c r="C836" s="7" t="s">
        <v>3382</v>
      </c>
      <c r="D836" s="8" t="s">
        <v>3383</v>
      </c>
      <c r="E836" s="7" t="s">
        <v>3385</v>
      </c>
      <c r="F836" s="9">
        <v>44990</v>
      </c>
      <c r="G836" s="9" t="s">
        <v>65</v>
      </c>
      <c r="H836" s="9" t="s">
        <v>190</v>
      </c>
      <c r="I836" s="8" t="s">
        <v>78</v>
      </c>
      <c r="J836" s="10">
        <v>1506.53</v>
      </c>
      <c r="K836" s="10">
        <v>1506.53</v>
      </c>
      <c r="L836" s="10">
        <f t="shared" si="377"/>
        <v>0</v>
      </c>
      <c r="M836" s="10">
        <v>695.78</v>
      </c>
      <c r="N836" s="10">
        <v>695.78</v>
      </c>
      <c r="O836" s="10">
        <f t="shared" si="378"/>
        <v>0</v>
      </c>
      <c r="P836" s="11">
        <v>25000</v>
      </c>
      <c r="Q836" s="11">
        <v>54130.975308287103</v>
      </c>
      <c r="R836" s="11">
        <v>60000</v>
      </c>
      <c r="S836" s="11">
        <v>37663250</v>
      </c>
      <c r="T836" s="11">
        <v>4519594</v>
      </c>
      <c r="U836" s="12">
        <f t="shared" si="379"/>
        <v>0.12000010620432384</v>
      </c>
      <c r="V836" s="13">
        <f t="shared" si="376"/>
        <v>0</v>
      </c>
      <c r="W836" s="10">
        <f t="shared" si="380"/>
        <v>0</v>
      </c>
      <c r="X836" s="10"/>
      <c r="Y836" s="10"/>
      <c r="Z836" s="11">
        <f t="shared" si="381"/>
        <v>37663250</v>
      </c>
      <c r="AA836" s="14"/>
      <c r="AB836" s="14"/>
      <c r="AC836" s="11">
        <f t="shared" si="382"/>
        <v>37663250</v>
      </c>
      <c r="AD836" s="10">
        <f t="shared" si="383"/>
        <v>300</v>
      </c>
      <c r="AE836" s="15">
        <v>208734</v>
      </c>
      <c r="AF836" s="16">
        <v>37572</v>
      </c>
      <c r="AG836" s="15">
        <f t="shared" si="384"/>
        <v>0</v>
      </c>
      <c r="AH836" s="15">
        <f t="shared" si="385"/>
        <v>0</v>
      </c>
      <c r="AI836" s="15">
        <f t="shared" si="386"/>
        <v>208734</v>
      </c>
      <c r="AJ836" s="15">
        <f t="shared" si="387"/>
        <v>37573</v>
      </c>
      <c r="AK836" s="10">
        <v>208734</v>
      </c>
      <c r="AL836" s="15">
        <f t="shared" si="388"/>
        <v>208734</v>
      </c>
      <c r="AM836" s="15">
        <f t="shared" si="389"/>
        <v>37871984</v>
      </c>
      <c r="AN836" s="15">
        <f t="shared" si="390"/>
        <v>4557167</v>
      </c>
      <c r="AO836" s="15">
        <f t="shared" si="395"/>
        <v>4987121.6399999997</v>
      </c>
      <c r="AP836" s="17">
        <f t="shared" si="391"/>
        <v>42859105.640000001</v>
      </c>
      <c r="AQ836" s="15">
        <v>30371649.199999999</v>
      </c>
      <c r="AR836" s="15">
        <v>221220.64</v>
      </c>
      <c r="AS836" s="18">
        <f t="shared" si="396"/>
        <v>12487456</v>
      </c>
      <c r="AT836" s="19">
        <v>37663250</v>
      </c>
      <c r="AU836" s="8">
        <v>8800</v>
      </c>
      <c r="AV836" s="13">
        <f t="shared" si="397"/>
        <v>6122864</v>
      </c>
      <c r="AW836" s="18">
        <f t="shared" si="398"/>
        <v>37871984</v>
      </c>
      <c r="AX836" s="15">
        <f t="shared" si="392"/>
        <v>37872000</v>
      </c>
      <c r="AY836" s="20">
        <v>0.06</v>
      </c>
      <c r="AZ836" s="13">
        <f t="shared" si="393"/>
        <v>2272320</v>
      </c>
      <c r="BA836" s="15">
        <f t="shared" si="394"/>
        <v>2272400</v>
      </c>
      <c r="BB836" s="21">
        <f t="shared" si="399"/>
        <v>14759856</v>
      </c>
      <c r="BC836" s="10">
        <f t="shared" si="400"/>
        <v>0</v>
      </c>
      <c r="BD836" s="10">
        <f t="shared" si="401"/>
        <v>0</v>
      </c>
      <c r="BE836" s="10">
        <v>139.96</v>
      </c>
      <c r="BF836" s="10">
        <v>64.64</v>
      </c>
      <c r="BG836" s="107">
        <v>46176</v>
      </c>
      <c r="BH836" s="107">
        <f t="shared" si="375"/>
        <v>46206</v>
      </c>
      <c r="BI836" s="23">
        <v>6</v>
      </c>
      <c r="BJ836" s="6"/>
      <c r="BK836" s="6"/>
      <c r="BL836" s="6">
        <f>VLOOKUP(A836,[2]Sheet1!$D$2:$H$933,5,0)</f>
        <v>0</v>
      </c>
      <c r="BM836" s="6" t="s">
        <v>3828</v>
      </c>
      <c r="BN836" s="6" t="s">
        <v>3829</v>
      </c>
      <c r="BO836" s="6" t="s">
        <v>3820</v>
      </c>
      <c r="BP836" s="6" t="s">
        <v>3821</v>
      </c>
      <c r="BQ836" s="6" t="s">
        <v>3830</v>
      </c>
      <c r="BR836" t="s">
        <v>3823</v>
      </c>
      <c r="BS836" t="s">
        <v>3824</v>
      </c>
      <c r="BT836" t="s">
        <v>3825</v>
      </c>
      <c r="BU836" t="s">
        <v>3826</v>
      </c>
      <c r="BV836" t="s">
        <v>3827</v>
      </c>
      <c r="BW836" t="s">
        <v>3835</v>
      </c>
      <c r="BX836">
        <v>0</v>
      </c>
      <c r="BY836" t="s">
        <v>3864</v>
      </c>
      <c r="BZ836" t="s">
        <v>3860</v>
      </c>
    </row>
    <row r="837" spans="1:78" x14ac:dyDescent="0.25">
      <c r="A837" s="7" t="s">
        <v>3388</v>
      </c>
      <c r="B837" s="7" t="s">
        <v>181</v>
      </c>
      <c r="C837" s="7" t="s">
        <v>3386</v>
      </c>
      <c r="D837" s="8" t="s">
        <v>3387</v>
      </c>
      <c r="E837" s="7" t="s">
        <v>3389</v>
      </c>
      <c r="F837" s="9">
        <v>44917</v>
      </c>
      <c r="G837" s="9" t="s">
        <v>527</v>
      </c>
      <c r="H837" s="9" t="s">
        <v>190</v>
      </c>
      <c r="I837" s="8" t="s">
        <v>78</v>
      </c>
      <c r="J837" s="10">
        <v>1330.43</v>
      </c>
      <c r="K837" s="10">
        <v>1330.43</v>
      </c>
      <c r="L837" s="10">
        <f t="shared" si="377"/>
        <v>0</v>
      </c>
      <c r="M837" s="10">
        <v>621.08000000000004</v>
      </c>
      <c r="N837" s="10">
        <v>621.08000000000004</v>
      </c>
      <c r="O837" s="10">
        <f t="shared" si="378"/>
        <v>0</v>
      </c>
      <c r="P837" s="11">
        <v>29894.000435949278</v>
      </c>
      <c r="Q837" s="11">
        <v>64036.637792232883</v>
      </c>
      <c r="R837" s="11">
        <v>60000</v>
      </c>
      <c r="S837" s="11">
        <v>39771875</v>
      </c>
      <c r="T837" s="11">
        <v>4772624</v>
      </c>
      <c r="U837" s="12">
        <f t="shared" si="379"/>
        <v>0.11999997485660407</v>
      </c>
      <c r="V837" s="13">
        <f t="shared" si="376"/>
        <v>0</v>
      </c>
      <c r="W837" s="10">
        <f t="shared" si="380"/>
        <v>0</v>
      </c>
      <c r="X837" s="10"/>
      <c r="Y837" s="10"/>
      <c r="Z837" s="11">
        <f t="shared" si="381"/>
        <v>39771875</v>
      </c>
      <c r="AA837" s="14"/>
      <c r="AB837" s="14"/>
      <c r="AC837" s="11">
        <f t="shared" si="382"/>
        <v>39771875</v>
      </c>
      <c r="AD837" s="10">
        <f t="shared" si="383"/>
        <v>300</v>
      </c>
      <c r="AE837" s="15">
        <v>186324</v>
      </c>
      <c r="AF837" s="16">
        <v>33538</v>
      </c>
      <c r="AG837" s="15">
        <f t="shared" si="384"/>
        <v>0</v>
      </c>
      <c r="AH837" s="15">
        <f t="shared" si="385"/>
        <v>0</v>
      </c>
      <c r="AI837" s="15">
        <f t="shared" si="386"/>
        <v>186324</v>
      </c>
      <c r="AJ837" s="15">
        <f t="shared" si="387"/>
        <v>33539</v>
      </c>
      <c r="AK837" s="10">
        <v>186324</v>
      </c>
      <c r="AL837" s="15">
        <f t="shared" si="388"/>
        <v>186324</v>
      </c>
      <c r="AM837" s="15">
        <f t="shared" si="389"/>
        <v>39958199</v>
      </c>
      <c r="AN837" s="15">
        <f t="shared" si="390"/>
        <v>4806163</v>
      </c>
      <c r="AO837" s="15">
        <f t="shared" si="395"/>
        <v>5242521</v>
      </c>
      <c r="AP837" s="17">
        <f t="shared" si="391"/>
        <v>45200720</v>
      </c>
      <c r="AQ837" s="15">
        <v>24555327</v>
      </c>
      <c r="AR837" s="15">
        <v>250034</v>
      </c>
      <c r="AS837" s="18">
        <f t="shared" si="396"/>
        <v>20645393</v>
      </c>
      <c r="AT837" s="19">
        <v>0</v>
      </c>
      <c r="AU837" s="8">
        <v>8800</v>
      </c>
      <c r="AV837" s="13">
        <f t="shared" si="397"/>
        <v>5465504</v>
      </c>
      <c r="AW837" s="18">
        <f t="shared" si="398"/>
        <v>39958199</v>
      </c>
      <c r="AX837" s="15">
        <f t="shared" si="392"/>
        <v>39959000</v>
      </c>
      <c r="AY837" s="20">
        <v>0.06</v>
      </c>
      <c r="AZ837" s="13">
        <f t="shared" si="393"/>
        <v>2397540</v>
      </c>
      <c r="BA837" s="15">
        <f t="shared" si="394"/>
        <v>2397600</v>
      </c>
      <c r="BB837" s="21">
        <f t="shared" si="399"/>
        <v>23042993</v>
      </c>
      <c r="BC837" s="10">
        <f t="shared" si="400"/>
        <v>0</v>
      </c>
      <c r="BD837" s="10">
        <f t="shared" si="401"/>
        <v>0</v>
      </c>
      <c r="BE837" s="10">
        <v>123.6</v>
      </c>
      <c r="BF837" s="10">
        <v>57.7</v>
      </c>
      <c r="BG837" s="107">
        <v>46176</v>
      </c>
      <c r="BH837" s="107">
        <f t="shared" si="375"/>
        <v>46206</v>
      </c>
      <c r="BI837" s="23">
        <v>6</v>
      </c>
      <c r="BJ837" s="6"/>
      <c r="BK837" s="6"/>
      <c r="BL837" s="6">
        <f>VLOOKUP(A837,[2]Sheet1!$D$2:$H$933,5,0)</f>
        <v>0</v>
      </c>
      <c r="BM837" s="6" t="s">
        <v>3828</v>
      </c>
      <c r="BN837" s="6" t="s">
        <v>3829</v>
      </c>
      <c r="BO837" s="6" t="s">
        <v>3820</v>
      </c>
      <c r="BP837" s="6" t="s">
        <v>3821</v>
      </c>
      <c r="BQ837" s="6" t="s">
        <v>3830</v>
      </c>
      <c r="BR837" t="s">
        <v>3823</v>
      </c>
      <c r="BS837" t="s">
        <v>3824</v>
      </c>
      <c r="BT837" t="s">
        <v>3825</v>
      </c>
      <c r="BU837" t="s">
        <v>3826</v>
      </c>
      <c r="BV837" t="s">
        <v>3827</v>
      </c>
      <c r="BW837" t="s">
        <v>3835</v>
      </c>
      <c r="BX837">
        <v>0</v>
      </c>
      <c r="BY837" t="s">
        <v>3865</v>
      </c>
      <c r="BZ837" t="s">
        <v>3871</v>
      </c>
    </row>
    <row r="838" spans="1:78" x14ac:dyDescent="0.25">
      <c r="A838" s="7" t="s">
        <v>3392</v>
      </c>
      <c r="B838" s="7" t="s">
        <v>181</v>
      </c>
      <c r="C838" s="7" t="s">
        <v>3390</v>
      </c>
      <c r="D838" s="8" t="s">
        <v>3391</v>
      </c>
      <c r="E838" s="7" t="s">
        <v>3393</v>
      </c>
      <c r="F838" s="9">
        <v>45132</v>
      </c>
      <c r="G838" s="9" t="s">
        <v>404</v>
      </c>
      <c r="H838" s="9" t="s">
        <v>72</v>
      </c>
      <c r="I838" s="8" t="s">
        <v>78</v>
      </c>
      <c r="J838" s="10">
        <v>693.85</v>
      </c>
      <c r="K838" s="10">
        <v>693.85</v>
      </c>
      <c r="L838" s="10">
        <f t="shared" si="377"/>
        <v>0</v>
      </c>
      <c r="M838" s="10">
        <v>305.7</v>
      </c>
      <c r="N838" s="10">
        <v>305.7</v>
      </c>
      <c r="O838" s="10">
        <f t="shared" si="378"/>
        <v>0</v>
      </c>
      <c r="P838" s="11">
        <v>7236.999351444837</v>
      </c>
      <c r="Q838" s="11">
        <v>16425.881583251554</v>
      </c>
      <c r="R838" s="11">
        <v>20000</v>
      </c>
      <c r="S838" s="11">
        <v>5021392</v>
      </c>
      <c r="T838" s="11">
        <v>602566</v>
      </c>
      <c r="U838" s="12">
        <f t="shared" si="379"/>
        <v>0.11999979288611604</v>
      </c>
      <c r="V838" s="13">
        <f t="shared" si="376"/>
        <v>0</v>
      </c>
      <c r="W838" s="10">
        <f t="shared" si="380"/>
        <v>0</v>
      </c>
      <c r="X838" s="10"/>
      <c r="Y838" s="10"/>
      <c r="Z838" s="11">
        <f t="shared" si="381"/>
        <v>5021392</v>
      </c>
      <c r="AA838" s="14"/>
      <c r="AB838" s="14"/>
      <c r="AC838" s="11">
        <f t="shared" si="382"/>
        <v>5021392</v>
      </c>
      <c r="AD838" s="10">
        <f t="shared" si="383"/>
        <v>300</v>
      </c>
      <c r="AE838" s="15">
        <v>91710</v>
      </c>
      <c r="AF838" s="16">
        <v>16508</v>
      </c>
      <c r="AG838" s="15">
        <f t="shared" si="384"/>
        <v>0</v>
      </c>
      <c r="AH838" s="15">
        <f t="shared" si="385"/>
        <v>0</v>
      </c>
      <c r="AI838" s="15">
        <f t="shared" si="386"/>
        <v>91710</v>
      </c>
      <c r="AJ838" s="15">
        <f t="shared" si="387"/>
        <v>16508</v>
      </c>
      <c r="AK838" s="10">
        <v>91710</v>
      </c>
      <c r="AL838" s="15">
        <f t="shared" si="388"/>
        <v>91710</v>
      </c>
      <c r="AM838" s="15">
        <f t="shared" si="389"/>
        <v>5113102</v>
      </c>
      <c r="AN838" s="15">
        <f t="shared" si="390"/>
        <v>619074</v>
      </c>
      <c r="AO838" s="15">
        <f t="shared" si="395"/>
        <v>940309</v>
      </c>
      <c r="AP838" s="17">
        <f t="shared" si="391"/>
        <v>6053411</v>
      </c>
      <c r="AQ838" s="15">
        <v>5295057</v>
      </c>
      <c r="AR838" s="15">
        <v>229525</v>
      </c>
      <c r="AS838" s="18">
        <f t="shared" si="396"/>
        <v>758354</v>
      </c>
      <c r="AT838" s="19">
        <v>0</v>
      </c>
      <c r="AU838" s="8">
        <v>8800</v>
      </c>
      <c r="AV838" s="13">
        <f t="shared" si="397"/>
        <v>2690160</v>
      </c>
      <c r="AW838" s="18">
        <f t="shared" si="398"/>
        <v>5113102</v>
      </c>
      <c r="AX838" s="15">
        <f t="shared" si="392"/>
        <v>5114000</v>
      </c>
      <c r="AY838" s="20">
        <v>7.0000000000000007E-2</v>
      </c>
      <c r="AZ838" s="13">
        <f t="shared" si="393"/>
        <v>357980.00000000006</v>
      </c>
      <c r="BA838" s="15">
        <f t="shared" si="394"/>
        <v>358000</v>
      </c>
      <c r="BB838" s="21">
        <f t="shared" si="399"/>
        <v>1116354</v>
      </c>
      <c r="BC838" s="10">
        <f t="shared" si="400"/>
        <v>0</v>
      </c>
      <c r="BD838" s="10">
        <f t="shared" si="401"/>
        <v>0</v>
      </c>
      <c r="BE838" s="10">
        <v>64.459999999999994</v>
      </c>
      <c r="BF838" s="10">
        <v>28.4</v>
      </c>
      <c r="BG838" s="107">
        <v>46176</v>
      </c>
      <c r="BH838" s="107">
        <f t="shared" si="375"/>
        <v>46206</v>
      </c>
      <c r="BI838" s="23">
        <v>7</v>
      </c>
      <c r="BJ838" s="6"/>
      <c r="BK838" s="6"/>
      <c r="BL838" s="6">
        <f>VLOOKUP(A838,[2]Sheet1!$D$2:$H$933,5,0)</f>
        <v>0</v>
      </c>
      <c r="BM838" s="6" t="s">
        <v>3828</v>
      </c>
      <c r="BN838" s="6" t="s">
        <v>3829</v>
      </c>
      <c r="BO838" s="6" t="s">
        <v>3820</v>
      </c>
      <c r="BP838" s="6" t="s">
        <v>3821</v>
      </c>
      <c r="BQ838" s="6" t="s">
        <v>3830</v>
      </c>
      <c r="BR838" t="s">
        <v>3823</v>
      </c>
      <c r="BS838" t="s">
        <v>3824</v>
      </c>
      <c r="BT838" t="s">
        <v>3825</v>
      </c>
      <c r="BU838" t="s">
        <v>3826</v>
      </c>
      <c r="BV838" t="s">
        <v>3827</v>
      </c>
      <c r="BW838" t="s">
        <v>3835</v>
      </c>
      <c r="BX838">
        <v>0</v>
      </c>
      <c r="BY838" t="s">
        <v>3861</v>
      </c>
      <c r="BZ838" t="s">
        <v>3863</v>
      </c>
    </row>
    <row r="839" spans="1:78" x14ac:dyDescent="0.25">
      <c r="A839" s="7" t="s">
        <v>3396</v>
      </c>
      <c r="B839" s="7" t="s">
        <v>181</v>
      </c>
      <c r="C839" s="7" t="s">
        <v>3394</v>
      </c>
      <c r="D839" s="8" t="s">
        <v>3395</v>
      </c>
      <c r="E839" s="7" t="s">
        <v>3397</v>
      </c>
      <c r="F839" s="9">
        <v>44955</v>
      </c>
      <c r="G839" s="9" t="s">
        <v>77</v>
      </c>
      <c r="H839" s="9" t="s">
        <v>87</v>
      </c>
      <c r="I839" s="8" t="s">
        <v>78</v>
      </c>
      <c r="J839" s="10">
        <v>564.03</v>
      </c>
      <c r="K839" s="10">
        <v>599</v>
      </c>
      <c r="L839" s="10">
        <f t="shared" si="377"/>
        <v>34.970000000000027</v>
      </c>
      <c r="M839" s="10">
        <v>240.47</v>
      </c>
      <c r="N839" s="10">
        <v>262</v>
      </c>
      <c r="O839" s="10">
        <f t="shared" si="378"/>
        <v>21.53</v>
      </c>
      <c r="P839" s="11">
        <v>20700</v>
      </c>
      <c r="Q839" s="11">
        <v>48552.505510042836</v>
      </c>
      <c r="R839" s="11">
        <v>40000</v>
      </c>
      <c r="S839" s="11">
        <v>11675421</v>
      </c>
      <c r="T839" s="11">
        <v>1401052</v>
      </c>
      <c r="U839" s="12">
        <f t="shared" si="379"/>
        <v>0.12000012676202426</v>
      </c>
      <c r="V839" s="13">
        <f>L839*R839</f>
        <v>1398800.0000000012</v>
      </c>
      <c r="W839" s="10">
        <f t="shared" si="380"/>
        <v>167856.17731471968</v>
      </c>
      <c r="X839" s="15"/>
      <c r="Y839" s="15"/>
      <c r="Z839" s="11">
        <f t="shared" si="381"/>
        <v>13074221.000000002</v>
      </c>
      <c r="AA839" s="14"/>
      <c r="AB839" s="14"/>
      <c r="AC839" s="11">
        <f t="shared" si="382"/>
        <v>13074221.000000002</v>
      </c>
      <c r="AD839" s="10">
        <f t="shared" si="383"/>
        <v>300</v>
      </c>
      <c r="AE839" s="15">
        <v>72141</v>
      </c>
      <c r="AF839" s="16">
        <v>12986</v>
      </c>
      <c r="AG839" s="15">
        <f t="shared" si="384"/>
        <v>6459</v>
      </c>
      <c r="AH839" s="15">
        <f t="shared" si="385"/>
        <v>1162.6199999999999</v>
      </c>
      <c r="AI839" s="15">
        <f t="shared" si="386"/>
        <v>78600</v>
      </c>
      <c r="AJ839" s="15">
        <f t="shared" si="387"/>
        <v>14148</v>
      </c>
      <c r="AK839" s="10">
        <v>72141</v>
      </c>
      <c r="AL839" s="15">
        <f t="shared" si="388"/>
        <v>78600</v>
      </c>
      <c r="AM839" s="15">
        <f t="shared" si="389"/>
        <v>13152821</v>
      </c>
      <c r="AN839" s="15">
        <f t="shared" si="390"/>
        <v>1583057</v>
      </c>
      <c r="AO839" s="15">
        <f t="shared" si="395"/>
        <v>1896493</v>
      </c>
      <c r="AP839" s="17">
        <f t="shared" si="391"/>
        <v>15049314</v>
      </c>
      <c r="AQ839" s="15">
        <v>8870932</v>
      </c>
      <c r="AR839" s="15">
        <v>234836</v>
      </c>
      <c r="AS839" s="18">
        <f t="shared" si="396"/>
        <v>6178382</v>
      </c>
      <c r="AT839" s="19">
        <v>0</v>
      </c>
      <c r="AU839" s="8">
        <v>8800</v>
      </c>
      <c r="AV839" s="13">
        <f t="shared" si="397"/>
        <v>2305600</v>
      </c>
      <c r="AW839" s="18">
        <f t="shared" si="398"/>
        <v>13152821</v>
      </c>
      <c r="AX839" s="15">
        <f t="shared" si="392"/>
        <v>13153000</v>
      </c>
      <c r="AY839" s="20">
        <v>0.06</v>
      </c>
      <c r="AZ839" s="13">
        <f t="shared" si="393"/>
        <v>789180</v>
      </c>
      <c r="BA839" s="15">
        <f t="shared" si="394"/>
        <v>789200</v>
      </c>
      <c r="BB839" s="21">
        <f t="shared" si="399"/>
        <v>6967582</v>
      </c>
      <c r="BC839" s="10">
        <f t="shared" si="400"/>
        <v>6.2000248213747549</v>
      </c>
      <c r="BD839" s="10">
        <f t="shared" si="401"/>
        <v>8.9532997879153324</v>
      </c>
      <c r="BE839" s="10">
        <v>55.65</v>
      </c>
      <c r="BF839" s="10">
        <v>24.34</v>
      </c>
      <c r="BG839" s="107">
        <v>46176</v>
      </c>
      <c r="BH839" s="107">
        <f t="shared" si="375"/>
        <v>46206</v>
      </c>
      <c r="BI839" s="23">
        <v>6</v>
      </c>
      <c r="BJ839" s="6"/>
      <c r="BK839" s="6"/>
      <c r="BL839" s="6">
        <f>VLOOKUP(A839,[2]Sheet1!$D$2:$H$933,5,0)</f>
        <v>0</v>
      </c>
      <c r="BM839" s="6" t="s">
        <v>3828</v>
      </c>
      <c r="BN839" s="6" t="s">
        <v>3829</v>
      </c>
      <c r="BO839" s="6" t="s">
        <v>3820</v>
      </c>
      <c r="BP839" s="6" t="s">
        <v>3821</v>
      </c>
      <c r="BQ839" s="6" t="s">
        <v>3830</v>
      </c>
      <c r="BR839" t="s">
        <v>3823</v>
      </c>
      <c r="BS839" t="s">
        <v>3824</v>
      </c>
      <c r="BT839" t="s">
        <v>3825</v>
      </c>
      <c r="BU839" t="s">
        <v>3826</v>
      </c>
      <c r="BV839" t="s">
        <v>3827</v>
      </c>
      <c r="BW839" t="s">
        <v>3835</v>
      </c>
      <c r="BX839">
        <v>0</v>
      </c>
      <c r="BY839" t="s">
        <v>3869</v>
      </c>
      <c r="BZ839" t="s">
        <v>3863</v>
      </c>
    </row>
    <row r="840" spans="1:78" x14ac:dyDescent="0.25">
      <c r="A840" s="7" t="s">
        <v>3400</v>
      </c>
      <c r="B840" s="7" t="s">
        <v>181</v>
      </c>
      <c r="C840" s="7" t="s">
        <v>3398</v>
      </c>
      <c r="D840" s="8" t="s">
        <v>3399</v>
      </c>
      <c r="E840" s="7" t="s">
        <v>3401</v>
      </c>
      <c r="F840" s="9">
        <v>44861</v>
      </c>
      <c r="G840" s="9" t="s">
        <v>527</v>
      </c>
      <c r="H840" s="9" t="s">
        <v>66</v>
      </c>
      <c r="I840" s="8" t="s">
        <v>67</v>
      </c>
      <c r="J840" s="10">
        <v>224.85</v>
      </c>
      <c r="K840" s="10">
        <v>224.85</v>
      </c>
      <c r="L840" s="10">
        <f t="shared" si="377"/>
        <v>0</v>
      </c>
      <c r="M840" s="10">
        <v>89.34</v>
      </c>
      <c r="N840" s="10">
        <v>89.34</v>
      </c>
      <c r="O840" s="10">
        <f t="shared" si="378"/>
        <v>0</v>
      </c>
      <c r="P840" s="11">
        <v>19650.002223704694</v>
      </c>
      <c r="Q840" s="11">
        <v>49454.925005596597</v>
      </c>
      <c r="R840" s="11">
        <v>22000</v>
      </c>
      <c r="S840" s="11">
        <v>4418303</v>
      </c>
      <c r="T840" s="11">
        <v>530198</v>
      </c>
      <c r="U840" s="12">
        <f t="shared" si="379"/>
        <v>0.12000037118323482</v>
      </c>
      <c r="V840" s="13">
        <f t="shared" ref="V840:V852" si="402">L840*P840</f>
        <v>0</v>
      </c>
      <c r="W840" s="10">
        <f t="shared" si="380"/>
        <v>0</v>
      </c>
      <c r="X840" s="10"/>
      <c r="Y840" s="10"/>
      <c r="Z840" s="11">
        <f t="shared" si="381"/>
        <v>4418303</v>
      </c>
      <c r="AA840" s="14"/>
      <c r="AB840" s="14"/>
      <c r="AC840" s="11">
        <f t="shared" si="382"/>
        <v>4418303</v>
      </c>
      <c r="AD840" s="10">
        <f t="shared" si="383"/>
        <v>300</v>
      </c>
      <c r="AE840" s="15">
        <v>26802</v>
      </c>
      <c r="AF840" s="16">
        <v>4824</v>
      </c>
      <c r="AG840" s="15">
        <f t="shared" si="384"/>
        <v>0</v>
      </c>
      <c r="AH840" s="15">
        <f t="shared" si="385"/>
        <v>0</v>
      </c>
      <c r="AI840" s="15">
        <f t="shared" si="386"/>
        <v>26802</v>
      </c>
      <c r="AJ840" s="15">
        <f t="shared" si="387"/>
        <v>4825</v>
      </c>
      <c r="AK840" s="10">
        <v>26802</v>
      </c>
      <c r="AL840" s="15">
        <f t="shared" si="388"/>
        <v>26802</v>
      </c>
      <c r="AM840" s="15">
        <f t="shared" si="389"/>
        <v>4445105</v>
      </c>
      <c r="AN840" s="15">
        <f t="shared" si="390"/>
        <v>535023</v>
      </c>
      <c r="AO840" s="15">
        <f t="shared" si="395"/>
        <v>821267</v>
      </c>
      <c r="AP840" s="17">
        <f t="shared" si="391"/>
        <v>5266372</v>
      </c>
      <c r="AQ840" s="15">
        <v>2414249</v>
      </c>
      <c r="AR840" s="15">
        <v>259442</v>
      </c>
      <c r="AS840" s="18">
        <f t="shared" si="396"/>
        <v>2852123</v>
      </c>
      <c r="AT840" s="19">
        <v>0</v>
      </c>
      <c r="AU840" s="8">
        <v>8800</v>
      </c>
      <c r="AV840" s="13">
        <f t="shared" si="397"/>
        <v>786192</v>
      </c>
      <c r="AW840" s="18">
        <f t="shared" si="398"/>
        <v>4445105</v>
      </c>
      <c r="AX840" s="15">
        <f t="shared" si="392"/>
        <v>4446000</v>
      </c>
      <c r="AY840" s="20">
        <v>7.0000000000000007E-2</v>
      </c>
      <c r="AZ840" s="13">
        <f t="shared" si="393"/>
        <v>311220.00000000006</v>
      </c>
      <c r="BA840" s="15">
        <f t="shared" si="394"/>
        <v>311300</v>
      </c>
      <c r="BB840" s="21">
        <f t="shared" si="399"/>
        <v>3163423</v>
      </c>
      <c r="BC840" s="10">
        <f t="shared" si="400"/>
        <v>0</v>
      </c>
      <c r="BD840" s="10">
        <f t="shared" si="401"/>
        <v>0</v>
      </c>
      <c r="BE840" s="10">
        <v>20.89</v>
      </c>
      <c r="BF840" s="10">
        <v>8.3000000000000007</v>
      </c>
      <c r="BG840" s="107">
        <v>46176</v>
      </c>
      <c r="BH840" s="107">
        <f t="shared" si="375"/>
        <v>46206</v>
      </c>
      <c r="BI840" s="23">
        <v>7</v>
      </c>
      <c r="BJ840" s="6"/>
      <c r="BK840" s="6"/>
      <c r="BL840" s="6">
        <f>VLOOKUP(A840,[2]Sheet1!$D$2:$H$933,5,0)</f>
        <v>0</v>
      </c>
      <c r="BM840" s="6" t="s">
        <v>3828</v>
      </c>
      <c r="BN840" s="6" t="s">
        <v>3829</v>
      </c>
      <c r="BO840" s="6" t="s">
        <v>3820</v>
      </c>
      <c r="BP840" s="6" t="s">
        <v>3821</v>
      </c>
      <c r="BQ840" s="6" t="s">
        <v>3830</v>
      </c>
      <c r="BR840" t="s">
        <v>3823</v>
      </c>
      <c r="BS840" t="s">
        <v>3824</v>
      </c>
      <c r="BT840" t="s">
        <v>3825</v>
      </c>
      <c r="BU840" t="s">
        <v>3826</v>
      </c>
      <c r="BV840" t="s">
        <v>3827</v>
      </c>
      <c r="BW840" t="s">
        <v>3835</v>
      </c>
      <c r="BX840" s="101">
        <v>165682.97099999999</v>
      </c>
      <c r="BY840" t="s">
        <v>3865</v>
      </c>
      <c r="BZ840" t="s">
        <v>3871</v>
      </c>
    </row>
    <row r="841" spans="1:78" x14ac:dyDescent="0.25">
      <c r="A841" s="7" t="s">
        <v>3404</v>
      </c>
      <c r="B841" s="7" t="s">
        <v>181</v>
      </c>
      <c r="C841" s="7" t="s">
        <v>3402</v>
      </c>
      <c r="D841" s="8" t="s">
        <v>3403</v>
      </c>
      <c r="E841" s="7" t="s">
        <v>3363</v>
      </c>
      <c r="F841" s="9">
        <v>45146</v>
      </c>
      <c r="G841" s="9" t="s">
        <v>717</v>
      </c>
      <c r="H841" s="9" t="s">
        <v>66</v>
      </c>
      <c r="I841" s="8" t="s">
        <v>78</v>
      </c>
      <c r="J841" s="10">
        <v>1220.6400000000001</v>
      </c>
      <c r="K841" s="10">
        <v>1220.6400000000001</v>
      </c>
      <c r="L841" s="10">
        <f t="shared" si="377"/>
        <v>0</v>
      </c>
      <c r="M841" s="10">
        <v>557.58000000000004</v>
      </c>
      <c r="N841" s="10">
        <v>557.58000000000004</v>
      </c>
      <c r="O841" s="10">
        <f t="shared" si="378"/>
        <v>0</v>
      </c>
      <c r="P841" s="11">
        <v>10027.998427054659</v>
      </c>
      <c r="Q841" s="11">
        <v>21953.039922522326</v>
      </c>
      <c r="R841" s="11">
        <v>22000</v>
      </c>
      <c r="S841" s="11">
        <v>12240576</v>
      </c>
      <c r="T841" s="11">
        <v>1468868</v>
      </c>
      <c r="U841" s="12">
        <f t="shared" si="379"/>
        <v>0.11999990850103787</v>
      </c>
      <c r="V841" s="13">
        <f t="shared" si="402"/>
        <v>0</v>
      </c>
      <c r="W841" s="10">
        <f t="shared" si="380"/>
        <v>0</v>
      </c>
      <c r="X841" s="10"/>
      <c r="Y841" s="10"/>
      <c r="Z841" s="11">
        <f t="shared" si="381"/>
        <v>12240576</v>
      </c>
      <c r="AA841" s="14"/>
      <c r="AB841" s="14"/>
      <c r="AC841" s="11">
        <f t="shared" si="382"/>
        <v>12240576</v>
      </c>
      <c r="AD841" s="10">
        <f t="shared" si="383"/>
        <v>300</v>
      </c>
      <c r="AE841" s="15">
        <v>167274</v>
      </c>
      <c r="AF841" s="16">
        <v>30110</v>
      </c>
      <c r="AG841" s="15">
        <f t="shared" si="384"/>
        <v>0</v>
      </c>
      <c r="AH841" s="15">
        <f t="shared" si="385"/>
        <v>0</v>
      </c>
      <c r="AI841" s="15">
        <f t="shared" si="386"/>
        <v>167274</v>
      </c>
      <c r="AJ841" s="15">
        <f t="shared" si="387"/>
        <v>30110</v>
      </c>
      <c r="AK841" s="10">
        <v>167274</v>
      </c>
      <c r="AL841" s="15">
        <f t="shared" si="388"/>
        <v>167274</v>
      </c>
      <c r="AM841" s="15">
        <f t="shared" si="389"/>
        <v>12407850</v>
      </c>
      <c r="AN841" s="15">
        <f t="shared" si="390"/>
        <v>1498978</v>
      </c>
      <c r="AO841" s="15">
        <f t="shared" si="395"/>
        <v>1935261</v>
      </c>
      <c r="AP841" s="17">
        <f t="shared" si="391"/>
        <v>14343111</v>
      </c>
      <c r="AQ841" s="15">
        <v>13023973.460000001</v>
      </c>
      <c r="AR841" s="15">
        <v>269009</v>
      </c>
      <c r="AS841" s="18">
        <f t="shared" si="396"/>
        <v>1319138</v>
      </c>
      <c r="AT841" s="19">
        <v>0</v>
      </c>
      <c r="AU841" s="8">
        <v>8800</v>
      </c>
      <c r="AV841" s="13">
        <f t="shared" si="397"/>
        <v>4906704</v>
      </c>
      <c r="AW841" s="18">
        <f t="shared" si="398"/>
        <v>12407850</v>
      </c>
      <c r="AX841" s="15">
        <f t="shared" si="392"/>
        <v>12408000</v>
      </c>
      <c r="AY841" s="20">
        <v>7.0000000000000007E-2</v>
      </c>
      <c r="AZ841" s="13">
        <f t="shared" si="393"/>
        <v>868560.00000000012</v>
      </c>
      <c r="BA841" s="15">
        <f t="shared" si="394"/>
        <v>868600</v>
      </c>
      <c r="BB841" s="21">
        <f t="shared" si="399"/>
        <v>2187738</v>
      </c>
      <c r="BC841" s="10">
        <f t="shared" si="400"/>
        <v>0</v>
      </c>
      <c r="BD841" s="10">
        <f t="shared" si="401"/>
        <v>0</v>
      </c>
      <c r="BE841" s="10">
        <v>113.4</v>
      </c>
      <c r="BF841" s="10">
        <v>51.8</v>
      </c>
      <c r="BG841" s="107">
        <v>46176</v>
      </c>
      <c r="BH841" s="107">
        <f t="shared" si="375"/>
        <v>46206</v>
      </c>
      <c r="BI841" s="23">
        <v>7</v>
      </c>
      <c r="BJ841" s="6"/>
      <c r="BK841" s="6"/>
      <c r="BL841" s="6">
        <f>VLOOKUP(A841,[2]Sheet1!$D$2:$H$933,5,0)</f>
        <v>0</v>
      </c>
      <c r="BM841" s="6" t="s">
        <v>3828</v>
      </c>
      <c r="BN841" s="6" t="s">
        <v>3829</v>
      </c>
      <c r="BO841" s="6" t="s">
        <v>3820</v>
      </c>
      <c r="BP841" s="6" t="s">
        <v>3821</v>
      </c>
      <c r="BQ841" s="6" t="s">
        <v>3830</v>
      </c>
      <c r="BR841" t="s">
        <v>3823</v>
      </c>
      <c r="BS841" t="s">
        <v>3824</v>
      </c>
      <c r="BT841" t="s">
        <v>3825</v>
      </c>
      <c r="BU841" t="s">
        <v>3826</v>
      </c>
      <c r="BV841" t="s">
        <v>3827</v>
      </c>
      <c r="BW841" t="s">
        <v>3835</v>
      </c>
      <c r="BX841">
        <v>0</v>
      </c>
      <c r="BY841" t="s">
        <v>3861</v>
      </c>
      <c r="BZ841" t="s">
        <v>3872</v>
      </c>
    </row>
    <row r="842" spans="1:78" x14ac:dyDescent="0.25">
      <c r="A842" s="7" t="s">
        <v>3407</v>
      </c>
      <c r="B842" s="7" t="s">
        <v>181</v>
      </c>
      <c r="C842" s="7" t="s">
        <v>3405</v>
      </c>
      <c r="D842" s="8" t="s">
        <v>3406</v>
      </c>
      <c r="E842" s="7" t="s">
        <v>3408</v>
      </c>
      <c r="F842" s="9">
        <v>44995</v>
      </c>
      <c r="G842" s="9" t="s">
        <v>404</v>
      </c>
      <c r="H842" s="9" t="s">
        <v>92</v>
      </c>
      <c r="I842" s="8" t="s">
        <v>78</v>
      </c>
      <c r="J842" s="10">
        <v>1063.48</v>
      </c>
      <c r="K842" s="10">
        <v>1063.48</v>
      </c>
      <c r="L842" s="10">
        <f t="shared" si="377"/>
        <v>0</v>
      </c>
      <c r="M842" s="10">
        <v>489.76</v>
      </c>
      <c r="N842" s="10">
        <v>489.76</v>
      </c>
      <c r="O842" s="10">
        <f t="shared" si="378"/>
        <v>0</v>
      </c>
      <c r="P842" s="11">
        <v>14154.999623876331</v>
      </c>
      <c r="Q842" s="11">
        <v>30736.603642600458</v>
      </c>
      <c r="R842" s="11">
        <v>28000</v>
      </c>
      <c r="S842" s="11">
        <v>15053559</v>
      </c>
      <c r="T842" s="11">
        <v>1806430</v>
      </c>
      <c r="U842" s="12">
        <f t="shared" si="379"/>
        <v>0.12000019397406288</v>
      </c>
      <c r="V842" s="13">
        <f t="shared" si="402"/>
        <v>0</v>
      </c>
      <c r="W842" s="10">
        <f t="shared" si="380"/>
        <v>0</v>
      </c>
      <c r="X842" s="10"/>
      <c r="Y842" s="10"/>
      <c r="Z842" s="11">
        <f t="shared" si="381"/>
        <v>15053559</v>
      </c>
      <c r="AA842" s="14"/>
      <c r="AB842" s="14"/>
      <c r="AC842" s="11">
        <f t="shared" si="382"/>
        <v>15053559</v>
      </c>
      <c r="AD842" s="10">
        <f t="shared" si="383"/>
        <v>300</v>
      </c>
      <c r="AE842" s="15">
        <v>146928</v>
      </c>
      <c r="AF842" s="16">
        <v>26448</v>
      </c>
      <c r="AG842" s="15">
        <f t="shared" si="384"/>
        <v>0</v>
      </c>
      <c r="AH842" s="15">
        <f t="shared" si="385"/>
        <v>0</v>
      </c>
      <c r="AI842" s="15">
        <f t="shared" si="386"/>
        <v>146928</v>
      </c>
      <c r="AJ842" s="15">
        <f t="shared" si="387"/>
        <v>26448</v>
      </c>
      <c r="AK842" s="10">
        <v>146928</v>
      </c>
      <c r="AL842" s="15">
        <f t="shared" si="388"/>
        <v>146928</v>
      </c>
      <c r="AM842" s="15">
        <f t="shared" si="389"/>
        <v>15200487</v>
      </c>
      <c r="AN842" s="15">
        <f t="shared" si="390"/>
        <v>1832878</v>
      </c>
      <c r="AO842" s="15">
        <f t="shared" si="395"/>
        <v>2263168</v>
      </c>
      <c r="AP842" s="17">
        <f t="shared" si="391"/>
        <v>17463655</v>
      </c>
      <c r="AQ842" s="15">
        <v>8430021</v>
      </c>
      <c r="AR842" s="15">
        <v>283362</v>
      </c>
      <c r="AS842" s="18">
        <f t="shared" si="396"/>
        <v>9033634</v>
      </c>
      <c r="AT842" s="19">
        <v>0</v>
      </c>
      <c r="AU842" s="8">
        <v>8800</v>
      </c>
      <c r="AV842" s="13">
        <f t="shared" si="397"/>
        <v>4309888</v>
      </c>
      <c r="AW842" s="18">
        <f t="shared" si="398"/>
        <v>15200487</v>
      </c>
      <c r="AX842" s="15">
        <f t="shared" si="392"/>
        <v>15201000</v>
      </c>
      <c r="AY842" s="20">
        <v>6.3399999999999998E-2</v>
      </c>
      <c r="AZ842" s="13">
        <f t="shared" si="393"/>
        <v>963743.4</v>
      </c>
      <c r="BA842" s="15">
        <f t="shared" si="394"/>
        <v>963800</v>
      </c>
      <c r="BB842" s="21">
        <f t="shared" si="399"/>
        <v>9997434</v>
      </c>
      <c r="BC842" s="10">
        <f t="shared" si="400"/>
        <v>0</v>
      </c>
      <c r="BD842" s="10">
        <f t="shared" si="401"/>
        <v>0</v>
      </c>
      <c r="BE842" s="10">
        <v>98.8</v>
      </c>
      <c r="BF842" s="10">
        <v>45.5</v>
      </c>
      <c r="BG842" s="107">
        <v>46176</v>
      </c>
      <c r="BH842" s="107">
        <f t="shared" si="375"/>
        <v>46206</v>
      </c>
      <c r="BI842" s="23">
        <v>6.34</v>
      </c>
      <c r="BJ842" s="6"/>
      <c r="BK842" s="6"/>
      <c r="BL842" s="6">
        <f>VLOOKUP(A842,[2]Sheet1!$D$2:$H$933,5,0)</f>
        <v>0</v>
      </c>
      <c r="BM842" s="6" t="s">
        <v>3828</v>
      </c>
      <c r="BN842" s="6" t="s">
        <v>3829</v>
      </c>
      <c r="BO842" s="6" t="s">
        <v>3820</v>
      </c>
      <c r="BP842" s="6" t="s">
        <v>3821</v>
      </c>
      <c r="BQ842" s="6" t="s">
        <v>3830</v>
      </c>
      <c r="BR842" t="s">
        <v>3823</v>
      </c>
      <c r="BS842" t="s">
        <v>3824</v>
      </c>
      <c r="BT842" t="s">
        <v>3825</v>
      </c>
      <c r="BU842" t="s">
        <v>3826</v>
      </c>
      <c r="BV842" t="s">
        <v>3827</v>
      </c>
      <c r="BW842" t="s">
        <v>3835</v>
      </c>
      <c r="BX842">
        <v>0</v>
      </c>
      <c r="BY842" t="s">
        <v>3861</v>
      </c>
      <c r="BZ842" t="s">
        <v>3863</v>
      </c>
    </row>
    <row r="843" spans="1:78" x14ac:dyDescent="0.25">
      <c r="A843" s="7" t="s">
        <v>3411</v>
      </c>
      <c r="B843" s="7" t="s">
        <v>181</v>
      </c>
      <c r="C843" s="7" t="s">
        <v>3409</v>
      </c>
      <c r="D843" s="8" t="s">
        <v>3410</v>
      </c>
      <c r="E843" s="7" t="s">
        <v>3412</v>
      </c>
      <c r="F843" s="9">
        <v>45155</v>
      </c>
      <c r="G843" s="9" t="s">
        <v>363</v>
      </c>
      <c r="H843" s="9" t="s">
        <v>92</v>
      </c>
      <c r="I843" s="8" t="s">
        <v>78</v>
      </c>
      <c r="J843" s="10">
        <v>2811.56</v>
      </c>
      <c r="K843" s="10">
        <v>2811.56</v>
      </c>
      <c r="L843" s="10">
        <f t="shared" si="377"/>
        <v>0</v>
      </c>
      <c r="M843" s="10">
        <v>1334.74</v>
      </c>
      <c r="N843" s="10">
        <v>1334.74</v>
      </c>
      <c r="O843" s="10">
        <f t="shared" si="378"/>
        <v>0</v>
      </c>
      <c r="P843" s="11">
        <v>12437.00009958884</v>
      </c>
      <c r="Q843" s="11">
        <v>26197.890225811767</v>
      </c>
      <c r="R843" s="11">
        <v>28000</v>
      </c>
      <c r="S843" s="11">
        <v>34967372</v>
      </c>
      <c r="T843" s="11">
        <v>4196084</v>
      </c>
      <c r="U843" s="12">
        <f t="shared" si="379"/>
        <v>0.11999998169722334</v>
      </c>
      <c r="V843" s="13">
        <f t="shared" si="402"/>
        <v>0</v>
      </c>
      <c r="W843" s="10">
        <f t="shared" si="380"/>
        <v>0</v>
      </c>
      <c r="X843" s="10"/>
      <c r="Y843" s="10"/>
      <c r="Z843" s="11">
        <f t="shared" si="381"/>
        <v>34967372</v>
      </c>
      <c r="AA843" s="14"/>
      <c r="AB843" s="14"/>
      <c r="AC843" s="11">
        <f t="shared" si="382"/>
        <v>34967372</v>
      </c>
      <c r="AD843" s="10">
        <f t="shared" si="383"/>
        <v>300</v>
      </c>
      <c r="AE843" s="15">
        <v>400422</v>
      </c>
      <c r="AF843" s="16">
        <v>72076</v>
      </c>
      <c r="AG843" s="15">
        <f t="shared" si="384"/>
        <v>0</v>
      </c>
      <c r="AH843" s="15">
        <f t="shared" si="385"/>
        <v>0</v>
      </c>
      <c r="AI843" s="15">
        <f t="shared" si="386"/>
        <v>400422</v>
      </c>
      <c r="AJ843" s="15">
        <f t="shared" si="387"/>
        <v>72076</v>
      </c>
      <c r="AK843" s="10">
        <v>400422</v>
      </c>
      <c r="AL843" s="15">
        <f t="shared" si="388"/>
        <v>400422</v>
      </c>
      <c r="AM843" s="15">
        <f t="shared" si="389"/>
        <v>35367794</v>
      </c>
      <c r="AN843" s="15">
        <f t="shared" si="390"/>
        <v>4268160</v>
      </c>
      <c r="AO843" s="15">
        <f t="shared" si="395"/>
        <v>4943631</v>
      </c>
      <c r="AP843" s="17">
        <f t="shared" si="391"/>
        <v>40311425</v>
      </c>
      <c r="AQ843" s="15">
        <v>37205283</v>
      </c>
      <c r="AR843" s="15">
        <v>275049</v>
      </c>
      <c r="AS843" s="18">
        <f t="shared" si="396"/>
        <v>3106142</v>
      </c>
      <c r="AT843" s="19">
        <v>35367795</v>
      </c>
      <c r="AU843" s="8">
        <v>8800</v>
      </c>
      <c r="AV843" s="13">
        <f t="shared" si="397"/>
        <v>11745712</v>
      </c>
      <c r="AW843" s="18">
        <f t="shared" si="398"/>
        <v>35367795</v>
      </c>
      <c r="AX843" s="15">
        <f t="shared" si="392"/>
        <v>35368000</v>
      </c>
      <c r="AY843" s="20">
        <v>7.0000000000000007E-2</v>
      </c>
      <c r="AZ843" s="13">
        <f t="shared" si="393"/>
        <v>2475760.0000000005</v>
      </c>
      <c r="BA843" s="15">
        <f t="shared" si="394"/>
        <v>2475800</v>
      </c>
      <c r="BB843" s="21">
        <f t="shared" si="399"/>
        <v>5581942</v>
      </c>
      <c r="BC843" s="10">
        <f t="shared" si="400"/>
        <v>0</v>
      </c>
      <c r="BD843" s="10">
        <f t="shared" si="401"/>
        <v>0</v>
      </c>
      <c r="BE843" s="10">
        <v>261.2</v>
      </c>
      <c r="BF843" s="10">
        <v>124</v>
      </c>
      <c r="BG843" s="107">
        <v>46176</v>
      </c>
      <c r="BH843" s="107">
        <f t="shared" si="375"/>
        <v>46206</v>
      </c>
      <c r="BI843" s="23">
        <v>7</v>
      </c>
      <c r="BJ843" s="6"/>
      <c r="BK843" s="6"/>
      <c r="BL843" s="6">
        <f>VLOOKUP(A843,[2]Sheet1!$D$2:$H$933,5,0)</f>
        <v>0</v>
      </c>
      <c r="BM843" s="6" t="s">
        <v>3828</v>
      </c>
      <c r="BN843" s="6" t="s">
        <v>3829</v>
      </c>
      <c r="BO843" s="6" t="s">
        <v>3820</v>
      </c>
      <c r="BP843" s="6" t="s">
        <v>3821</v>
      </c>
      <c r="BQ843" s="6" t="s">
        <v>3830</v>
      </c>
      <c r="BR843" t="s">
        <v>3823</v>
      </c>
      <c r="BS843" t="s">
        <v>3824</v>
      </c>
      <c r="BT843" t="s">
        <v>3825</v>
      </c>
      <c r="BU843" t="s">
        <v>3826</v>
      </c>
      <c r="BV843" t="s">
        <v>3827</v>
      </c>
      <c r="BW843" t="s">
        <v>3835</v>
      </c>
      <c r="BX843">
        <v>0</v>
      </c>
      <c r="BY843" t="s">
        <v>3865</v>
      </c>
      <c r="BZ843" t="s">
        <v>3860</v>
      </c>
    </row>
    <row r="844" spans="1:78" x14ac:dyDescent="0.25">
      <c r="A844" s="7" t="s">
        <v>3415</v>
      </c>
      <c r="B844" s="7" t="s">
        <v>181</v>
      </c>
      <c r="C844" s="7" t="s">
        <v>3413</v>
      </c>
      <c r="D844" s="8" t="s">
        <v>3414</v>
      </c>
      <c r="E844" s="7" t="s">
        <v>3371</v>
      </c>
      <c r="F844" s="9">
        <v>45132</v>
      </c>
      <c r="G844" s="9" t="s">
        <v>404</v>
      </c>
      <c r="H844" s="9" t="s">
        <v>92</v>
      </c>
      <c r="I844" s="8" t="s">
        <v>78</v>
      </c>
      <c r="J844" s="10">
        <v>789</v>
      </c>
      <c r="K844" s="10">
        <v>789</v>
      </c>
      <c r="L844" s="10">
        <f t="shared" si="377"/>
        <v>0</v>
      </c>
      <c r="M844" s="10">
        <v>368.13</v>
      </c>
      <c r="N844" s="10">
        <v>368.13</v>
      </c>
      <c r="O844" s="10">
        <f t="shared" si="378"/>
        <v>0</v>
      </c>
      <c r="P844" s="11">
        <v>12436.998732572876</v>
      </c>
      <c r="Q844" s="11">
        <v>26655.779208431803</v>
      </c>
      <c r="R844" s="11">
        <v>28000</v>
      </c>
      <c r="S844" s="11">
        <v>9812792</v>
      </c>
      <c r="T844" s="11">
        <v>1177534</v>
      </c>
      <c r="U844" s="12">
        <f t="shared" si="379"/>
        <v>0.11999989401589273</v>
      </c>
      <c r="V844" s="13">
        <f t="shared" si="402"/>
        <v>0</v>
      </c>
      <c r="W844" s="10">
        <f t="shared" si="380"/>
        <v>0</v>
      </c>
      <c r="X844" s="10"/>
      <c r="Y844" s="10"/>
      <c r="Z844" s="11">
        <f t="shared" si="381"/>
        <v>9812792</v>
      </c>
      <c r="AA844" s="14"/>
      <c r="AB844" s="14"/>
      <c r="AC844" s="11">
        <f t="shared" si="382"/>
        <v>9812792</v>
      </c>
      <c r="AD844" s="10">
        <f t="shared" si="383"/>
        <v>300</v>
      </c>
      <c r="AE844" s="15">
        <v>110439</v>
      </c>
      <c r="AF844" s="16">
        <v>19880</v>
      </c>
      <c r="AG844" s="15">
        <f t="shared" si="384"/>
        <v>0</v>
      </c>
      <c r="AH844" s="15">
        <f t="shared" si="385"/>
        <v>0</v>
      </c>
      <c r="AI844" s="15">
        <f t="shared" si="386"/>
        <v>110439</v>
      </c>
      <c r="AJ844" s="15">
        <f t="shared" si="387"/>
        <v>19880</v>
      </c>
      <c r="AK844" s="10">
        <v>110439</v>
      </c>
      <c r="AL844" s="15">
        <f t="shared" si="388"/>
        <v>110439</v>
      </c>
      <c r="AM844" s="15">
        <f t="shared" si="389"/>
        <v>9923231</v>
      </c>
      <c r="AN844" s="15">
        <f t="shared" si="390"/>
        <v>1197414</v>
      </c>
      <c r="AO844" s="15">
        <f t="shared" si="395"/>
        <v>1585772</v>
      </c>
      <c r="AP844" s="17">
        <f t="shared" si="391"/>
        <v>11509003</v>
      </c>
      <c r="AQ844" s="15">
        <v>10539285.32</v>
      </c>
      <c r="AR844" s="15">
        <v>277919</v>
      </c>
      <c r="AS844" s="18">
        <f t="shared" si="396"/>
        <v>969718</v>
      </c>
      <c r="AT844" s="19">
        <v>0</v>
      </c>
      <c r="AU844" s="8">
        <v>8800</v>
      </c>
      <c r="AV844" s="13">
        <f t="shared" si="397"/>
        <v>3239544</v>
      </c>
      <c r="AW844" s="18">
        <f t="shared" si="398"/>
        <v>9923231</v>
      </c>
      <c r="AX844" s="15">
        <f t="shared" si="392"/>
        <v>9924000</v>
      </c>
      <c r="AY844" s="20">
        <v>7.0000000000000007E-2</v>
      </c>
      <c r="AZ844" s="13">
        <f t="shared" si="393"/>
        <v>694680.00000000012</v>
      </c>
      <c r="BA844" s="15">
        <f t="shared" si="394"/>
        <v>694700</v>
      </c>
      <c r="BB844" s="21">
        <f t="shared" si="399"/>
        <v>1664418</v>
      </c>
      <c r="BC844" s="10">
        <f t="shared" si="400"/>
        <v>0</v>
      </c>
      <c r="BD844" s="10">
        <f t="shared" si="401"/>
        <v>0</v>
      </c>
      <c r="BE844" s="10">
        <v>73.3</v>
      </c>
      <c r="BF844" s="10">
        <v>34.200000000000003</v>
      </c>
      <c r="BG844" s="107">
        <v>46176</v>
      </c>
      <c r="BH844" s="107">
        <f t="shared" si="375"/>
        <v>46206</v>
      </c>
      <c r="BI844" s="23">
        <v>7</v>
      </c>
      <c r="BJ844" s="6"/>
      <c r="BK844" s="6"/>
      <c r="BL844" s="6">
        <f>VLOOKUP(A844,[2]Sheet1!$D$2:$H$933,5,0)</f>
        <v>0</v>
      </c>
      <c r="BM844" s="6" t="s">
        <v>3828</v>
      </c>
      <c r="BN844" s="6" t="s">
        <v>3829</v>
      </c>
      <c r="BO844" s="6" t="s">
        <v>3820</v>
      </c>
      <c r="BP844" s="6" t="s">
        <v>3821</v>
      </c>
      <c r="BQ844" s="6" t="s">
        <v>3830</v>
      </c>
      <c r="BR844" t="s">
        <v>3823</v>
      </c>
      <c r="BS844" t="s">
        <v>3824</v>
      </c>
      <c r="BT844" t="s">
        <v>3825</v>
      </c>
      <c r="BU844" t="s">
        <v>3826</v>
      </c>
      <c r="BV844" t="s">
        <v>3827</v>
      </c>
      <c r="BW844" t="s">
        <v>3835</v>
      </c>
      <c r="BX844">
        <v>0</v>
      </c>
      <c r="BY844" t="s">
        <v>3861</v>
      </c>
      <c r="BZ844" t="s">
        <v>3863</v>
      </c>
    </row>
    <row r="845" spans="1:78" x14ac:dyDescent="0.25">
      <c r="A845" s="7" t="s">
        <v>3418</v>
      </c>
      <c r="B845" s="7" t="s">
        <v>181</v>
      </c>
      <c r="C845" s="7" t="s">
        <v>3416</v>
      </c>
      <c r="D845" s="8" t="s">
        <v>3417</v>
      </c>
      <c r="E845" s="7" t="s">
        <v>3393</v>
      </c>
      <c r="F845" s="9">
        <v>45132</v>
      </c>
      <c r="G845" s="9" t="s">
        <v>404</v>
      </c>
      <c r="H845" s="9" t="s">
        <v>66</v>
      </c>
      <c r="I845" s="8" t="s">
        <v>78</v>
      </c>
      <c r="J845" s="10">
        <v>614.84</v>
      </c>
      <c r="K845" s="10">
        <v>614.84</v>
      </c>
      <c r="L845" s="10">
        <f t="shared" si="377"/>
        <v>0</v>
      </c>
      <c r="M845" s="10">
        <v>279.86</v>
      </c>
      <c r="N845" s="10">
        <v>279.86</v>
      </c>
      <c r="O845" s="10">
        <f t="shared" si="378"/>
        <v>0</v>
      </c>
      <c r="P845" s="11">
        <v>10027.999154251513</v>
      </c>
      <c r="Q845" s="11">
        <v>22031.069105981562</v>
      </c>
      <c r="R845" s="11">
        <v>22000</v>
      </c>
      <c r="S845" s="11">
        <v>6165615</v>
      </c>
      <c r="T845" s="11">
        <v>739874</v>
      </c>
      <c r="U845" s="12">
        <f t="shared" si="379"/>
        <v>0.12000003243796442</v>
      </c>
      <c r="V845" s="13">
        <f t="shared" si="402"/>
        <v>0</v>
      </c>
      <c r="W845" s="10">
        <f t="shared" si="380"/>
        <v>0</v>
      </c>
      <c r="X845" s="10"/>
      <c r="Y845" s="10"/>
      <c r="Z845" s="11">
        <f t="shared" si="381"/>
        <v>6165615</v>
      </c>
      <c r="AA845" s="14"/>
      <c r="AB845" s="14"/>
      <c r="AC845" s="11">
        <f t="shared" si="382"/>
        <v>6165615</v>
      </c>
      <c r="AD845" s="10">
        <f t="shared" si="383"/>
        <v>300</v>
      </c>
      <c r="AE845" s="15">
        <v>83958</v>
      </c>
      <c r="AF845" s="16">
        <v>15112</v>
      </c>
      <c r="AG845" s="15">
        <f t="shared" si="384"/>
        <v>0</v>
      </c>
      <c r="AH845" s="15">
        <f t="shared" si="385"/>
        <v>0</v>
      </c>
      <c r="AI845" s="15">
        <f t="shared" si="386"/>
        <v>83958</v>
      </c>
      <c r="AJ845" s="15">
        <f t="shared" si="387"/>
        <v>15113</v>
      </c>
      <c r="AK845" s="10">
        <v>83958</v>
      </c>
      <c r="AL845" s="15">
        <f t="shared" si="388"/>
        <v>83958</v>
      </c>
      <c r="AM845" s="15">
        <f t="shared" si="389"/>
        <v>6249573</v>
      </c>
      <c r="AN845" s="15">
        <f t="shared" si="390"/>
        <v>754987</v>
      </c>
      <c r="AO845" s="15">
        <f t="shared" si="395"/>
        <v>1128390</v>
      </c>
      <c r="AP845" s="17">
        <f t="shared" si="391"/>
        <v>7377963</v>
      </c>
      <c r="AQ845" s="15">
        <v>6501642</v>
      </c>
      <c r="AR845" s="15">
        <v>289445</v>
      </c>
      <c r="AS845" s="18">
        <f t="shared" si="396"/>
        <v>876321</v>
      </c>
      <c r="AT845" s="19">
        <v>0</v>
      </c>
      <c r="AU845" s="8">
        <v>8800</v>
      </c>
      <c r="AV845" s="13">
        <f t="shared" si="397"/>
        <v>2462768</v>
      </c>
      <c r="AW845" s="18">
        <f t="shared" si="398"/>
        <v>6249573</v>
      </c>
      <c r="AX845" s="15">
        <f t="shared" si="392"/>
        <v>6250000</v>
      </c>
      <c r="AY845" s="20">
        <v>7.0000000000000007E-2</v>
      </c>
      <c r="AZ845" s="13">
        <f t="shared" si="393"/>
        <v>437500.00000000006</v>
      </c>
      <c r="BA845" s="15">
        <f t="shared" si="394"/>
        <v>437500</v>
      </c>
      <c r="BB845" s="21">
        <f t="shared" si="399"/>
        <v>1313821</v>
      </c>
      <c r="BC845" s="10">
        <f t="shared" si="400"/>
        <v>0</v>
      </c>
      <c r="BD845" s="10">
        <f t="shared" si="401"/>
        <v>0</v>
      </c>
      <c r="BE845" s="10">
        <v>57.12</v>
      </c>
      <c r="BF845" s="10">
        <v>26</v>
      </c>
      <c r="BG845" s="107">
        <v>46176</v>
      </c>
      <c r="BH845" s="107">
        <f t="shared" si="375"/>
        <v>46206</v>
      </c>
      <c r="BI845" s="23">
        <v>7</v>
      </c>
      <c r="BJ845" s="6"/>
      <c r="BK845" s="6"/>
      <c r="BL845" s="6">
        <f>VLOOKUP(A845,[2]Sheet1!$D$2:$H$933,5,0)</f>
        <v>0</v>
      </c>
      <c r="BM845" s="6" t="s">
        <v>3828</v>
      </c>
      <c r="BN845" s="6" t="s">
        <v>3829</v>
      </c>
      <c r="BO845" s="6" t="s">
        <v>3820</v>
      </c>
      <c r="BP845" s="6" t="s">
        <v>3821</v>
      </c>
      <c r="BQ845" s="6" t="s">
        <v>3830</v>
      </c>
      <c r="BR845" t="s">
        <v>3823</v>
      </c>
      <c r="BS845" t="s">
        <v>3824</v>
      </c>
      <c r="BT845" t="s">
        <v>3825</v>
      </c>
      <c r="BU845" t="s">
        <v>3826</v>
      </c>
      <c r="BV845" t="s">
        <v>3827</v>
      </c>
      <c r="BW845" t="s">
        <v>3835</v>
      </c>
      <c r="BX845">
        <v>0</v>
      </c>
      <c r="BY845" t="s">
        <v>3861</v>
      </c>
      <c r="BZ845" t="s">
        <v>3863</v>
      </c>
    </row>
    <row r="846" spans="1:78" x14ac:dyDescent="0.25">
      <c r="A846" s="7" t="s">
        <v>3421</v>
      </c>
      <c r="B846" s="7" t="s">
        <v>181</v>
      </c>
      <c r="C846" s="7" t="s">
        <v>3419</v>
      </c>
      <c r="D846" s="8" t="s">
        <v>3420</v>
      </c>
      <c r="E846" s="7" t="s">
        <v>3422</v>
      </c>
      <c r="F846" s="9">
        <v>44905</v>
      </c>
      <c r="G846" s="9" t="s">
        <v>527</v>
      </c>
      <c r="H846" s="9" t="s">
        <v>190</v>
      </c>
      <c r="I846" s="8" t="s">
        <v>78</v>
      </c>
      <c r="J846" s="10">
        <v>1330.43</v>
      </c>
      <c r="K846" s="10">
        <v>1330.43</v>
      </c>
      <c r="L846" s="10">
        <f t="shared" si="377"/>
        <v>0</v>
      </c>
      <c r="M846" s="10">
        <v>621.08000000000004</v>
      </c>
      <c r="N846" s="10">
        <v>621.08000000000004</v>
      </c>
      <c r="O846" s="10">
        <f t="shared" si="378"/>
        <v>0</v>
      </c>
      <c r="P846" s="11">
        <v>25000</v>
      </c>
      <c r="Q846" s="11">
        <v>53553.08494879886</v>
      </c>
      <c r="R846" s="11">
        <v>60000</v>
      </c>
      <c r="S846" s="11">
        <v>33260750</v>
      </c>
      <c r="T846" s="11">
        <v>3991290</v>
      </c>
      <c r="U846" s="12">
        <f t="shared" si="379"/>
        <v>0.12</v>
      </c>
      <c r="V846" s="13">
        <f t="shared" si="402"/>
        <v>0</v>
      </c>
      <c r="W846" s="10">
        <f t="shared" si="380"/>
        <v>0</v>
      </c>
      <c r="X846" s="10"/>
      <c r="Y846" s="10"/>
      <c r="Z846" s="11">
        <f t="shared" si="381"/>
        <v>33260750</v>
      </c>
      <c r="AA846" s="14"/>
      <c r="AB846" s="14"/>
      <c r="AC846" s="11">
        <f t="shared" si="382"/>
        <v>33260750</v>
      </c>
      <c r="AD846" s="10">
        <f t="shared" si="383"/>
        <v>300</v>
      </c>
      <c r="AE846" s="15">
        <v>186324</v>
      </c>
      <c r="AF846" s="16">
        <v>33538</v>
      </c>
      <c r="AG846" s="15">
        <f t="shared" si="384"/>
        <v>0</v>
      </c>
      <c r="AH846" s="15">
        <f t="shared" si="385"/>
        <v>0</v>
      </c>
      <c r="AI846" s="15">
        <f t="shared" si="386"/>
        <v>186324</v>
      </c>
      <c r="AJ846" s="15">
        <f t="shared" si="387"/>
        <v>33539</v>
      </c>
      <c r="AK846" s="10">
        <v>186324</v>
      </c>
      <c r="AL846" s="15">
        <f t="shared" si="388"/>
        <v>186324</v>
      </c>
      <c r="AM846" s="15">
        <f t="shared" si="389"/>
        <v>33447074</v>
      </c>
      <c r="AN846" s="15">
        <f t="shared" si="390"/>
        <v>4024829</v>
      </c>
      <c r="AO846" s="15">
        <f t="shared" si="395"/>
        <v>4501139</v>
      </c>
      <c r="AP846" s="17">
        <f t="shared" si="391"/>
        <v>37948213</v>
      </c>
      <c r="AQ846" s="15">
        <v>33526836.73</v>
      </c>
      <c r="AR846" s="15">
        <v>289986</v>
      </c>
      <c r="AS846" s="18">
        <f t="shared" si="396"/>
        <v>4421376</v>
      </c>
      <c r="AT846" s="19">
        <v>0</v>
      </c>
      <c r="AU846" s="8">
        <v>8800</v>
      </c>
      <c r="AV846" s="13">
        <f t="shared" si="397"/>
        <v>5465504</v>
      </c>
      <c r="AW846" s="18">
        <f t="shared" si="398"/>
        <v>33447074</v>
      </c>
      <c r="AX846" s="15">
        <f t="shared" si="392"/>
        <v>33448000</v>
      </c>
      <c r="AY846" s="20">
        <v>7.0000000000000007E-2</v>
      </c>
      <c r="AZ846" s="13">
        <f t="shared" si="393"/>
        <v>2341360</v>
      </c>
      <c r="BA846" s="15">
        <f t="shared" si="394"/>
        <v>2341400</v>
      </c>
      <c r="BB846" s="21">
        <f t="shared" si="399"/>
        <v>6762776</v>
      </c>
      <c r="BC846" s="10">
        <f t="shared" si="400"/>
        <v>0</v>
      </c>
      <c r="BD846" s="10">
        <f t="shared" si="401"/>
        <v>0</v>
      </c>
      <c r="BE846" s="10">
        <v>123.6</v>
      </c>
      <c r="BF846" s="10">
        <v>57.7</v>
      </c>
      <c r="BG846" s="107">
        <v>46176</v>
      </c>
      <c r="BH846" s="107">
        <f t="shared" si="375"/>
        <v>46206</v>
      </c>
      <c r="BI846" s="23">
        <v>7</v>
      </c>
      <c r="BJ846" s="6"/>
      <c r="BK846" s="6"/>
      <c r="BL846" s="6">
        <f>VLOOKUP(A846,[2]Sheet1!$D$2:$H$933,5,0)</f>
        <v>0</v>
      </c>
      <c r="BM846" s="6" t="s">
        <v>3828</v>
      </c>
      <c r="BN846" s="6" t="s">
        <v>3829</v>
      </c>
      <c r="BO846" s="6" t="s">
        <v>3820</v>
      </c>
      <c r="BP846" s="6" t="s">
        <v>3821</v>
      </c>
      <c r="BQ846" s="6" t="s">
        <v>3830</v>
      </c>
      <c r="BR846" t="s">
        <v>3823</v>
      </c>
      <c r="BS846" t="s">
        <v>3824</v>
      </c>
      <c r="BT846" t="s">
        <v>3825</v>
      </c>
      <c r="BU846" t="s">
        <v>3826</v>
      </c>
      <c r="BV846" t="s">
        <v>3827</v>
      </c>
      <c r="BW846" t="s">
        <v>3835</v>
      </c>
      <c r="BX846">
        <v>0</v>
      </c>
      <c r="BY846" t="s">
        <v>3869</v>
      </c>
      <c r="BZ846" t="s">
        <v>3871</v>
      </c>
    </row>
    <row r="847" spans="1:78" x14ac:dyDescent="0.25">
      <c r="A847" s="7" t="s">
        <v>3425</v>
      </c>
      <c r="B847" s="7" t="s">
        <v>181</v>
      </c>
      <c r="C847" s="7" t="s">
        <v>3423</v>
      </c>
      <c r="D847" s="8" t="s">
        <v>3424</v>
      </c>
      <c r="E847" s="7" t="s">
        <v>3393</v>
      </c>
      <c r="F847" s="9">
        <v>45132</v>
      </c>
      <c r="G847" s="9" t="s">
        <v>717</v>
      </c>
      <c r="H847" s="9" t="s">
        <v>66</v>
      </c>
      <c r="I847" s="8" t="s">
        <v>78</v>
      </c>
      <c r="J847" s="10">
        <v>703.97</v>
      </c>
      <c r="K847" s="10">
        <v>703.97</v>
      </c>
      <c r="L847" s="10">
        <f t="shared" si="377"/>
        <v>0</v>
      </c>
      <c r="M847" s="10">
        <v>307.31</v>
      </c>
      <c r="N847" s="10">
        <v>307.31</v>
      </c>
      <c r="O847" s="10">
        <f t="shared" si="378"/>
        <v>0</v>
      </c>
      <c r="P847" s="11">
        <v>10028.001193232665</v>
      </c>
      <c r="Q847" s="11">
        <v>22971.6312518304</v>
      </c>
      <c r="R847" s="11">
        <v>22000</v>
      </c>
      <c r="S847" s="11">
        <v>7059412</v>
      </c>
      <c r="T847" s="11">
        <v>847128</v>
      </c>
      <c r="U847" s="12">
        <f t="shared" si="379"/>
        <v>0.11999979601700539</v>
      </c>
      <c r="V847" s="13">
        <f t="shared" si="402"/>
        <v>0</v>
      </c>
      <c r="W847" s="10">
        <f t="shared" si="380"/>
        <v>0</v>
      </c>
      <c r="X847" s="10"/>
      <c r="Y847" s="10"/>
      <c r="Z847" s="11">
        <f t="shared" si="381"/>
        <v>7059412</v>
      </c>
      <c r="AA847" s="14"/>
      <c r="AB847" s="14"/>
      <c r="AC847" s="11">
        <f t="shared" si="382"/>
        <v>7059412</v>
      </c>
      <c r="AD847" s="10">
        <f t="shared" si="383"/>
        <v>300</v>
      </c>
      <c r="AE847" s="15">
        <v>92193</v>
      </c>
      <c r="AF847" s="16">
        <v>16594</v>
      </c>
      <c r="AG847" s="15">
        <f t="shared" si="384"/>
        <v>0</v>
      </c>
      <c r="AH847" s="15">
        <f t="shared" si="385"/>
        <v>0</v>
      </c>
      <c r="AI847" s="15">
        <f t="shared" si="386"/>
        <v>92193</v>
      </c>
      <c r="AJ847" s="15">
        <f t="shared" si="387"/>
        <v>16595</v>
      </c>
      <c r="AK847" s="10">
        <v>92193</v>
      </c>
      <c r="AL847" s="15">
        <f t="shared" si="388"/>
        <v>92193</v>
      </c>
      <c r="AM847" s="15">
        <f t="shared" si="389"/>
        <v>7151605</v>
      </c>
      <c r="AN847" s="15">
        <f t="shared" si="390"/>
        <v>863723</v>
      </c>
      <c r="AO847" s="15">
        <f t="shared" si="395"/>
        <v>1256757</v>
      </c>
      <c r="AP847" s="17">
        <f t="shared" si="391"/>
        <v>8408362</v>
      </c>
      <c r="AQ847" s="15">
        <v>7511211</v>
      </c>
      <c r="AR847" s="15">
        <v>300841</v>
      </c>
      <c r="AS847" s="18">
        <f t="shared" si="396"/>
        <v>897151</v>
      </c>
      <c r="AT847" s="19">
        <v>0</v>
      </c>
      <c r="AU847" s="8">
        <v>8800</v>
      </c>
      <c r="AV847" s="13">
        <f t="shared" si="397"/>
        <v>2704328</v>
      </c>
      <c r="AW847" s="18">
        <f t="shared" si="398"/>
        <v>7151605</v>
      </c>
      <c r="AX847" s="15">
        <f t="shared" si="392"/>
        <v>7152000</v>
      </c>
      <c r="AY847" s="20">
        <v>7.0000000000000007E-2</v>
      </c>
      <c r="AZ847" s="13">
        <f t="shared" si="393"/>
        <v>500640.00000000006</v>
      </c>
      <c r="BA847" s="15">
        <f t="shared" si="394"/>
        <v>500700</v>
      </c>
      <c r="BB847" s="21">
        <f t="shared" si="399"/>
        <v>1397851</v>
      </c>
      <c r="BC847" s="10">
        <f t="shared" si="400"/>
        <v>0</v>
      </c>
      <c r="BD847" s="10">
        <f t="shared" si="401"/>
        <v>0</v>
      </c>
      <c r="BE847" s="10">
        <v>65.400000000000006</v>
      </c>
      <c r="BF847" s="10">
        <v>28.55</v>
      </c>
      <c r="BG847" s="107">
        <v>46176</v>
      </c>
      <c r="BH847" s="107">
        <f t="shared" si="375"/>
        <v>46206</v>
      </c>
      <c r="BI847" s="23">
        <v>7</v>
      </c>
      <c r="BJ847" s="6"/>
      <c r="BK847" s="6"/>
      <c r="BL847" s="6">
        <f>VLOOKUP(A847,[2]Sheet1!$D$2:$H$933,5,0)</f>
        <v>0</v>
      </c>
      <c r="BM847" s="6" t="s">
        <v>3828</v>
      </c>
      <c r="BN847" s="6" t="s">
        <v>3829</v>
      </c>
      <c r="BO847" s="6" t="s">
        <v>3820</v>
      </c>
      <c r="BP847" s="6" t="s">
        <v>3821</v>
      </c>
      <c r="BQ847" s="6" t="s">
        <v>3830</v>
      </c>
      <c r="BR847" t="s">
        <v>3823</v>
      </c>
      <c r="BS847" t="s">
        <v>3824</v>
      </c>
      <c r="BT847" t="s">
        <v>3825</v>
      </c>
      <c r="BU847" t="s">
        <v>3826</v>
      </c>
      <c r="BV847" t="s">
        <v>3827</v>
      </c>
      <c r="BW847" t="s">
        <v>3835</v>
      </c>
      <c r="BX847">
        <v>0</v>
      </c>
      <c r="BY847" t="s">
        <v>3861</v>
      </c>
      <c r="BZ847" t="s">
        <v>3872</v>
      </c>
    </row>
    <row r="848" spans="1:78" x14ac:dyDescent="0.25">
      <c r="A848" s="7" t="s">
        <v>3428</v>
      </c>
      <c r="B848" s="7" t="s">
        <v>181</v>
      </c>
      <c r="C848" s="7" t="s">
        <v>3426</v>
      </c>
      <c r="D848" s="8" t="s">
        <v>3427</v>
      </c>
      <c r="E848" s="7" t="s">
        <v>3429</v>
      </c>
      <c r="F848" s="9">
        <v>45118</v>
      </c>
      <c r="G848" s="9" t="s">
        <v>527</v>
      </c>
      <c r="H848" s="9" t="s">
        <v>190</v>
      </c>
      <c r="I848" s="8" t="s">
        <v>78</v>
      </c>
      <c r="J848" s="10">
        <v>1364.23</v>
      </c>
      <c r="K848" s="10">
        <v>1364.23</v>
      </c>
      <c r="L848" s="10">
        <f t="shared" si="377"/>
        <v>0</v>
      </c>
      <c r="M848" s="10">
        <v>637.87</v>
      </c>
      <c r="N848" s="10">
        <v>637.87</v>
      </c>
      <c r="O848" s="10">
        <f t="shared" si="378"/>
        <v>0</v>
      </c>
      <c r="P848" s="11">
        <v>37243.002279674249</v>
      </c>
      <c r="Q848" s="11">
        <v>79652.626710771787</v>
      </c>
      <c r="R848" s="11">
        <v>60000</v>
      </c>
      <c r="S848" s="11">
        <v>50808021</v>
      </c>
      <c r="T848" s="11">
        <v>6096962</v>
      </c>
      <c r="U848" s="12">
        <f t="shared" si="379"/>
        <v>0.11999998976539551</v>
      </c>
      <c r="V848" s="13">
        <f t="shared" si="402"/>
        <v>0</v>
      </c>
      <c r="W848" s="10">
        <f t="shared" si="380"/>
        <v>0</v>
      </c>
      <c r="X848" s="10">
        <v>1974188</v>
      </c>
      <c r="Y848" s="15">
        <f>X848*12%</f>
        <v>236902.56</v>
      </c>
      <c r="Z848" s="11">
        <f t="shared" si="381"/>
        <v>52782209</v>
      </c>
      <c r="AA848" s="14"/>
      <c r="AB848" s="14"/>
      <c r="AC848" s="11">
        <f t="shared" si="382"/>
        <v>52782209</v>
      </c>
      <c r="AD848" s="10">
        <f t="shared" si="383"/>
        <v>300</v>
      </c>
      <c r="AE848" s="15">
        <v>191361</v>
      </c>
      <c r="AF848" s="16">
        <v>34444</v>
      </c>
      <c r="AG848" s="15">
        <f t="shared" si="384"/>
        <v>0</v>
      </c>
      <c r="AH848" s="15">
        <f t="shared" si="385"/>
        <v>0</v>
      </c>
      <c r="AI848" s="15">
        <f t="shared" si="386"/>
        <v>191361</v>
      </c>
      <c r="AJ848" s="15">
        <f t="shared" si="387"/>
        <v>34445</v>
      </c>
      <c r="AK848" s="10">
        <v>191361</v>
      </c>
      <c r="AL848" s="15">
        <f t="shared" si="388"/>
        <v>191361</v>
      </c>
      <c r="AM848" s="15">
        <f t="shared" si="389"/>
        <v>52973570</v>
      </c>
      <c r="AN848" s="15">
        <f t="shared" si="390"/>
        <v>6368310</v>
      </c>
      <c r="AO848" s="15">
        <f t="shared" si="395"/>
        <v>6922088</v>
      </c>
      <c r="AP848" s="17">
        <f t="shared" si="391"/>
        <v>59895658</v>
      </c>
      <c r="AQ848" s="15">
        <v>17884240</v>
      </c>
      <c r="AR848" s="15">
        <v>362417</v>
      </c>
      <c r="AS848" s="18">
        <f t="shared" si="396"/>
        <v>42011418</v>
      </c>
      <c r="AT848" s="19">
        <v>0</v>
      </c>
      <c r="AU848" s="8">
        <v>8800</v>
      </c>
      <c r="AV848" s="13">
        <f t="shared" si="397"/>
        <v>5613256</v>
      </c>
      <c r="AW848" s="18">
        <f t="shared" si="398"/>
        <v>52973570</v>
      </c>
      <c r="AX848" s="15">
        <f t="shared" si="392"/>
        <v>52974000</v>
      </c>
      <c r="AY848" s="20">
        <v>7.0000000000000007E-2</v>
      </c>
      <c r="AZ848" s="13">
        <f t="shared" si="393"/>
        <v>3708180.0000000005</v>
      </c>
      <c r="BA848" s="15">
        <f t="shared" si="394"/>
        <v>3708200</v>
      </c>
      <c r="BB848" s="21">
        <f t="shared" si="399"/>
        <v>45719618</v>
      </c>
      <c r="BC848" s="10">
        <f t="shared" si="400"/>
        <v>0</v>
      </c>
      <c r="BD848" s="10">
        <f t="shared" si="401"/>
        <v>0</v>
      </c>
      <c r="BE848" s="10">
        <v>126.74</v>
      </c>
      <c r="BF848" s="10">
        <v>59.26</v>
      </c>
      <c r="BG848" s="107">
        <v>46176</v>
      </c>
      <c r="BH848" s="107">
        <f t="shared" si="375"/>
        <v>46206</v>
      </c>
      <c r="BI848" s="23">
        <v>7</v>
      </c>
      <c r="BJ848" s="6"/>
      <c r="BK848" s="6"/>
      <c r="BL848" s="6">
        <f>VLOOKUP(A848,[2]Sheet1!$D$2:$H$933,5,0)</f>
        <v>0</v>
      </c>
      <c r="BM848" s="6" t="s">
        <v>3828</v>
      </c>
      <c r="BN848" s="6" t="s">
        <v>3829</v>
      </c>
      <c r="BO848" s="6" t="s">
        <v>3820</v>
      </c>
      <c r="BP848" s="6" t="s">
        <v>3821</v>
      </c>
      <c r="BQ848" s="6" t="s">
        <v>3830</v>
      </c>
      <c r="BR848" t="s">
        <v>3823</v>
      </c>
      <c r="BS848" t="s">
        <v>3824</v>
      </c>
      <c r="BT848" t="s">
        <v>3825</v>
      </c>
      <c r="BU848" t="s">
        <v>3826</v>
      </c>
      <c r="BV848" t="s">
        <v>3827</v>
      </c>
      <c r="BW848" t="s">
        <v>3835</v>
      </c>
      <c r="BX848">
        <v>0</v>
      </c>
      <c r="BY848" t="s">
        <v>3869</v>
      </c>
      <c r="BZ848" t="s">
        <v>3871</v>
      </c>
    </row>
    <row r="849" spans="1:78" x14ac:dyDescent="0.25">
      <c r="A849" s="7" t="s">
        <v>3432</v>
      </c>
      <c r="B849" s="7" t="s">
        <v>181</v>
      </c>
      <c r="C849" s="7" t="s">
        <v>3430</v>
      </c>
      <c r="D849" s="8" t="s">
        <v>3431</v>
      </c>
      <c r="E849" s="7" t="s">
        <v>3393</v>
      </c>
      <c r="F849" s="9">
        <v>45132</v>
      </c>
      <c r="G849" s="9" t="s">
        <v>717</v>
      </c>
      <c r="H849" s="9" t="s">
        <v>72</v>
      </c>
      <c r="I849" s="8" t="s">
        <v>78</v>
      </c>
      <c r="J849" s="10">
        <v>750.25</v>
      </c>
      <c r="K849" s="10">
        <v>750.25</v>
      </c>
      <c r="L849" s="10">
        <f t="shared" si="377"/>
        <v>0</v>
      </c>
      <c r="M849" s="10">
        <v>317.54000000000002</v>
      </c>
      <c r="N849" s="10">
        <v>317.54000000000002</v>
      </c>
      <c r="O849" s="10">
        <f t="shared" si="378"/>
        <v>0</v>
      </c>
      <c r="P849" s="11">
        <v>7236.9996667777405</v>
      </c>
      <c r="Q849" s="11">
        <v>17098.819046419347</v>
      </c>
      <c r="R849" s="11">
        <v>20000</v>
      </c>
      <c r="S849" s="11">
        <v>5429559</v>
      </c>
      <c r="T849" s="11">
        <v>651548</v>
      </c>
      <c r="U849" s="12">
        <f t="shared" si="379"/>
        <v>0.12000016944285899</v>
      </c>
      <c r="V849" s="13">
        <f t="shared" si="402"/>
        <v>0</v>
      </c>
      <c r="W849" s="10">
        <f t="shared" si="380"/>
        <v>0</v>
      </c>
      <c r="X849" s="10"/>
      <c r="Y849" s="10"/>
      <c r="Z849" s="11">
        <f t="shared" si="381"/>
        <v>5429559</v>
      </c>
      <c r="AA849" s="14"/>
      <c r="AB849" s="14"/>
      <c r="AC849" s="11">
        <f t="shared" si="382"/>
        <v>5429559</v>
      </c>
      <c r="AD849" s="10">
        <f t="shared" si="383"/>
        <v>300</v>
      </c>
      <c r="AE849" s="15">
        <v>95262</v>
      </c>
      <c r="AF849" s="16">
        <v>17148</v>
      </c>
      <c r="AG849" s="15">
        <f t="shared" si="384"/>
        <v>0</v>
      </c>
      <c r="AH849" s="15">
        <f t="shared" si="385"/>
        <v>0</v>
      </c>
      <c r="AI849" s="15">
        <f t="shared" si="386"/>
        <v>95262</v>
      </c>
      <c r="AJ849" s="15">
        <f t="shared" si="387"/>
        <v>17148</v>
      </c>
      <c r="AK849" s="10">
        <v>95262</v>
      </c>
      <c r="AL849" s="15">
        <f t="shared" si="388"/>
        <v>95262</v>
      </c>
      <c r="AM849" s="15">
        <f t="shared" si="389"/>
        <v>5524821</v>
      </c>
      <c r="AN849" s="15">
        <f t="shared" si="390"/>
        <v>668696</v>
      </c>
      <c r="AO849" s="15">
        <f t="shared" si="395"/>
        <v>1080716</v>
      </c>
      <c r="AP849" s="17">
        <f t="shared" si="391"/>
        <v>6605537</v>
      </c>
      <c r="AQ849" s="15">
        <v>5722756</v>
      </c>
      <c r="AR849" s="15">
        <v>316758</v>
      </c>
      <c r="AS849" s="18">
        <f t="shared" si="396"/>
        <v>882781</v>
      </c>
      <c r="AT849" s="19">
        <v>0</v>
      </c>
      <c r="AU849" s="8">
        <v>8800</v>
      </c>
      <c r="AV849" s="13">
        <f t="shared" si="397"/>
        <v>2794352</v>
      </c>
      <c r="AW849" s="18">
        <f t="shared" si="398"/>
        <v>5524821</v>
      </c>
      <c r="AX849" s="15">
        <f t="shared" si="392"/>
        <v>5525000</v>
      </c>
      <c r="AY849" s="20">
        <v>7.0000000000000007E-2</v>
      </c>
      <c r="AZ849" s="13">
        <f t="shared" si="393"/>
        <v>386750.00000000006</v>
      </c>
      <c r="BA849" s="15">
        <f t="shared" si="394"/>
        <v>386800</v>
      </c>
      <c r="BB849" s="21">
        <f t="shared" si="399"/>
        <v>1269581</v>
      </c>
      <c r="BC849" s="10">
        <f t="shared" si="400"/>
        <v>0</v>
      </c>
      <c r="BD849" s="10">
        <f t="shared" si="401"/>
        <v>0</v>
      </c>
      <c r="BE849" s="10">
        <v>69.7</v>
      </c>
      <c r="BF849" s="10">
        <v>29.5</v>
      </c>
      <c r="BG849" s="107">
        <v>46176</v>
      </c>
      <c r="BH849" s="107">
        <f t="shared" si="375"/>
        <v>46206</v>
      </c>
      <c r="BI849" s="23">
        <v>7</v>
      </c>
      <c r="BJ849" s="6"/>
      <c r="BK849" s="6"/>
      <c r="BL849" s="6">
        <f>VLOOKUP(A849,[2]Sheet1!$D$2:$H$933,5,0)</f>
        <v>0</v>
      </c>
      <c r="BM849" s="6" t="s">
        <v>3828</v>
      </c>
      <c r="BN849" s="6" t="s">
        <v>3829</v>
      </c>
      <c r="BO849" s="6" t="s">
        <v>3820</v>
      </c>
      <c r="BP849" s="6" t="s">
        <v>3821</v>
      </c>
      <c r="BQ849" s="6" t="s">
        <v>3830</v>
      </c>
      <c r="BR849" t="s">
        <v>3823</v>
      </c>
      <c r="BS849" t="s">
        <v>3824</v>
      </c>
      <c r="BT849" t="s">
        <v>3825</v>
      </c>
      <c r="BU849" t="s">
        <v>3826</v>
      </c>
      <c r="BV849" t="s">
        <v>3827</v>
      </c>
      <c r="BW849" t="s">
        <v>3835</v>
      </c>
      <c r="BX849">
        <v>0</v>
      </c>
      <c r="BY849" t="s">
        <v>3861</v>
      </c>
      <c r="BZ849" t="s">
        <v>3872</v>
      </c>
    </row>
    <row r="850" spans="1:78" x14ac:dyDescent="0.25">
      <c r="A850" s="7" t="s">
        <v>3435</v>
      </c>
      <c r="B850" s="7" t="s">
        <v>181</v>
      </c>
      <c r="C850" s="7" t="s">
        <v>3433</v>
      </c>
      <c r="D850" s="8" t="s">
        <v>3434</v>
      </c>
      <c r="E850" s="7" t="s">
        <v>3371</v>
      </c>
      <c r="F850" s="9">
        <v>45132</v>
      </c>
      <c r="G850" s="9" t="s">
        <v>404</v>
      </c>
      <c r="H850" s="9" t="s">
        <v>92</v>
      </c>
      <c r="I850" s="8" t="s">
        <v>78</v>
      </c>
      <c r="J850" s="10">
        <v>789</v>
      </c>
      <c r="K850" s="10">
        <v>789</v>
      </c>
      <c r="L850" s="10">
        <f t="shared" si="377"/>
        <v>0</v>
      </c>
      <c r="M850" s="10">
        <v>368.13</v>
      </c>
      <c r="N850" s="10">
        <v>368.13</v>
      </c>
      <c r="O850" s="10">
        <f t="shared" si="378"/>
        <v>0</v>
      </c>
      <c r="P850" s="11">
        <v>12436.998732572876</v>
      </c>
      <c r="Q850" s="11">
        <v>26655.779208431803</v>
      </c>
      <c r="R850" s="11">
        <v>28000</v>
      </c>
      <c r="S850" s="11">
        <v>9812792</v>
      </c>
      <c r="T850" s="11">
        <v>1177534</v>
      </c>
      <c r="U850" s="12">
        <f t="shared" si="379"/>
        <v>0.11999989401589273</v>
      </c>
      <c r="V850" s="13">
        <f t="shared" si="402"/>
        <v>0</v>
      </c>
      <c r="W850" s="10">
        <f t="shared" si="380"/>
        <v>0</v>
      </c>
      <c r="X850" s="10"/>
      <c r="Y850" s="10"/>
      <c r="Z850" s="11">
        <f t="shared" si="381"/>
        <v>9812792</v>
      </c>
      <c r="AA850" s="14"/>
      <c r="AB850" s="14"/>
      <c r="AC850" s="11">
        <f t="shared" si="382"/>
        <v>9812792</v>
      </c>
      <c r="AD850" s="10">
        <f t="shared" si="383"/>
        <v>300</v>
      </c>
      <c r="AE850" s="15">
        <v>110439</v>
      </c>
      <c r="AF850" s="16">
        <v>19880</v>
      </c>
      <c r="AG850" s="15">
        <f t="shared" si="384"/>
        <v>0</v>
      </c>
      <c r="AH850" s="15">
        <f t="shared" si="385"/>
        <v>0</v>
      </c>
      <c r="AI850" s="15">
        <f t="shared" si="386"/>
        <v>110439</v>
      </c>
      <c r="AJ850" s="15">
        <f t="shared" si="387"/>
        <v>19880</v>
      </c>
      <c r="AK850" s="10">
        <v>110439</v>
      </c>
      <c r="AL850" s="15">
        <f t="shared" si="388"/>
        <v>110439</v>
      </c>
      <c r="AM850" s="15">
        <f t="shared" si="389"/>
        <v>9923231</v>
      </c>
      <c r="AN850" s="15">
        <f t="shared" si="390"/>
        <v>1197414</v>
      </c>
      <c r="AO850" s="15">
        <f t="shared" si="395"/>
        <v>1627588.3599999999</v>
      </c>
      <c r="AP850" s="17">
        <f t="shared" si="391"/>
        <v>11550819.359999999</v>
      </c>
      <c r="AQ850" s="15">
        <v>10740444.439999999</v>
      </c>
      <c r="AR850" s="15">
        <v>319735.36</v>
      </c>
      <c r="AS850" s="18">
        <f t="shared" si="396"/>
        <v>810375</v>
      </c>
      <c r="AT850" s="19">
        <v>0</v>
      </c>
      <c r="AU850" s="8">
        <v>8800</v>
      </c>
      <c r="AV850" s="13">
        <f t="shared" si="397"/>
        <v>3239544</v>
      </c>
      <c r="AW850" s="18">
        <f t="shared" si="398"/>
        <v>9923231</v>
      </c>
      <c r="AX850" s="15">
        <f t="shared" si="392"/>
        <v>9924000</v>
      </c>
      <c r="AY850" s="20">
        <v>7.0000000000000007E-2</v>
      </c>
      <c r="AZ850" s="13">
        <f t="shared" si="393"/>
        <v>694680.00000000012</v>
      </c>
      <c r="BA850" s="15">
        <f t="shared" si="394"/>
        <v>694700</v>
      </c>
      <c r="BB850" s="21">
        <f t="shared" si="399"/>
        <v>1505075</v>
      </c>
      <c r="BC850" s="10">
        <f t="shared" si="400"/>
        <v>0</v>
      </c>
      <c r="BD850" s="10">
        <f t="shared" si="401"/>
        <v>0</v>
      </c>
      <c r="BE850" s="10">
        <v>73.3</v>
      </c>
      <c r="BF850" s="10">
        <v>34.200000000000003</v>
      </c>
      <c r="BG850" s="107">
        <v>46176</v>
      </c>
      <c r="BH850" s="107">
        <f t="shared" si="375"/>
        <v>46206</v>
      </c>
      <c r="BI850" s="23">
        <v>7</v>
      </c>
      <c r="BJ850" s="6"/>
      <c r="BK850" s="6"/>
      <c r="BL850" s="6">
        <f>VLOOKUP(A850,[2]Sheet1!$D$2:$H$933,5,0)</f>
        <v>0</v>
      </c>
      <c r="BM850" s="6" t="s">
        <v>3828</v>
      </c>
      <c r="BN850" s="6" t="s">
        <v>3829</v>
      </c>
      <c r="BO850" s="6" t="s">
        <v>3820</v>
      </c>
      <c r="BP850" s="6" t="s">
        <v>3821</v>
      </c>
      <c r="BQ850" s="6" t="s">
        <v>3830</v>
      </c>
      <c r="BR850" t="s">
        <v>3823</v>
      </c>
      <c r="BS850" t="s">
        <v>3824</v>
      </c>
      <c r="BT850" t="s">
        <v>3825</v>
      </c>
      <c r="BU850" t="s">
        <v>3826</v>
      </c>
      <c r="BV850" t="s">
        <v>3827</v>
      </c>
      <c r="BW850" t="s">
        <v>3835</v>
      </c>
      <c r="BX850">
        <v>0</v>
      </c>
      <c r="BY850" t="s">
        <v>3861</v>
      </c>
      <c r="BZ850" t="s">
        <v>3863</v>
      </c>
    </row>
    <row r="851" spans="1:78" x14ac:dyDescent="0.25">
      <c r="A851" s="7" t="s">
        <v>3438</v>
      </c>
      <c r="B851" s="7" t="s">
        <v>181</v>
      </c>
      <c r="C851" s="7" t="s">
        <v>3436</v>
      </c>
      <c r="D851" s="8" t="s">
        <v>3437</v>
      </c>
      <c r="E851" s="7" t="s">
        <v>3393</v>
      </c>
      <c r="F851" s="9">
        <v>45132</v>
      </c>
      <c r="G851" s="9" t="s">
        <v>404</v>
      </c>
      <c r="H851" s="9" t="s">
        <v>66</v>
      </c>
      <c r="I851" s="8" t="s">
        <v>78</v>
      </c>
      <c r="J851" s="10">
        <v>695.78</v>
      </c>
      <c r="K851" s="10">
        <v>695.78</v>
      </c>
      <c r="L851" s="10">
        <f t="shared" si="377"/>
        <v>0</v>
      </c>
      <c r="M851" s="10">
        <v>305.16000000000003</v>
      </c>
      <c r="N851" s="10">
        <v>305.16000000000003</v>
      </c>
      <c r="O851" s="10">
        <f t="shared" si="378"/>
        <v>0</v>
      </c>
      <c r="P851" s="11">
        <v>10028.000229957746</v>
      </c>
      <c r="Q851" s="11">
        <v>22864.340018351028</v>
      </c>
      <c r="R851" s="11">
        <v>22000</v>
      </c>
      <c r="S851" s="11">
        <v>6977282</v>
      </c>
      <c r="T851" s="11">
        <v>837274</v>
      </c>
      <c r="U851" s="12">
        <f t="shared" si="379"/>
        <v>0.12000002293156561</v>
      </c>
      <c r="V851" s="13">
        <f t="shared" si="402"/>
        <v>0</v>
      </c>
      <c r="W851" s="10">
        <f t="shared" si="380"/>
        <v>0</v>
      </c>
      <c r="X851" s="10"/>
      <c r="Y851" s="10"/>
      <c r="Z851" s="11">
        <f t="shared" si="381"/>
        <v>6977282</v>
      </c>
      <c r="AA851" s="14"/>
      <c r="AB851" s="14"/>
      <c r="AC851" s="11">
        <f t="shared" si="382"/>
        <v>6977282</v>
      </c>
      <c r="AD851" s="10">
        <f t="shared" si="383"/>
        <v>300</v>
      </c>
      <c r="AE851" s="15">
        <v>91548</v>
      </c>
      <c r="AF851" s="16">
        <v>16478</v>
      </c>
      <c r="AG851" s="15">
        <f t="shared" si="384"/>
        <v>0</v>
      </c>
      <c r="AH851" s="15">
        <f t="shared" si="385"/>
        <v>0</v>
      </c>
      <c r="AI851" s="15">
        <f t="shared" si="386"/>
        <v>91548.000000000015</v>
      </c>
      <c r="AJ851" s="15">
        <f t="shared" si="387"/>
        <v>16479</v>
      </c>
      <c r="AK851" s="10">
        <v>91548</v>
      </c>
      <c r="AL851" s="15">
        <f t="shared" si="388"/>
        <v>91548.000000000015</v>
      </c>
      <c r="AM851" s="15">
        <f t="shared" si="389"/>
        <v>7068830</v>
      </c>
      <c r="AN851" s="15">
        <f t="shared" si="390"/>
        <v>853753</v>
      </c>
      <c r="AO851" s="15">
        <f t="shared" si="395"/>
        <v>1277283.6000000001</v>
      </c>
      <c r="AP851" s="17">
        <f t="shared" si="391"/>
        <v>8346113.5999999996</v>
      </c>
      <c r="AQ851" s="15">
        <v>7357544</v>
      </c>
      <c r="AR851" s="15">
        <v>331982.59999999998</v>
      </c>
      <c r="AS851" s="18">
        <f t="shared" si="396"/>
        <v>988570</v>
      </c>
      <c r="AT851" s="19">
        <v>0</v>
      </c>
      <c r="AU851" s="8">
        <v>8800</v>
      </c>
      <c r="AV851" s="13">
        <f t="shared" si="397"/>
        <v>2685408</v>
      </c>
      <c r="AW851" s="18">
        <f t="shared" si="398"/>
        <v>7068830</v>
      </c>
      <c r="AX851" s="15">
        <f t="shared" si="392"/>
        <v>7069000</v>
      </c>
      <c r="AY851" s="20">
        <v>7.0000000000000007E-2</v>
      </c>
      <c r="AZ851" s="13">
        <f t="shared" si="393"/>
        <v>494830.00000000006</v>
      </c>
      <c r="BA851" s="15">
        <f t="shared" si="394"/>
        <v>494900</v>
      </c>
      <c r="BB851" s="21">
        <f t="shared" si="399"/>
        <v>1483470</v>
      </c>
      <c r="BC851" s="10">
        <f t="shared" si="400"/>
        <v>0</v>
      </c>
      <c r="BD851" s="10">
        <f t="shared" si="401"/>
        <v>0</v>
      </c>
      <c r="BE851" s="10">
        <v>64.64</v>
      </c>
      <c r="BF851" s="10">
        <v>28.35</v>
      </c>
      <c r="BG851" s="107">
        <v>46176</v>
      </c>
      <c r="BH851" s="107">
        <f t="shared" si="375"/>
        <v>46206</v>
      </c>
      <c r="BI851" s="23">
        <v>7</v>
      </c>
      <c r="BJ851" s="6"/>
      <c r="BK851" s="6"/>
      <c r="BL851" s="6">
        <f>VLOOKUP(A851,[2]Sheet1!$D$2:$H$933,5,0)</f>
        <v>0</v>
      </c>
      <c r="BM851" s="6" t="s">
        <v>3828</v>
      </c>
      <c r="BN851" s="6" t="s">
        <v>3829</v>
      </c>
      <c r="BO851" s="6" t="s">
        <v>3820</v>
      </c>
      <c r="BP851" s="6" t="s">
        <v>3821</v>
      </c>
      <c r="BQ851" s="6" t="s">
        <v>3830</v>
      </c>
      <c r="BR851" t="s">
        <v>3823</v>
      </c>
      <c r="BS851" t="s">
        <v>3824</v>
      </c>
      <c r="BT851" t="s">
        <v>3825</v>
      </c>
      <c r="BU851" t="s">
        <v>3826</v>
      </c>
      <c r="BV851" t="s">
        <v>3827</v>
      </c>
      <c r="BW851" t="s">
        <v>3835</v>
      </c>
      <c r="BX851">
        <v>0</v>
      </c>
      <c r="BY851" t="s">
        <v>3861</v>
      </c>
      <c r="BZ851" t="s">
        <v>3863</v>
      </c>
    </row>
    <row r="852" spans="1:78" x14ac:dyDescent="0.25">
      <c r="A852" s="7" t="s">
        <v>3441</v>
      </c>
      <c r="B852" s="7" t="s">
        <v>181</v>
      </c>
      <c r="C852" s="7" t="s">
        <v>3439</v>
      </c>
      <c r="D852" s="8" t="s">
        <v>3440</v>
      </c>
      <c r="E852" s="7" t="s">
        <v>3442</v>
      </c>
      <c r="F852" s="9">
        <v>45146</v>
      </c>
      <c r="G852" s="9" t="s">
        <v>77</v>
      </c>
      <c r="H852" s="9" t="s">
        <v>92</v>
      </c>
      <c r="I852" s="8" t="s">
        <v>78</v>
      </c>
      <c r="J852" s="10">
        <v>1221.71</v>
      </c>
      <c r="K852" s="10">
        <v>1221.71</v>
      </c>
      <c r="L852" s="10">
        <f t="shared" si="377"/>
        <v>0</v>
      </c>
      <c r="M852" s="10">
        <v>564.03</v>
      </c>
      <c r="N852" s="10">
        <v>564.03</v>
      </c>
      <c r="O852" s="10">
        <f t="shared" si="378"/>
        <v>0</v>
      </c>
      <c r="P852" s="11">
        <v>12437.002234572852</v>
      </c>
      <c r="Q852" s="11">
        <v>26939.010336329629</v>
      </c>
      <c r="R852" s="11">
        <v>28000</v>
      </c>
      <c r="S852" s="11">
        <v>15194410</v>
      </c>
      <c r="T852" s="11">
        <v>1823328</v>
      </c>
      <c r="U852" s="12">
        <f t="shared" si="379"/>
        <v>0.11999992102358696</v>
      </c>
      <c r="V852" s="13">
        <f t="shared" si="402"/>
        <v>0</v>
      </c>
      <c r="W852" s="10">
        <f t="shared" si="380"/>
        <v>0</v>
      </c>
      <c r="X852" s="10"/>
      <c r="Y852" s="10"/>
      <c r="Z852" s="11">
        <f t="shared" si="381"/>
        <v>15194410</v>
      </c>
      <c r="AA852" s="14"/>
      <c r="AB852" s="14"/>
      <c r="AC852" s="11">
        <f t="shared" si="382"/>
        <v>15194410</v>
      </c>
      <c r="AD852" s="10">
        <f t="shared" si="383"/>
        <v>300</v>
      </c>
      <c r="AE852" s="15">
        <v>169209</v>
      </c>
      <c r="AF852" s="16">
        <v>30458</v>
      </c>
      <c r="AG852" s="15">
        <f t="shared" si="384"/>
        <v>0</v>
      </c>
      <c r="AH852" s="15">
        <f t="shared" si="385"/>
        <v>0</v>
      </c>
      <c r="AI852" s="15">
        <f t="shared" si="386"/>
        <v>169209</v>
      </c>
      <c r="AJ852" s="15">
        <f t="shared" si="387"/>
        <v>30458</v>
      </c>
      <c r="AK852" s="10">
        <v>169209</v>
      </c>
      <c r="AL852" s="15">
        <f t="shared" si="388"/>
        <v>169209</v>
      </c>
      <c r="AM852" s="15">
        <f t="shared" si="389"/>
        <v>15363619</v>
      </c>
      <c r="AN852" s="15">
        <f t="shared" si="390"/>
        <v>1853786</v>
      </c>
      <c r="AO852" s="15">
        <f t="shared" si="395"/>
        <v>2362416</v>
      </c>
      <c r="AP852" s="17">
        <f t="shared" si="391"/>
        <v>17726035</v>
      </c>
      <c r="AQ852" s="15">
        <v>16166849</v>
      </c>
      <c r="AR852" s="15">
        <v>339421</v>
      </c>
      <c r="AS852" s="18">
        <f t="shared" si="396"/>
        <v>1559186</v>
      </c>
      <c r="AT852" s="19">
        <v>0</v>
      </c>
      <c r="AU852" s="8">
        <v>8800</v>
      </c>
      <c r="AV852" s="13">
        <f t="shared" si="397"/>
        <v>4963464</v>
      </c>
      <c r="AW852" s="18">
        <f t="shared" si="398"/>
        <v>15363619</v>
      </c>
      <c r="AX852" s="15">
        <f t="shared" si="392"/>
        <v>15364000</v>
      </c>
      <c r="AY852" s="20">
        <v>0.05</v>
      </c>
      <c r="AZ852" s="13">
        <f t="shared" si="393"/>
        <v>768200</v>
      </c>
      <c r="BA852" s="15">
        <f t="shared" si="394"/>
        <v>768200</v>
      </c>
      <c r="BB852" s="21">
        <f t="shared" si="399"/>
        <v>2327386</v>
      </c>
      <c r="BC852" s="10">
        <f t="shared" si="400"/>
        <v>0</v>
      </c>
      <c r="BD852" s="10">
        <f t="shared" si="401"/>
        <v>0</v>
      </c>
      <c r="BE852" s="10">
        <v>113.5</v>
      </c>
      <c r="BF852" s="10">
        <v>52.4</v>
      </c>
      <c r="BG852" s="107">
        <v>46176</v>
      </c>
      <c r="BH852" s="107">
        <f t="shared" si="375"/>
        <v>46206</v>
      </c>
      <c r="BI852" s="23">
        <v>5</v>
      </c>
      <c r="BJ852" s="6"/>
      <c r="BK852" s="6"/>
      <c r="BL852" s="6">
        <f>VLOOKUP(A852,[2]Sheet1!$D$2:$H$933,5,0)</f>
        <v>0</v>
      </c>
      <c r="BM852" s="6" t="s">
        <v>3828</v>
      </c>
      <c r="BN852" s="6" t="s">
        <v>3829</v>
      </c>
      <c r="BO852" s="6" t="s">
        <v>3820</v>
      </c>
      <c r="BP852" s="6" t="s">
        <v>3821</v>
      </c>
      <c r="BQ852" s="6" t="s">
        <v>3830</v>
      </c>
      <c r="BR852" t="s">
        <v>3823</v>
      </c>
      <c r="BS852" t="s">
        <v>3824</v>
      </c>
      <c r="BT852" t="s">
        <v>3825</v>
      </c>
      <c r="BU852" t="s">
        <v>3826</v>
      </c>
      <c r="BV852" t="s">
        <v>3827</v>
      </c>
      <c r="BW852" t="s">
        <v>3835</v>
      </c>
      <c r="BX852">
        <v>0</v>
      </c>
      <c r="BY852" t="s">
        <v>3861</v>
      </c>
      <c r="BZ852" t="s">
        <v>3863</v>
      </c>
    </row>
    <row r="853" spans="1:78" x14ac:dyDescent="0.25">
      <c r="A853" s="7" t="s">
        <v>3445</v>
      </c>
      <c r="B853" s="7" t="s">
        <v>181</v>
      </c>
      <c r="C853" s="7" t="s">
        <v>3443</v>
      </c>
      <c r="D853" s="8" t="s">
        <v>3444</v>
      </c>
      <c r="E853" s="7" t="s">
        <v>3446</v>
      </c>
      <c r="F853" s="9">
        <v>45061</v>
      </c>
      <c r="G853" s="9" t="s">
        <v>717</v>
      </c>
      <c r="H853" s="9" t="s">
        <v>87</v>
      </c>
      <c r="I853" s="8" t="s">
        <v>78</v>
      </c>
      <c r="J853" s="10">
        <v>1175</v>
      </c>
      <c r="K853" s="10">
        <v>1215.47</v>
      </c>
      <c r="L853" s="10">
        <f t="shared" si="377"/>
        <v>40.470000000000027</v>
      </c>
      <c r="M853" s="10">
        <v>536.04999999999995</v>
      </c>
      <c r="N853" s="10">
        <v>559.84</v>
      </c>
      <c r="O853" s="10">
        <f t="shared" si="378"/>
        <v>23.790000000000077</v>
      </c>
      <c r="P853" s="11">
        <v>19500</v>
      </c>
      <c r="Q853" s="11">
        <v>42743.214252401835</v>
      </c>
      <c r="R853" s="11">
        <v>40000</v>
      </c>
      <c r="S853" s="11">
        <v>22912500</v>
      </c>
      <c r="T853" s="11">
        <v>2749500</v>
      </c>
      <c r="U853" s="12">
        <f t="shared" si="379"/>
        <v>0.12</v>
      </c>
      <c r="V853" s="13">
        <f>L853*R853</f>
        <v>1618800.0000000012</v>
      </c>
      <c r="W853" s="10">
        <f t="shared" si="380"/>
        <v>194256.00000000015</v>
      </c>
      <c r="X853" s="15"/>
      <c r="Y853" s="15"/>
      <c r="Z853" s="11">
        <f t="shared" si="381"/>
        <v>24531300</v>
      </c>
      <c r="AA853" s="14"/>
      <c r="AB853" s="14"/>
      <c r="AC853" s="11">
        <f t="shared" si="382"/>
        <v>24531300</v>
      </c>
      <c r="AD853" s="10">
        <f t="shared" si="383"/>
        <v>300</v>
      </c>
      <c r="AE853" s="15">
        <v>160815</v>
      </c>
      <c r="AF853" s="16">
        <v>28946</v>
      </c>
      <c r="AG853" s="15">
        <f t="shared" si="384"/>
        <v>7137.0000000000236</v>
      </c>
      <c r="AH853" s="15">
        <f t="shared" si="385"/>
        <v>1284.6600000000042</v>
      </c>
      <c r="AI853" s="15">
        <f t="shared" si="386"/>
        <v>167952</v>
      </c>
      <c r="AJ853" s="15">
        <f t="shared" si="387"/>
        <v>30232</v>
      </c>
      <c r="AK853" s="10">
        <v>160815</v>
      </c>
      <c r="AL853" s="15">
        <f t="shared" si="388"/>
        <v>167952</v>
      </c>
      <c r="AM853" s="15">
        <f t="shared" si="389"/>
        <v>24699252</v>
      </c>
      <c r="AN853" s="15">
        <f t="shared" si="390"/>
        <v>2973988</v>
      </c>
      <c r="AO853" s="15">
        <f t="shared" si="395"/>
        <v>3496926</v>
      </c>
      <c r="AP853" s="17">
        <f t="shared" si="391"/>
        <v>28196178</v>
      </c>
      <c r="AQ853" s="15">
        <v>13988056</v>
      </c>
      <c r="AR853" s="15">
        <v>354986</v>
      </c>
      <c r="AS853" s="18">
        <f t="shared" si="396"/>
        <v>14208122</v>
      </c>
      <c r="AT853" s="19">
        <v>0</v>
      </c>
      <c r="AU853" s="8">
        <v>8800</v>
      </c>
      <c r="AV853" s="13">
        <f t="shared" si="397"/>
        <v>4926592</v>
      </c>
      <c r="AW853" s="18">
        <f t="shared" si="398"/>
        <v>24699252</v>
      </c>
      <c r="AX853" s="15">
        <f t="shared" si="392"/>
        <v>24700000</v>
      </c>
      <c r="AY853" s="20">
        <v>0.05</v>
      </c>
      <c r="AZ853" s="13">
        <f t="shared" si="393"/>
        <v>1235000</v>
      </c>
      <c r="BA853" s="15">
        <f t="shared" si="394"/>
        <v>1235000</v>
      </c>
      <c r="BB853" s="21">
        <f t="shared" si="399"/>
        <v>15443122</v>
      </c>
      <c r="BC853" s="10">
        <f t="shared" si="400"/>
        <v>3.4442553191489385</v>
      </c>
      <c r="BD853" s="10">
        <f t="shared" si="401"/>
        <v>4.4380188415259925</v>
      </c>
      <c r="BE853" s="10">
        <v>112.92</v>
      </c>
      <c r="BF853" s="10">
        <v>52.01</v>
      </c>
      <c r="BG853" s="107">
        <v>46176</v>
      </c>
      <c r="BH853" s="107">
        <f t="shared" si="375"/>
        <v>46206</v>
      </c>
      <c r="BI853" s="23">
        <v>5</v>
      </c>
      <c r="BJ853" s="6"/>
      <c r="BK853" s="6"/>
      <c r="BL853" s="6">
        <f>VLOOKUP(A853,[2]Sheet1!$D$2:$H$933,5,0)</f>
        <v>0</v>
      </c>
      <c r="BM853" s="6" t="s">
        <v>3828</v>
      </c>
      <c r="BN853" s="6" t="s">
        <v>3829</v>
      </c>
      <c r="BO853" s="6" t="s">
        <v>3820</v>
      </c>
      <c r="BP853" s="6" t="s">
        <v>3821</v>
      </c>
      <c r="BQ853" s="6" t="s">
        <v>3830</v>
      </c>
      <c r="BR853" t="s">
        <v>3823</v>
      </c>
      <c r="BS853" t="s">
        <v>3824</v>
      </c>
      <c r="BT853" t="s">
        <v>3825</v>
      </c>
      <c r="BU853" t="s">
        <v>3826</v>
      </c>
      <c r="BV853" t="s">
        <v>3827</v>
      </c>
      <c r="BW853" t="s">
        <v>3835</v>
      </c>
      <c r="BX853">
        <v>0</v>
      </c>
      <c r="BY853" t="s">
        <v>3866</v>
      </c>
      <c r="BZ853" t="s">
        <v>3872</v>
      </c>
    </row>
    <row r="854" spans="1:78" x14ac:dyDescent="0.25">
      <c r="A854" s="7" t="s">
        <v>3449</v>
      </c>
      <c r="B854" s="7" t="s">
        <v>181</v>
      </c>
      <c r="C854" s="7" t="s">
        <v>3447</v>
      </c>
      <c r="D854" s="8" t="s">
        <v>3448</v>
      </c>
      <c r="E854" s="7" t="s">
        <v>3371</v>
      </c>
      <c r="F854" s="9">
        <v>45132</v>
      </c>
      <c r="G854" s="9" t="s">
        <v>527</v>
      </c>
      <c r="H854" s="9" t="s">
        <v>92</v>
      </c>
      <c r="I854" s="8" t="s">
        <v>78</v>
      </c>
      <c r="J854" s="10">
        <v>938.62</v>
      </c>
      <c r="K854" s="10">
        <v>938.62</v>
      </c>
      <c r="L854" s="10">
        <f t="shared" si="377"/>
        <v>0</v>
      </c>
      <c r="M854" s="10">
        <v>432.71</v>
      </c>
      <c r="N854" s="10">
        <v>432.71</v>
      </c>
      <c r="O854" s="10">
        <f t="shared" si="378"/>
        <v>0</v>
      </c>
      <c r="P854" s="11">
        <v>12436.998998529756</v>
      </c>
      <c r="Q854" s="11">
        <v>26977.920547248737</v>
      </c>
      <c r="R854" s="11">
        <v>28000</v>
      </c>
      <c r="S854" s="11">
        <v>11673616</v>
      </c>
      <c r="T854" s="11">
        <v>1400834</v>
      </c>
      <c r="U854" s="12">
        <f t="shared" si="379"/>
        <v>0.12000000685306078</v>
      </c>
      <c r="V854" s="13">
        <f t="shared" ref="V854:V913" si="403">L854*P854</f>
        <v>0</v>
      </c>
      <c r="W854" s="10">
        <f t="shared" si="380"/>
        <v>0</v>
      </c>
      <c r="X854" s="10"/>
      <c r="Y854" s="10"/>
      <c r="Z854" s="11">
        <f t="shared" si="381"/>
        <v>11673616</v>
      </c>
      <c r="AA854" s="14"/>
      <c r="AB854" s="14"/>
      <c r="AC854" s="11">
        <f t="shared" si="382"/>
        <v>11673616</v>
      </c>
      <c r="AD854" s="10">
        <f t="shared" si="383"/>
        <v>300</v>
      </c>
      <c r="AE854" s="15">
        <v>129813</v>
      </c>
      <c r="AF854" s="16">
        <v>23366</v>
      </c>
      <c r="AG854" s="15">
        <f t="shared" si="384"/>
        <v>0</v>
      </c>
      <c r="AH854" s="15">
        <f t="shared" si="385"/>
        <v>0</v>
      </c>
      <c r="AI854" s="15">
        <f t="shared" si="386"/>
        <v>129813</v>
      </c>
      <c r="AJ854" s="15">
        <f t="shared" si="387"/>
        <v>23367</v>
      </c>
      <c r="AK854" s="10">
        <v>129813</v>
      </c>
      <c r="AL854" s="15">
        <f t="shared" si="388"/>
        <v>129813</v>
      </c>
      <c r="AM854" s="15">
        <f t="shared" si="389"/>
        <v>11803429</v>
      </c>
      <c r="AN854" s="15">
        <f t="shared" si="390"/>
        <v>1424201</v>
      </c>
      <c r="AO854" s="15">
        <f t="shared" si="395"/>
        <v>1897943</v>
      </c>
      <c r="AP854" s="17">
        <f t="shared" si="391"/>
        <v>13701372</v>
      </c>
      <c r="AQ854" s="15">
        <v>12544933.289999999</v>
      </c>
      <c r="AR854" s="15">
        <v>343929</v>
      </c>
      <c r="AS854" s="18">
        <f t="shared" si="396"/>
        <v>1156439</v>
      </c>
      <c r="AT854" s="19">
        <v>0</v>
      </c>
      <c r="AU854" s="8">
        <v>8800</v>
      </c>
      <c r="AV854" s="13">
        <f t="shared" si="397"/>
        <v>3807848</v>
      </c>
      <c r="AW854" s="18">
        <f t="shared" si="398"/>
        <v>11803429</v>
      </c>
      <c r="AX854" s="15">
        <f t="shared" si="392"/>
        <v>11804000</v>
      </c>
      <c r="AY854" s="20">
        <v>7.0000000000000007E-2</v>
      </c>
      <c r="AZ854" s="13">
        <f t="shared" si="393"/>
        <v>826280.00000000012</v>
      </c>
      <c r="BA854" s="15">
        <f t="shared" si="394"/>
        <v>826300</v>
      </c>
      <c r="BB854" s="21">
        <f t="shared" si="399"/>
        <v>1982739</v>
      </c>
      <c r="BC854" s="10">
        <f t="shared" si="400"/>
        <v>0</v>
      </c>
      <c r="BD854" s="10">
        <f t="shared" si="401"/>
        <v>0</v>
      </c>
      <c r="BE854" s="10">
        <v>87.2</v>
      </c>
      <c r="BF854" s="10">
        <v>40.200000000000003</v>
      </c>
      <c r="BG854" s="107">
        <v>46176</v>
      </c>
      <c r="BH854" s="107">
        <f t="shared" si="375"/>
        <v>46206</v>
      </c>
      <c r="BI854" s="23">
        <v>7</v>
      </c>
      <c r="BJ854" s="6"/>
      <c r="BK854" s="6"/>
      <c r="BL854" s="6">
        <f>VLOOKUP(A854,[2]Sheet1!$D$2:$H$933,5,0)</f>
        <v>0</v>
      </c>
      <c r="BM854" s="6" t="s">
        <v>3828</v>
      </c>
      <c r="BN854" s="6" t="s">
        <v>3829</v>
      </c>
      <c r="BO854" s="6" t="s">
        <v>3820</v>
      </c>
      <c r="BP854" s="6" t="s">
        <v>3821</v>
      </c>
      <c r="BQ854" s="6" t="s">
        <v>3830</v>
      </c>
      <c r="BR854" t="s">
        <v>3823</v>
      </c>
      <c r="BS854" t="s">
        <v>3824</v>
      </c>
      <c r="BT854" t="s">
        <v>3825</v>
      </c>
      <c r="BU854" t="s">
        <v>3826</v>
      </c>
      <c r="BV854" t="s">
        <v>3827</v>
      </c>
      <c r="BW854" t="s">
        <v>3835</v>
      </c>
      <c r="BX854">
        <v>0</v>
      </c>
      <c r="BY854" t="s">
        <v>3861</v>
      </c>
      <c r="BZ854" t="s">
        <v>3871</v>
      </c>
    </row>
    <row r="855" spans="1:78" x14ac:dyDescent="0.25">
      <c r="A855" s="7" t="s">
        <v>3452</v>
      </c>
      <c r="B855" s="7" t="s">
        <v>181</v>
      </c>
      <c r="C855" s="7" t="s">
        <v>3450</v>
      </c>
      <c r="D855" s="8" t="s">
        <v>3451</v>
      </c>
      <c r="E855" s="7" t="s">
        <v>3371</v>
      </c>
      <c r="F855" s="9">
        <v>45132</v>
      </c>
      <c r="G855" s="9" t="s">
        <v>527</v>
      </c>
      <c r="H855" s="9" t="s">
        <v>92</v>
      </c>
      <c r="I855" s="8" t="s">
        <v>78</v>
      </c>
      <c r="J855" s="10">
        <v>938.62</v>
      </c>
      <c r="K855" s="10">
        <v>938.62</v>
      </c>
      <c r="L855" s="10">
        <f t="shared" si="377"/>
        <v>0</v>
      </c>
      <c r="M855" s="10">
        <v>432.71</v>
      </c>
      <c r="N855" s="10">
        <v>432.71</v>
      </c>
      <c r="O855" s="10">
        <f t="shared" si="378"/>
        <v>0</v>
      </c>
      <c r="P855" s="11">
        <v>12436.998998529756</v>
      </c>
      <c r="Q855" s="11">
        <v>26977.920547248737</v>
      </c>
      <c r="R855" s="11">
        <v>28000</v>
      </c>
      <c r="S855" s="11">
        <v>11673616</v>
      </c>
      <c r="T855" s="11">
        <v>1400834</v>
      </c>
      <c r="U855" s="12">
        <f t="shared" si="379"/>
        <v>0.12000000685306078</v>
      </c>
      <c r="V855" s="13">
        <f t="shared" si="403"/>
        <v>0</v>
      </c>
      <c r="W855" s="10">
        <f t="shared" si="380"/>
        <v>0</v>
      </c>
      <c r="X855" s="10"/>
      <c r="Y855" s="10"/>
      <c r="Z855" s="11">
        <f t="shared" si="381"/>
        <v>11673616</v>
      </c>
      <c r="AA855" s="14"/>
      <c r="AB855" s="14"/>
      <c r="AC855" s="11">
        <f t="shared" si="382"/>
        <v>11673616</v>
      </c>
      <c r="AD855" s="10">
        <f t="shared" si="383"/>
        <v>300</v>
      </c>
      <c r="AE855" s="15">
        <v>129813</v>
      </c>
      <c r="AF855" s="16">
        <v>23366</v>
      </c>
      <c r="AG855" s="15">
        <f t="shared" si="384"/>
        <v>0</v>
      </c>
      <c r="AH855" s="15">
        <f t="shared" si="385"/>
        <v>0</v>
      </c>
      <c r="AI855" s="15">
        <f t="shared" si="386"/>
        <v>129813</v>
      </c>
      <c r="AJ855" s="15">
        <f t="shared" si="387"/>
        <v>23367</v>
      </c>
      <c r="AK855" s="10">
        <v>129813</v>
      </c>
      <c r="AL855" s="15">
        <f t="shared" si="388"/>
        <v>129813</v>
      </c>
      <c r="AM855" s="15">
        <f t="shared" si="389"/>
        <v>11803429</v>
      </c>
      <c r="AN855" s="15">
        <f t="shared" si="390"/>
        <v>1424201</v>
      </c>
      <c r="AO855" s="15">
        <f t="shared" si="395"/>
        <v>1897943</v>
      </c>
      <c r="AP855" s="17">
        <f t="shared" si="391"/>
        <v>13701372</v>
      </c>
      <c r="AQ855" s="15">
        <v>12544934.289999999</v>
      </c>
      <c r="AR855" s="15">
        <v>343929</v>
      </c>
      <c r="AS855" s="18">
        <f t="shared" si="396"/>
        <v>1156438</v>
      </c>
      <c r="AT855" s="19">
        <v>0</v>
      </c>
      <c r="AU855" s="8">
        <v>8800</v>
      </c>
      <c r="AV855" s="13">
        <f t="shared" si="397"/>
        <v>3807848</v>
      </c>
      <c r="AW855" s="18">
        <f t="shared" si="398"/>
        <v>11803429</v>
      </c>
      <c r="AX855" s="15">
        <f t="shared" si="392"/>
        <v>11804000</v>
      </c>
      <c r="AY855" s="20">
        <v>7.0000000000000007E-2</v>
      </c>
      <c r="AZ855" s="13">
        <f t="shared" si="393"/>
        <v>826280.00000000012</v>
      </c>
      <c r="BA855" s="15">
        <f t="shared" si="394"/>
        <v>826300</v>
      </c>
      <c r="BB855" s="21">
        <f t="shared" si="399"/>
        <v>1982738</v>
      </c>
      <c r="BC855" s="10">
        <f t="shared" si="400"/>
        <v>0</v>
      </c>
      <c r="BD855" s="10">
        <f t="shared" si="401"/>
        <v>0</v>
      </c>
      <c r="BE855" s="10">
        <v>87.2</v>
      </c>
      <c r="BF855" s="10">
        <v>40.200000000000003</v>
      </c>
      <c r="BG855" s="107">
        <v>46176</v>
      </c>
      <c r="BH855" s="107">
        <f t="shared" si="375"/>
        <v>46206</v>
      </c>
      <c r="BI855" s="23">
        <v>7</v>
      </c>
      <c r="BJ855" s="6"/>
      <c r="BK855" s="6"/>
      <c r="BL855" s="6">
        <f>VLOOKUP(A855,[2]Sheet1!$D$2:$H$933,5,0)</f>
        <v>0</v>
      </c>
      <c r="BM855" s="6" t="s">
        <v>3828</v>
      </c>
      <c r="BN855" s="6" t="s">
        <v>3829</v>
      </c>
      <c r="BO855" s="6" t="s">
        <v>3820</v>
      </c>
      <c r="BP855" s="6" t="s">
        <v>3821</v>
      </c>
      <c r="BQ855" s="6" t="s">
        <v>3830</v>
      </c>
      <c r="BR855" t="s">
        <v>3823</v>
      </c>
      <c r="BS855" t="s">
        <v>3824</v>
      </c>
      <c r="BT855" t="s">
        <v>3825</v>
      </c>
      <c r="BU855" t="s">
        <v>3826</v>
      </c>
      <c r="BV855" t="s">
        <v>3827</v>
      </c>
      <c r="BW855" t="s">
        <v>3835</v>
      </c>
      <c r="BX855">
        <v>0</v>
      </c>
      <c r="BY855" t="s">
        <v>3861</v>
      </c>
      <c r="BZ855" t="s">
        <v>3871</v>
      </c>
    </row>
    <row r="856" spans="1:78" x14ac:dyDescent="0.25">
      <c r="A856" s="7" t="s">
        <v>3455</v>
      </c>
      <c r="B856" s="7" t="s">
        <v>181</v>
      </c>
      <c r="C856" s="7" t="s">
        <v>3453</v>
      </c>
      <c r="D856" s="8" t="s">
        <v>3454</v>
      </c>
      <c r="E856" s="7" t="s">
        <v>3393</v>
      </c>
      <c r="F856" s="9">
        <v>45132</v>
      </c>
      <c r="G856" s="9" t="s">
        <v>717</v>
      </c>
      <c r="H856" s="9" t="s">
        <v>66</v>
      </c>
      <c r="I856" s="8" t="s">
        <v>78</v>
      </c>
      <c r="J856" s="10">
        <v>825.38</v>
      </c>
      <c r="K856" s="10">
        <v>825.38</v>
      </c>
      <c r="L856" s="10">
        <f t="shared" si="377"/>
        <v>0</v>
      </c>
      <c r="M856" s="10">
        <v>365.44</v>
      </c>
      <c r="N856" s="10">
        <v>365.44</v>
      </c>
      <c r="O856" s="10">
        <f t="shared" si="378"/>
        <v>0</v>
      </c>
      <c r="P856" s="11">
        <v>10027.99801303642</v>
      </c>
      <c r="Q856" s="11">
        <v>22649.159916812609</v>
      </c>
      <c r="R856" s="11">
        <v>22000</v>
      </c>
      <c r="S856" s="11">
        <v>8276909</v>
      </c>
      <c r="T856" s="11">
        <v>993228</v>
      </c>
      <c r="U856" s="12">
        <f t="shared" si="379"/>
        <v>0.11999986951650671</v>
      </c>
      <c r="V856" s="13">
        <f t="shared" si="403"/>
        <v>0</v>
      </c>
      <c r="W856" s="10">
        <f t="shared" si="380"/>
        <v>0</v>
      </c>
      <c r="X856" s="10"/>
      <c r="Y856" s="10"/>
      <c r="Z856" s="11">
        <f t="shared" si="381"/>
        <v>8276909</v>
      </c>
      <c r="AA856" s="14"/>
      <c r="AB856" s="14"/>
      <c r="AC856" s="11">
        <f t="shared" si="382"/>
        <v>8276909</v>
      </c>
      <c r="AD856" s="10">
        <f t="shared" si="383"/>
        <v>300</v>
      </c>
      <c r="AE856" s="15">
        <v>109632</v>
      </c>
      <c r="AF856" s="16">
        <v>19734</v>
      </c>
      <c r="AG856" s="15">
        <f t="shared" si="384"/>
        <v>0</v>
      </c>
      <c r="AH856" s="15">
        <f t="shared" si="385"/>
        <v>0</v>
      </c>
      <c r="AI856" s="15">
        <f t="shared" si="386"/>
        <v>109632</v>
      </c>
      <c r="AJ856" s="15">
        <f t="shared" si="387"/>
        <v>19734</v>
      </c>
      <c r="AK856" s="10">
        <v>109632</v>
      </c>
      <c r="AL856" s="15">
        <f t="shared" si="388"/>
        <v>109632</v>
      </c>
      <c r="AM856" s="15">
        <f t="shared" si="389"/>
        <v>8386541</v>
      </c>
      <c r="AN856" s="15">
        <f t="shared" si="390"/>
        <v>1012962</v>
      </c>
      <c r="AO856" s="15">
        <f t="shared" si="395"/>
        <v>1467494</v>
      </c>
      <c r="AP856" s="17">
        <f t="shared" si="391"/>
        <v>9854035</v>
      </c>
      <c r="AQ856" s="15">
        <v>8720861</v>
      </c>
      <c r="AR856" s="15">
        <v>344900</v>
      </c>
      <c r="AS856" s="18">
        <f t="shared" si="396"/>
        <v>1133174</v>
      </c>
      <c r="AT856" s="19">
        <v>0</v>
      </c>
      <c r="AU856" s="8">
        <v>8800</v>
      </c>
      <c r="AV856" s="13">
        <f t="shared" si="397"/>
        <v>3215872</v>
      </c>
      <c r="AW856" s="18">
        <f t="shared" si="398"/>
        <v>8386541</v>
      </c>
      <c r="AX856" s="15">
        <f t="shared" si="392"/>
        <v>8387000</v>
      </c>
      <c r="AY856" s="20">
        <v>7.0000000000000007E-2</v>
      </c>
      <c r="AZ856" s="13">
        <f t="shared" si="393"/>
        <v>587090</v>
      </c>
      <c r="BA856" s="15">
        <f t="shared" si="394"/>
        <v>587100</v>
      </c>
      <c r="BB856" s="21">
        <f t="shared" si="399"/>
        <v>1720274</v>
      </c>
      <c r="BC856" s="10">
        <f t="shared" si="400"/>
        <v>0</v>
      </c>
      <c r="BD856" s="10">
        <f t="shared" si="401"/>
        <v>0</v>
      </c>
      <c r="BE856" s="10">
        <v>76.680000000000007</v>
      </c>
      <c r="BF856" s="10">
        <v>33.950000000000003</v>
      </c>
      <c r="BG856" s="107">
        <v>46176</v>
      </c>
      <c r="BH856" s="107">
        <f t="shared" si="375"/>
        <v>46206</v>
      </c>
      <c r="BI856" s="23">
        <v>7</v>
      </c>
      <c r="BJ856" s="6"/>
      <c r="BK856" s="6"/>
      <c r="BL856" s="6">
        <f>VLOOKUP(A856,[2]Sheet1!$D$2:$H$933,5,0)</f>
        <v>0</v>
      </c>
      <c r="BM856" s="6" t="s">
        <v>3828</v>
      </c>
      <c r="BN856" s="6" t="s">
        <v>3829</v>
      </c>
      <c r="BO856" s="6" t="s">
        <v>3820</v>
      </c>
      <c r="BP856" s="6" t="s">
        <v>3821</v>
      </c>
      <c r="BQ856" s="6" t="s">
        <v>3830</v>
      </c>
      <c r="BR856" t="s">
        <v>3823</v>
      </c>
      <c r="BS856" t="s">
        <v>3824</v>
      </c>
      <c r="BT856" t="s">
        <v>3825</v>
      </c>
      <c r="BU856" t="s">
        <v>3826</v>
      </c>
      <c r="BV856" t="s">
        <v>3827</v>
      </c>
      <c r="BW856" t="s">
        <v>3835</v>
      </c>
      <c r="BX856">
        <v>0</v>
      </c>
      <c r="BY856" t="s">
        <v>3861</v>
      </c>
      <c r="BZ856" t="s">
        <v>3872</v>
      </c>
    </row>
    <row r="857" spans="1:78" x14ac:dyDescent="0.25">
      <c r="A857" s="7" t="s">
        <v>3458</v>
      </c>
      <c r="B857" s="7" t="s">
        <v>181</v>
      </c>
      <c r="C857" s="7" t="s">
        <v>3456</v>
      </c>
      <c r="D857" s="8" t="s">
        <v>3457</v>
      </c>
      <c r="E857" s="7" t="s">
        <v>3393</v>
      </c>
      <c r="F857" s="9">
        <v>45132</v>
      </c>
      <c r="G857" s="9" t="s">
        <v>717</v>
      </c>
      <c r="H857" s="9" t="s">
        <v>66</v>
      </c>
      <c r="I857" s="8" t="s">
        <v>78</v>
      </c>
      <c r="J857" s="10">
        <v>750.25</v>
      </c>
      <c r="K857" s="10">
        <v>750.25</v>
      </c>
      <c r="L857" s="10">
        <f t="shared" si="377"/>
        <v>0</v>
      </c>
      <c r="M857" s="10">
        <v>317.54000000000002</v>
      </c>
      <c r="N857" s="10">
        <v>317.54000000000002</v>
      </c>
      <c r="O857" s="10">
        <f t="shared" si="378"/>
        <v>0</v>
      </c>
      <c r="P857" s="11">
        <v>10028</v>
      </c>
      <c r="Q857" s="11">
        <v>23693.100081879445</v>
      </c>
      <c r="R857" s="11">
        <v>22000</v>
      </c>
      <c r="S857" s="11">
        <v>7523507</v>
      </c>
      <c r="T857" s="11">
        <v>902822</v>
      </c>
      <c r="U857" s="12">
        <f t="shared" si="379"/>
        <v>0.12000015418341473</v>
      </c>
      <c r="V857" s="13">
        <f t="shared" si="403"/>
        <v>0</v>
      </c>
      <c r="W857" s="10">
        <f t="shared" si="380"/>
        <v>0</v>
      </c>
      <c r="X857" s="10"/>
      <c r="Y857" s="10"/>
      <c r="Z857" s="11">
        <f t="shared" si="381"/>
        <v>7523507</v>
      </c>
      <c r="AA857" s="14"/>
      <c r="AB857" s="14"/>
      <c r="AC857" s="11">
        <f t="shared" si="382"/>
        <v>7523507</v>
      </c>
      <c r="AD857" s="10">
        <f t="shared" si="383"/>
        <v>300</v>
      </c>
      <c r="AE857" s="15">
        <v>95262</v>
      </c>
      <c r="AF857" s="16">
        <v>17148</v>
      </c>
      <c r="AG857" s="15">
        <f t="shared" si="384"/>
        <v>0</v>
      </c>
      <c r="AH857" s="15">
        <f t="shared" si="385"/>
        <v>0</v>
      </c>
      <c r="AI857" s="15">
        <f t="shared" si="386"/>
        <v>95262</v>
      </c>
      <c r="AJ857" s="15">
        <f t="shared" si="387"/>
        <v>17148</v>
      </c>
      <c r="AK857" s="10">
        <v>95262</v>
      </c>
      <c r="AL857" s="15">
        <f t="shared" si="388"/>
        <v>95262</v>
      </c>
      <c r="AM857" s="15">
        <f t="shared" si="389"/>
        <v>7618769</v>
      </c>
      <c r="AN857" s="15">
        <f t="shared" si="390"/>
        <v>919970</v>
      </c>
      <c r="AO857" s="15">
        <f t="shared" si="395"/>
        <v>1368668</v>
      </c>
      <c r="AP857" s="17">
        <f t="shared" si="391"/>
        <v>8987437</v>
      </c>
      <c r="AQ857" s="15">
        <v>7933538</v>
      </c>
      <c r="AR857" s="15">
        <v>353436</v>
      </c>
      <c r="AS857" s="18">
        <f t="shared" si="396"/>
        <v>1053899</v>
      </c>
      <c r="AT857" s="19">
        <v>0</v>
      </c>
      <c r="AU857" s="8">
        <v>8800</v>
      </c>
      <c r="AV857" s="13">
        <f t="shared" si="397"/>
        <v>2794352</v>
      </c>
      <c r="AW857" s="18">
        <f t="shared" si="398"/>
        <v>7618769</v>
      </c>
      <c r="AX857" s="15">
        <f t="shared" si="392"/>
        <v>7619000</v>
      </c>
      <c r="AY857" s="20">
        <v>7.0000000000000007E-2</v>
      </c>
      <c r="AZ857" s="13">
        <f t="shared" si="393"/>
        <v>533330</v>
      </c>
      <c r="BA857" s="15">
        <f t="shared" si="394"/>
        <v>533400</v>
      </c>
      <c r="BB857" s="21">
        <f t="shared" si="399"/>
        <v>1587299</v>
      </c>
      <c r="BC857" s="10">
        <f t="shared" si="400"/>
        <v>0</v>
      </c>
      <c r="BD857" s="10">
        <f t="shared" si="401"/>
        <v>0</v>
      </c>
      <c r="BE857" s="10">
        <v>69.7</v>
      </c>
      <c r="BF857" s="10">
        <v>29.5</v>
      </c>
      <c r="BG857" s="107">
        <v>46176</v>
      </c>
      <c r="BH857" s="107">
        <f t="shared" si="375"/>
        <v>46206</v>
      </c>
      <c r="BI857" s="23">
        <v>7</v>
      </c>
      <c r="BJ857" s="6"/>
      <c r="BK857" s="6"/>
      <c r="BL857" s="6">
        <f>VLOOKUP(A857,[2]Sheet1!$D$2:$H$933,5,0)</f>
        <v>0</v>
      </c>
      <c r="BM857" s="6" t="s">
        <v>3828</v>
      </c>
      <c r="BN857" s="6" t="s">
        <v>3829</v>
      </c>
      <c r="BO857" s="6" t="s">
        <v>3820</v>
      </c>
      <c r="BP857" s="6" t="s">
        <v>3821</v>
      </c>
      <c r="BQ857" s="6" t="s">
        <v>3830</v>
      </c>
      <c r="BR857" t="s">
        <v>3823</v>
      </c>
      <c r="BS857" t="s">
        <v>3824</v>
      </c>
      <c r="BT857" t="s">
        <v>3825</v>
      </c>
      <c r="BU857" t="s">
        <v>3826</v>
      </c>
      <c r="BV857" t="s">
        <v>3827</v>
      </c>
      <c r="BW857" t="s">
        <v>3835</v>
      </c>
      <c r="BX857">
        <v>0</v>
      </c>
      <c r="BY857" t="s">
        <v>3861</v>
      </c>
      <c r="BZ857" t="s">
        <v>3872</v>
      </c>
    </row>
    <row r="858" spans="1:78" x14ac:dyDescent="0.25">
      <c r="A858" s="7" t="s">
        <v>3461</v>
      </c>
      <c r="B858" s="7" t="s">
        <v>181</v>
      </c>
      <c r="C858" s="7" t="s">
        <v>3459</v>
      </c>
      <c r="D858" s="8" t="s">
        <v>3460</v>
      </c>
      <c r="E858" s="7" t="s">
        <v>3371</v>
      </c>
      <c r="F858" s="9">
        <v>45132</v>
      </c>
      <c r="G858" s="9" t="s">
        <v>717</v>
      </c>
      <c r="H858" s="9" t="s">
        <v>92</v>
      </c>
      <c r="I858" s="8" t="s">
        <v>78</v>
      </c>
      <c r="J858" s="10">
        <v>1006.43</v>
      </c>
      <c r="K858" s="10">
        <v>1006.43</v>
      </c>
      <c r="L858" s="10">
        <f t="shared" si="377"/>
        <v>0</v>
      </c>
      <c r="M858" s="10">
        <v>461.13</v>
      </c>
      <c r="N858" s="10">
        <v>461.13</v>
      </c>
      <c r="O858" s="10">
        <f t="shared" si="378"/>
        <v>0</v>
      </c>
      <c r="P858" s="11">
        <v>12436.998102202837</v>
      </c>
      <c r="Q858" s="11">
        <v>27144.119879426627</v>
      </c>
      <c r="R858" s="11">
        <v>28000</v>
      </c>
      <c r="S858" s="11">
        <v>12516968</v>
      </c>
      <c r="T858" s="11">
        <v>1502036</v>
      </c>
      <c r="U858" s="12">
        <f t="shared" si="379"/>
        <v>0.11999998721735168</v>
      </c>
      <c r="V858" s="13">
        <f t="shared" si="403"/>
        <v>0</v>
      </c>
      <c r="W858" s="10">
        <f t="shared" si="380"/>
        <v>0</v>
      </c>
      <c r="X858" s="10"/>
      <c r="Y858" s="10"/>
      <c r="Z858" s="11">
        <f t="shared" si="381"/>
        <v>12516968</v>
      </c>
      <c r="AA858" s="14"/>
      <c r="AB858" s="14"/>
      <c r="AC858" s="11">
        <f t="shared" si="382"/>
        <v>12516968</v>
      </c>
      <c r="AD858" s="10">
        <f t="shared" si="383"/>
        <v>300</v>
      </c>
      <c r="AE858" s="15">
        <v>138339</v>
      </c>
      <c r="AF858" s="16">
        <v>24902</v>
      </c>
      <c r="AG858" s="15">
        <f t="shared" si="384"/>
        <v>0</v>
      </c>
      <c r="AH858" s="15">
        <f t="shared" si="385"/>
        <v>0</v>
      </c>
      <c r="AI858" s="15">
        <f t="shared" si="386"/>
        <v>138339</v>
      </c>
      <c r="AJ858" s="15">
        <f t="shared" si="387"/>
        <v>24902</v>
      </c>
      <c r="AK858" s="10">
        <v>138339</v>
      </c>
      <c r="AL858" s="15">
        <f t="shared" si="388"/>
        <v>138339</v>
      </c>
      <c r="AM858" s="15">
        <f t="shared" si="389"/>
        <v>12655307</v>
      </c>
      <c r="AN858" s="15">
        <f t="shared" si="390"/>
        <v>1526938</v>
      </c>
      <c r="AO858" s="15">
        <f t="shared" si="395"/>
        <v>2027617</v>
      </c>
      <c r="AP858" s="17">
        <f t="shared" si="391"/>
        <v>14682924</v>
      </c>
      <c r="AQ858" s="15">
        <v>13451236.439999999</v>
      </c>
      <c r="AR858" s="15">
        <v>362340</v>
      </c>
      <c r="AS858" s="18">
        <f t="shared" si="396"/>
        <v>1231688</v>
      </c>
      <c r="AT858" s="19">
        <v>0</v>
      </c>
      <c r="AU858" s="8">
        <v>8800</v>
      </c>
      <c r="AV858" s="13">
        <f t="shared" si="397"/>
        <v>4057944</v>
      </c>
      <c r="AW858" s="18">
        <f t="shared" si="398"/>
        <v>12655307</v>
      </c>
      <c r="AX858" s="15">
        <f t="shared" si="392"/>
        <v>12656000</v>
      </c>
      <c r="AY858" s="20">
        <v>7.0000000000000007E-2</v>
      </c>
      <c r="AZ858" s="13">
        <f t="shared" si="393"/>
        <v>885920.00000000012</v>
      </c>
      <c r="BA858" s="15">
        <f t="shared" si="394"/>
        <v>886000</v>
      </c>
      <c r="BB858" s="21">
        <f t="shared" si="399"/>
        <v>2117688</v>
      </c>
      <c r="BC858" s="10">
        <f t="shared" si="400"/>
        <v>0</v>
      </c>
      <c r="BD858" s="10">
        <f t="shared" si="401"/>
        <v>0</v>
      </c>
      <c r="BE858" s="10">
        <v>93.5</v>
      </c>
      <c r="BF858" s="10">
        <v>42.84</v>
      </c>
      <c r="BG858" s="107">
        <v>46176</v>
      </c>
      <c r="BH858" s="107">
        <f t="shared" si="375"/>
        <v>46206</v>
      </c>
      <c r="BI858" s="23">
        <v>7</v>
      </c>
      <c r="BJ858" s="6"/>
      <c r="BK858" s="6"/>
      <c r="BL858" s="6">
        <f>VLOOKUP(A858,[2]Sheet1!$D$2:$H$933,5,0)</f>
        <v>0</v>
      </c>
      <c r="BM858" s="6" t="s">
        <v>3828</v>
      </c>
      <c r="BN858" s="6" t="s">
        <v>3829</v>
      </c>
      <c r="BO858" s="6" t="s">
        <v>3820</v>
      </c>
      <c r="BP858" s="6" t="s">
        <v>3821</v>
      </c>
      <c r="BQ858" s="6" t="s">
        <v>3830</v>
      </c>
      <c r="BR858" t="s">
        <v>3823</v>
      </c>
      <c r="BS858" t="s">
        <v>3824</v>
      </c>
      <c r="BT858" t="s">
        <v>3825</v>
      </c>
      <c r="BU858" t="s">
        <v>3826</v>
      </c>
      <c r="BV858" t="s">
        <v>3827</v>
      </c>
      <c r="BW858" t="s">
        <v>3835</v>
      </c>
      <c r="BX858">
        <v>0</v>
      </c>
      <c r="BY858" t="s">
        <v>3861</v>
      </c>
      <c r="BZ858" t="s">
        <v>3872</v>
      </c>
    </row>
    <row r="859" spans="1:78" x14ac:dyDescent="0.25">
      <c r="A859" s="7" t="s">
        <v>3464</v>
      </c>
      <c r="B859" s="7" t="s">
        <v>181</v>
      </c>
      <c r="C859" s="7" t="s">
        <v>3462</v>
      </c>
      <c r="D859" s="8" t="s">
        <v>3463</v>
      </c>
      <c r="E859" s="7" t="s">
        <v>3371</v>
      </c>
      <c r="F859" s="9">
        <v>45132</v>
      </c>
      <c r="G859" s="9" t="s">
        <v>527</v>
      </c>
      <c r="H859" s="9" t="s">
        <v>87</v>
      </c>
      <c r="I859" s="8" t="s">
        <v>78</v>
      </c>
      <c r="J859" s="10">
        <v>875.54</v>
      </c>
      <c r="K859" s="10">
        <v>875.54</v>
      </c>
      <c r="L859" s="10">
        <f t="shared" si="377"/>
        <v>0</v>
      </c>
      <c r="M859" s="10">
        <v>404.73</v>
      </c>
      <c r="N859" s="10">
        <v>404.73</v>
      </c>
      <c r="O859" s="10">
        <f t="shared" si="378"/>
        <v>0</v>
      </c>
      <c r="P859" s="11">
        <v>14645.999040592093</v>
      </c>
      <c r="Q859" s="11">
        <v>31683.240678971164</v>
      </c>
      <c r="R859" s="11">
        <v>40000</v>
      </c>
      <c r="S859" s="11">
        <v>12823158</v>
      </c>
      <c r="T859" s="11">
        <v>1538778</v>
      </c>
      <c r="U859" s="12">
        <f t="shared" si="379"/>
        <v>0.11999992513544636</v>
      </c>
      <c r="V859" s="13">
        <f t="shared" si="403"/>
        <v>0</v>
      </c>
      <c r="W859" s="10">
        <f t="shared" si="380"/>
        <v>0</v>
      </c>
      <c r="X859" s="10"/>
      <c r="Y859" s="10"/>
      <c r="Z859" s="11">
        <f t="shared" si="381"/>
        <v>12823158</v>
      </c>
      <c r="AA859" s="14"/>
      <c r="AB859" s="14"/>
      <c r="AC859" s="11">
        <f t="shared" si="382"/>
        <v>12823158</v>
      </c>
      <c r="AD859" s="10">
        <f t="shared" si="383"/>
        <v>300</v>
      </c>
      <c r="AE859" s="15">
        <v>121419</v>
      </c>
      <c r="AF859" s="16">
        <v>21856</v>
      </c>
      <c r="AG859" s="15">
        <f t="shared" si="384"/>
        <v>0</v>
      </c>
      <c r="AH859" s="15">
        <f t="shared" si="385"/>
        <v>0</v>
      </c>
      <c r="AI859" s="15">
        <f t="shared" si="386"/>
        <v>121419</v>
      </c>
      <c r="AJ859" s="15">
        <f t="shared" si="387"/>
        <v>21856</v>
      </c>
      <c r="AK859" s="10">
        <v>121419</v>
      </c>
      <c r="AL859" s="15">
        <f t="shared" si="388"/>
        <v>121419</v>
      </c>
      <c r="AM859" s="15">
        <f t="shared" si="389"/>
        <v>12944577</v>
      </c>
      <c r="AN859" s="15">
        <f t="shared" si="390"/>
        <v>1560634</v>
      </c>
      <c r="AO859" s="15">
        <f t="shared" si="395"/>
        <v>2048732</v>
      </c>
      <c r="AP859" s="17">
        <f t="shared" si="391"/>
        <v>14993309</v>
      </c>
      <c r="AQ859" s="15">
        <v>13780279.369999999</v>
      </c>
      <c r="AR859" s="15">
        <v>366679</v>
      </c>
      <c r="AS859" s="18">
        <f t="shared" si="396"/>
        <v>1213030</v>
      </c>
      <c r="AT859" s="19">
        <v>0</v>
      </c>
      <c r="AU859" s="8">
        <v>8800</v>
      </c>
      <c r="AV859" s="13">
        <f t="shared" si="397"/>
        <v>3561624</v>
      </c>
      <c r="AW859" s="18">
        <f t="shared" si="398"/>
        <v>12944577</v>
      </c>
      <c r="AX859" s="15">
        <f t="shared" si="392"/>
        <v>12945000</v>
      </c>
      <c r="AY859" s="20">
        <v>7.0000000000000007E-2</v>
      </c>
      <c r="AZ859" s="13">
        <f t="shared" si="393"/>
        <v>906150.00000000012</v>
      </c>
      <c r="BA859" s="15">
        <f t="shared" si="394"/>
        <v>906200</v>
      </c>
      <c r="BB859" s="21">
        <f t="shared" si="399"/>
        <v>2119230</v>
      </c>
      <c r="BC859" s="10">
        <f t="shared" si="400"/>
        <v>0</v>
      </c>
      <c r="BD859" s="10">
        <f t="shared" si="401"/>
        <v>0</v>
      </c>
      <c r="BE859" s="10">
        <v>81.34</v>
      </c>
      <c r="BF859" s="10">
        <v>37.6</v>
      </c>
      <c r="BG859" s="107">
        <v>46176</v>
      </c>
      <c r="BH859" s="107">
        <f t="shared" si="375"/>
        <v>46206</v>
      </c>
      <c r="BI859" s="23">
        <v>7</v>
      </c>
      <c r="BJ859" s="6"/>
      <c r="BK859" s="6"/>
      <c r="BL859" s="6">
        <f>VLOOKUP(A859,[2]Sheet1!$D$2:$H$933,5,0)</f>
        <v>0</v>
      </c>
      <c r="BM859" s="6" t="s">
        <v>3828</v>
      </c>
      <c r="BN859" s="6" t="s">
        <v>3829</v>
      </c>
      <c r="BO859" s="6" t="s">
        <v>3820</v>
      </c>
      <c r="BP859" s="6" t="s">
        <v>3821</v>
      </c>
      <c r="BQ859" s="6" t="s">
        <v>3830</v>
      </c>
      <c r="BR859" t="s">
        <v>3823</v>
      </c>
      <c r="BS859" t="s">
        <v>3824</v>
      </c>
      <c r="BT859" t="s">
        <v>3825</v>
      </c>
      <c r="BU859" t="s">
        <v>3826</v>
      </c>
      <c r="BV859" t="s">
        <v>3827</v>
      </c>
      <c r="BW859" t="s">
        <v>3835</v>
      </c>
      <c r="BX859">
        <v>0</v>
      </c>
      <c r="BY859" t="s">
        <v>3861</v>
      </c>
      <c r="BZ859" t="s">
        <v>3871</v>
      </c>
    </row>
    <row r="860" spans="1:78" x14ac:dyDescent="0.25">
      <c r="A860" s="7" t="s">
        <v>3467</v>
      </c>
      <c r="B860" s="7" t="s">
        <v>181</v>
      </c>
      <c r="C860" s="7" t="s">
        <v>3465</v>
      </c>
      <c r="D860" s="8" t="s">
        <v>3466</v>
      </c>
      <c r="E860" s="7" t="s">
        <v>3468</v>
      </c>
      <c r="F860" s="9">
        <v>44894</v>
      </c>
      <c r="G860" s="9" t="s">
        <v>527</v>
      </c>
      <c r="H860" s="9" t="s">
        <v>190</v>
      </c>
      <c r="I860" s="8" t="s">
        <v>78</v>
      </c>
      <c r="J860" s="10">
        <v>1330.43</v>
      </c>
      <c r="K860" s="10">
        <v>1330.43</v>
      </c>
      <c r="L860" s="10">
        <f t="shared" si="377"/>
        <v>0</v>
      </c>
      <c r="M860" s="10">
        <v>621.08000000000004</v>
      </c>
      <c r="N860" s="10">
        <v>621.08000000000004</v>
      </c>
      <c r="O860" s="10">
        <f t="shared" si="378"/>
        <v>0</v>
      </c>
      <c r="P860" s="11">
        <v>25000</v>
      </c>
      <c r="Q860" s="11">
        <v>53553.08494879886</v>
      </c>
      <c r="R860" s="11">
        <v>60000</v>
      </c>
      <c r="S860" s="11">
        <v>33260750</v>
      </c>
      <c r="T860" s="11">
        <v>3991292</v>
      </c>
      <c r="U860" s="12">
        <f t="shared" si="379"/>
        <v>0.12000006013093512</v>
      </c>
      <c r="V860" s="13">
        <f t="shared" si="403"/>
        <v>0</v>
      </c>
      <c r="W860" s="10">
        <f t="shared" si="380"/>
        <v>0</v>
      </c>
      <c r="X860" s="10"/>
      <c r="Y860" s="10"/>
      <c r="Z860" s="11">
        <f t="shared" si="381"/>
        <v>33260750</v>
      </c>
      <c r="AA860" s="14"/>
      <c r="AB860" s="14"/>
      <c r="AC860" s="11">
        <f t="shared" si="382"/>
        <v>33260750</v>
      </c>
      <c r="AD860" s="10">
        <f t="shared" si="383"/>
        <v>300</v>
      </c>
      <c r="AE860" s="15">
        <v>186324</v>
      </c>
      <c r="AF860" s="16">
        <v>33538</v>
      </c>
      <c r="AG860" s="15">
        <f t="shared" si="384"/>
        <v>0</v>
      </c>
      <c r="AH860" s="15">
        <f t="shared" si="385"/>
        <v>0</v>
      </c>
      <c r="AI860" s="15">
        <f t="shared" si="386"/>
        <v>186324</v>
      </c>
      <c r="AJ860" s="15">
        <f t="shared" si="387"/>
        <v>33539</v>
      </c>
      <c r="AK860" s="10">
        <v>186324</v>
      </c>
      <c r="AL860" s="15">
        <f t="shared" si="388"/>
        <v>186324</v>
      </c>
      <c r="AM860" s="15">
        <f t="shared" si="389"/>
        <v>33447074</v>
      </c>
      <c r="AN860" s="15">
        <f t="shared" si="390"/>
        <v>4024831</v>
      </c>
      <c r="AO860" s="15">
        <f t="shared" si="395"/>
        <v>4582829</v>
      </c>
      <c r="AP860" s="17">
        <f t="shared" si="391"/>
        <v>38029903</v>
      </c>
      <c r="AQ860" s="15">
        <v>27689577</v>
      </c>
      <c r="AR860" s="15">
        <v>371674</v>
      </c>
      <c r="AS860" s="18">
        <f t="shared" si="396"/>
        <v>10340326</v>
      </c>
      <c r="AT860" s="19">
        <v>0</v>
      </c>
      <c r="AU860" s="8">
        <v>8800</v>
      </c>
      <c r="AV860" s="13">
        <f t="shared" si="397"/>
        <v>5465504</v>
      </c>
      <c r="AW860" s="18">
        <f t="shared" si="398"/>
        <v>33447074</v>
      </c>
      <c r="AX860" s="15">
        <f t="shared" si="392"/>
        <v>33448000</v>
      </c>
      <c r="AY860" s="20">
        <v>7.0000000000000007E-2</v>
      </c>
      <c r="AZ860" s="13">
        <f t="shared" si="393"/>
        <v>2341360</v>
      </c>
      <c r="BA860" s="15">
        <f t="shared" si="394"/>
        <v>2341400</v>
      </c>
      <c r="BB860" s="21">
        <f t="shared" si="399"/>
        <v>12681726</v>
      </c>
      <c r="BC860" s="10">
        <f t="shared" si="400"/>
        <v>0</v>
      </c>
      <c r="BD860" s="10">
        <f t="shared" si="401"/>
        <v>0</v>
      </c>
      <c r="BE860" s="10">
        <v>123.6</v>
      </c>
      <c r="BF860" s="10">
        <v>57.7</v>
      </c>
      <c r="BG860" s="107">
        <v>46176</v>
      </c>
      <c r="BH860" s="107">
        <f t="shared" si="375"/>
        <v>46206</v>
      </c>
      <c r="BI860" s="23">
        <v>7</v>
      </c>
      <c r="BJ860" s="6"/>
      <c r="BK860" s="6"/>
      <c r="BL860" s="6">
        <f>VLOOKUP(A860,[2]Sheet1!$D$2:$H$933,5,0)</f>
        <v>0</v>
      </c>
      <c r="BM860" s="6" t="s">
        <v>3828</v>
      </c>
      <c r="BN860" s="6" t="s">
        <v>3829</v>
      </c>
      <c r="BO860" s="6" t="s">
        <v>3820</v>
      </c>
      <c r="BP860" s="6" t="s">
        <v>3821</v>
      </c>
      <c r="BQ860" s="6" t="s">
        <v>3830</v>
      </c>
      <c r="BR860" t="s">
        <v>3823</v>
      </c>
      <c r="BS860" t="s">
        <v>3824</v>
      </c>
      <c r="BT860" t="s">
        <v>3825</v>
      </c>
      <c r="BU860" t="s">
        <v>3826</v>
      </c>
      <c r="BV860" t="s">
        <v>3827</v>
      </c>
      <c r="BW860" t="s">
        <v>3835</v>
      </c>
      <c r="BX860">
        <v>0</v>
      </c>
      <c r="BY860" t="s">
        <v>3859</v>
      </c>
      <c r="BZ860" t="s">
        <v>3871</v>
      </c>
    </row>
    <row r="861" spans="1:78" x14ac:dyDescent="0.25">
      <c r="A861" s="7" t="s">
        <v>3471</v>
      </c>
      <c r="B861" s="7" t="s">
        <v>181</v>
      </c>
      <c r="C861" s="7" t="s">
        <v>3469</v>
      </c>
      <c r="D861" s="8" t="s">
        <v>3470</v>
      </c>
      <c r="E861" s="7" t="s">
        <v>3472</v>
      </c>
      <c r="F861" s="9">
        <v>45149</v>
      </c>
      <c r="G861" s="9" t="s">
        <v>404</v>
      </c>
      <c r="H861" s="9" t="s">
        <v>66</v>
      </c>
      <c r="I861" s="8" t="s">
        <v>78</v>
      </c>
      <c r="J861" s="10">
        <v>1141.6300000000001</v>
      </c>
      <c r="K861" s="10">
        <v>1141.6300000000001</v>
      </c>
      <c r="L861" s="10">
        <f t="shared" si="377"/>
        <v>0</v>
      </c>
      <c r="M861" s="10">
        <v>530.13</v>
      </c>
      <c r="N861" s="10">
        <v>530.13</v>
      </c>
      <c r="O861" s="10">
        <f t="shared" si="378"/>
        <v>0</v>
      </c>
      <c r="P861" s="11">
        <v>10027.99768751697</v>
      </c>
      <c r="Q861" s="11">
        <v>21595.199290740009</v>
      </c>
      <c r="R861" s="11">
        <v>22000</v>
      </c>
      <c r="S861" s="11">
        <v>11448263</v>
      </c>
      <c r="T861" s="11">
        <v>1373794</v>
      </c>
      <c r="U861" s="12">
        <f t="shared" si="379"/>
        <v>0.12000021313276957</v>
      </c>
      <c r="V861" s="13">
        <f t="shared" si="403"/>
        <v>0</v>
      </c>
      <c r="W861" s="10">
        <f t="shared" si="380"/>
        <v>0</v>
      </c>
      <c r="X861" s="10"/>
      <c r="Y861" s="10"/>
      <c r="Z861" s="11">
        <f t="shared" si="381"/>
        <v>11448263</v>
      </c>
      <c r="AA861" s="14"/>
      <c r="AB861" s="14"/>
      <c r="AC861" s="11">
        <f t="shared" si="382"/>
        <v>11448263</v>
      </c>
      <c r="AD861" s="10">
        <f t="shared" si="383"/>
        <v>300</v>
      </c>
      <c r="AE861" s="15">
        <v>159039</v>
      </c>
      <c r="AF861" s="16">
        <v>28628</v>
      </c>
      <c r="AG861" s="15">
        <f t="shared" si="384"/>
        <v>0</v>
      </c>
      <c r="AH861" s="15">
        <f t="shared" si="385"/>
        <v>0</v>
      </c>
      <c r="AI861" s="15">
        <f t="shared" si="386"/>
        <v>159039</v>
      </c>
      <c r="AJ861" s="15">
        <f t="shared" si="387"/>
        <v>28628</v>
      </c>
      <c r="AK861" s="10">
        <v>159039</v>
      </c>
      <c r="AL861" s="15">
        <f t="shared" si="388"/>
        <v>159039</v>
      </c>
      <c r="AM861" s="15">
        <f t="shared" si="389"/>
        <v>11607302</v>
      </c>
      <c r="AN861" s="15">
        <f t="shared" si="390"/>
        <v>1402422</v>
      </c>
      <c r="AO861" s="15">
        <f t="shared" si="395"/>
        <v>1933100</v>
      </c>
      <c r="AP861" s="17">
        <f t="shared" si="391"/>
        <v>13540402</v>
      </c>
      <c r="AQ861" s="15">
        <v>12150762.869999999</v>
      </c>
      <c r="AR861" s="15">
        <v>371639</v>
      </c>
      <c r="AS861" s="18">
        <f t="shared" si="396"/>
        <v>1389639</v>
      </c>
      <c r="AT861" s="19">
        <v>0</v>
      </c>
      <c r="AU861" s="8">
        <v>8800</v>
      </c>
      <c r="AV861" s="13">
        <f t="shared" si="397"/>
        <v>4665144</v>
      </c>
      <c r="AW861" s="18">
        <f t="shared" si="398"/>
        <v>11607302</v>
      </c>
      <c r="AX861" s="15">
        <f t="shared" si="392"/>
        <v>11608000</v>
      </c>
      <c r="AY861" s="20">
        <v>7.0000000000000007E-2</v>
      </c>
      <c r="AZ861" s="13">
        <f t="shared" si="393"/>
        <v>812560.00000000012</v>
      </c>
      <c r="BA861" s="15">
        <f t="shared" si="394"/>
        <v>812600</v>
      </c>
      <c r="BB861" s="21">
        <f t="shared" si="399"/>
        <v>2202239</v>
      </c>
      <c r="BC861" s="10">
        <f t="shared" si="400"/>
        <v>0</v>
      </c>
      <c r="BD861" s="10">
        <f t="shared" si="401"/>
        <v>0</v>
      </c>
      <c r="BE861" s="10">
        <v>106.06</v>
      </c>
      <c r="BF861" s="10">
        <v>49.25</v>
      </c>
      <c r="BG861" s="107">
        <v>46176</v>
      </c>
      <c r="BH861" s="107">
        <f t="shared" si="375"/>
        <v>46206</v>
      </c>
      <c r="BI861" s="23">
        <v>7</v>
      </c>
      <c r="BJ861" s="6"/>
      <c r="BK861" s="6"/>
      <c r="BL861" s="6">
        <f>VLOOKUP(A861,[2]Sheet1!$D$2:$H$933,5,0)</f>
        <v>0</v>
      </c>
      <c r="BM861" s="6" t="s">
        <v>3828</v>
      </c>
      <c r="BN861" s="6" t="s">
        <v>3829</v>
      </c>
      <c r="BO861" s="6" t="s">
        <v>3820</v>
      </c>
      <c r="BP861" s="6" t="s">
        <v>3821</v>
      </c>
      <c r="BQ861" s="6" t="s">
        <v>3830</v>
      </c>
      <c r="BR861" t="s">
        <v>3823</v>
      </c>
      <c r="BS861" t="s">
        <v>3824</v>
      </c>
      <c r="BT861" t="s">
        <v>3825</v>
      </c>
      <c r="BU861" t="s">
        <v>3826</v>
      </c>
      <c r="BV861" t="s">
        <v>3827</v>
      </c>
      <c r="BW861" t="s">
        <v>3835</v>
      </c>
      <c r="BX861">
        <v>0</v>
      </c>
      <c r="BY861" t="s">
        <v>3861</v>
      </c>
      <c r="BZ861" t="s">
        <v>3863</v>
      </c>
    </row>
    <row r="862" spans="1:78" x14ac:dyDescent="0.25">
      <c r="A862" s="7" t="s">
        <v>3475</v>
      </c>
      <c r="B862" s="7" t="s">
        <v>181</v>
      </c>
      <c r="C862" s="7" t="s">
        <v>3473</v>
      </c>
      <c r="D862" s="8" t="s">
        <v>3474</v>
      </c>
      <c r="E862" s="7" t="s">
        <v>3476</v>
      </c>
      <c r="F862" s="9">
        <v>44853</v>
      </c>
      <c r="G862" s="9" t="s">
        <v>65</v>
      </c>
      <c r="H862" s="9" t="s">
        <v>190</v>
      </c>
      <c r="I862" s="8" t="s">
        <v>78</v>
      </c>
      <c r="J862" s="10">
        <v>1360.57</v>
      </c>
      <c r="K862" s="10">
        <v>1360.57</v>
      </c>
      <c r="L862" s="10">
        <f t="shared" si="377"/>
        <v>0</v>
      </c>
      <c r="M862" s="10">
        <v>639.38</v>
      </c>
      <c r="N862" s="10">
        <v>639.38</v>
      </c>
      <c r="O862" s="10">
        <f t="shared" si="378"/>
        <v>0</v>
      </c>
      <c r="P862" s="11">
        <v>28500</v>
      </c>
      <c r="Q862" s="11">
        <v>60646.634239419436</v>
      </c>
      <c r="R862" s="11">
        <v>60000</v>
      </c>
      <c r="S862" s="11">
        <v>38776245</v>
      </c>
      <c r="T862" s="11">
        <v>4653150</v>
      </c>
      <c r="U862" s="12">
        <f t="shared" si="379"/>
        <v>0.12000001547339099</v>
      </c>
      <c r="V862" s="13">
        <f t="shared" si="403"/>
        <v>0</v>
      </c>
      <c r="W862" s="10">
        <f t="shared" si="380"/>
        <v>0</v>
      </c>
      <c r="X862" s="10"/>
      <c r="Y862" s="10"/>
      <c r="Z862" s="11">
        <f t="shared" si="381"/>
        <v>38776245</v>
      </c>
      <c r="AA862" s="14"/>
      <c r="AB862" s="14"/>
      <c r="AC862" s="11">
        <f t="shared" si="382"/>
        <v>38776245</v>
      </c>
      <c r="AD862" s="10">
        <f t="shared" si="383"/>
        <v>300</v>
      </c>
      <c r="AE862" s="15">
        <v>191814</v>
      </c>
      <c r="AF862" s="16">
        <v>34526</v>
      </c>
      <c r="AG862" s="15">
        <f t="shared" si="384"/>
        <v>0</v>
      </c>
      <c r="AH862" s="15">
        <f t="shared" si="385"/>
        <v>0</v>
      </c>
      <c r="AI862" s="15">
        <f t="shared" si="386"/>
        <v>191814</v>
      </c>
      <c r="AJ862" s="15">
        <f t="shared" si="387"/>
        <v>34527</v>
      </c>
      <c r="AK862" s="10">
        <v>191814</v>
      </c>
      <c r="AL862" s="15">
        <f t="shared" si="388"/>
        <v>191814</v>
      </c>
      <c r="AM862" s="15">
        <f t="shared" si="389"/>
        <v>38968059</v>
      </c>
      <c r="AN862" s="15">
        <f t="shared" si="390"/>
        <v>4687677</v>
      </c>
      <c r="AO862" s="15">
        <f t="shared" si="395"/>
        <v>5263403</v>
      </c>
      <c r="AP862" s="17">
        <f t="shared" si="391"/>
        <v>44231462</v>
      </c>
      <c r="AQ862" s="15">
        <v>26057637</v>
      </c>
      <c r="AR862" s="15">
        <v>383912</v>
      </c>
      <c r="AS862" s="18">
        <f t="shared" si="396"/>
        <v>18173825</v>
      </c>
      <c r="AT862" s="19">
        <v>0</v>
      </c>
      <c r="AU862" s="8">
        <v>8800</v>
      </c>
      <c r="AV862" s="13">
        <f t="shared" si="397"/>
        <v>5626544</v>
      </c>
      <c r="AW862" s="18">
        <f t="shared" si="398"/>
        <v>38968059</v>
      </c>
      <c r="AX862" s="15">
        <f t="shared" si="392"/>
        <v>38969000</v>
      </c>
      <c r="AY862" s="20">
        <v>7.0000000000000007E-2</v>
      </c>
      <c r="AZ862" s="13">
        <f t="shared" si="393"/>
        <v>2727830.0000000005</v>
      </c>
      <c r="BA862" s="15">
        <f t="shared" si="394"/>
        <v>2727900</v>
      </c>
      <c r="BB862" s="21">
        <f t="shared" si="399"/>
        <v>20901725</v>
      </c>
      <c r="BC862" s="10">
        <f t="shared" si="400"/>
        <v>0</v>
      </c>
      <c r="BD862" s="10">
        <f t="shared" si="401"/>
        <v>0</v>
      </c>
      <c r="BE862" s="10">
        <v>126.4</v>
      </c>
      <c r="BF862" s="10">
        <v>59.4</v>
      </c>
      <c r="BG862" s="107">
        <v>46176</v>
      </c>
      <c r="BH862" s="107">
        <f t="shared" si="375"/>
        <v>46206</v>
      </c>
      <c r="BI862" s="23">
        <v>7</v>
      </c>
      <c r="BJ862" s="6"/>
      <c r="BK862" s="6"/>
      <c r="BL862" s="6">
        <f>VLOOKUP(A862,[2]Sheet1!$D$2:$H$933,5,0)</f>
        <v>0</v>
      </c>
      <c r="BM862" s="6" t="s">
        <v>3828</v>
      </c>
      <c r="BN862" s="6" t="s">
        <v>3829</v>
      </c>
      <c r="BO862" s="6" t="s">
        <v>3820</v>
      </c>
      <c r="BP862" s="6" t="s">
        <v>3821</v>
      </c>
      <c r="BQ862" s="6" t="s">
        <v>3830</v>
      </c>
      <c r="BR862" t="s">
        <v>3823</v>
      </c>
      <c r="BS862" t="s">
        <v>3824</v>
      </c>
      <c r="BT862" t="s">
        <v>3825</v>
      </c>
      <c r="BU862" t="s">
        <v>3826</v>
      </c>
      <c r="BV862" t="s">
        <v>3827</v>
      </c>
      <c r="BW862" t="s">
        <v>3835</v>
      </c>
      <c r="BX862">
        <v>0</v>
      </c>
      <c r="BY862" t="s">
        <v>3864</v>
      </c>
      <c r="BZ862" t="s">
        <v>3860</v>
      </c>
    </row>
    <row r="863" spans="1:78" x14ac:dyDescent="0.25">
      <c r="A863" s="7" t="s">
        <v>3479</v>
      </c>
      <c r="B863" s="7" t="s">
        <v>181</v>
      </c>
      <c r="C863" s="7" t="s">
        <v>3477</v>
      </c>
      <c r="D863" s="8" t="s">
        <v>3478</v>
      </c>
      <c r="E863" s="7" t="s">
        <v>3476</v>
      </c>
      <c r="F863" s="9">
        <v>44853</v>
      </c>
      <c r="G863" s="9" t="s">
        <v>65</v>
      </c>
      <c r="H863" s="9" t="s">
        <v>190</v>
      </c>
      <c r="I863" s="8" t="s">
        <v>78</v>
      </c>
      <c r="J863" s="10">
        <v>1360.57</v>
      </c>
      <c r="K863" s="10">
        <v>1360.57</v>
      </c>
      <c r="L863" s="10">
        <f t="shared" si="377"/>
        <v>0</v>
      </c>
      <c r="M863" s="10">
        <v>639.38</v>
      </c>
      <c r="N863" s="10">
        <v>639.38</v>
      </c>
      <c r="O863" s="10">
        <f t="shared" si="378"/>
        <v>0</v>
      </c>
      <c r="P863" s="11">
        <v>28500</v>
      </c>
      <c r="Q863" s="11">
        <v>60646.634239419436</v>
      </c>
      <c r="R863" s="11">
        <v>60000</v>
      </c>
      <c r="S863" s="11">
        <v>38776245</v>
      </c>
      <c r="T863" s="11">
        <v>4653150</v>
      </c>
      <c r="U863" s="12">
        <f t="shared" si="379"/>
        <v>0.12000001547339099</v>
      </c>
      <c r="V863" s="13">
        <f t="shared" si="403"/>
        <v>0</v>
      </c>
      <c r="W863" s="10">
        <f t="shared" si="380"/>
        <v>0</v>
      </c>
      <c r="X863" s="10"/>
      <c r="Y863" s="10"/>
      <c r="Z863" s="11">
        <f t="shared" si="381"/>
        <v>38776245</v>
      </c>
      <c r="AA863" s="14"/>
      <c r="AB863" s="14"/>
      <c r="AC863" s="11">
        <f t="shared" si="382"/>
        <v>38776245</v>
      </c>
      <c r="AD863" s="10">
        <f t="shared" si="383"/>
        <v>300</v>
      </c>
      <c r="AE863" s="15">
        <v>191814</v>
      </c>
      <c r="AF863" s="16">
        <v>34526</v>
      </c>
      <c r="AG863" s="15">
        <f t="shared" si="384"/>
        <v>0</v>
      </c>
      <c r="AH863" s="15">
        <f t="shared" si="385"/>
        <v>0</v>
      </c>
      <c r="AI863" s="15">
        <f t="shared" si="386"/>
        <v>191814</v>
      </c>
      <c r="AJ863" s="15">
        <f t="shared" si="387"/>
        <v>34527</v>
      </c>
      <c r="AK863" s="10">
        <v>191814</v>
      </c>
      <c r="AL863" s="15">
        <f t="shared" si="388"/>
        <v>191814</v>
      </c>
      <c r="AM863" s="15">
        <f t="shared" si="389"/>
        <v>38968059</v>
      </c>
      <c r="AN863" s="15">
        <f t="shared" si="390"/>
        <v>4687677</v>
      </c>
      <c r="AO863" s="15">
        <f t="shared" si="395"/>
        <v>5268446</v>
      </c>
      <c r="AP863" s="17">
        <f t="shared" si="391"/>
        <v>44236505</v>
      </c>
      <c r="AQ863" s="15">
        <v>26057637</v>
      </c>
      <c r="AR863" s="15">
        <v>388955</v>
      </c>
      <c r="AS863" s="18">
        <f t="shared" si="396"/>
        <v>18178868</v>
      </c>
      <c r="AT863" s="19">
        <v>0</v>
      </c>
      <c r="AU863" s="8">
        <v>8800</v>
      </c>
      <c r="AV863" s="13">
        <f t="shared" si="397"/>
        <v>5626544</v>
      </c>
      <c r="AW863" s="18">
        <f t="shared" si="398"/>
        <v>38968059</v>
      </c>
      <c r="AX863" s="15">
        <f t="shared" si="392"/>
        <v>38969000</v>
      </c>
      <c r="AY863" s="20">
        <v>7.0000000000000007E-2</v>
      </c>
      <c r="AZ863" s="13">
        <f t="shared" si="393"/>
        <v>2727830.0000000005</v>
      </c>
      <c r="BA863" s="15">
        <f t="shared" si="394"/>
        <v>2727900</v>
      </c>
      <c r="BB863" s="21">
        <f t="shared" si="399"/>
        <v>20906768</v>
      </c>
      <c r="BC863" s="10">
        <f t="shared" si="400"/>
        <v>0</v>
      </c>
      <c r="BD863" s="10">
        <f t="shared" si="401"/>
        <v>0</v>
      </c>
      <c r="BE863" s="10">
        <v>126.4</v>
      </c>
      <c r="BF863" s="10">
        <v>59.4</v>
      </c>
      <c r="BG863" s="107">
        <v>46176</v>
      </c>
      <c r="BH863" s="107">
        <f t="shared" si="375"/>
        <v>46206</v>
      </c>
      <c r="BI863" s="23">
        <v>7</v>
      </c>
      <c r="BJ863" s="6"/>
      <c r="BK863" s="6"/>
      <c r="BL863" s="6">
        <f>VLOOKUP(A863,[2]Sheet1!$D$2:$H$933,5,0)</f>
        <v>0</v>
      </c>
      <c r="BM863" s="6" t="s">
        <v>3828</v>
      </c>
      <c r="BN863" s="6" t="s">
        <v>3829</v>
      </c>
      <c r="BO863" s="6" t="s">
        <v>3820</v>
      </c>
      <c r="BP863" s="6" t="s">
        <v>3821</v>
      </c>
      <c r="BQ863" s="6" t="s">
        <v>3830</v>
      </c>
      <c r="BR863" t="s">
        <v>3823</v>
      </c>
      <c r="BS863" t="s">
        <v>3824</v>
      </c>
      <c r="BT863" t="s">
        <v>3825</v>
      </c>
      <c r="BU863" t="s">
        <v>3826</v>
      </c>
      <c r="BV863" t="s">
        <v>3827</v>
      </c>
      <c r="BW863" t="s">
        <v>3835</v>
      </c>
      <c r="BX863">
        <v>0</v>
      </c>
      <c r="BY863" t="s">
        <v>3864</v>
      </c>
      <c r="BZ863" t="s">
        <v>3860</v>
      </c>
    </row>
    <row r="864" spans="1:78" x14ac:dyDescent="0.25">
      <c r="A864" s="7" t="s">
        <v>3482</v>
      </c>
      <c r="B864" s="7" t="s">
        <v>181</v>
      </c>
      <c r="C864" s="7" t="s">
        <v>3480</v>
      </c>
      <c r="D864" s="8" t="s">
        <v>3481</v>
      </c>
      <c r="E864" s="7" t="s">
        <v>3476</v>
      </c>
      <c r="F864" s="9">
        <v>44853</v>
      </c>
      <c r="G864" s="9" t="s">
        <v>65</v>
      </c>
      <c r="H864" s="9" t="s">
        <v>190</v>
      </c>
      <c r="I864" s="8" t="s">
        <v>78</v>
      </c>
      <c r="J864" s="10">
        <v>1360.57</v>
      </c>
      <c r="K864" s="10">
        <v>1360.57</v>
      </c>
      <c r="L864" s="10">
        <f t="shared" si="377"/>
        <v>0</v>
      </c>
      <c r="M864" s="10">
        <v>639.38</v>
      </c>
      <c r="N864" s="10">
        <v>639.38</v>
      </c>
      <c r="O864" s="10">
        <f t="shared" si="378"/>
        <v>0</v>
      </c>
      <c r="P864" s="11">
        <v>28500</v>
      </c>
      <c r="Q864" s="11">
        <v>60646.634239419436</v>
      </c>
      <c r="R864" s="11">
        <v>60000</v>
      </c>
      <c r="S864" s="11">
        <v>38776245</v>
      </c>
      <c r="T864" s="11">
        <v>4653150</v>
      </c>
      <c r="U864" s="12">
        <f t="shared" si="379"/>
        <v>0.12000001547339099</v>
      </c>
      <c r="V864" s="13">
        <f t="shared" si="403"/>
        <v>0</v>
      </c>
      <c r="W864" s="10">
        <f t="shared" si="380"/>
        <v>0</v>
      </c>
      <c r="X864" s="10"/>
      <c r="Y864" s="10"/>
      <c r="Z864" s="11">
        <f t="shared" si="381"/>
        <v>38776245</v>
      </c>
      <c r="AA864" s="14"/>
      <c r="AB864" s="14"/>
      <c r="AC864" s="11">
        <f t="shared" si="382"/>
        <v>38776245</v>
      </c>
      <c r="AD864" s="10">
        <f t="shared" si="383"/>
        <v>300</v>
      </c>
      <c r="AE864" s="15">
        <v>191814</v>
      </c>
      <c r="AF864" s="16">
        <v>34526</v>
      </c>
      <c r="AG864" s="15">
        <f t="shared" si="384"/>
        <v>0</v>
      </c>
      <c r="AH864" s="15">
        <f t="shared" si="385"/>
        <v>0</v>
      </c>
      <c r="AI864" s="15">
        <f t="shared" si="386"/>
        <v>191814</v>
      </c>
      <c r="AJ864" s="15">
        <f t="shared" si="387"/>
        <v>34527</v>
      </c>
      <c r="AK864" s="10">
        <v>191814</v>
      </c>
      <c r="AL864" s="15">
        <f t="shared" si="388"/>
        <v>191814</v>
      </c>
      <c r="AM864" s="15">
        <f t="shared" si="389"/>
        <v>38968059</v>
      </c>
      <c r="AN864" s="15">
        <f t="shared" si="390"/>
        <v>4687677</v>
      </c>
      <c r="AO864" s="15">
        <f t="shared" si="395"/>
        <v>5280984</v>
      </c>
      <c r="AP864" s="17">
        <f t="shared" si="391"/>
        <v>44249043</v>
      </c>
      <c r="AQ864" s="15">
        <v>26057637</v>
      </c>
      <c r="AR864" s="15">
        <v>401493</v>
      </c>
      <c r="AS864" s="18">
        <f t="shared" si="396"/>
        <v>18191406</v>
      </c>
      <c r="AT864" s="19">
        <v>0</v>
      </c>
      <c r="AU864" s="8">
        <v>8800</v>
      </c>
      <c r="AV864" s="13">
        <f t="shared" si="397"/>
        <v>5626544</v>
      </c>
      <c r="AW864" s="18">
        <f t="shared" si="398"/>
        <v>38968059</v>
      </c>
      <c r="AX864" s="15">
        <f t="shared" si="392"/>
        <v>38969000</v>
      </c>
      <c r="AY864" s="20">
        <v>7.0000000000000007E-2</v>
      </c>
      <c r="AZ864" s="13">
        <f t="shared" si="393"/>
        <v>2727830.0000000005</v>
      </c>
      <c r="BA864" s="15">
        <f t="shared" si="394"/>
        <v>2727900</v>
      </c>
      <c r="BB864" s="21">
        <f t="shared" si="399"/>
        <v>20919306</v>
      </c>
      <c r="BC864" s="10">
        <f t="shared" si="400"/>
        <v>0</v>
      </c>
      <c r="BD864" s="10">
        <f t="shared" si="401"/>
        <v>0</v>
      </c>
      <c r="BE864" s="10">
        <v>126.4</v>
      </c>
      <c r="BF864" s="10">
        <v>59.4</v>
      </c>
      <c r="BG864" s="107">
        <v>46176</v>
      </c>
      <c r="BH864" s="107">
        <f t="shared" si="375"/>
        <v>46206</v>
      </c>
      <c r="BI864" s="23">
        <v>7</v>
      </c>
      <c r="BJ864" s="6"/>
      <c r="BK864" s="6"/>
      <c r="BL864" s="6">
        <f>VLOOKUP(A864,[2]Sheet1!$D$2:$H$933,5,0)</f>
        <v>0</v>
      </c>
      <c r="BM864" s="6" t="s">
        <v>3828</v>
      </c>
      <c r="BN864" s="6" t="s">
        <v>3829</v>
      </c>
      <c r="BO864" s="6" t="s">
        <v>3820</v>
      </c>
      <c r="BP864" s="6" t="s">
        <v>3821</v>
      </c>
      <c r="BQ864" s="6" t="s">
        <v>3830</v>
      </c>
      <c r="BR864" t="s">
        <v>3823</v>
      </c>
      <c r="BS864" t="s">
        <v>3824</v>
      </c>
      <c r="BT864" t="s">
        <v>3825</v>
      </c>
      <c r="BU864" t="s">
        <v>3826</v>
      </c>
      <c r="BV864" t="s">
        <v>3827</v>
      </c>
      <c r="BW864" t="s">
        <v>3835</v>
      </c>
      <c r="BX864">
        <v>0</v>
      </c>
      <c r="BY864" t="s">
        <v>3864</v>
      </c>
      <c r="BZ864" t="s">
        <v>3860</v>
      </c>
    </row>
    <row r="865" spans="1:78" x14ac:dyDescent="0.25">
      <c r="A865" s="7" t="s">
        <v>3485</v>
      </c>
      <c r="B865" s="7" t="s">
        <v>181</v>
      </c>
      <c r="C865" s="7" t="s">
        <v>3483</v>
      </c>
      <c r="D865" s="8" t="s">
        <v>3484</v>
      </c>
      <c r="E865" s="7" t="s">
        <v>3371</v>
      </c>
      <c r="F865" s="9">
        <v>45147</v>
      </c>
      <c r="G865" s="9" t="s">
        <v>717</v>
      </c>
      <c r="H865" s="9" t="s">
        <v>87</v>
      </c>
      <c r="I865" s="8" t="s">
        <v>78</v>
      </c>
      <c r="J865" s="10">
        <v>735.18</v>
      </c>
      <c r="K865" s="10">
        <v>735.18</v>
      </c>
      <c r="L865" s="10">
        <f t="shared" si="377"/>
        <v>0</v>
      </c>
      <c r="M865" s="10">
        <v>315.39</v>
      </c>
      <c r="N865" s="10">
        <v>315.39</v>
      </c>
      <c r="O865" s="10">
        <f t="shared" si="378"/>
        <v>0</v>
      </c>
      <c r="P865" s="11">
        <v>14645.999619140892</v>
      </c>
      <c r="Q865" s="11">
        <v>34140.099559275819</v>
      </c>
      <c r="R865" s="11">
        <v>40000</v>
      </c>
      <c r="S865" s="11">
        <v>10767446</v>
      </c>
      <c r="T865" s="11">
        <v>1292092</v>
      </c>
      <c r="U865" s="12">
        <f t="shared" si="379"/>
        <v>0.11999985883374757</v>
      </c>
      <c r="V865" s="13">
        <f t="shared" si="403"/>
        <v>0</v>
      </c>
      <c r="W865" s="10">
        <f t="shared" si="380"/>
        <v>0</v>
      </c>
      <c r="X865" s="10"/>
      <c r="Y865" s="10"/>
      <c r="Z865" s="11">
        <f t="shared" si="381"/>
        <v>10767446</v>
      </c>
      <c r="AA865" s="14"/>
      <c r="AB865" s="14"/>
      <c r="AC865" s="11">
        <f t="shared" si="382"/>
        <v>10767446</v>
      </c>
      <c r="AD865" s="10">
        <f t="shared" si="383"/>
        <v>300</v>
      </c>
      <c r="AE865" s="15">
        <v>94617</v>
      </c>
      <c r="AF865" s="16">
        <v>17032</v>
      </c>
      <c r="AG865" s="15">
        <f t="shared" si="384"/>
        <v>0</v>
      </c>
      <c r="AH865" s="15">
        <f t="shared" si="385"/>
        <v>0</v>
      </c>
      <c r="AI865" s="15">
        <f t="shared" si="386"/>
        <v>94617</v>
      </c>
      <c r="AJ865" s="15">
        <f t="shared" si="387"/>
        <v>17032</v>
      </c>
      <c r="AK865" s="10">
        <v>94617</v>
      </c>
      <c r="AL865" s="15">
        <f t="shared" si="388"/>
        <v>94617</v>
      </c>
      <c r="AM865" s="15">
        <f t="shared" si="389"/>
        <v>10862063</v>
      </c>
      <c r="AN865" s="15">
        <f t="shared" si="390"/>
        <v>1309124</v>
      </c>
      <c r="AO865" s="15">
        <f t="shared" si="395"/>
        <v>1816525.32</v>
      </c>
      <c r="AP865" s="17">
        <f t="shared" si="391"/>
        <v>12678588.32</v>
      </c>
      <c r="AQ865" s="15">
        <v>11447998.460000001</v>
      </c>
      <c r="AR865" s="15">
        <v>412784.32</v>
      </c>
      <c r="AS865" s="18">
        <f t="shared" si="396"/>
        <v>1230590</v>
      </c>
      <c r="AT865" s="19">
        <v>0</v>
      </c>
      <c r="AU865" s="8">
        <v>8800</v>
      </c>
      <c r="AV865" s="13">
        <f t="shared" si="397"/>
        <v>2775432</v>
      </c>
      <c r="AW865" s="18">
        <f t="shared" si="398"/>
        <v>10862063</v>
      </c>
      <c r="AX865" s="15">
        <f t="shared" si="392"/>
        <v>10863000</v>
      </c>
      <c r="AY865" s="20">
        <v>7.0000000000000007E-2</v>
      </c>
      <c r="AZ865" s="13">
        <f t="shared" si="393"/>
        <v>760410.00000000012</v>
      </c>
      <c r="BA865" s="15">
        <f t="shared" si="394"/>
        <v>760500</v>
      </c>
      <c r="BB865" s="21">
        <f t="shared" si="399"/>
        <v>1991090</v>
      </c>
      <c r="BC865" s="10">
        <f t="shared" si="400"/>
        <v>0</v>
      </c>
      <c r="BD865" s="10">
        <f t="shared" si="401"/>
        <v>0</v>
      </c>
      <c r="BE865" s="10">
        <v>68.3</v>
      </c>
      <c r="BF865" s="10">
        <v>29.3</v>
      </c>
      <c r="BG865" s="107">
        <v>46176</v>
      </c>
      <c r="BH865" s="107">
        <f t="shared" si="375"/>
        <v>46206</v>
      </c>
      <c r="BI865" s="23">
        <v>7</v>
      </c>
      <c r="BJ865" s="6"/>
      <c r="BK865" s="6"/>
      <c r="BL865" s="6">
        <f>VLOOKUP(A865,[2]Sheet1!$D$2:$H$933,5,0)</f>
        <v>0</v>
      </c>
      <c r="BM865" s="6" t="s">
        <v>3828</v>
      </c>
      <c r="BN865" s="6" t="s">
        <v>3829</v>
      </c>
      <c r="BO865" s="6" t="s">
        <v>3820</v>
      </c>
      <c r="BP865" s="6" t="s">
        <v>3821</v>
      </c>
      <c r="BQ865" s="6" t="s">
        <v>3830</v>
      </c>
      <c r="BR865" t="s">
        <v>3823</v>
      </c>
      <c r="BS865" t="s">
        <v>3824</v>
      </c>
      <c r="BT865" t="s">
        <v>3825</v>
      </c>
      <c r="BU865" t="s">
        <v>3826</v>
      </c>
      <c r="BV865" t="s">
        <v>3827</v>
      </c>
      <c r="BW865" t="s">
        <v>3835</v>
      </c>
      <c r="BX865">
        <v>0</v>
      </c>
      <c r="BY865" t="s">
        <v>3861</v>
      </c>
      <c r="BZ865" t="s">
        <v>3872</v>
      </c>
    </row>
    <row r="866" spans="1:78" x14ac:dyDescent="0.25">
      <c r="A866" s="7" t="s">
        <v>3488</v>
      </c>
      <c r="B866" s="7" t="s">
        <v>181</v>
      </c>
      <c r="C866" s="7" t="s">
        <v>3486</v>
      </c>
      <c r="D866" s="8" t="s">
        <v>3487</v>
      </c>
      <c r="E866" s="7" t="s">
        <v>3371</v>
      </c>
      <c r="F866" s="9">
        <v>45132</v>
      </c>
      <c r="G866" s="9" t="s">
        <v>527</v>
      </c>
      <c r="H866" s="9" t="s">
        <v>87</v>
      </c>
      <c r="I866" s="8" t="s">
        <v>78</v>
      </c>
      <c r="J866" s="10">
        <v>913.65</v>
      </c>
      <c r="K866" s="10">
        <v>913.65</v>
      </c>
      <c r="L866" s="10">
        <f t="shared" si="377"/>
        <v>0</v>
      </c>
      <c r="M866" s="10">
        <v>413.34</v>
      </c>
      <c r="N866" s="10">
        <v>413.34</v>
      </c>
      <c r="O866" s="10">
        <f t="shared" si="378"/>
        <v>0</v>
      </c>
      <c r="P866" s="11">
        <v>14645.997920429048</v>
      </c>
      <c r="Q866" s="11">
        <v>32373.629457589395</v>
      </c>
      <c r="R866" s="11">
        <v>40000</v>
      </c>
      <c r="S866" s="11">
        <v>13381316</v>
      </c>
      <c r="T866" s="11">
        <v>1605760</v>
      </c>
      <c r="U866" s="12">
        <f t="shared" si="379"/>
        <v>0.12000015544061586</v>
      </c>
      <c r="V866" s="13">
        <f t="shared" si="403"/>
        <v>0</v>
      </c>
      <c r="W866" s="10">
        <f t="shared" si="380"/>
        <v>0</v>
      </c>
      <c r="X866" s="10"/>
      <c r="Y866" s="10"/>
      <c r="Z866" s="11">
        <f t="shared" si="381"/>
        <v>13381316</v>
      </c>
      <c r="AA866" s="14"/>
      <c r="AB866" s="14"/>
      <c r="AC866" s="11">
        <f t="shared" si="382"/>
        <v>13381316</v>
      </c>
      <c r="AD866" s="10">
        <f t="shared" si="383"/>
        <v>300</v>
      </c>
      <c r="AE866" s="15">
        <v>124002</v>
      </c>
      <c r="AF866" s="16">
        <v>22320</v>
      </c>
      <c r="AG866" s="15">
        <f t="shared" si="384"/>
        <v>0</v>
      </c>
      <c r="AH866" s="15">
        <f t="shared" si="385"/>
        <v>0</v>
      </c>
      <c r="AI866" s="15">
        <f t="shared" si="386"/>
        <v>124001.99999999999</v>
      </c>
      <c r="AJ866" s="15">
        <f t="shared" si="387"/>
        <v>22321</v>
      </c>
      <c r="AK866" s="10">
        <v>124002</v>
      </c>
      <c r="AL866" s="15">
        <f t="shared" si="388"/>
        <v>124001.99999999999</v>
      </c>
      <c r="AM866" s="15">
        <f t="shared" si="389"/>
        <v>13505318</v>
      </c>
      <c r="AN866" s="15">
        <f t="shared" si="390"/>
        <v>1628081</v>
      </c>
      <c r="AO866" s="15">
        <f t="shared" si="395"/>
        <v>2173015</v>
      </c>
      <c r="AP866" s="17">
        <f t="shared" si="391"/>
        <v>15678333</v>
      </c>
      <c r="AQ866" s="15">
        <v>14380098.810000001</v>
      </c>
      <c r="AR866" s="15">
        <v>420932</v>
      </c>
      <c r="AS866" s="18">
        <f t="shared" si="396"/>
        <v>1298234</v>
      </c>
      <c r="AT866" s="19">
        <v>0</v>
      </c>
      <c r="AU866" s="8">
        <v>8800</v>
      </c>
      <c r="AV866" s="13">
        <f t="shared" si="397"/>
        <v>3637392</v>
      </c>
      <c r="AW866" s="18">
        <f t="shared" si="398"/>
        <v>13505318</v>
      </c>
      <c r="AX866" s="15">
        <f t="shared" si="392"/>
        <v>13506000</v>
      </c>
      <c r="AY866" s="20">
        <v>7.0000000000000007E-2</v>
      </c>
      <c r="AZ866" s="13">
        <f t="shared" si="393"/>
        <v>945420.00000000012</v>
      </c>
      <c r="BA866" s="15">
        <f t="shared" si="394"/>
        <v>945500</v>
      </c>
      <c r="BB866" s="21">
        <f t="shared" si="399"/>
        <v>2243734</v>
      </c>
      <c r="BC866" s="10">
        <f t="shared" si="400"/>
        <v>0</v>
      </c>
      <c r="BD866" s="10">
        <f t="shared" si="401"/>
        <v>0</v>
      </c>
      <c r="BE866" s="10">
        <v>84.88</v>
      </c>
      <c r="BF866" s="10">
        <v>38.4</v>
      </c>
      <c r="BG866" s="107">
        <v>46176</v>
      </c>
      <c r="BH866" s="107">
        <f t="shared" si="375"/>
        <v>46206</v>
      </c>
      <c r="BI866" s="23">
        <v>7</v>
      </c>
      <c r="BJ866" s="6"/>
      <c r="BK866" s="6"/>
      <c r="BL866" s="6">
        <f>VLOOKUP(A866,[2]Sheet1!$D$2:$H$933,5,0)</f>
        <v>0</v>
      </c>
      <c r="BM866" s="6" t="s">
        <v>3828</v>
      </c>
      <c r="BN866" s="6" t="s">
        <v>3829</v>
      </c>
      <c r="BO866" s="6" t="s">
        <v>3820</v>
      </c>
      <c r="BP866" s="6" t="s">
        <v>3821</v>
      </c>
      <c r="BQ866" s="6" t="s">
        <v>3830</v>
      </c>
      <c r="BR866" t="s">
        <v>3823</v>
      </c>
      <c r="BS866" t="s">
        <v>3824</v>
      </c>
      <c r="BT866" t="s">
        <v>3825</v>
      </c>
      <c r="BU866" t="s">
        <v>3826</v>
      </c>
      <c r="BV866" t="s">
        <v>3827</v>
      </c>
      <c r="BW866" t="s">
        <v>3835</v>
      </c>
      <c r="BX866">
        <v>0</v>
      </c>
      <c r="BY866" t="s">
        <v>3861</v>
      </c>
      <c r="BZ866" t="s">
        <v>3871</v>
      </c>
    </row>
    <row r="867" spans="1:78" x14ac:dyDescent="0.25">
      <c r="A867" s="7" t="s">
        <v>3491</v>
      </c>
      <c r="B867" s="7" t="s">
        <v>181</v>
      </c>
      <c r="C867" s="7" t="s">
        <v>3489</v>
      </c>
      <c r="D867" s="8" t="s">
        <v>3490</v>
      </c>
      <c r="E867" s="7" t="s">
        <v>3371</v>
      </c>
      <c r="F867" s="9">
        <v>45132</v>
      </c>
      <c r="G867" s="9" t="s">
        <v>527</v>
      </c>
      <c r="H867" s="9" t="s">
        <v>87</v>
      </c>
      <c r="I867" s="8" t="s">
        <v>78</v>
      </c>
      <c r="J867" s="10">
        <v>940.13</v>
      </c>
      <c r="K867" s="10">
        <v>940.13</v>
      </c>
      <c r="L867" s="10">
        <f t="shared" si="377"/>
        <v>0</v>
      </c>
      <c r="M867" s="10">
        <v>432.61</v>
      </c>
      <c r="N867" s="10">
        <v>432.61</v>
      </c>
      <c r="O867" s="10">
        <f t="shared" si="378"/>
        <v>0</v>
      </c>
      <c r="P867" s="11">
        <v>14646.002148639018</v>
      </c>
      <c r="Q867" s="11">
        <v>31828.080719354613</v>
      </c>
      <c r="R867" s="11">
        <v>40000</v>
      </c>
      <c r="S867" s="11">
        <v>13769146</v>
      </c>
      <c r="T867" s="11">
        <v>1652300</v>
      </c>
      <c r="U867" s="12">
        <f t="shared" si="379"/>
        <v>0.12000018011284069</v>
      </c>
      <c r="V867" s="13">
        <f t="shared" si="403"/>
        <v>0</v>
      </c>
      <c r="W867" s="10">
        <f t="shared" si="380"/>
        <v>0</v>
      </c>
      <c r="X867" s="10"/>
      <c r="Y867" s="10"/>
      <c r="Z867" s="11">
        <f t="shared" si="381"/>
        <v>13769146</v>
      </c>
      <c r="AA867" s="14"/>
      <c r="AB867" s="14"/>
      <c r="AC867" s="11">
        <f t="shared" si="382"/>
        <v>13769146</v>
      </c>
      <c r="AD867" s="10">
        <f t="shared" si="383"/>
        <v>300</v>
      </c>
      <c r="AE867" s="15">
        <v>129783</v>
      </c>
      <c r="AF867" s="16">
        <v>23360</v>
      </c>
      <c r="AG867" s="15">
        <f t="shared" si="384"/>
        <v>0</v>
      </c>
      <c r="AH867" s="15">
        <f t="shared" si="385"/>
        <v>0</v>
      </c>
      <c r="AI867" s="15">
        <f t="shared" si="386"/>
        <v>129783</v>
      </c>
      <c r="AJ867" s="15">
        <f t="shared" si="387"/>
        <v>23361</v>
      </c>
      <c r="AK867" s="10">
        <v>129783</v>
      </c>
      <c r="AL867" s="15">
        <f t="shared" si="388"/>
        <v>129783</v>
      </c>
      <c r="AM867" s="15">
        <f t="shared" si="389"/>
        <v>13898929</v>
      </c>
      <c r="AN867" s="15">
        <f t="shared" si="390"/>
        <v>1675661</v>
      </c>
      <c r="AO867" s="15">
        <f t="shared" si="395"/>
        <v>2234669</v>
      </c>
      <c r="AP867" s="17">
        <f t="shared" si="391"/>
        <v>16133598</v>
      </c>
      <c r="AQ867" s="15">
        <v>14796873.060000001</v>
      </c>
      <c r="AR867" s="15">
        <v>429225</v>
      </c>
      <c r="AS867" s="18">
        <f t="shared" si="396"/>
        <v>1336725</v>
      </c>
      <c r="AT867" s="19">
        <v>0</v>
      </c>
      <c r="AU867" s="8">
        <v>8800</v>
      </c>
      <c r="AV867" s="13">
        <f t="shared" si="397"/>
        <v>3806968</v>
      </c>
      <c r="AW867" s="18">
        <f t="shared" si="398"/>
        <v>13898929</v>
      </c>
      <c r="AX867" s="15">
        <f t="shared" si="392"/>
        <v>13899000</v>
      </c>
      <c r="AY867" s="20">
        <v>7.0000000000000007E-2</v>
      </c>
      <c r="AZ867" s="13">
        <f t="shared" si="393"/>
        <v>972930.00000000012</v>
      </c>
      <c r="BA867" s="15">
        <f t="shared" si="394"/>
        <v>973000</v>
      </c>
      <c r="BB867" s="21">
        <f t="shared" si="399"/>
        <v>2309725</v>
      </c>
      <c r="BC867" s="10">
        <f t="shared" si="400"/>
        <v>0</v>
      </c>
      <c r="BD867" s="10">
        <f t="shared" si="401"/>
        <v>0</v>
      </c>
      <c r="BE867" s="10">
        <v>87.34</v>
      </c>
      <c r="BF867" s="10">
        <v>40.19</v>
      </c>
      <c r="BG867" s="107">
        <v>46176</v>
      </c>
      <c r="BH867" s="107">
        <f t="shared" si="375"/>
        <v>46206</v>
      </c>
      <c r="BI867" s="23">
        <v>7</v>
      </c>
      <c r="BJ867" s="6"/>
      <c r="BK867" s="6"/>
      <c r="BL867" s="6">
        <f>VLOOKUP(A867,[2]Sheet1!$D$2:$H$933,5,0)</f>
        <v>0</v>
      </c>
      <c r="BM867" s="6" t="s">
        <v>3828</v>
      </c>
      <c r="BN867" s="6" t="s">
        <v>3829</v>
      </c>
      <c r="BO867" s="6" t="s">
        <v>3820</v>
      </c>
      <c r="BP867" s="6" t="s">
        <v>3821</v>
      </c>
      <c r="BQ867" s="6" t="s">
        <v>3830</v>
      </c>
      <c r="BR867" t="s">
        <v>3823</v>
      </c>
      <c r="BS867" t="s">
        <v>3824</v>
      </c>
      <c r="BT867" t="s">
        <v>3825</v>
      </c>
      <c r="BU867" t="s">
        <v>3826</v>
      </c>
      <c r="BV867" t="s">
        <v>3827</v>
      </c>
      <c r="BW867" t="s">
        <v>3835</v>
      </c>
      <c r="BX867">
        <v>0</v>
      </c>
      <c r="BY867" t="s">
        <v>3861</v>
      </c>
      <c r="BZ867" t="s">
        <v>3871</v>
      </c>
    </row>
    <row r="868" spans="1:78" x14ac:dyDescent="0.25">
      <c r="A868" s="7" t="s">
        <v>3494</v>
      </c>
      <c r="B868" s="7" t="s">
        <v>181</v>
      </c>
      <c r="C868" s="7" t="s">
        <v>3492</v>
      </c>
      <c r="D868" s="8" t="s">
        <v>3493</v>
      </c>
      <c r="E868" s="7" t="s">
        <v>3442</v>
      </c>
      <c r="F868" s="9">
        <v>45146</v>
      </c>
      <c r="G868" s="9" t="s">
        <v>77</v>
      </c>
      <c r="H868" s="9" t="s">
        <v>92</v>
      </c>
      <c r="I868" s="8" t="s">
        <v>78</v>
      </c>
      <c r="J868" s="10">
        <v>1475.96</v>
      </c>
      <c r="K868" s="10">
        <v>1475.96</v>
      </c>
      <c r="L868" s="10">
        <f t="shared" si="377"/>
        <v>0</v>
      </c>
      <c r="M868" s="10">
        <v>678.67</v>
      </c>
      <c r="N868" s="10">
        <v>678.67</v>
      </c>
      <c r="O868" s="10">
        <f t="shared" si="378"/>
        <v>0</v>
      </c>
      <c r="P868" s="11">
        <v>12437.001680262338</v>
      </c>
      <c r="Q868" s="11">
        <v>27047.780217189505</v>
      </c>
      <c r="R868" s="11">
        <v>28000</v>
      </c>
      <c r="S868" s="11">
        <v>18356517</v>
      </c>
      <c r="T868" s="11">
        <v>2202782</v>
      </c>
      <c r="U868" s="12">
        <f t="shared" si="379"/>
        <v>0.11999999782093738</v>
      </c>
      <c r="V868" s="13">
        <f t="shared" si="403"/>
        <v>0</v>
      </c>
      <c r="W868" s="10">
        <f t="shared" si="380"/>
        <v>0</v>
      </c>
      <c r="X868" s="10"/>
      <c r="Y868" s="10"/>
      <c r="Z868" s="11">
        <f t="shared" si="381"/>
        <v>18356517</v>
      </c>
      <c r="AA868" s="14"/>
      <c r="AB868" s="14"/>
      <c r="AC868" s="11">
        <f t="shared" si="382"/>
        <v>18356517</v>
      </c>
      <c r="AD868" s="10">
        <f t="shared" si="383"/>
        <v>300</v>
      </c>
      <c r="AE868" s="15">
        <v>203601</v>
      </c>
      <c r="AF868" s="16">
        <v>36648</v>
      </c>
      <c r="AG868" s="15">
        <f t="shared" si="384"/>
        <v>0</v>
      </c>
      <c r="AH868" s="15">
        <f t="shared" si="385"/>
        <v>0</v>
      </c>
      <c r="AI868" s="15">
        <f t="shared" si="386"/>
        <v>203601</v>
      </c>
      <c r="AJ868" s="15">
        <f t="shared" si="387"/>
        <v>36649</v>
      </c>
      <c r="AK868" s="10">
        <v>203601</v>
      </c>
      <c r="AL868" s="15">
        <f t="shared" si="388"/>
        <v>203601</v>
      </c>
      <c r="AM868" s="15">
        <f t="shared" si="389"/>
        <v>18560118</v>
      </c>
      <c r="AN868" s="15">
        <f t="shared" si="390"/>
        <v>2239431</v>
      </c>
      <c r="AO868" s="15">
        <f t="shared" si="395"/>
        <v>2877148</v>
      </c>
      <c r="AP868" s="17">
        <f t="shared" si="391"/>
        <v>21437266</v>
      </c>
      <c r="AQ868" s="15">
        <v>19531330</v>
      </c>
      <c r="AR868" s="15">
        <v>434116</v>
      </c>
      <c r="AS868" s="18">
        <f t="shared" si="396"/>
        <v>1905936</v>
      </c>
      <c r="AT868" s="19">
        <v>0</v>
      </c>
      <c r="AU868" s="8">
        <v>8800</v>
      </c>
      <c r="AV868" s="13">
        <f t="shared" si="397"/>
        <v>5972296</v>
      </c>
      <c r="AW868" s="18">
        <f t="shared" si="398"/>
        <v>18560118</v>
      </c>
      <c r="AX868" s="15">
        <f t="shared" si="392"/>
        <v>18561000</v>
      </c>
      <c r="AY868" s="20">
        <v>0.05</v>
      </c>
      <c r="AZ868" s="13">
        <f t="shared" si="393"/>
        <v>928050</v>
      </c>
      <c r="BA868" s="15">
        <f t="shared" si="394"/>
        <v>928100</v>
      </c>
      <c r="BB868" s="21">
        <f t="shared" si="399"/>
        <v>2834036</v>
      </c>
      <c r="BC868" s="10">
        <f t="shared" si="400"/>
        <v>0</v>
      </c>
      <c r="BD868" s="10">
        <f t="shared" si="401"/>
        <v>0</v>
      </c>
      <c r="BE868" s="10">
        <v>137.12</v>
      </c>
      <c r="BF868" s="10">
        <v>63.05</v>
      </c>
      <c r="BG868" s="107">
        <v>46176</v>
      </c>
      <c r="BH868" s="107">
        <f t="shared" si="375"/>
        <v>46206</v>
      </c>
      <c r="BI868" s="23">
        <v>5</v>
      </c>
      <c r="BJ868" s="6"/>
      <c r="BK868" s="6"/>
      <c r="BL868" s="6">
        <f>VLOOKUP(A868,[2]Sheet1!$D$2:$H$933,5,0)</f>
        <v>0</v>
      </c>
      <c r="BM868" s="6" t="s">
        <v>3828</v>
      </c>
      <c r="BN868" s="6" t="s">
        <v>3829</v>
      </c>
      <c r="BO868" s="6" t="s">
        <v>3820</v>
      </c>
      <c r="BP868" s="6" t="s">
        <v>3821</v>
      </c>
      <c r="BQ868" s="6" t="s">
        <v>3830</v>
      </c>
      <c r="BR868" t="s">
        <v>3823</v>
      </c>
      <c r="BS868" t="s">
        <v>3824</v>
      </c>
      <c r="BT868" t="s">
        <v>3825</v>
      </c>
      <c r="BU868" t="s">
        <v>3826</v>
      </c>
      <c r="BV868" t="s">
        <v>3827</v>
      </c>
      <c r="BW868" t="s">
        <v>3835</v>
      </c>
      <c r="BX868">
        <v>0</v>
      </c>
      <c r="BY868" t="s">
        <v>3861</v>
      </c>
      <c r="BZ868" t="s">
        <v>3863</v>
      </c>
    </row>
    <row r="869" spans="1:78" x14ac:dyDescent="0.25">
      <c r="A869" s="7" t="s">
        <v>3497</v>
      </c>
      <c r="B869" s="7" t="s">
        <v>181</v>
      </c>
      <c r="C869" s="7" t="s">
        <v>3495</v>
      </c>
      <c r="D869" s="8" t="s">
        <v>3496</v>
      </c>
      <c r="E869" s="7" t="s">
        <v>3476</v>
      </c>
      <c r="F869" s="9">
        <v>44853</v>
      </c>
      <c r="G869" s="9" t="s">
        <v>65</v>
      </c>
      <c r="H869" s="9" t="s">
        <v>190</v>
      </c>
      <c r="I869" s="8" t="s">
        <v>78</v>
      </c>
      <c r="J869" s="10">
        <v>1360.57</v>
      </c>
      <c r="K869" s="10">
        <v>1360.57</v>
      </c>
      <c r="L869" s="10">
        <f t="shared" si="377"/>
        <v>0</v>
      </c>
      <c r="M869" s="10">
        <v>639.38</v>
      </c>
      <c r="N869" s="10">
        <v>639.38</v>
      </c>
      <c r="O869" s="10">
        <f t="shared" si="378"/>
        <v>0</v>
      </c>
      <c r="P869" s="11">
        <v>28500</v>
      </c>
      <c r="Q869" s="11">
        <v>60646.634239419436</v>
      </c>
      <c r="R869" s="11">
        <v>60000</v>
      </c>
      <c r="S869" s="11">
        <v>38776245</v>
      </c>
      <c r="T869" s="11">
        <v>4653150</v>
      </c>
      <c r="U869" s="12">
        <f t="shared" si="379"/>
        <v>0.12000001547339099</v>
      </c>
      <c r="V869" s="13">
        <f t="shared" si="403"/>
        <v>0</v>
      </c>
      <c r="W869" s="10">
        <f t="shared" si="380"/>
        <v>0</v>
      </c>
      <c r="X869" s="10"/>
      <c r="Y869" s="10"/>
      <c r="Z869" s="11">
        <f t="shared" si="381"/>
        <v>38776245</v>
      </c>
      <c r="AA869" s="14"/>
      <c r="AB869" s="14"/>
      <c r="AC869" s="11">
        <f t="shared" si="382"/>
        <v>38776245</v>
      </c>
      <c r="AD869" s="10">
        <f t="shared" si="383"/>
        <v>300</v>
      </c>
      <c r="AE869" s="15">
        <v>191814</v>
      </c>
      <c r="AF869" s="16">
        <v>34526</v>
      </c>
      <c r="AG869" s="15">
        <f t="shared" si="384"/>
        <v>0</v>
      </c>
      <c r="AH869" s="15">
        <f t="shared" si="385"/>
        <v>0</v>
      </c>
      <c r="AI869" s="15">
        <f t="shared" si="386"/>
        <v>191814</v>
      </c>
      <c r="AJ869" s="15">
        <f t="shared" si="387"/>
        <v>34527</v>
      </c>
      <c r="AK869" s="10">
        <v>191814</v>
      </c>
      <c r="AL869" s="15">
        <f t="shared" si="388"/>
        <v>191814</v>
      </c>
      <c r="AM869" s="15">
        <f t="shared" si="389"/>
        <v>38968059</v>
      </c>
      <c r="AN869" s="15">
        <f t="shared" si="390"/>
        <v>4687677</v>
      </c>
      <c r="AO869" s="15">
        <f t="shared" si="395"/>
        <v>5315971</v>
      </c>
      <c r="AP869" s="17">
        <f t="shared" si="391"/>
        <v>44284030</v>
      </c>
      <c r="AQ869" s="15">
        <v>26057637</v>
      </c>
      <c r="AR869" s="15">
        <v>436480</v>
      </c>
      <c r="AS869" s="18">
        <f t="shared" si="396"/>
        <v>18226393</v>
      </c>
      <c r="AT869" s="19">
        <v>0</v>
      </c>
      <c r="AU869" s="8">
        <v>8800</v>
      </c>
      <c r="AV869" s="13">
        <f t="shared" si="397"/>
        <v>5626544</v>
      </c>
      <c r="AW869" s="18">
        <f t="shared" si="398"/>
        <v>38968059</v>
      </c>
      <c r="AX869" s="15">
        <f t="shared" si="392"/>
        <v>38969000</v>
      </c>
      <c r="AY869" s="20">
        <v>7.0000000000000007E-2</v>
      </c>
      <c r="AZ869" s="13">
        <f t="shared" si="393"/>
        <v>2727830.0000000005</v>
      </c>
      <c r="BA869" s="15">
        <f t="shared" si="394"/>
        <v>2727900</v>
      </c>
      <c r="BB869" s="21">
        <f t="shared" si="399"/>
        <v>20954293</v>
      </c>
      <c r="BC869" s="10">
        <f t="shared" si="400"/>
        <v>0</v>
      </c>
      <c r="BD869" s="10">
        <f t="shared" si="401"/>
        <v>0</v>
      </c>
      <c r="BE869" s="10">
        <v>126.4</v>
      </c>
      <c r="BF869" s="10">
        <v>59.4</v>
      </c>
      <c r="BG869" s="107">
        <v>46176</v>
      </c>
      <c r="BH869" s="107">
        <f t="shared" si="375"/>
        <v>46206</v>
      </c>
      <c r="BI869" s="23">
        <v>7</v>
      </c>
      <c r="BJ869" s="6"/>
      <c r="BK869" s="6"/>
      <c r="BL869" s="6">
        <f>VLOOKUP(A869,[2]Sheet1!$D$2:$H$933,5,0)</f>
        <v>0</v>
      </c>
      <c r="BM869" s="6" t="s">
        <v>3828</v>
      </c>
      <c r="BN869" s="6" t="s">
        <v>3829</v>
      </c>
      <c r="BO869" s="6" t="s">
        <v>3820</v>
      </c>
      <c r="BP869" s="6" t="s">
        <v>3821</v>
      </c>
      <c r="BQ869" s="6" t="s">
        <v>3830</v>
      </c>
      <c r="BR869" t="s">
        <v>3823</v>
      </c>
      <c r="BS869" t="s">
        <v>3824</v>
      </c>
      <c r="BT869" t="s">
        <v>3825</v>
      </c>
      <c r="BU869" t="s">
        <v>3826</v>
      </c>
      <c r="BV869" t="s">
        <v>3827</v>
      </c>
      <c r="BW869" t="s">
        <v>3835</v>
      </c>
      <c r="BX869">
        <v>0</v>
      </c>
      <c r="BY869" t="s">
        <v>3864</v>
      </c>
      <c r="BZ869" t="s">
        <v>3860</v>
      </c>
    </row>
    <row r="870" spans="1:78" x14ac:dyDescent="0.25">
      <c r="A870" s="7" t="s">
        <v>3500</v>
      </c>
      <c r="B870" s="7" t="s">
        <v>181</v>
      </c>
      <c r="C870" s="7" t="s">
        <v>3498</v>
      </c>
      <c r="D870" s="8" t="s">
        <v>3499</v>
      </c>
      <c r="E870" s="7" t="s">
        <v>3371</v>
      </c>
      <c r="F870" s="9">
        <v>45132</v>
      </c>
      <c r="G870" s="9" t="s">
        <v>717</v>
      </c>
      <c r="H870" s="9" t="s">
        <v>92</v>
      </c>
      <c r="I870" s="8" t="s">
        <v>78</v>
      </c>
      <c r="J870" s="10">
        <v>1220.6400000000001</v>
      </c>
      <c r="K870" s="10">
        <v>1220.6400000000001</v>
      </c>
      <c r="L870" s="10">
        <f t="shared" si="377"/>
        <v>0</v>
      </c>
      <c r="M870" s="10">
        <v>561.88</v>
      </c>
      <c r="N870" s="10">
        <v>561.88</v>
      </c>
      <c r="O870" s="10">
        <f t="shared" si="378"/>
        <v>0</v>
      </c>
      <c r="P870" s="11">
        <v>12436.99944291519</v>
      </c>
      <c r="Q870" s="11">
        <v>27018.400726133696</v>
      </c>
      <c r="R870" s="11">
        <v>28000</v>
      </c>
      <c r="S870" s="11">
        <v>15181099</v>
      </c>
      <c r="T870" s="11">
        <v>1821732</v>
      </c>
      <c r="U870" s="12">
        <f t="shared" si="379"/>
        <v>0.12000000790456607</v>
      </c>
      <c r="V870" s="13">
        <f t="shared" si="403"/>
        <v>0</v>
      </c>
      <c r="W870" s="10">
        <f t="shared" si="380"/>
        <v>0</v>
      </c>
      <c r="X870" s="10"/>
      <c r="Y870" s="10"/>
      <c r="Z870" s="11">
        <f t="shared" si="381"/>
        <v>15181099</v>
      </c>
      <c r="AA870" s="14"/>
      <c r="AB870" s="14"/>
      <c r="AC870" s="11">
        <f t="shared" si="382"/>
        <v>15181099</v>
      </c>
      <c r="AD870" s="10">
        <f t="shared" si="383"/>
        <v>300</v>
      </c>
      <c r="AE870" s="15">
        <v>168564</v>
      </c>
      <c r="AF870" s="16">
        <v>30342</v>
      </c>
      <c r="AG870" s="15">
        <f t="shared" si="384"/>
        <v>0</v>
      </c>
      <c r="AH870" s="15">
        <f t="shared" si="385"/>
        <v>0</v>
      </c>
      <c r="AI870" s="15">
        <f t="shared" si="386"/>
        <v>168564</v>
      </c>
      <c r="AJ870" s="15">
        <f t="shared" si="387"/>
        <v>30342</v>
      </c>
      <c r="AK870" s="10">
        <v>168564</v>
      </c>
      <c r="AL870" s="15">
        <f t="shared" si="388"/>
        <v>168564</v>
      </c>
      <c r="AM870" s="15">
        <f t="shared" si="389"/>
        <v>15349663</v>
      </c>
      <c r="AN870" s="15">
        <f t="shared" si="390"/>
        <v>1852074</v>
      </c>
      <c r="AO870" s="15">
        <f t="shared" si="395"/>
        <v>2460896</v>
      </c>
      <c r="AP870" s="17">
        <f t="shared" si="391"/>
        <v>17810559</v>
      </c>
      <c r="AQ870" s="15">
        <v>16314217.390000001</v>
      </c>
      <c r="AR870" s="15">
        <v>440258</v>
      </c>
      <c r="AS870" s="18">
        <f t="shared" si="396"/>
        <v>1496342</v>
      </c>
      <c r="AT870" s="19">
        <v>0</v>
      </c>
      <c r="AU870" s="8">
        <v>8800</v>
      </c>
      <c r="AV870" s="13">
        <f t="shared" si="397"/>
        <v>4944544</v>
      </c>
      <c r="AW870" s="18">
        <f t="shared" si="398"/>
        <v>15349663</v>
      </c>
      <c r="AX870" s="15">
        <f t="shared" si="392"/>
        <v>15350000</v>
      </c>
      <c r="AY870" s="20">
        <v>7.0000000000000007E-2</v>
      </c>
      <c r="AZ870" s="13">
        <f t="shared" si="393"/>
        <v>1074500</v>
      </c>
      <c r="BA870" s="15">
        <f t="shared" si="394"/>
        <v>1074500</v>
      </c>
      <c r="BB870" s="21">
        <f t="shared" si="399"/>
        <v>2570842</v>
      </c>
      <c r="BC870" s="10">
        <f t="shared" si="400"/>
        <v>0</v>
      </c>
      <c r="BD870" s="10">
        <f t="shared" si="401"/>
        <v>0</v>
      </c>
      <c r="BE870" s="10">
        <v>113.4</v>
      </c>
      <c r="BF870" s="10">
        <v>52.2</v>
      </c>
      <c r="BG870" s="107">
        <v>46176</v>
      </c>
      <c r="BH870" s="107">
        <f t="shared" si="375"/>
        <v>46206</v>
      </c>
      <c r="BI870" s="23">
        <v>7</v>
      </c>
      <c r="BJ870" s="6"/>
      <c r="BK870" s="6"/>
      <c r="BL870" s="6">
        <f>VLOOKUP(A870,[2]Sheet1!$D$2:$H$933,5,0)</f>
        <v>0</v>
      </c>
      <c r="BM870" s="6" t="s">
        <v>3828</v>
      </c>
      <c r="BN870" s="6" t="s">
        <v>3829</v>
      </c>
      <c r="BO870" s="6" t="s">
        <v>3820</v>
      </c>
      <c r="BP870" s="6" t="s">
        <v>3821</v>
      </c>
      <c r="BQ870" s="6" t="s">
        <v>3830</v>
      </c>
      <c r="BR870" t="s">
        <v>3823</v>
      </c>
      <c r="BS870" t="s">
        <v>3824</v>
      </c>
      <c r="BT870" t="s">
        <v>3825</v>
      </c>
      <c r="BU870" t="s">
        <v>3826</v>
      </c>
      <c r="BV870" t="s">
        <v>3827</v>
      </c>
      <c r="BW870" t="s">
        <v>3835</v>
      </c>
      <c r="BX870">
        <v>0</v>
      </c>
      <c r="BY870" t="s">
        <v>3861</v>
      </c>
      <c r="BZ870" t="s">
        <v>3872</v>
      </c>
    </row>
    <row r="871" spans="1:78" x14ac:dyDescent="0.25">
      <c r="A871" s="7" t="s">
        <v>3503</v>
      </c>
      <c r="B871" s="7" t="s">
        <v>181</v>
      </c>
      <c r="C871" s="7" t="s">
        <v>3501</v>
      </c>
      <c r="D871" s="8" t="s">
        <v>3502</v>
      </c>
      <c r="E871" s="7" t="s">
        <v>3504</v>
      </c>
      <c r="F871" s="9">
        <v>45054</v>
      </c>
      <c r="G871" s="9" t="s">
        <v>717</v>
      </c>
      <c r="H871" s="9" t="s">
        <v>87</v>
      </c>
      <c r="I871" s="8" t="s">
        <v>78</v>
      </c>
      <c r="J871" s="10">
        <v>1331.29</v>
      </c>
      <c r="K871" s="10">
        <v>1331.29</v>
      </c>
      <c r="L871" s="10">
        <f t="shared" si="377"/>
        <v>0</v>
      </c>
      <c r="M871" s="10">
        <v>611.4</v>
      </c>
      <c r="N871" s="10">
        <v>611.4</v>
      </c>
      <c r="O871" s="10">
        <f t="shared" si="378"/>
        <v>0</v>
      </c>
      <c r="P871" s="11">
        <v>18937.447888889725</v>
      </c>
      <c r="Q871" s="11">
        <v>41235.255152109916</v>
      </c>
      <c r="R871" s="11">
        <v>40000</v>
      </c>
      <c r="S871" s="11">
        <v>25211235</v>
      </c>
      <c r="T871" s="11">
        <v>3025346</v>
      </c>
      <c r="U871" s="12">
        <f t="shared" si="379"/>
        <v>0.1199999127373173</v>
      </c>
      <c r="V871" s="13">
        <f t="shared" si="403"/>
        <v>0</v>
      </c>
      <c r="W871" s="10">
        <f t="shared" si="380"/>
        <v>0</v>
      </c>
      <c r="X871" s="10"/>
      <c r="Y871" s="10"/>
      <c r="Z871" s="11">
        <f t="shared" si="381"/>
        <v>25211235</v>
      </c>
      <c r="AA871" s="14"/>
      <c r="AB871" s="14"/>
      <c r="AC871" s="11">
        <f t="shared" si="382"/>
        <v>25211235</v>
      </c>
      <c r="AD871" s="10">
        <f t="shared" si="383"/>
        <v>300</v>
      </c>
      <c r="AE871" s="15">
        <v>183420</v>
      </c>
      <c r="AF871" s="16">
        <v>33016</v>
      </c>
      <c r="AG871" s="15">
        <f t="shared" si="384"/>
        <v>0</v>
      </c>
      <c r="AH871" s="15">
        <f t="shared" si="385"/>
        <v>0</v>
      </c>
      <c r="AI871" s="15">
        <f t="shared" si="386"/>
        <v>183420</v>
      </c>
      <c r="AJ871" s="15">
        <f t="shared" si="387"/>
        <v>33016</v>
      </c>
      <c r="AK871" s="10">
        <v>183420</v>
      </c>
      <c r="AL871" s="15">
        <f t="shared" si="388"/>
        <v>183420</v>
      </c>
      <c r="AM871" s="15">
        <f t="shared" si="389"/>
        <v>25394655</v>
      </c>
      <c r="AN871" s="15">
        <f t="shared" si="390"/>
        <v>3058362</v>
      </c>
      <c r="AO871" s="15">
        <f t="shared" si="395"/>
        <v>3685030</v>
      </c>
      <c r="AP871" s="17">
        <f t="shared" si="391"/>
        <v>29079685</v>
      </c>
      <c r="AQ871" s="15">
        <v>6281777</v>
      </c>
      <c r="AR871" s="15">
        <v>443248</v>
      </c>
      <c r="AS871" s="18">
        <f t="shared" si="396"/>
        <v>22797908</v>
      </c>
      <c r="AT871" s="19">
        <v>0</v>
      </c>
      <c r="AU871" s="8">
        <v>8800</v>
      </c>
      <c r="AV871" s="13">
        <f t="shared" si="397"/>
        <v>5380320</v>
      </c>
      <c r="AW871" s="18">
        <f t="shared" si="398"/>
        <v>25394655</v>
      </c>
      <c r="AX871" s="15">
        <f t="shared" si="392"/>
        <v>25395000</v>
      </c>
      <c r="AY871" s="20">
        <v>7.0000000000000007E-2</v>
      </c>
      <c r="AZ871" s="13">
        <f t="shared" si="393"/>
        <v>1777650.0000000002</v>
      </c>
      <c r="BA871" s="15">
        <f t="shared" si="394"/>
        <v>1777700</v>
      </c>
      <c r="BB871" s="21">
        <f t="shared" si="399"/>
        <v>24575608</v>
      </c>
      <c r="BC871" s="10">
        <f t="shared" si="400"/>
        <v>0</v>
      </c>
      <c r="BD871" s="10">
        <f t="shared" si="401"/>
        <v>0</v>
      </c>
      <c r="BE871" s="10">
        <v>123.68</v>
      </c>
      <c r="BF871" s="10">
        <v>56.8</v>
      </c>
      <c r="BG871" s="107">
        <v>46176</v>
      </c>
      <c r="BH871" s="107">
        <f t="shared" si="375"/>
        <v>46206</v>
      </c>
      <c r="BI871" s="23">
        <v>7</v>
      </c>
      <c r="BJ871" s="6"/>
      <c r="BK871" s="6"/>
      <c r="BL871" s="6">
        <f>VLOOKUP(A871,[2]Sheet1!$D$2:$H$933,5,0)</f>
        <v>0</v>
      </c>
      <c r="BM871" s="6" t="s">
        <v>3828</v>
      </c>
      <c r="BN871" s="6" t="s">
        <v>3829</v>
      </c>
      <c r="BO871" s="6" t="s">
        <v>3820</v>
      </c>
      <c r="BP871" s="6" t="s">
        <v>3821</v>
      </c>
      <c r="BQ871" s="6" t="s">
        <v>3830</v>
      </c>
      <c r="BR871" t="s">
        <v>3823</v>
      </c>
      <c r="BS871" t="s">
        <v>3824</v>
      </c>
      <c r="BT871" t="s">
        <v>3825</v>
      </c>
      <c r="BU871" t="s">
        <v>3826</v>
      </c>
      <c r="BV871" t="s">
        <v>3827</v>
      </c>
      <c r="BW871" t="s">
        <v>3835</v>
      </c>
      <c r="BX871">
        <v>0</v>
      </c>
      <c r="BY871" t="s">
        <v>3864</v>
      </c>
      <c r="BZ871" t="s">
        <v>3872</v>
      </c>
    </row>
    <row r="872" spans="1:78" x14ac:dyDescent="0.25">
      <c r="A872" s="7" t="s">
        <v>3507</v>
      </c>
      <c r="B872" s="7" t="s">
        <v>181</v>
      </c>
      <c r="C872" s="7" t="s">
        <v>3505</v>
      </c>
      <c r="D872" s="8" t="s">
        <v>3506</v>
      </c>
      <c r="E872" s="7" t="s">
        <v>3476</v>
      </c>
      <c r="F872" s="9">
        <v>44853</v>
      </c>
      <c r="G872" s="9" t="s">
        <v>65</v>
      </c>
      <c r="H872" s="9" t="s">
        <v>190</v>
      </c>
      <c r="I872" s="8" t="s">
        <v>78</v>
      </c>
      <c r="J872" s="10">
        <v>1360.57</v>
      </c>
      <c r="K872" s="10">
        <v>1360.57</v>
      </c>
      <c r="L872" s="10">
        <f t="shared" si="377"/>
        <v>0</v>
      </c>
      <c r="M872" s="10">
        <v>639.38</v>
      </c>
      <c r="N872" s="10">
        <v>639.38</v>
      </c>
      <c r="O872" s="10">
        <f t="shared" si="378"/>
        <v>0</v>
      </c>
      <c r="P872" s="11">
        <v>28500</v>
      </c>
      <c r="Q872" s="11">
        <v>60646.634239419436</v>
      </c>
      <c r="R872" s="11">
        <v>60000</v>
      </c>
      <c r="S872" s="11">
        <v>38776245</v>
      </c>
      <c r="T872" s="11">
        <v>4653150</v>
      </c>
      <c r="U872" s="12">
        <f t="shared" si="379"/>
        <v>0.12000001547339099</v>
      </c>
      <c r="V872" s="13">
        <f t="shared" si="403"/>
        <v>0</v>
      </c>
      <c r="W872" s="10">
        <f t="shared" si="380"/>
        <v>0</v>
      </c>
      <c r="X872" s="10"/>
      <c r="Y872" s="10"/>
      <c r="Z872" s="11">
        <f t="shared" si="381"/>
        <v>38776245</v>
      </c>
      <c r="AA872" s="14"/>
      <c r="AB872" s="14"/>
      <c r="AC872" s="11">
        <f t="shared" si="382"/>
        <v>38776245</v>
      </c>
      <c r="AD872" s="10">
        <f t="shared" si="383"/>
        <v>300</v>
      </c>
      <c r="AE872" s="15">
        <v>191814</v>
      </c>
      <c r="AF872" s="16">
        <v>34526</v>
      </c>
      <c r="AG872" s="15">
        <f t="shared" si="384"/>
        <v>0</v>
      </c>
      <c r="AH872" s="15">
        <f t="shared" si="385"/>
        <v>0</v>
      </c>
      <c r="AI872" s="15">
        <f t="shared" si="386"/>
        <v>191814</v>
      </c>
      <c r="AJ872" s="15">
        <f t="shared" si="387"/>
        <v>34527</v>
      </c>
      <c r="AK872" s="10">
        <v>191814</v>
      </c>
      <c r="AL872" s="15">
        <f t="shared" si="388"/>
        <v>191814</v>
      </c>
      <c r="AM872" s="15">
        <f t="shared" si="389"/>
        <v>38968059</v>
      </c>
      <c r="AN872" s="15">
        <f t="shared" si="390"/>
        <v>4687677</v>
      </c>
      <c r="AO872" s="15">
        <f t="shared" si="395"/>
        <v>5330348</v>
      </c>
      <c r="AP872" s="17">
        <f t="shared" si="391"/>
        <v>44298407</v>
      </c>
      <c r="AQ872" s="15">
        <v>26057637</v>
      </c>
      <c r="AR872" s="15">
        <v>450857</v>
      </c>
      <c r="AS872" s="18">
        <f t="shared" si="396"/>
        <v>18240770</v>
      </c>
      <c r="AT872" s="19">
        <v>0</v>
      </c>
      <c r="AU872" s="8">
        <v>8800</v>
      </c>
      <c r="AV872" s="13">
        <f t="shared" si="397"/>
        <v>5626544</v>
      </c>
      <c r="AW872" s="18">
        <f t="shared" si="398"/>
        <v>38968059</v>
      </c>
      <c r="AX872" s="15">
        <f t="shared" si="392"/>
        <v>38969000</v>
      </c>
      <c r="AY872" s="20">
        <v>7.0000000000000007E-2</v>
      </c>
      <c r="AZ872" s="13">
        <f t="shared" si="393"/>
        <v>2727830.0000000005</v>
      </c>
      <c r="BA872" s="15">
        <f t="shared" si="394"/>
        <v>2727900</v>
      </c>
      <c r="BB872" s="21">
        <f t="shared" si="399"/>
        <v>20968670</v>
      </c>
      <c r="BC872" s="10">
        <f t="shared" si="400"/>
        <v>0</v>
      </c>
      <c r="BD872" s="10">
        <f t="shared" si="401"/>
        <v>0</v>
      </c>
      <c r="BE872" s="10">
        <v>126.4</v>
      </c>
      <c r="BF872" s="10">
        <v>59.4</v>
      </c>
      <c r="BG872" s="107">
        <v>46176</v>
      </c>
      <c r="BH872" s="107">
        <f t="shared" si="375"/>
        <v>46206</v>
      </c>
      <c r="BI872" s="23">
        <v>7</v>
      </c>
      <c r="BJ872" s="6"/>
      <c r="BK872" s="6"/>
      <c r="BL872" s="6">
        <f>VLOOKUP(A872,[2]Sheet1!$D$2:$H$933,5,0)</f>
        <v>0</v>
      </c>
      <c r="BM872" s="6" t="s">
        <v>3828</v>
      </c>
      <c r="BN872" s="6" t="s">
        <v>3829</v>
      </c>
      <c r="BO872" s="6" t="s">
        <v>3820</v>
      </c>
      <c r="BP872" s="6" t="s">
        <v>3821</v>
      </c>
      <c r="BQ872" s="6" t="s">
        <v>3830</v>
      </c>
      <c r="BR872" t="s">
        <v>3823</v>
      </c>
      <c r="BS872" t="s">
        <v>3824</v>
      </c>
      <c r="BT872" t="s">
        <v>3825</v>
      </c>
      <c r="BU872" t="s">
        <v>3826</v>
      </c>
      <c r="BV872" t="s">
        <v>3827</v>
      </c>
      <c r="BW872" t="s">
        <v>3835</v>
      </c>
      <c r="BX872">
        <v>0</v>
      </c>
      <c r="BY872" t="s">
        <v>3864</v>
      </c>
      <c r="BZ872" t="s">
        <v>3860</v>
      </c>
    </row>
    <row r="873" spans="1:78" x14ac:dyDescent="0.25">
      <c r="A873" s="65" t="s">
        <v>3510</v>
      </c>
      <c r="B873" s="7" t="s">
        <v>181</v>
      </c>
      <c r="C873" s="7" t="s">
        <v>3508</v>
      </c>
      <c r="D873" s="8" t="s">
        <v>3509</v>
      </c>
      <c r="E873" s="7" t="s">
        <v>3371</v>
      </c>
      <c r="F873" s="9">
        <v>45132</v>
      </c>
      <c r="G873" s="9" t="s">
        <v>404</v>
      </c>
      <c r="H873" s="9" t="s">
        <v>87</v>
      </c>
      <c r="I873" s="8" t="s">
        <v>78</v>
      </c>
      <c r="J873" s="10">
        <v>1026.46</v>
      </c>
      <c r="K873" s="10">
        <v>1026.46</v>
      </c>
      <c r="L873" s="10">
        <f t="shared" si="377"/>
        <v>0</v>
      </c>
      <c r="M873" s="10">
        <v>461.78</v>
      </c>
      <c r="N873" s="10">
        <v>461.78</v>
      </c>
      <c r="O873" s="10">
        <f t="shared" si="378"/>
        <v>0</v>
      </c>
      <c r="P873" s="11">
        <v>14646.000818346551</v>
      </c>
      <c r="Q873" s="11">
        <v>32555.619559097409</v>
      </c>
      <c r="R873" s="11">
        <v>40000</v>
      </c>
      <c r="S873" s="11">
        <v>15033534</v>
      </c>
      <c r="T873" s="11">
        <v>1804024</v>
      </c>
      <c r="U873" s="12">
        <f t="shared" si="379"/>
        <v>0.11999999467856327</v>
      </c>
      <c r="V873" s="13">
        <f t="shared" si="403"/>
        <v>0</v>
      </c>
      <c r="W873" s="10">
        <f t="shared" si="380"/>
        <v>0</v>
      </c>
      <c r="X873" s="10"/>
      <c r="Y873" s="10"/>
      <c r="Z873" s="11">
        <f t="shared" si="381"/>
        <v>15033534</v>
      </c>
      <c r="AA873" s="14"/>
      <c r="AB873" s="14"/>
      <c r="AC873" s="11">
        <f t="shared" si="382"/>
        <v>15033534</v>
      </c>
      <c r="AD873" s="10">
        <f t="shared" si="383"/>
        <v>300</v>
      </c>
      <c r="AE873" s="15">
        <v>138534</v>
      </c>
      <c r="AF873" s="16">
        <v>24936</v>
      </c>
      <c r="AG873" s="15">
        <f t="shared" si="384"/>
        <v>0</v>
      </c>
      <c r="AH873" s="15">
        <f t="shared" si="385"/>
        <v>0</v>
      </c>
      <c r="AI873" s="15">
        <f t="shared" si="386"/>
        <v>138534</v>
      </c>
      <c r="AJ873" s="15">
        <f t="shared" si="387"/>
        <v>24937</v>
      </c>
      <c r="AK873" s="10">
        <v>138534</v>
      </c>
      <c r="AL873" s="15">
        <f t="shared" si="388"/>
        <v>138534</v>
      </c>
      <c r="AM873" s="15">
        <f t="shared" si="389"/>
        <v>15172068</v>
      </c>
      <c r="AN873" s="15">
        <f t="shared" si="390"/>
        <v>1828961</v>
      </c>
      <c r="AO873" s="15">
        <f t="shared" si="395"/>
        <v>2421745</v>
      </c>
      <c r="AP873" s="17">
        <f t="shared" si="391"/>
        <v>17593813</v>
      </c>
      <c r="AQ873" s="15">
        <v>16155636.939999999</v>
      </c>
      <c r="AR873" s="15">
        <v>454250</v>
      </c>
      <c r="AS873" s="18">
        <f t="shared" si="396"/>
        <v>1438176</v>
      </c>
      <c r="AT873" s="19">
        <v>0</v>
      </c>
      <c r="AU873" s="8">
        <v>8800</v>
      </c>
      <c r="AV873" s="13">
        <f t="shared" si="397"/>
        <v>4063663.9999999995</v>
      </c>
      <c r="AW873" s="18">
        <f t="shared" si="398"/>
        <v>15172068</v>
      </c>
      <c r="AX873" s="15">
        <f t="shared" si="392"/>
        <v>15173000</v>
      </c>
      <c r="AY873" s="20">
        <v>7.0000000000000007E-2</v>
      </c>
      <c r="AZ873" s="13">
        <f t="shared" si="393"/>
        <v>1062110</v>
      </c>
      <c r="BA873" s="15">
        <f t="shared" si="394"/>
        <v>1062200</v>
      </c>
      <c r="BB873" s="21">
        <f t="shared" si="399"/>
        <v>2500376</v>
      </c>
      <c r="BC873" s="10">
        <f t="shared" si="400"/>
        <v>0</v>
      </c>
      <c r="BD873" s="10">
        <f t="shared" si="401"/>
        <v>0</v>
      </c>
      <c r="BE873" s="10">
        <v>95.36</v>
      </c>
      <c r="BF873" s="10">
        <v>42.9</v>
      </c>
      <c r="BG873" s="107">
        <v>46176</v>
      </c>
      <c r="BH873" s="107">
        <f t="shared" ref="BH873:BH910" si="404">BG873+30</f>
        <v>46206</v>
      </c>
      <c r="BI873" s="23">
        <v>7</v>
      </c>
      <c r="BJ873" s="6"/>
      <c r="BK873" s="6"/>
      <c r="BL873" s="6">
        <f>VLOOKUP(A873,[2]Sheet1!$D$2:$H$933,5,0)</f>
        <v>0</v>
      </c>
      <c r="BM873" s="6" t="s">
        <v>3828</v>
      </c>
      <c r="BN873" s="6" t="s">
        <v>3829</v>
      </c>
      <c r="BO873" s="6" t="s">
        <v>3820</v>
      </c>
      <c r="BP873" s="6" t="s">
        <v>3821</v>
      </c>
      <c r="BQ873" s="6" t="s">
        <v>3830</v>
      </c>
      <c r="BR873" t="s">
        <v>3823</v>
      </c>
      <c r="BS873" t="s">
        <v>3824</v>
      </c>
      <c r="BT873" t="s">
        <v>3825</v>
      </c>
      <c r="BU873" t="s">
        <v>3826</v>
      </c>
      <c r="BV873" t="s">
        <v>3827</v>
      </c>
      <c r="BW873" t="s">
        <v>3835</v>
      </c>
      <c r="BX873">
        <v>0</v>
      </c>
      <c r="BY873" t="s">
        <v>3861</v>
      </c>
      <c r="BZ873" t="s">
        <v>3863</v>
      </c>
    </row>
    <row r="874" spans="1:78" x14ac:dyDescent="0.25">
      <c r="A874" s="65" t="s">
        <v>3513</v>
      </c>
      <c r="B874" s="7" t="s">
        <v>181</v>
      </c>
      <c r="C874" s="65" t="s">
        <v>3511</v>
      </c>
      <c r="D874" s="66" t="s">
        <v>3512</v>
      </c>
      <c r="E874" s="7" t="s">
        <v>3514</v>
      </c>
      <c r="F874" s="67">
        <v>45041</v>
      </c>
      <c r="G874" s="9" t="s">
        <v>65</v>
      </c>
      <c r="H874" s="9" t="s">
        <v>190</v>
      </c>
      <c r="I874" s="66" t="s">
        <v>78</v>
      </c>
      <c r="J874" s="68">
        <v>1519.88</v>
      </c>
      <c r="K874" s="10">
        <v>1519.88</v>
      </c>
      <c r="L874" s="10">
        <f t="shared" si="377"/>
        <v>0</v>
      </c>
      <c r="M874" s="68">
        <v>690.4</v>
      </c>
      <c r="N874" s="10">
        <v>690.4</v>
      </c>
      <c r="O874" s="10">
        <f t="shared" si="378"/>
        <v>0</v>
      </c>
      <c r="P874" s="69">
        <v>25000</v>
      </c>
      <c r="Q874" s="69">
        <v>55036.210892236384</v>
      </c>
      <c r="R874" s="11">
        <v>60000</v>
      </c>
      <c r="S874" s="69">
        <v>37997000</v>
      </c>
      <c r="T874" s="69">
        <v>4559640</v>
      </c>
      <c r="U874" s="70">
        <f t="shared" si="379"/>
        <v>0.12</v>
      </c>
      <c r="V874" s="13">
        <f t="shared" si="403"/>
        <v>0</v>
      </c>
      <c r="W874" s="10">
        <f t="shared" si="380"/>
        <v>0</v>
      </c>
      <c r="X874" s="68"/>
      <c r="Y874" s="68"/>
      <c r="Z874" s="11">
        <f t="shared" si="381"/>
        <v>37997000</v>
      </c>
      <c r="AA874" s="14"/>
      <c r="AB874" s="14"/>
      <c r="AC874" s="11">
        <f t="shared" si="382"/>
        <v>37997000</v>
      </c>
      <c r="AD874" s="10">
        <f t="shared" si="383"/>
        <v>300</v>
      </c>
      <c r="AE874" s="71">
        <v>207120</v>
      </c>
      <c r="AF874" s="16">
        <v>37282</v>
      </c>
      <c r="AG874" s="15">
        <f t="shared" si="384"/>
        <v>0</v>
      </c>
      <c r="AH874" s="71">
        <f t="shared" si="385"/>
        <v>0</v>
      </c>
      <c r="AI874" s="15">
        <f t="shared" si="386"/>
        <v>207120</v>
      </c>
      <c r="AJ874" s="15">
        <f t="shared" si="387"/>
        <v>37282</v>
      </c>
      <c r="AK874" s="68">
        <v>207120</v>
      </c>
      <c r="AL874" s="15">
        <f t="shared" si="388"/>
        <v>207120</v>
      </c>
      <c r="AM874" s="15">
        <f t="shared" si="389"/>
        <v>38204120</v>
      </c>
      <c r="AN874" s="15">
        <f t="shared" si="390"/>
        <v>4596922</v>
      </c>
      <c r="AO874" s="15">
        <f t="shared" si="395"/>
        <v>5270023</v>
      </c>
      <c r="AP874" s="17">
        <f t="shared" si="391"/>
        <v>43474143</v>
      </c>
      <c r="AQ874" s="15">
        <v>31766407</v>
      </c>
      <c r="AR874" s="15">
        <v>465981</v>
      </c>
      <c r="AS874" s="18">
        <f t="shared" si="396"/>
        <v>11707736</v>
      </c>
      <c r="AT874" s="19">
        <v>39343729</v>
      </c>
      <c r="AU874" s="8">
        <v>8800</v>
      </c>
      <c r="AV874" s="13">
        <f t="shared" si="397"/>
        <v>6075520</v>
      </c>
      <c r="AW874" s="18">
        <f t="shared" si="398"/>
        <v>39343729</v>
      </c>
      <c r="AX874" s="15">
        <f t="shared" si="392"/>
        <v>39344000</v>
      </c>
      <c r="AY874" s="20">
        <v>7.0000000000000007E-2</v>
      </c>
      <c r="AZ874" s="13">
        <f t="shared" si="393"/>
        <v>2754080.0000000005</v>
      </c>
      <c r="BA874" s="15">
        <f t="shared" si="394"/>
        <v>2754100</v>
      </c>
      <c r="BB874" s="21">
        <f t="shared" si="399"/>
        <v>14461836</v>
      </c>
      <c r="BC874" s="10">
        <f t="shared" si="400"/>
        <v>0</v>
      </c>
      <c r="BD874" s="10">
        <f t="shared" si="401"/>
        <v>0</v>
      </c>
      <c r="BE874" s="10">
        <v>141.19999999999999</v>
      </c>
      <c r="BF874" s="10">
        <v>64.14</v>
      </c>
      <c r="BG874" s="107">
        <v>46176</v>
      </c>
      <c r="BH874" s="107">
        <f t="shared" si="404"/>
        <v>46206</v>
      </c>
      <c r="BI874" s="23">
        <v>7</v>
      </c>
      <c r="BJ874" s="6"/>
      <c r="BK874" s="6"/>
      <c r="BL874" s="6">
        <f>VLOOKUP(A874,[2]Sheet1!$D$2:$H$933,5,0)</f>
        <v>0</v>
      </c>
      <c r="BM874" s="6" t="s">
        <v>3828</v>
      </c>
      <c r="BN874" s="6" t="s">
        <v>3829</v>
      </c>
      <c r="BO874" s="6" t="s">
        <v>3820</v>
      </c>
      <c r="BP874" s="6" t="s">
        <v>3821</v>
      </c>
      <c r="BQ874" s="6" t="s">
        <v>3830</v>
      </c>
      <c r="BR874" t="s">
        <v>3823</v>
      </c>
      <c r="BS874" t="s">
        <v>3824</v>
      </c>
      <c r="BT874" t="s">
        <v>3825</v>
      </c>
      <c r="BU874" t="s">
        <v>3826</v>
      </c>
      <c r="BV874" t="s">
        <v>3827</v>
      </c>
      <c r="BW874" t="s">
        <v>3835</v>
      </c>
      <c r="BX874">
        <v>0</v>
      </c>
      <c r="BY874" t="s">
        <v>3861</v>
      </c>
      <c r="BZ874" t="s">
        <v>3860</v>
      </c>
    </row>
    <row r="875" spans="1:78" x14ac:dyDescent="0.25">
      <c r="A875" s="7" t="s">
        <v>3517</v>
      </c>
      <c r="B875" s="7" t="s">
        <v>181</v>
      </c>
      <c r="C875" s="7" t="s">
        <v>3515</v>
      </c>
      <c r="D875" s="8" t="s">
        <v>3516</v>
      </c>
      <c r="E875" s="7" t="s">
        <v>3518</v>
      </c>
      <c r="F875" s="9">
        <v>44968</v>
      </c>
      <c r="G875" s="9" t="s">
        <v>404</v>
      </c>
      <c r="H875" s="9" t="s">
        <v>190</v>
      </c>
      <c r="I875" s="8" t="s">
        <v>78</v>
      </c>
      <c r="J875" s="10">
        <v>1336.89</v>
      </c>
      <c r="K875" s="10">
        <v>1336.89</v>
      </c>
      <c r="L875" s="10">
        <f t="shared" si="377"/>
        <v>0</v>
      </c>
      <c r="M875" s="10">
        <v>621.08000000000004</v>
      </c>
      <c r="N875" s="10">
        <v>621.08000000000004</v>
      </c>
      <c r="O875" s="10">
        <f t="shared" si="378"/>
        <v>0</v>
      </c>
      <c r="P875" s="11">
        <v>24999.999999999996</v>
      </c>
      <c r="Q875" s="11">
        <v>53813.115862690793</v>
      </c>
      <c r="R875" s="11">
        <v>60000</v>
      </c>
      <c r="S875" s="11">
        <v>33422250</v>
      </c>
      <c r="T875" s="11">
        <v>4010670</v>
      </c>
      <c r="U875" s="12">
        <f t="shared" si="379"/>
        <v>0.12</v>
      </c>
      <c r="V875" s="13">
        <f t="shared" si="403"/>
        <v>0</v>
      </c>
      <c r="W875" s="10">
        <f t="shared" si="380"/>
        <v>0</v>
      </c>
      <c r="X875" s="10"/>
      <c r="Y875" s="10"/>
      <c r="Z875" s="11">
        <f t="shared" si="381"/>
        <v>33422250</v>
      </c>
      <c r="AA875" s="14"/>
      <c r="AB875" s="14"/>
      <c r="AC875" s="11">
        <f t="shared" si="382"/>
        <v>33422250</v>
      </c>
      <c r="AD875" s="10">
        <f t="shared" si="383"/>
        <v>300</v>
      </c>
      <c r="AE875" s="15">
        <v>186324</v>
      </c>
      <c r="AF875" s="16">
        <v>33538</v>
      </c>
      <c r="AG875" s="15">
        <f t="shared" si="384"/>
        <v>0</v>
      </c>
      <c r="AH875" s="15">
        <f t="shared" si="385"/>
        <v>0</v>
      </c>
      <c r="AI875" s="15">
        <f t="shared" si="386"/>
        <v>186324</v>
      </c>
      <c r="AJ875" s="15">
        <f t="shared" si="387"/>
        <v>33539</v>
      </c>
      <c r="AK875" s="10">
        <v>186324</v>
      </c>
      <c r="AL875" s="15">
        <f t="shared" si="388"/>
        <v>186324</v>
      </c>
      <c r="AM875" s="15">
        <f t="shared" si="389"/>
        <v>33608574</v>
      </c>
      <c r="AN875" s="15">
        <f t="shared" si="390"/>
        <v>4044209</v>
      </c>
      <c r="AO875" s="15">
        <f t="shared" si="395"/>
        <v>4701378</v>
      </c>
      <c r="AP875" s="17">
        <f t="shared" si="391"/>
        <v>38309952</v>
      </c>
      <c r="AQ875" s="15">
        <v>25969092</v>
      </c>
      <c r="AR875" s="15">
        <v>470845</v>
      </c>
      <c r="AS875" s="18">
        <f t="shared" si="396"/>
        <v>12340860</v>
      </c>
      <c r="AT875" s="19">
        <v>0</v>
      </c>
      <c r="AU875" s="8">
        <v>8800</v>
      </c>
      <c r="AV875" s="13">
        <f t="shared" si="397"/>
        <v>5465504</v>
      </c>
      <c r="AW875" s="18">
        <f t="shared" si="398"/>
        <v>33608574</v>
      </c>
      <c r="AX875" s="15">
        <f t="shared" si="392"/>
        <v>33609000</v>
      </c>
      <c r="AY875" s="20">
        <v>7.0000000000000007E-2</v>
      </c>
      <c r="AZ875" s="13">
        <f t="shared" si="393"/>
        <v>2352630</v>
      </c>
      <c r="BA875" s="15">
        <f t="shared" si="394"/>
        <v>2352700</v>
      </c>
      <c r="BB875" s="21">
        <f t="shared" si="399"/>
        <v>14693560</v>
      </c>
      <c r="BC875" s="10">
        <f t="shared" si="400"/>
        <v>0</v>
      </c>
      <c r="BD875" s="10">
        <f t="shared" si="401"/>
        <v>0</v>
      </c>
      <c r="BE875" s="10">
        <v>124.2</v>
      </c>
      <c r="BF875" s="10">
        <v>57.7</v>
      </c>
      <c r="BG875" s="107">
        <v>46176</v>
      </c>
      <c r="BH875" s="107">
        <f t="shared" si="404"/>
        <v>46206</v>
      </c>
      <c r="BI875" s="23">
        <v>7</v>
      </c>
      <c r="BJ875" s="6"/>
      <c r="BK875" s="6"/>
      <c r="BL875" s="6">
        <f>VLOOKUP(A875,[2]Sheet1!$D$2:$H$933,5,0)</f>
        <v>0</v>
      </c>
      <c r="BM875" s="6" t="s">
        <v>3828</v>
      </c>
      <c r="BN875" s="6" t="s">
        <v>3829</v>
      </c>
      <c r="BO875" s="6" t="s">
        <v>3820</v>
      </c>
      <c r="BP875" s="6" t="s">
        <v>3821</v>
      </c>
      <c r="BQ875" s="6" t="s">
        <v>3830</v>
      </c>
      <c r="BR875" t="s">
        <v>3823</v>
      </c>
      <c r="BS875" t="s">
        <v>3824</v>
      </c>
      <c r="BT875" t="s">
        <v>3825</v>
      </c>
      <c r="BU875" t="s">
        <v>3826</v>
      </c>
      <c r="BV875" t="s">
        <v>3827</v>
      </c>
      <c r="BW875" t="s">
        <v>3835</v>
      </c>
      <c r="BX875">
        <v>0</v>
      </c>
      <c r="BY875" t="s">
        <v>3866</v>
      </c>
      <c r="BZ875" t="s">
        <v>3863</v>
      </c>
    </row>
    <row r="876" spans="1:78" x14ac:dyDescent="0.25">
      <c r="A876" s="7" t="s">
        <v>3521</v>
      </c>
      <c r="B876" s="7" t="s">
        <v>181</v>
      </c>
      <c r="C876" s="7" t="s">
        <v>3519</v>
      </c>
      <c r="D876" s="8" t="s">
        <v>3520</v>
      </c>
      <c r="E876" s="7" t="s">
        <v>3371</v>
      </c>
      <c r="F876" s="9">
        <v>45132</v>
      </c>
      <c r="G876" s="9" t="s">
        <v>404</v>
      </c>
      <c r="H876" s="9" t="s">
        <v>92</v>
      </c>
      <c r="I876" s="8" t="s">
        <v>78</v>
      </c>
      <c r="J876" s="10">
        <v>1249.7</v>
      </c>
      <c r="K876" s="10">
        <v>1249.7</v>
      </c>
      <c r="L876" s="10">
        <f t="shared" si="377"/>
        <v>0</v>
      </c>
      <c r="M876" s="10">
        <v>584.49</v>
      </c>
      <c r="N876" s="10">
        <v>584.49</v>
      </c>
      <c r="O876" s="10">
        <f t="shared" si="378"/>
        <v>0</v>
      </c>
      <c r="P876" s="11">
        <v>12436.999279827158</v>
      </c>
      <c r="Q876" s="11">
        <v>26591.589248746772</v>
      </c>
      <c r="R876" s="11">
        <v>28000</v>
      </c>
      <c r="S876" s="11">
        <v>15542518</v>
      </c>
      <c r="T876" s="11">
        <v>1865102</v>
      </c>
      <c r="U876" s="12">
        <f t="shared" si="379"/>
        <v>0.11999998970565773</v>
      </c>
      <c r="V876" s="13">
        <f t="shared" si="403"/>
        <v>0</v>
      </c>
      <c r="W876" s="10">
        <f t="shared" si="380"/>
        <v>0</v>
      </c>
      <c r="X876" s="10"/>
      <c r="Y876" s="10"/>
      <c r="Z876" s="11">
        <f t="shared" si="381"/>
        <v>15542518</v>
      </c>
      <c r="AA876" s="14"/>
      <c r="AB876" s="14"/>
      <c r="AC876" s="11">
        <f t="shared" si="382"/>
        <v>15542518</v>
      </c>
      <c r="AD876" s="10">
        <f t="shared" si="383"/>
        <v>300</v>
      </c>
      <c r="AE876" s="15">
        <v>175347</v>
      </c>
      <c r="AF876" s="16">
        <v>31562</v>
      </c>
      <c r="AG876" s="15">
        <f t="shared" si="384"/>
        <v>0</v>
      </c>
      <c r="AH876" s="15">
        <f t="shared" si="385"/>
        <v>0</v>
      </c>
      <c r="AI876" s="15">
        <f t="shared" si="386"/>
        <v>175347</v>
      </c>
      <c r="AJ876" s="15">
        <f t="shared" si="387"/>
        <v>31563</v>
      </c>
      <c r="AK876" s="10">
        <v>175347</v>
      </c>
      <c r="AL876" s="15">
        <f t="shared" si="388"/>
        <v>175347</v>
      </c>
      <c r="AM876" s="15">
        <f t="shared" si="389"/>
        <v>15717865</v>
      </c>
      <c r="AN876" s="15">
        <f t="shared" si="390"/>
        <v>1896665</v>
      </c>
      <c r="AO876" s="15">
        <f t="shared" si="395"/>
        <v>2534125.7199999997</v>
      </c>
      <c r="AP876" s="17">
        <f t="shared" si="391"/>
        <v>18251990.719999999</v>
      </c>
      <c r="AQ876" s="15">
        <v>16702611.35</v>
      </c>
      <c r="AR876" s="15">
        <v>462113.72</v>
      </c>
      <c r="AS876" s="18">
        <f t="shared" si="396"/>
        <v>1549379</v>
      </c>
      <c r="AT876" s="19">
        <v>0</v>
      </c>
      <c r="AU876" s="8">
        <v>8800</v>
      </c>
      <c r="AV876" s="13">
        <f t="shared" si="397"/>
        <v>5143512</v>
      </c>
      <c r="AW876" s="18">
        <f t="shared" si="398"/>
        <v>15717865</v>
      </c>
      <c r="AX876" s="15">
        <f t="shared" si="392"/>
        <v>15718000</v>
      </c>
      <c r="AY876" s="20">
        <v>7.0000000000000007E-2</v>
      </c>
      <c r="AZ876" s="13">
        <f t="shared" si="393"/>
        <v>1100260</v>
      </c>
      <c r="BA876" s="15">
        <f t="shared" si="394"/>
        <v>1100300</v>
      </c>
      <c r="BB876" s="21">
        <f t="shared" si="399"/>
        <v>2649679</v>
      </c>
      <c r="BC876" s="10">
        <f t="shared" si="400"/>
        <v>0</v>
      </c>
      <c r="BD876" s="10">
        <f t="shared" si="401"/>
        <v>0</v>
      </c>
      <c r="BE876" s="10">
        <v>116.1</v>
      </c>
      <c r="BF876" s="10">
        <v>54.3</v>
      </c>
      <c r="BG876" s="107">
        <v>46176</v>
      </c>
      <c r="BH876" s="107">
        <f t="shared" si="404"/>
        <v>46206</v>
      </c>
      <c r="BI876" s="23">
        <v>7</v>
      </c>
      <c r="BJ876" s="6"/>
      <c r="BK876" s="6"/>
      <c r="BL876" s="6">
        <f>VLOOKUP(A876,[2]Sheet1!$D$2:$H$933,5,0)</f>
        <v>0</v>
      </c>
      <c r="BM876" s="6" t="s">
        <v>3828</v>
      </c>
      <c r="BN876" s="6" t="s">
        <v>3829</v>
      </c>
      <c r="BO876" s="6" t="s">
        <v>3820</v>
      </c>
      <c r="BP876" s="6" t="s">
        <v>3821</v>
      </c>
      <c r="BQ876" s="6" t="s">
        <v>3830</v>
      </c>
      <c r="BR876" t="s">
        <v>3823</v>
      </c>
      <c r="BS876" t="s">
        <v>3824</v>
      </c>
      <c r="BT876" t="s">
        <v>3825</v>
      </c>
      <c r="BU876" t="s">
        <v>3826</v>
      </c>
      <c r="BV876" t="s">
        <v>3827</v>
      </c>
      <c r="BW876" t="s">
        <v>3835</v>
      </c>
      <c r="BX876">
        <v>0</v>
      </c>
      <c r="BY876" t="s">
        <v>3861</v>
      </c>
      <c r="BZ876" t="s">
        <v>3863</v>
      </c>
    </row>
    <row r="877" spans="1:78" x14ac:dyDescent="0.25">
      <c r="A877" s="7" t="s">
        <v>3524</v>
      </c>
      <c r="B877" s="7" t="s">
        <v>181</v>
      </c>
      <c r="C877" s="7" t="s">
        <v>3522</v>
      </c>
      <c r="D877" s="8" t="s">
        <v>3523</v>
      </c>
      <c r="E877" s="7" t="s">
        <v>3476</v>
      </c>
      <c r="F877" s="9">
        <v>44853</v>
      </c>
      <c r="G877" s="9" t="s">
        <v>65</v>
      </c>
      <c r="H877" s="9" t="s">
        <v>190</v>
      </c>
      <c r="I877" s="8" t="s">
        <v>78</v>
      </c>
      <c r="J877" s="10">
        <v>1360.57</v>
      </c>
      <c r="K877" s="10">
        <v>1360.57</v>
      </c>
      <c r="L877" s="10">
        <f t="shared" si="377"/>
        <v>0</v>
      </c>
      <c r="M877" s="10">
        <v>624.30999999999995</v>
      </c>
      <c r="N877" s="10">
        <v>633.03</v>
      </c>
      <c r="O877" s="10">
        <f t="shared" si="378"/>
        <v>8.7200000000000273</v>
      </c>
      <c r="P877" s="11">
        <v>28500</v>
      </c>
      <c r="Q877" s="11">
        <v>62110.562060514814</v>
      </c>
      <c r="R877" s="11">
        <v>60000</v>
      </c>
      <c r="S877" s="11">
        <v>38776245</v>
      </c>
      <c r="T877" s="11">
        <v>4653150</v>
      </c>
      <c r="U877" s="12">
        <f t="shared" si="379"/>
        <v>0.12000001547339099</v>
      </c>
      <c r="V877" s="13">
        <f t="shared" si="403"/>
        <v>0</v>
      </c>
      <c r="W877" s="10">
        <f t="shared" si="380"/>
        <v>0</v>
      </c>
      <c r="X877" s="10"/>
      <c r="Y877" s="10"/>
      <c r="Z877" s="11">
        <f t="shared" si="381"/>
        <v>38776245</v>
      </c>
      <c r="AA877" s="14"/>
      <c r="AB877" s="14"/>
      <c r="AC877" s="11">
        <f t="shared" si="382"/>
        <v>38776245</v>
      </c>
      <c r="AD877" s="10">
        <f t="shared" si="383"/>
        <v>300</v>
      </c>
      <c r="AE877" s="15">
        <v>187293</v>
      </c>
      <c r="AF877" s="16">
        <v>33712</v>
      </c>
      <c r="AG877" s="15">
        <f t="shared" si="384"/>
        <v>2616.0000000000082</v>
      </c>
      <c r="AH877" s="15">
        <f t="shared" si="385"/>
        <v>470.88000000000147</v>
      </c>
      <c r="AI877" s="15">
        <f t="shared" si="386"/>
        <v>189909</v>
      </c>
      <c r="AJ877" s="15">
        <f t="shared" si="387"/>
        <v>34184</v>
      </c>
      <c r="AK877" s="10">
        <v>187293</v>
      </c>
      <c r="AL877" s="15">
        <f t="shared" si="388"/>
        <v>189909</v>
      </c>
      <c r="AM877" s="15">
        <f t="shared" si="389"/>
        <v>38966154</v>
      </c>
      <c r="AN877" s="15">
        <f t="shared" si="390"/>
        <v>4687334</v>
      </c>
      <c r="AO877" s="15">
        <f t="shared" si="395"/>
        <v>5346698</v>
      </c>
      <c r="AP877" s="17">
        <f t="shared" si="391"/>
        <v>44312852</v>
      </c>
      <c r="AQ877" s="15">
        <v>26057637</v>
      </c>
      <c r="AR877" s="15">
        <v>469455</v>
      </c>
      <c r="AS877" s="18">
        <f t="shared" si="396"/>
        <v>18255215</v>
      </c>
      <c r="AT877" s="19">
        <v>0</v>
      </c>
      <c r="AU877" s="8">
        <v>8800</v>
      </c>
      <c r="AV877" s="13">
        <f t="shared" si="397"/>
        <v>5570664</v>
      </c>
      <c r="AW877" s="18">
        <f t="shared" si="398"/>
        <v>38966154</v>
      </c>
      <c r="AX877" s="15">
        <f t="shared" si="392"/>
        <v>38967000</v>
      </c>
      <c r="AY877" s="20">
        <v>7.0000000000000007E-2</v>
      </c>
      <c r="AZ877" s="13">
        <f t="shared" si="393"/>
        <v>2727690.0000000005</v>
      </c>
      <c r="BA877" s="15">
        <f t="shared" si="394"/>
        <v>2727700</v>
      </c>
      <c r="BB877" s="21">
        <f t="shared" si="399"/>
        <v>20982915</v>
      </c>
      <c r="BC877" s="10">
        <f t="shared" si="400"/>
        <v>0</v>
      </c>
      <c r="BD877" s="10">
        <f t="shared" si="401"/>
        <v>1.3967420031715059</v>
      </c>
      <c r="BE877" s="10">
        <v>126.4</v>
      </c>
      <c r="BF877" s="10">
        <v>58.81</v>
      </c>
      <c r="BG877" s="107">
        <v>46176</v>
      </c>
      <c r="BH877" s="107">
        <f t="shared" si="404"/>
        <v>46206</v>
      </c>
      <c r="BI877" s="23">
        <v>7</v>
      </c>
      <c r="BJ877" s="6"/>
      <c r="BK877" s="6"/>
      <c r="BL877" s="6">
        <f>VLOOKUP(A877,[2]Sheet1!$D$2:$H$933,5,0)</f>
        <v>0</v>
      </c>
      <c r="BM877" s="6" t="s">
        <v>3828</v>
      </c>
      <c r="BN877" s="6" t="s">
        <v>3829</v>
      </c>
      <c r="BO877" s="6" t="s">
        <v>3820</v>
      </c>
      <c r="BP877" s="6" t="s">
        <v>3821</v>
      </c>
      <c r="BQ877" s="6" t="s">
        <v>3830</v>
      </c>
      <c r="BR877" t="s">
        <v>3823</v>
      </c>
      <c r="BS877" t="s">
        <v>3824</v>
      </c>
      <c r="BT877" t="s">
        <v>3825</v>
      </c>
      <c r="BU877" t="s">
        <v>3826</v>
      </c>
      <c r="BV877" t="s">
        <v>3827</v>
      </c>
      <c r="BW877" t="s">
        <v>3835</v>
      </c>
      <c r="BX877">
        <v>0</v>
      </c>
      <c r="BY877" t="s">
        <v>3864</v>
      </c>
      <c r="BZ877" t="s">
        <v>3860</v>
      </c>
    </row>
    <row r="878" spans="1:78" x14ac:dyDescent="0.25">
      <c r="A878" s="65" t="s">
        <v>3527</v>
      </c>
      <c r="B878" s="7" t="s">
        <v>181</v>
      </c>
      <c r="C878" s="7" t="s">
        <v>3525</v>
      </c>
      <c r="D878" s="8" t="s">
        <v>3526</v>
      </c>
      <c r="E878" s="7" t="s">
        <v>3371</v>
      </c>
      <c r="F878" s="9">
        <v>45132</v>
      </c>
      <c r="G878" s="9" t="s">
        <v>404</v>
      </c>
      <c r="H878" s="9" t="s">
        <v>87</v>
      </c>
      <c r="I878" s="8" t="s">
        <v>78</v>
      </c>
      <c r="J878" s="10">
        <v>876.19</v>
      </c>
      <c r="K878" s="10">
        <v>876.19</v>
      </c>
      <c r="L878" s="10">
        <f t="shared" si="377"/>
        <v>0</v>
      </c>
      <c r="M878" s="10">
        <v>404.73</v>
      </c>
      <c r="N878" s="10">
        <v>404.73</v>
      </c>
      <c r="O878" s="10">
        <f t="shared" si="378"/>
        <v>0</v>
      </c>
      <c r="P878" s="11">
        <v>14645.998014129354</v>
      </c>
      <c r="Q878" s="11">
        <v>31706.760062263729</v>
      </c>
      <c r="R878" s="11">
        <v>40000</v>
      </c>
      <c r="S878" s="11">
        <v>12832677</v>
      </c>
      <c r="T878" s="11">
        <v>1539920</v>
      </c>
      <c r="U878" s="12">
        <f t="shared" si="379"/>
        <v>0.11999990337168152</v>
      </c>
      <c r="V878" s="13">
        <f t="shared" si="403"/>
        <v>0</v>
      </c>
      <c r="W878" s="10">
        <f t="shared" si="380"/>
        <v>0</v>
      </c>
      <c r="X878" s="10"/>
      <c r="Y878" s="10"/>
      <c r="Z878" s="11">
        <f t="shared" si="381"/>
        <v>12832677</v>
      </c>
      <c r="AA878" s="14"/>
      <c r="AB878" s="14"/>
      <c r="AC878" s="11">
        <f t="shared" si="382"/>
        <v>12832677</v>
      </c>
      <c r="AD878" s="10">
        <f t="shared" si="383"/>
        <v>300</v>
      </c>
      <c r="AE878" s="15">
        <v>121419</v>
      </c>
      <c r="AF878" s="16">
        <v>21856</v>
      </c>
      <c r="AG878" s="15">
        <f t="shared" si="384"/>
        <v>0</v>
      </c>
      <c r="AH878" s="15">
        <f t="shared" si="385"/>
        <v>0</v>
      </c>
      <c r="AI878" s="15">
        <f t="shared" si="386"/>
        <v>121419</v>
      </c>
      <c r="AJ878" s="15">
        <f t="shared" si="387"/>
        <v>21856</v>
      </c>
      <c r="AK878" s="10">
        <v>121419</v>
      </c>
      <c r="AL878" s="15">
        <f t="shared" si="388"/>
        <v>121419</v>
      </c>
      <c r="AM878" s="15">
        <f t="shared" si="389"/>
        <v>12954096</v>
      </c>
      <c r="AN878" s="15">
        <f t="shared" si="390"/>
        <v>1561776</v>
      </c>
      <c r="AO878" s="15">
        <f t="shared" si="395"/>
        <v>2153086.2400000002</v>
      </c>
      <c r="AP878" s="17">
        <f t="shared" si="391"/>
        <v>15107182.24</v>
      </c>
      <c r="AQ878" s="15">
        <v>13667377.619999999</v>
      </c>
      <c r="AR878" s="15">
        <v>469891.24</v>
      </c>
      <c r="AS878" s="18">
        <f t="shared" si="396"/>
        <v>1439805</v>
      </c>
      <c r="AT878" s="19">
        <v>0</v>
      </c>
      <c r="AU878" s="8">
        <v>8800</v>
      </c>
      <c r="AV878" s="13">
        <f t="shared" si="397"/>
        <v>3561624</v>
      </c>
      <c r="AW878" s="18">
        <f t="shared" si="398"/>
        <v>12954096</v>
      </c>
      <c r="AX878" s="15">
        <f t="shared" si="392"/>
        <v>12955000</v>
      </c>
      <c r="AY878" s="20">
        <v>7.0000000000000007E-2</v>
      </c>
      <c r="AZ878" s="13">
        <f t="shared" si="393"/>
        <v>906850.00000000012</v>
      </c>
      <c r="BA878" s="15">
        <f t="shared" si="394"/>
        <v>906900</v>
      </c>
      <c r="BB878" s="21">
        <f t="shared" si="399"/>
        <v>2346705</v>
      </c>
      <c r="BC878" s="10">
        <f t="shared" si="400"/>
        <v>0</v>
      </c>
      <c r="BD878" s="10">
        <f t="shared" si="401"/>
        <v>0</v>
      </c>
      <c r="BE878" s="10">
        <v>81.400000000000006</v>
      </c>
      <c r="BF878" s="10">
        <v>37.6</v>
      </c>
      <c r="BG878" s="107">
        <v>46176</v>
      </c>
      <c r="BH878" s="107">
        <f t="shared" si="404"/>
        <v>46206</v>
      </c>
      <c r="BI878" s="23">
        <v>7</v>
      </c>
      <c r="BJ878" s="6"/>
      <c r="BK878" s="6"/>
      <c r="BL878" s="6">
        <f>VLOOKUP(A878,[2]Sheet1!$D$2:$H$933,5,0)</f>
        <v>0</v>
      </c>
      <c r="BM878" s="6" t="s">
        <v>3828</v>
      </c>
      <c r="BN878" s="6" t="s">
        <v>3829</v>
      </c>
      <c r="BO878" s="6" t="s">
        <v>3820</v>
      </c>
      <c r="BP878" s="6" t="s">
        <v>3821</v>
      </c>
      <c r="BQ878" s="6" t="s">
        <v>3830</v>
      </c>
      <c r="BR878" t="s">
        <v>3823</v>
      </c>
      <c r="BS878" t="s">
        <v>3824</v>
      </c>
      <c r="BT878" t="s">
        <v>3825</v>
      </c>
      <c r="BU878" t="s">
        <v>3826</v>
      </c>
      <c r="BV878" t="s">
        <v>3827</v>
      </c>
      <c r="BW878" t="s">
        <v>3835</v>
      </c>
      <c r="BX878">
        <v>0</v>
      </c>
      <c r="BY878" t="s">
        <v>3861</v>
      </c>
      <c r="BZ878" t="s">
        <v>3863</v>
      </c>
    </row>
    <row r="879" spans="1:78" x14ac:dyDescent="0.25">
      <c r="A879" s="7" t="s">
        <v>3530</v>
      </c>
      <c r="B879" s="7" t="s">
        <v>181</v>
      </c>
      <c r="C879" s="7" t="s">
        <v>3528</v>
      </c>
      <c r="D879" s="8" t="s">
        <v>3529</v>
      </c>
      <c r="E879" s="7" t="s">
        <v>3531</v>
      </c>
      <c r="F879" s="9">
        <v>45147</v>
      </c>
      <c r="G879" s="9" t="s">
        <v>717</v>
      </c>
      <c r="H879" s="9" t="s">
        <v>87</v>
      </c>
      <c r="I879" s="8" t="s">
        <v>78</v>
      </c>
      <c r="J879" s="10">
        <v>1125.9100000000001</v>
      </c>
      <c r="K879" s="10">
        <v>1125.9100000000001</v>
      </c>
      <c r="L879" s="10">
        <f t="shared" si="377"/>
        <v>0</v>
      </c>
      <c r="M879" s="10">
        <v>516.66999999999996</v>
      </c>
      <c r="N879" s="10">
        <v>516.66999999999996</v>
      </c>
      <c r="O879" s="10">
        <f t="shared" si="378"/>
        <v>0</v>
      </c>
      <c r="P879" s="11">
        <v>14645.998348002948</v>
      </c>
      <c r="Q879" s="11">
        <v>31916.070218901816</v>
      </c>
      <c r="R879" s="11">
        <v>40000</v>
      </c>
      <c r="S879" s="11">
        <v>16490076</v>
      </c>
      <c r="T879" s="11">
        <v>1978808</v>
      </c>
      <c r="U879" s="12">
        <f t="shared" si="379"/>
        <v>0.11999993208036154</v>
      </c>
      <c r="V879" s="13">
        <f t="shared" si="403"/>
        <v>0</v>
      </c>
      <c r="W879" s="10">
        <f t="shared" si="380"/>
        <v>0</v>
      </c>
      <c r="X879" s="10"/>
      <c r="Y879" s="10"/>
      <c r="Z879" s="11">
        <f t="shared" si="381"/>
        <v>16490076</v>
      </c>
      <c r="AA879" s="14"/>
      <c r="AB879" s="14"/>
      <c r="AC879" s="11">
        <f t="shared" si="382"/>
        <v>16490076</v>
      </c>
      <c r="AD879" s="10">
        <f t="shared" si="383"/>
        <v>300</v>
      </c>
      <c r="AE879" s="15">
        <v>155001</v>
      </c>
      <c r="AF879" s="16">
        <v>27900</v>
      </c>
      <c r="AG879" s="15">
        <f t="shared" si="384"/>
        <v>0</v>
      </c>
      <c r="AH879" s="15">
        <f t="shared" si="385"/>
        <v>0</v>
      </c>
      <c r="AI879" s="15">
        <f t="shared" si="386"/>
        <v>155001</v>
      </c>
      <c r="AJ879" s="15">
        <f t="shared" si="387"/>
        <v>27901</v>
      </c>
      <c r="AK879" s="10">
        <v>155001</v>
      </c>
      <c r="AL879" s="15">
        <f t="shared" si="388"/>
        <v>155001</v>
      </c>
      <c r="AM879" s="15">
        <f t="shared" si="389"/>
        <v>16645077</v>
      </c>
      <c r="AN879" s="15">
        <f t="shared" si="390"/>
        <v>2006709</v>
      </c>
      <c r="AO879" s="15">
        <f t="shared" si="395"/>
        <v>2646012.7199999997</v>
      </c>
      <c r="AP879" s="17">
        <f t="shared" si="391"/>
        <v>19291089.719999999</v>
      </c>
      <c r="AQ879" s="15">
        <v>17495921</v>
      </c>
      <c r="AR879" s="15">
        <v>484302.72</v>
      </c>
      <c r="AS879" s="18">
        <f t="shared" si="396"/>
        <v>1795169</v>
      </c>
      <c r="AT879" s="19">
        <v>0</v>
      </c>
      <c r="AU879" s="8">
        <v>8800</v>
      </c>
      <c r="AV879" s="13">
        <f t="shared" si="397"/>
        <v>4546696</v>
      </c>
      <c r="AW879" s="18">
        <f t="shared" si="398"/>
        <v>16645077</v>
      </c>
      <c r="AX879" s="15">
        <f t="shared" si="392"/>
        <v>16646000</v>
      </c>
      <c r="AY879" s="20">
        <v>7.0000000000000007E-2</v>
      </c>
      <c r="AZ879" s="13">
        <f t="shared" si="393"/>
        <v>1165220</v>
      </c>
      <c r="BA879" s="15">
        <f t="shared" si="394"/>
        <v>1165300</v>
      </c>
      <c r="BB879" s="21">
        <f t="shared" si="399"/>
        <v>2960469</v>
      </c>
      <c r="BC879" s="10">
        <f t="shared" si="400"/>
        <v>0</v>
      </c>
      <c r="BD879" s="10">
        <f t="shared" si="401"/>
        <v>0</v>
      </c>
      <c r="BE879" s="10">
        <v>104.6</v>
      </c>
      <c r="BF879" s="10">
        <v>48</v>
      </c>
      <c r="BG879" s="107">
        <v>46176</v>
      </c>
      <c r="BH879" s="107">
        <f t="shared" si="404"/>
        <v>46206</v>
      </c>
      <c r="BI879" s="23">
        <v>7</v>
      </c>
      <c r="BJ879" s="6"/>
      <c r="BK879" s="6"/>
      <c r="BL879" s="6">
        <f>VLOOKUP(A879,[2]Sheet1!$D$2:$H$933,5,0)</f>
        <v>0</v>
      </c>
      <c r="BM879" s="6" t="s">
        <v>3828</v>
      </c>
      <c r="BN879" s="6" t="s">
        <v>3829</v>
      </c>
      <c r="BO879" s="6" t="s">
        <v>3820</v>
      </c>
      <c r="BP879" s="6" t="s">
        <v>3821</v>
      </c>
      <c r="BQ879" s="6" t="s">
        <v>3830</v>
      </c>
      <c r="BR879" t="s">
        <v>3823</v>
      </c>
      <c r="BS879" t="s">
        <v>3824</v>
      </c>
      <c r="BT879" t="s">
        <v>3825</v>
      </c>
      <c r="BU879" t="s">
        <v>3826</v>
      </c>
      <c r="BV879" t="s">
        <v>3827</v>
      </c>
      <c r="BW879" t="s">
        <v>3835</v>
      </c>
      <c r="BX879">
        <v>0</v>
      </c>
      <c r="BY879" t="s">
        <v>3861</v>
      </c>
      <c r="BZ879" t="s">
        <v>3872</v>
      </c>
    </row>
    <row r="880" spans="1:78" x14ac:dyDescent="0.25">
      <c r="A880" s="65" t="s">
        <v>3534</v>
      </c>
      <c r="B880" s="7" t="s">
        <v>181</v>
      </c>
      <c r="C880" s="7" t="s">
        <v>3532</v>
      </c>
      <c r="D880" s="8" t="s">
        <v>3533</v>
      </c>
      <c r="E880" s="7" t="s">
        <v>3371</v>
      </c>
      <c r="F880" s="9">
        <v>45132</v>
      </c>
      <c r="G880" s="9" t="s">
        <v>404</v>
      </c>
      <c r="H880" s="9" t="s">
        <v>87</v>
      </c>
      <c r="I880" s="8" t="s">
        <v>78</v>
      </c>
      <c r="J880" s="10">
        <v>876.19</v>
      </c>
      <c r="K880" s="10">
        <v>876.19</v>
      </c>
      <c r="L880" s="10">
        <f t="shared" si="377"/>
        <v>0</v>
      </c>
      <c r="M880" s="10">
        <v>404.73</v>
      </c>
      <c r="N880" s="10">
        <v>404.73</v>
      </c>
      <c r="O880" s="10">
        <f t="shared" si="378"/>
        <v>0</v>
      </c>
      <c r="P880" s="11">
        <v>14645.998014129354</v>
      </c>
      <c r="Q880" s="11">
        <v>31706.760062263729</v>
      </c>
      <c r="R880" s="11">
        <v>40000</v>
      </c>
      <c r="S880" s="11">
        <v>12832677</v>
      </c>
      <c r="T880" s="11">
        <v>1539920</v>
      </c>
      <c r="U880" s="12">
        <f t="shared" si="379"/>
        <v>0.11999990337168152</v>
      </c>
      <c r="V880" s="13">
        <f t="shared" si="403"/>
        <v>0</v>
      </c>
      <c r="W880" s="10">
        <f t="shared" si="380"/>
        <v>0</v>
      </c>
      <c r="X880" s="10"/>
      <c r="Y880" s="10"/>
      <c r="Z880" s="11">
        <f t="shared" si="381"/>
        <v>12832677</v>
      </c>
      <c r="AA880" s="14"/>
      <c r="AB880" s="14"/>
      <c r="AC880" s="11">
        <f t="shared" si="382"/>
        <v>12832677</v>
      </c>
      <c r="AD880" s="10">
        <f t="shared" si="383"/>
        <v>300</v>
      </c>
      <c r="AE880" s="15">
        <v>121419</v>
      </c>
      <c r="AF880" s="16">
        <v>21856</v>
      </c>
      <c r="AG880" s="15">
        <f t="shared" si="384"/>
        <v>0</v>
      </c>
      <c r="AH880" s="15">
        <f t="shared" si="385"/>
        <v>0</v>
      </c>
      <c r="AI880" s="15">
        <f t="shared" si="386"/>
        <v>121419</v>
      </c>
      <c r="AJ880" s="15">
        <f t="shared" si="387"/>
        <v>21856</v>
      </c>
      <c r="AK880" s="10">
        <v>121419</v>
      </c>
      <c r="AL880" s="15">
        <f t="shared" si="388"/>
        <v>121419</v>
      </c>
      <c r="AM880" s="15">
        <f t="shared" si="389"/>
        <v>12954096</v>
      </c>
      <c r="AN880" s="15">
        <f t="shared" si="390"/>
        <v>1561776</v>
      </c>
      <c r="AO880" s="15">
        <f t="shared" si="395"/>
        <v>2169066</v>
      </c>
      <c r="AP880" s="17">
        <f t="shared" si="391"/>
        <v>15123162</v>
      </c>
      <c r="AQ880" s="15">
        <v>13667380.619999999</v>
      </c>
      <c r="AR880" s="15">
        <v>485871</v>
      </c>
      <c r="AS880" s="18">
        <f t="shared" si="396"/>
        <v>1455781</v>
      </c>
      <c r="AT880" s="19">
        <v>0</v>
      </c>
      <c r="AU880" s="8">
        <v>8800</v>
      </c>
      <c r="AV880" s="13">
        <f t="shared" si="397"/>
        <v>3561624</v>
      </c>
      <c r="AW880" s="18">
        <f t="shared" si="398"/>
        <v>12954096</v>
      </c>
      <c r="AX880" s="15">
        <f t="shared" si="392"/>
        <v>12955000</v>
      </c>
      <c r="AY880" s="20">
        <v>7.0000000000000007E-2</v>
      </c>
      <c r="AZ880" s="13">
        <f t="shared" si="393"/>
        <v>906850.00000000012</v>
      </c>
      <c r="BA880" s="15">
        <f t="shared" si="394"/>
        <v>906900</v>
      </c>
      <c r="BB880" s="21">
        <f t="shared" si="399"/>
        <v>2362681</v>
      </c>
      <c r="BC880" s="10">
        <f t="shared" si="400"/>
        <v>0</v>
      </c>
      <c r="BD880" s="10">
        <f t="shared" si="401"/>
        <v>0</v>
      </c>
      <c r="BE880" s="10">
        <v>81.400000000000006</v>
      </c>
      <c r="BF880" s="10">
        <v>37.6</v>
      </c>
      <c r="BG880" s="107">
        <v>46176</v>
      </c>
      <c r="BH880" s="107">
        <f t="shared" si="404"/>
        <v>46206</v>
      </c>
      <c r="BI880" s="23">
        <v>7</v>
      </c>
      <c r="BJ880" s="6"/>
      <c r="BK880" s="6"/>
      <c r="BL880" s="6">
        <f>VLOOKUP(A880,[2]Sheet1!$D$2:$H$933,5,0)</f>
        <v>0</v>
      </c>
      <c r="BM880" s="6" t="s">
        <v>3828</v>
      </c>
      <c r="BN880" s="6" t="s">
        <v>3829</v>
      </c>
      <c r="BO880" s="6" t="s">
        <v>3820</v>
      </c>
      <c r="BP880" s="6" t="s">
        <v>3821</v>
      </c>
      <c r="BQ880" s="6" t="s">
        <v>3830</v>
      </c>
      <c r="BR880" t="s">
        <v>3823</v>
      </c>
      <c r="BS880" t="s">
        <v>3824</v>
      </c>
      <c r="BT880" t="s">
        <v>3825</v>
      </c>
      <c r="BU880" t="s">
        <v>3826</v>
      </c>
      <c r="BV880" t="s">
        <v>3827</v>
      </c>
      <c r="BW880" t="s">
        <v>3835</v>
      </c>
      <c r="BX880">
        <v>0</v>
      </c>
      <c r="BY880" t="s">
        <v>3861</v>
      </c>
      <c r="BZ880" t="s">
        <v>3863</v>
      </c>
    </row>
    <row r="881" spans="1:78" x14ac:dyDescent="0.25">
      <c r="A881" s="65" t="s">
        <v>3537</v>
      </c>
      <c r="B881" s="7" t="s">
        <v>181</v>
      </c>
      <c r="C881" s="7" t="s">
        <v>3535</v>
      </c>
      <c r="D881" s="8" t="s">
        <v>3536</v>
      </c>
      <c r="E881" s="7" t="s">
        <v>3371</v>
      </c>
      <c r="F881" s="9">
        <v>45132</v>
      </c>
      <c r="G881" s="9" t="s">
        <v>404</v>
      </c>
      <c r="H881" s="9" t="s">
        <v>87</v>
      </c>
      <c r="I881" s="8" t="s">
        <v>78</v>
      </c>
      <c r="J881" s="10">
        <v>876.19</v>
      </c>
      <c r="K881" s="10">
        <v>876.19</v>
      </c>
      <c r="L881" s="10">
        <f t="shared" si="377"/>
        <v>0</v>
      </c>
      <c r="M881" s="10">
        <v>404.73</v>
      </c>
      <c r="N881" s="10">
        <v>404.73</v>
      </c>
      <c r="O881" s="10">
        <f t="shared" si="378"/>
        <v>0</v>
      </c>
      <c r="P881" s="11">
        <v>14645.998014129354</v>
      </c>
      <c r="Q881" s="11">
        <v>31706.760062263729</v>
      </c>
      <c r="R881" s="11">
        <v>40000</v>
      </c>
      <c r="S881" s="11">
        <v>12832677</v>
      </c>
      <c r="T881" s="11">
        <v>1539920</v>
      </c>
      <c r="U881" s="12">
        <f t="shared" si="379"/>
        <v>0.11999990337168152</v>
      </c>
      <c r="V881" s="13">
        <f t="shared" si="403"/>
        <v>0</v>
      </c>
      <c r="W881" s="10">
        <f t="shared" si="380"/>
        <v>0</v>
      </c>
      <c r="X881" s="10"/>
      <c r="Y881" s="10"/>
      <c r="Z881" s="11">
        <f t="shared" si="381"/>
        <v>12832677</v>
      </c>
      <c r="AA881" s="14"/>
      <c r="AB881" s="14"/>
      <c r="AC881" s="11">
        <f t="shared" si="382"/>
        <v>12832677</v>
      </c>
      <c r="AD881" s="10">
        <f t="shared" si="383"/>
        <v>300</v>
      </c>
      <c r="AE881" s="15">
        <v>121419</v>
      </c>
      <c r="AF881" s="16">
        <v>21856</v>
      </c>
      <c r="AG881" s="15">
        <f t="shared" si="384"/>
        <v>0</v>
      </c>
      <c r="AH881" s="15">
        <f t="shared" si="385"/>
        <v>0</v>
      </c>
      <c r="AI881" s="15">
        <f t="shared" si="386"/>
        <v>121419</v>
      </c>
      <c r="AJ881" s="15">
        <f t="shared" si="387"/>
        <v>21856</v>
      </c>
      <c r="AK881" s="10">
        <v>121419</v>
      </c>
      <c r="AL881" s="15">
        <f t="shared" si="388"/>
        <v>121419</v>
      </c>
      <c r="AM881" s="15">
        <f t="shared" si="389"/>
        <v>12954096</v>
      </c>
      <c r="AN881" s="15">
        <f t="shared" si="390"/>
        <v>1561776</v>
      </c>
      <c r="AO881" s="15">
        <f t="shared" si="395"/>
        <v>2169066</v>
      </c>
      <c r="AP881" s="17">
        <f t="shared" si="391"/>
        <v>15123162</v>
      </c>
      <c r="AQ881" s="15">
        <v>13667377.65</v>
      </c>
      <c r="AR881" s="15">
        <v>485871</v>
      </c>
      <c r="AS881" s="18">
        <f t="shared" si="396"/>
        <v>1455784</v>
      </c>
      <c r="AT881" s="19">
        <v>0</v>
      </c>
      <c r="AU881" s="8">
        <v>8800</v>
      </c>
      <c r="AV881" s="13">
        <f t="shared" si="397"/>
        <v>3561624</v>
      </c>
      <c r="AW881" s="18">
        <f t="shared" si="398"/>
        <v>12954096</v>
      </c>
      <c r="AX881" s="15">
        <f t="shared" si="392"/>
        <v>12955000</v>
      </c>
      <c r="AY881" s="20">
        <v>7.0000000000000007E-2</v>
      </c>
      <c r="AZ881" s="13">
        <f t="shared" si="393"/>
        <v>906850.00000000012</v>
      </c>
      <c r="BA881" s="15">
        <f t="shared" si="394"/>
        <v>906900</v>
      </c>
      <c r="BB881" s="21">
        <f t="shared" si="399"/>
        <v>2362684</v>
      </c>
      <c r="BC881" s="10">
        <f t="shared" si="400"/>
        <v>0</v>
      </c>
      <c r="BD881" s="10">
        <f t="shared" si="401"/>
        <v>0</v>
      </c>
      <c r="BE881" s="10">
        <v>81.400000000000006</v>
      </c>
      <c r="BF881" s="10">
        <v>37.6</v>
      </c>
      <c r="BG881" s="107">
        <v>46176</v>
      </c>
      <c r="BH881" s="107">
        <f t="shared" si="404"/>
        <v>46206</v>
      </c>
      <c r="BI881" s="23">
        <v>7</v>
      </c>
      <c r="BJ881" s="6"/>
      <c r="BK881" s="6"/>
      <c r="BL881" s="6">
        <f>VLOOKUP(A881,[2]Sheet1!$D$2:$H$933,5,0)</f>
        <v>0</v>
      </c>
      <c r="BM881" s="6" t="s">
        <v>3828</v>
      </c>
      <c r="BN881" s="6" t="s">
        <v>3829</v>
      </c>
      <c r="BO881" s="6" t="s">
        <v>3820</v>
      </c>
      <c r="BP881" s="6" t="s">
        <v>3821</v>
      </c>
      <c r="BQ881" s="6" t="s">
        <v>3830</v>
      </c>
      <c r="BR881" t="s">
        <v>3823</v>
      </c>
      <c r="BS881" t="s">
        <v>3824</v>
      </c>
      <c r="BT881" t="s">
        <v>3825</v>
      </c>
      <c r="BU881" t="s">
        <v>3826</v>
      </c>
      <c r="BV881" t="s">
        <v>3827</v>
      </c>
      <c r="BW881" t="s">
        <v>3835</v>
      </c>
      <c r="BX881">
        <v>0</v>
      </c>
      <c r="BY881" t="s">
        <v>3861</v>
      </c>
      <c r="BZ881" t="s">
        <v>3863</v>
      </c>
    </row>
    <row r="882" spans="1:78" x14ac:dyDescent="0.25">
      <c r="A882" s="7" t="s">
        <v>3540</v>
      </c>
      <c r="B882" s="7" t="s">
        <v>181</v>
      </c>
      <c r="C882" s="7" t="s">
        <v>3538</v>
      </c>
      <c r="D882" s="8" t="s">
        <v>3539</v>
      </c>
      <c r="E882" s="7" t="s">
        <v>3541</v>
      </c>
      <c r="F882" s="9">
        <v>45020</v>
      </c>
      <c r="G882" s="9" t="s">
        <v>717</v>
      </c>
      <c r="H882" s="9" t="s">
        <v>87</v>
      </c>
      <c r="I882" s="8" t="s">
        <v>78</v>
      </c>
      <c r="J882" s="10">
        <v>825.6</v>
      </c>
      <c r="K882" s="10">
        <v>825.6</v>
      </c>
      <c r="L882" s="10">
        <f t="shared" si="377"/>
        <v>0</v>
      </c>
      <c r="M882" s="10">
        <v>369.21</v>
      </c>
      <c r="N882" s="10">
        <v>369.21</v>
      </c>
      <c r="O882" s="10">
        <f t="shared" si="378"/>
        <v>0</v>
      </c>
      <c r="P882" s="11">
        <v>27900</v>
      </c>
      <c r="Q882" s="11">
        <v>62387.909319899249</v>
      </c>
      <c r="R882" s="11">
        <v>40000</v>
      </c>
      <c r="S882" s="11">
        <v>23034240</v>
      </c>
      <c r="T882" s="11">
        <v>2764108</v>
      </c>
      <c r="U882" s="12">
        <f t="shared" si="379"/>
        <v>0.11999996526909505</v>
      </c>
      <c r="V882" s="13">
        <f t="shared" si="403"/>
        <v>0</v>
      </c>
      <c r="W882" s="10">
        <f t="shared" si="380"/>
        <v>0</v>
      </c>
      <c r="X882" s="10"/>
      <c r="Y882" s="10"/>
      <c r="Z882" s="11">
        <f t="shared" si="381"/>
        <v>23034240</v>
      </c>
      <c r="AA882" s="14"/>
      <c r="AB882" s="14"/>
      <c r="AC882" s="11">
        <f t="shared" si="382"/>
        <v>23034240</v>
      </c>
      <c r="AD882" s="10">
        <f t="shared" si="383"/>
        <v>300</v>
      </c>
      <c r="AE882" s="15">
        <v>110763</v>
      </c>
      <c r="AF882" s="16">
        <v>19938</v>
      </c>
      <c r="AG882" s="15">
        <f t="shared" si="384"/>
        <v>0</v>
      </c>
      <c r="AH882" s="15">
        <f t="shared" si="385"/>
        <v>0</v>
      </c>
      <c r="AI882" s="15">
        <f t="shared" si="386"/>
        <v>110763</v>
      </c>
      <c r="AJ882" s="15">
        <f t="shared" si="387"/>
        <v>19938</v>
      </c>
      <c r="AK882" s="10">
        <v>110763</v>
      </c>
      <c r="AL882" s="15">
        <f t="shared" si="388"/>
        <v>110763</v>
      </c>
      <c r="AM882" s="15">
        <f t="shared" si="389"/>
        <v>23145003</v>
      </c>
      <c r="AN882" s="15">
        <f t="shared" si="390"/>
        <v>2784046</v>
      </c>
      <c r="AO882" s="15">
        <f t="shared" si="395"/>
        <v>3454481</v>
      </c>
      <c r="AP882" s="17">
        <f t="shared" si="391"/>
        <v>26599484</v>
      </c>
      <c r="AQ882" s="15">
        <v>11517000</v>
      </c>
      <c r="AR882" s="15">
        <v>559672</v>
      </c>
      <c r="AS882" s="18">
        <f t="shared" si="396"/>
        <v>15082484</v>
      </c>
      <c r="AT882" s="19">
        <v>0</v>
      </c>
      <c r="AU882" s="8">
        <v>8800</v>
      </c>
      <c r="AV882" s="13">
        <f t="shared" si="397"/>
        <v>3249048</v>
      </c>
      <c r="AW882" s="18">
        <f t="shared" si="398"/>
        <v>23145003</v>
      </c>
      <c r="AX882" s="15">
        <f t="shared" si="392"/>
        <v>23146000</v>
      </c>
      <c r="AY882" s="20">
        <v>7.0000000000000007E-2</v>
      </c>
      <c r="AZ882" s="13">
        <f t="shared" si="393"/>
        <v>1620220.0000000002</v>
      </c>
      <c r="BA882" s="15">
        <f t="shared" si="394"/>
        <v>1620300</v>
      </c>
      <c r="BB882" s="21">
        <f t="shared" si="399"/>
        <v>16702784</v>
      </c>
      <c r="BC882" s="10">
        <f t="shared" si="400"/>
        <v>0</v>
      </c>
      <c r="BD882" s="10">
        <f t="shared" si="401"/>
        <v>0</v>
      </c>
      <c r="BE882" s="10">
        <v>76.7</v>
      </c>
      <c r="BF882" s="10">
        <v>34.299999999999997</v>
      </c>
      <c r="BG882" s="107">
        <v>46176</v>
      </c>
      <c r="BH882" s="107">
        <f t="shared" si="404"/>
        <v>46206</v>
      </c>
      <c r="BI882" s="23">
        <v>7</v>
      </c>
      <c r="BJ882" s="6"/>
      <c r="BK882" s="6"/>
      <c r="BL882" s="6">
        <f>VLOOKUP(A882,[2]Sheet1!$D$2:$H$933,5,0)</f>
        <v>0</v>
      </c>
      <c r="BM882" s="6" t="s">
        <v>3828</v>
      </c>
      <c r="BN882" s="6" t="s">
        <v>3829</v>
      </c>
      <c r="BO882" s="6" t="s">
        <v>3820</v>
      </c>
      <c r="BP882" s="6" t="s">
        <v>3821</v>
      </c>
      <c r="BQ882" s="6" t="s">
        <v>3830</v>
      </c>
      <c r="BR882" t="s">
        <v>3823</v>
      </c>
      <c r="BS882" t="s">
        <v>3824</v>
      </c>
      <c r="BT882" t="s">
        <v>3825</v>
      </c>
      <c r="BU882" t="s">
        <v>3826</v>
      </c>
      <c r="BV882" t="s">
        <v>3827</v>
      </c>
      <c r="BW882" t="s">
        <v>3835</v>
      </c>
      <c r="BX882">
        <v>0</v>
      </c>
      <c r="BY882" t="s">
        <v>3865</v>
      </c>
      <c r="BZ882" t="s">
        <v>3872</v>
      </c>
    </row>
    <row r="883" spans="1:78" x14ac:dyDescent="0.25">
      <c r="A883" s="65" t="s">
        <v>3544</v>
      </c>
      <c r="B883" s="7" t="s">
        <v>181</v>
      </c>
      <c r="C883" s="7" t="s">
        <v>3542</v>
      </c>
      <c r="D883" s="8" t="s">
        <v>3543</v>
      </c>
      <c r="E883" s="7" t="s">
        <v>3323</v>
      </c>
      <c r="F883" s="9">
        <v>45169</v>
      </c>
      <c r="G883" s="9" t="s">
        <v>404</v>
      </c>
      <c r="H883" s="9" t="s">
        <v>87</v>
      </c>
      <c r="I883" s="8" t="s">
        <v>78</v>
      </c>
      <c r="J883" s="10">
        <v>719.04</v>
      </c>
      <c r="K883" s="10">
        <v>719.04</v>
      </c>
      <c r="L883" s="10">
        <f t="shared" si="377"/>
        <v>0</v>
      </c>
      <c r="M883" s="10">
        <v>320.23</v>
      </c>
      <c r="N883" s="10">
        <v>320.23</v>
      </c>
      <c r="O883" s="10">
        <f t="shared" si="378"/>
        <v>0</v>
      </c>
      <c r="P883" s="11">
        <v>14646.001613262128</v>
      </c>
      <c r="Q883" s="11">
        <v>32885.928863629262</v>
      </c>
      <c r="R883" s="11">
        <v>40000</v>
      </c>
      <c r="S883" s="11">
        <v>10531061</v>
      </c>
      <c r="T883" s="11">
        <v>1263726</v>
      </c>
      <c r="U883" s="12">
        <f t="shared" si="379"/>
        <v>0.11999987465650422</v>
      </c>
      <c r="V883" s="13">
        <f t="shared" si="403"/>
        <v>0</v>
      </c>
      <c r="W883" s="10">
        <f t="shared" si="380"/>
        <v>0</v>
      </c>
      <c r="X883" s="10"/>
      <c r="Y883" s="10"/>
      <c r="Z883" s="11">
        <f t="shared" si="381"/>
        <v>10531061</v>
      </c>
      <c r="AA883" s="14"/>
      <c r="AB883" s="14"/>
      <c r="AC883" s="11">
        <f t="shared" si="382"/>
        <v>10531061</v>
      </c>
      <c r="AD883" s="10">
        <f t="shared" si="383"/>
        <v>300</v>
      </c>
      <c r="AE883" s="15">
        <v>96069</v>
      </c>
      <c r="AF883" s="16">
        <v>17292</v>
      </c>
      <c r="AG883" s="15">
        <f t="shared" si="384"/>
        <v>0</v>
      </c>
      <c r="AH883" s="15">
        <f t="shared" si="385"/>
        <v>0</v>
      </c>
      <c r="AI883" s="15">
        <f t="shared" si="386"/>
        <v>96069</v>
      </c>
      <c r="AJ883" s="15">
        <f t="shared" si="387"/>
        <v>17293</v>
      </c>
      <c r="AK883" s="10">
        <v>96069</v>
      </c>
      <c r="AL883" s="15">
        <f t="shared" si="388"/>
        <v>96069</v>
      </c>
      <c r="AM883" s="15">
        <f t="shared" si="389"/>
        <v>10627130</v>
      </c>
      <c r="AN883" s="15">
        <f t="shared" si="390"/>
        <v>1281019</v>
      </c>
      <c r="AO883" s="15">
        <f t="shared" si="395"/>
        <v>1923938</v>
      </c>
      <c r="AP883" s="17">
        <f t="shared" si="391"/>
        <v>12551068</v>
      </c>
      <c r="AQ883" s="15">
        <v>11092996</v>
      </c>
      <c r="AR883" s="15">
        <v>546850</v>
      </c>
      <c r="AS883" s="18">
        <f t="shared" si="396"/>
        <v>1458072</v>
      </c>
      <c r="AT883" s="19">
        <v>0</v>
      </c>
      <c r="AU883" s="8">
        <v>8800</v>
      </c>
      <c r="AV883" s="13">
        <f t="shared" si="397"/>
        <v>2818024</v>
      </c>
      <c r="AW883" s="18">
        <f t="shared" si="398"/>
        <v>10627130</v>
      </c>
      <c r="AX883" s="15">
        <f t="shared" si="392"/>
        <v>10628000</v>
      </c>
      <c r="AY883" s="20">
        <v>7.0000000000000007E-2</v>
      </c>
      <c r="AZ883" s="13">
        <f t="shared" si="393"/>
        <v>743960.00000000012</v>
      </c>
      <c r="BA883" s="15">
        <f t="shared" si="394"/>
        <v>744000</v>
      </c>
      <c r="BB883" s="21">
        <f t="shared" si="399"/>
        <v>2202072</v>
      </c>
      <c r="BC883" s="10">
        <f t="shared" si="400"/>
        <v>0</v>
      </c>
      <c r="BD883" s="10">
        <f t="shared" si="401"/>
        <v>0</v>
      </c>
      <c r="BE883" s="10">
        <v>66.8</v>
      </c>
      <c r="BF883" s="10">
        <v>29.75</v>
      </c>
      <c r="BG883" s="107">
        <v>46176</v>
      </c>
      <c r="BH883" s="107">
        <f t="shared" si="404"/>
        <v>46206</v>
      </c>
      <c r="BI883" s="23">
        <v>7</v>
      </c>
      <c r="BJ883" s="6"/>
      <c r="BK883" s="6"/>
      <c r="BL883" s="6">
        <f>VLOOKUP(A883,[2]Sheet1!$D$2:$H$933,5,0)</f>
        <v>0</v>
      </c>
      <c r="BM883" s="6" t="s">
        <v>3828</v>
      </c>
      <c r="BN883" s="6" t="s">
        <v>3829</v>
      </c>
      <c r="BO883" s="6" t="s">
        <v>3820</v>
      </c>
      <c r="BP883" s="6" t="s">
        <v>3821</v>
      </c>
      <c r="BQ883" s="6" t="s">
        <v>3830</v>
      </c>
      <c r="BR883" t="s">
        <v>3823</v>
      </c>
      <c r="BS883" t="s">
        <v>3824</v>
      </c>
      <c r="BT883" t="s">
        <v>3825</v>
      </c>
      <c r="BU883" t="s">
        <v>3826</v>
      </c>
      <c r="BV883" t="s">
        <v>3827</v>
      </c>
      <c r="BW883" t="s">
        <v>3835</v>
      </c>
      <c r="BX883">
        <v>0</v>
      </c>
      <c r="BY883" t="s">
        <v>3861</v>
      </c>
      <c r="BZ883" t="s">
        <v>3863</v>
      </c>
    </row>
    <row r="884" spans="1:78" x14ac:dyDescent="0.25">
      <c r="A884" s="7" t="s">
        <v>3547</v>
      </c>
      <c r="B884" s="7" t="s">
        <v>181</v>
      </c>
      <c r="C884" s="7" t="s">
        <v>3545</v>
      </c>
      <c r="D884" s="8" t="s">
        <v>3546</v>
      </c>
      <c r="E884" s="7" t="s">
        <v>3548</v>
      </c>
      <c r="F884" s="9">
        <v>44896</v>
      </c>
      <c r="G884" s="9" t="s">
        <v>527</v>
      </c>
      <c r="H884" s="9" t="s">
        <v>190</v>
      </c>
      <c r="I884" s="8" t="s">
        <v>78</v>
      </c>
      <c r="J884" s="10">
        <v>1330.43</v>
      </c>
      <c r="K884" s="10">
        <v>1330.43</v>
      </c>
      <c r="L884" s="10">
        <f t="shared" ref="L884:L918" si="405">K884-J884</f>
        <v>0</v>
      </c>
      <c r="M884" s="10">
        <v>627.54</v>
      </c>
      <c r="N884" s="10">
        <v>627.54</v>
      </c>
      <c r="O884" s="10">
        <f t="shared" ref="O884:O918" si="406">N884-M884</f>
        <v>0</v>
      </c>
      <c r="P884" s="11">
        <v>25000</v>
      </c>
      <c r="Q884" s="11">
        <v>53001.800682028239</v>
      </c>
      <c r="R884" s="11">
        <v>60000</v>
      </c>
      <c r="S884" s="11">
        <v>33260750</v>
      </c>
      <c r="T884" s="11">
        <v>3991294</v>
      </c>
      <c r="U884" s="12">
        <f t="shared" ref="U884:U918" si="407">T884/S884</f>
        <v>0.12000012026187022</v>
      </c>
      <c r="V884" s="13">
        <f t="shared" si="403"/>
        <v>0</v>
      </c>
      <c r="W884" s="10">
        <f t="shared" ref="W884:W918" si="408">V884*U884</f>
        <v>0</v>
      </c>
      <c r="X884" s="10"/>
      <c r="Y884" s="10"/>
      <c r="Z884" s="11">
        <f t="shared" ref="Z884:Z918" si="409">S884+V884+X884</f>
        <v>33260750</v>
      </c>
      <c r="AA884" s="14"/>
      <c r="AB884" s="14"/>
      <c r="AC884" s="11">
        <f t="shared" ref="AC884:AC918" si="410">Z884-AA884</f>
        <v>33260750</v>
      </c>
      <c r="AD884" s="10">
        <f t="shared" ref="AD884:AD918" si="411">AE884/M884</f>
        <v>300</v>
      </c>
      <c r="AE884" s="15">
        <v>188262</v>
      </c>
      <c r="AF884" s="16">
        <v>33888</v>
      </c>
      <c r="AG884" s="15">
        <f t="shared" ref="AG884:AG918" si="412">(AD884*O884)</f>
        <v>0</v>
      </c>
      <c r="AH884" s="15">
        <f t="shared" ref="AH884:AH918" si="413">AG884*18%</f>
        <v>0</v>
      </c>
      <c r="AI884" s="15">
        <f t="shared" ref="AI884:AI911" si="414">AD884*N884</f>
        <v>188262</v>
      </c>
      <c r="AJ884" s="15">
        <f t="shared" ref="AJ884:AJ911" si="415">ROUNDUP(AI884*18%,0)</f>
        <v>33888</v>
      </c>
      <c r="AK884" s="10">
        <v>188262</v>
      </c>
      <c r="AL884" s="15">
        <f t="shared" ref="AL884:AL918" si="416">N884*300</f>
        <v>188262</v>
      </c>
      <c r="AM884" s="15">
        <f t="shared" ref="AM884:AM918" si="417">ROUND(AI884+AC884,0)</f>
        <v>33449012</v>
      </c>
      <c r="AN884" s="15">
        <f t="shared" ref="AN884:AN918" si="418">ROUNDUP(AJ884+W884+T884+Y884-AB884,0)</f>
        <v>4025182</v>
      </c>
      <c r="AO884" s="15">
        <f t="shared" si="395"/>
        <v>4775697.88</v>
      </c>
      <c r="AP884" s="17">
        <f t="shared" ref="AP884:AP918" si="419">AM884+AO884</f>
        <v>38224709.880000003</v>
      </c>
      <c r="AQ884" s="15">
        <v>26830899.129999999</v>
      </c>
      <c r="AR884" s="15">
        <v>562253.88</v>
      </c>
      <c r="AS884" s="18">
        <f t="shared" si="396"/>
        <v>11393811</v>
      </c>
      <c r="AT884" s="19">
        <v>33300422</v>
      </c>
      <c r="AU884" s="8">
        <v>8800</v>
      </c>
      <c r="AV884" s="13">
        <f t="shared" si="397"/>
        <v>5522352</v>
      </c>
      <c r="AW884" s="18">
        <f t="shared" si="398"/>
        <v>33449012</v>
      </c>
      <c r="AX884" s="15">
        <f t="shared" ref="AX884:AX918" si="420">CEILING((AW884),1000)</f>
        <v>33450000</v>
      </c>
      <c r="AY884" s="20">
        <v>7.0000000000000007E-2</v>
      </c>
      <c r="AZ884" s="13">
        <f t="shared" ref="AZ884:AZ918" si="421">AY884*AX884</f>
        <v>2341500</v>
      </c>
      <c r="BA884" s="15">
        <f t="shared" ref="BA884:BA918" si="422">CEILING(AZ884,100)</f>
        <v>2341500</v>
      </c>
      <c r="BB884" s="21">
        <f t="shared" si="399"/>
        <v>13735311</v>
      </c>
      <c r="BC884" s="10">
        <f t="shared" si="400"/>
        <v>0</v>
      </c>
      <c r="BD884" s="10">
        <f t="shared" si="401"/>
        <v>0</v>
      </c>
      <c r="BE884" s="10">
        <v>123.6</v>
      </c>
      <c r="BF884" s="10">
        <v>58.3</v>
      </c>
      <c r="BG884" s="107">
        <v>46176</v>
      </c>
      <c r="BH884" s="107">
        <f t="shared" si="404"/>
        <v>46206</v>
      </c>
      <c r="BI884" s="23">
        <v>7</v>
      </c>
      <c r="BJ884" s="6"/>
      <c r="BK884" s="6"/>
      <c r="BL884" s="6">
        <f>VLOOKUP(A884,[2]Sheet1!$D$2:$H$933,5,0)</f>
        <v>0</v>
      </c>
      <c r="BM884" s="6" t="s">
        <v>3828</v>
      </c>
      <c r="BN884" s="6" t="s">
        <v>3829</v>
      </c>
      <c r="BO884" s="6" t="s">
        <v>3820</v>
      </c>
      <c r="BP884" s="6" t="s">
        <v>3821</v>
      </c>
      <c r="BQ884" s="6" t="s">
        <v>3830</v>
      </c>
      <c r="BR884" t="s">
        <v>3823</v>
      </c>
      <c r="BS884" t="s">
        <v>3824</v>
      </c>
      <c r="BT884" t="s">
        <v>3825</v>
      </c>
      <c r="BU884" t="s">
        <v>3826</v>
      </c>
      <c r="BV884" t="s">
        <v>3827</v>
      </c>
      <c r="BW884" t="s">
        <v>3835</v>
      </c>
      <c r="BX884">
        <v>0</v>
      </c>
      <c r="BY884" t="s">
        <v>3868</v>
      </c>
      <c r="BZ884" t="s">
        <v>3871</v>
      </c>
    </row>
    <row r="885" spans="1:78" x14ac:dyDescent="0.25">
      <c r="A885" s="7" t="s">
        <v>3551</v>
      </c>
      <c r="B885" s="7" t="s">
        <v>181</v>
      </c>
      <c r="C885" s="7" t="s">
        <v>3549</v>
      </c>
      <c r="D885" s="8" t="s">
        <v>3550</v>
      </c>
      <c r="E885" s="7" t="s">
        <v>3393</v>
      </c>
      <c r="F885" s="9">
        <v>45132</v>
      </c>
      <c r="G885" s="9" t="s">
        <v>404</v>
      </c>
      <c r="H885" s="9" t="s">
        <v>72</v>
      </c>
      <c r="I885" s="8" t="s">
        <v>78</v>
      </c>
      <c r="J885" s="10">
        <v>1560.78</v>
      </c>
      <c r="K885" s="10">
        <v>1560.78</v>
      </c>
      <c r="L885" s="10">
        <f t="shared" si="405"/>
        <v>0</v>
      </c>
      <c r="M885" s="10">
        <v>720.11</v>
      </c>
      <c r="N885" s="10">
        <v>720.11</v>
      </c>
      <c r="O885" s="10">
        <f t="shared" si="406"/>
        <v>0</v>
      </c>
      <c r="P885" s="11">
        <v>7237.0000896987403</v>
      </c>
      <c r="Q885" s="11">
        <v>15685.61053172432</v>
      </c>
      <c r="R885" s="11">
        <v>20000</v>
      </c>
      <c r="S885" s="11">
        <v>11295365</v>
      </c>
      <c r="T885" s="11">
        <v>1355444</v>
      </c>
      <c r="U885" s="12">
        <f t="shared" si="407"/>
        <v>0.12000001770637779</v>
      </c>
      <c r="V885" s="13">
        <f t="shared" si="403"/>
        <v>0</v>
      </c>
      <c r="W885" s="10">
        <f t="shared" si="408"/>
        <v>0</v>
      </c>
      <c r="X885" s="10"/>
      <c r="Y885" s="10"/>
      <c r="Z885" s="11">
        <f t="shared" si="409"/>
        <v>11295365</v>
      </c>
      <c r="AA885" s="14"/>
      <c r="AB885" s="14"/>
      <c r="AC885" s="11">
        <f t="shared" si="410"/>
        <v>11295365</v>
      </c>
      <c r="AD885" s="10">
        <f t="shared" si="411"/>
        <v>300</v>
      </c>
      <c r="AE885" s="15">
        <v>216033</v>
      </c>
      <c r="AF885" s="16">
        <v>38886</v>
      </c>
      <c r="AG885" s="15">
        <f t="shared" si="412"/>
        <v>0</v>
      </c>
      <c r="AH885" s="15">
        <f t="shared" si="413"/>
        <v>0</v>
      </c>
      <c r="AI885" s="15">
        <f t="shared" si="414"/>
        <v>216033</v>
      </c>
      <c r="AJ885" s="15">
        <f t="shared" si="415"/>
        <v>38886</v>
      </c>
      <c r="AK885" s="10">
        <v>216033</v>
      </c>
      <c r="AL885" s="15">
        <f t="shared" si="416"/>
        <v>216033</v>
      </c>
      <c r="AM885" s="15">
        <f t="shared" si="417"/>
        <v>11511398</v>
      </c>
      <c r="AN885" s="15">
        <f t="shared" si="418"/>
        <v>1394330</v>
      </c>
      <c r="AO885" s="15">
        <f t="shared" si="395"/>
        <v>2178630</v>
      </c>
      <c r="AP885" s="17">
        <f t="shared" si="419"/>
        <v>13690028</v>
      </c>
      <c r="AQ885" s="15">
        <v>11905315</v>
      </c>
      <c r="AR885" s="15">
        <v>568267</v>
      </c>
      <c r="AS885" s="18">
        <f t="shared" si="396"/>
        <v>1784713</v>
      </c>
      <c r="AT885" s="19">
        <v>0</v>
      </c>
      <c r="AU885" s="8">
        <v>8800</v>
      </c>
      <c r="AV885" s="13">
        <f t="shared" si="397"/>
        <v>6336968</v>
      </c>
      <c r="AW885" s="18">
        <f t="shared" si="398"/>
        <v>11511398</v>
      </c>
      <c r="AX885" s="15">
        <f t="shared" si="420"/>
        <v>11512000</v>
      </c>
      <c r="AY885" s="20">
        <v>7.0000000000000007E-2</v>
      </c>
      <c r="AZ885" s="13">
        <f t="shared" si="421"/>
        <v>805840.00000000012</v>
      </c>
      <c r="BA885" s="15">
        <f t="shared" si="422"/>
        <v>805900</v>
      </c>
      <c r="BB885" s="21">
        <f t="shared" si="399"/>
        <v>2590613</v>
      </c>
      <c r="BC885" s="10">
        <f t="shared" si="400"/>
        <v>0</v>
      </c>
      <c r="BD885" s="10">
        <f t="shared" si="401"/>
        <v>0</v>
      </c>
      <c r="BE885" s="10">
        <v>145</v>
      </c>
      <c r="BF885" s="10">
        <v>66.900000000000006</v>
      </c>
      <c r="BG885" s="107">
        <v>46176</v>
      </c>
      <c r="BH885" s="107">
        <f t="shared" si="404"/>
        <v>46206</v>
      </c>
      <c r="BI885" s="23">
        <v>7</v>
      </c>
      <c r="BJ885" s="6"/>
      <c r="BK885" s="6"/>
      <c r="BL885" s="6">
        <f>VLOOKUP(A885,[2]Sheet1!$D$2:$H$933,5,0)</f>
        <v>0</v>
      </c>
      <c r="BM885" s="6" t="s">
        <v>3828</v>
      </c>
      <c r="BN885" s="6" t="s">
        <v>3829</v>
      </c>
      <c r="BO885" s="6" t="s">
        <v>3820</v>
      </c>
      <c r="BP885" s="6" t="s">
        <v>3821</v>
      </c>
      <c r="BQ885" s="6" t="s">
        <v>3830</v>
      </c>
      <c r="BR885" t="s">
        <v>3823</v>
      </c>
      <c r="BS885" t="s">
        <v>3824</v>
      </c>
      <c r="BT885" t="s">
        <v>3825</v>
      </c>
      <c r="BU885" t="s">
        <v>3826</v>
      </c>
      <c r="BV885" t="s">
        <v>3827</v>
      </c>
      <c r="BW885" t="s">
        <v>3835</v>
      </c>
      <c r="BX885">
        <v>0</v>
      </c>
      <c r="BY885" t="s">
        <v>3861</v>
      </c>
      <c r="BZ885" t="s">
        <v>3863</v>
      </c>
    </row>
    <row r="886" spans="1:78" x14ac:dyDescent="0.25">
      <c r="A886" s="7" t="s">
        <v>3554</v>
      </c>
      <c r="B886" s="7" t="s">
        <v>181</v>
      </c>
      <c r="C886" s="7" t="s">
        <v>3552</v>
      </c>
      <c r="D886" s="8" t="s">
        <v>3553</v>
      </c>
      <c r="E886" s="7" t="s">
        <v>3555</v>
      </c>
      <c r="F886" s="9">
        <v>45068</v>
      </c>
      <c r="G886" s="9" t="s">
        <v>717</v>
      </c>
      <c r="H886" s="9" t="s">
        <v>87</v>
      </c>
      <c r="I886" s="8" t="s">
        <v>78</v>
      </c>
      <c r="J886" s="10">
        <v>895.56</v>
      </c>
      <c r="K886" s="10">
        <v>895.56</v>
      </c>
      <c r="L886" s="10">
        <f t="shared" si="405"/>
        <v>0</v>
      </c>
      <c r="M886" s="10">
        <v>399.34</v>
      </c>
      <c r="N886" s="10">
        <v>399.34</v>
      </c>
      <c r="O886" s="10">
        <f t="shared" si="406"/>
        <v>0</v>
      </c>
      <c r="P886" s="11">
        <v>23173.45348162044</v>
      </c>
      <c r="Q886" s="11">
        <v>51968.793509290335</v>
      </c>
      <c r="R886" s="11">
        <v>40000</v>
      </c>
      <c r="S886" s="11">
        <v>20753218</v>
      </c>
      <c r="T886" s="11">
        <v>2490386</v>
      </c>
      <c r="U886" s="12">
        <f t="shared" si="407"/>
        <v>0.11999999229035227</v>
      </c>
      <c r="V886" s="13">
        <f t="shared" si="403"/>
        <v>0</v>
      </c>
      <c r="W886" s="10">
        <f t="shared" si="408"/>
        <v>0</v>
      </c>
      <c r="X886" s="10"/>
      <c r="Y886" s="10"/>
      <c r="Z886" s="11">
        <f t="shared" si="409"/>
        <v>20753218</v>
      </c>
      <c r="AA886" s="14"/>
      <c r="AB886" s="14"/>
      <c r="AC886" s="11">
        <f t="shared" si="410"/>
        <v>20753218</v>
      </c>
      <c r="AD886" s="10">
        <f t="shared" si="411"/>
        <v>300</v>
      </c>
      <c r="AE886" s="15">
        <v>119802</v>
      </c>
      <c r="AF886" s="16">
        <v>21564</v>
      </c>
      <c r="AG886" s="15">
        <f t="shared" si="412"/>
        <v>0</v>
      </c>
      <c r="AH886" s="15">
        <f t="shared" si="413"/>
        <v>0</v>
      </c>
      <c r="AI886" s="15">
        <f t="shared" si="414"/>
        <v>119801.99999999999</v>
      </c>
      <c r="AJ886" s="15">
        <f t="shared" si="415"/>
        <v>21565</v>
      </c>
      <c r="AK886" s="10">
        <v>119802</v>
      </c>
      <c r="AL886" s="15">
        <f t="shared" si="416"/>
        <v>119801.99999999999</v>
      </c>
      <c r="AM886" s="15">
        <f t="shared" si="417"/>
        <v>20873020</v>
      </c>
      <c r="AN886" s="15">
        <f t="shared" si="418"/>
        <v>2511951</v>
      </c>
      <c r="AO886" s="15">
        <f t="shared" si="395"/>
        <v>3214455.36</v>
      </c>
      <c r="AP886" s="17">
        <f t="shared" si="419"/>
        <v>24087475.359999999</v>
      </c>
      <c r="AQ886" s="15">
        <v>19336230.079999998</v>
      </c>
      <c r="AR886" s="15">
        <v>582702.36</v>
      </c>
      <c r="AS886" s="18">
        <f t="shared" si="396"/>
        <v>4751245</v>
      </c>
      <c r="AT886" s="19">
        <v>0</v>
      </c>
      <c r="AU886" s="8">
        <v>8800</v>
      </c>
      <c r="AV886" s="13">
        <f t="shared" si="397"/>
        <v>3514192</v>
      </c>
      <c r="AW886" s="18">
        <f t="shared" si="398"/>
        <v>20873020</v>
      </c>
      <c r="AX886" s="15">
        <f t="shared" si="420"/>
        <v>20874000</v>
      </c>
      <c r="AY886" s="20">
        <v>7.0000000000000007E-2</v>
      </c>
      <c r="AZ886" s="13">
        <f t="shared" si="421"/>
        <v>1461180.0000000002</v>
      </c>
      <c r="BA886" s="15">
        <f t="shared" si="422"/>
        <v>1461200</v>
      </c>
      <c r="BB886" s="21">
        <f t="shared" si="399"/>
        <v>6212445</v>
      </c>
      <c r="BC886" s="10">
        <f t="shared" si="400"/>
        <v>0</v>
      </c>
      <c r="BD886" s="10">
        <f t="shared" si="401"/>
        <v>0</v>
      </c>
      <c r="BE886" s="10">
        <v>83.2</v>
      </c>
      <c r="BF886" s="10">
        <v>37.1</v>
      </c>
      <c r="BG886" s="107">
        <v>46176</v>
      </c>
      <c r="BH886" s="107">
        <f t="shared" si="404"/>
        <v>46206</v>
      </c>
      <c r="BI886" s="23">
        <v>7</v>
      </c>
      <c r="BJ886" s="6"/>
      <c r="BK886" s="6"/>
      <c r="BL886" s="6">
        <f>VLOOKUP(A886,[2]Sheet1!$D$2:$H$933,5,0)</f>
        <v>0</v>
      </c>
      <c r="BM886" s="6" t="s">
        <v>3828</v>
      </c>
      <c r="BN886" s="6" t="s">
        <v>3829</v>
      </c>
      <c r="BO886" s="6" t="s">
        <v>3820</v>
      </c>
      <c r="BP886" s="6" t="s">
        <v>3821</v>
      </c>
      <c r="BQ886" s="6" t="s">
        <v>3830</v>
      </c>
      <c r="BR886" t="s">
        <v>3823</v>
      </c>
      <c r="BS886" t="s">
        <v>3824</v>
      </c>
      <c r="BT886" t="s">
        <v>3825</v>
      </c>
      <c r="BU886" t="s">
        <v>3826</v>
      </c>
      <c r="BV886" t="s">
        <v>3827</v>
      </c>
      <c r="BW886" t="s">
        <v>3835</v>
      </c>
      <c r="BX886">
        <v>0</v>
      </c>
      <c r="BY886" t="s">
        <v>3861</v>
      </c>
      <c r="BZ886" t="s">
        <v>3872</v>
      </c>
    </row>
    <row r="887" spans="1:78" x14ac:dyDescent="0.25">
      <c r="A887" s="7" t="s">
        <v>3558</v>
      </c>
      <c r="B887" s="7" t="s">
        <v>181</v>
      </c>
      <c r="C887" s="7" t="s">
        <v>3556</v>
      </c>
      <c r="D887" s="8" t="s">
        <v>3557</v>
      </c>
      <c r="E887" s="7" t="s">
        <v>3531</v>
      </c>
      <c r="F887" s="9">
        <v>45147</v>
      </c>
      <c r="G887" s="9" t="s">
        <v>717</v>
      </c>
      <c r="H887" s="9" t="s">
        <v>87</v>
      </c>
      <c r="I887" s="8" t="s">
        <v>78</v>
      </c>
      <c r="J887" s="10">
        <v>1339.04</v>
      </c>
      <c r="K887" s="10">
        <v>1339.04</v>
      </c>
      <c r="L887" s="10">
        <f t="shared" si="405"/>
        <v>0</v>
      </c>
      <c r="M887" s="10">
        <v>611.4</v>
      </c>
      <c r="N887" s="10">
        <v>611.4</v>
      </c>
      <c r="O887" s="10">
        <f t="shared" si="406"/>
        <v>0</v>
      </c>
      <c r="P887" s="11">
        <v>14645.99862588123</v>
      </c>
      <c r="Q887" s="11">
        <v>32076.509649983644</v>
      </c>
      <c r="R887" s="11">
        <v>40000</v>
      </c>
      <c r="S887" s="11">
        <v>19611578</v>
      </c>
      <c r="T887" s="11">
        <v>2353388</v>
      </c>
      <c r="U887" s="12">
        <f t="shared" si="407"/>
        <v>0.11999993065320903</v>
      </c>
      <c r="V887" s="13">
        <f t="shared" si="403"/>
        <v>0</v>
      </c>
      <c r="W887" s="10">
        <f t="shared" si="408"/>
        <v>0</v>
      </c>
      <c r="X887" s="10"/>
      <c r="Y887" s="10"/>
      <c r="Z887" s="11">
        <f t="shared" si="409"/>
        <v>19611578</v>
      </c>
      <c r="AA887" s="14"/>
      <c r="AB887" s="14"/>
      <c r="AC887" s="11">
        <f t="shared" si="410"/>
        <v>19611578</v>
      </c>
      <c r="AD887" s="10">
        <f t="shared" si="411"/>
        <v>300</v>
      </c>
      <c r="AE887" s="15">
        <v>183420</v>
      </c>
      <c r="AF887" s="16">
        <v>33016</v>
      </c>
      <c r="AG887" s="15">
        <f t="shared" si="412"/>
        <v>0</v>
      </c>
      <c r="AH887" s="15">
        <f t="shared" si="413"/>
        <v>0</v>
      </c>
      <c r="AI887" s="15">
        <f t="shared" si="414"/>
        <v>183420</v>
      </c>
      <c r="AJ887" s="15">
        <f t="shared" si="415"/>
        <v>33016</v>
      </c>
      <c r="AK887" s="10">
        <v>183420</v>
      </c>
      <c r="AL887" s="15">
        <f t="shared" si="416"/>
        <v>183420</v>
      </c>
      <c r="AM887" s="15">
        <f t="shared" si="417"/>
        <v>19794998</v>
      </c>
      <c r="AN887" s="15">
        <f t="shared" si="418"/>
        <v>2386404</v>
      </c>
      <c r="AO887" s="15">
        <f t="shared" si="395"/>
        <v>3160510.48</v>
      </c>
      <c r="AP887" s="17">
        <f t="shared" si="419"/>
        <v>22955508.48</v>
      </c>
      <c r="AQ887" s="15">
        <v>20749048</v>
      </c>
      <c r="AR887" s="15">
        <v>590686.48</v>
      </c>
      <c r="AS887" s="18">
        <f t="shared" si="396"/>
        <v>2206460</v>
      </c>
      <c r="AT887" s="19">
        <v>0</v>
      </c>
      <c r="AU887" s="8">
        <v>8800</v>
      </c>
      <c r="AV887" s="13">
        <f t="shared" si="397"/>
        <v>5380320</v>
      </c>
      <c r="AW887" s="18">
        <f t="shared" si="398"/>
        <v>19794998</v>
      </c>
      <c r="AX887" s="15">
        <f t="shared" si="420"/>
        <v>19795000</v>
      </c>
      <c r="AY887" s="20">
        <v>7.0000000000000007E-2</v>
      </c>
      <c r="AZ887" s="13">
        <f t="shared" si="421"/>
        <v>1385650.0000000002</v>
      </c>
      <c r="BA887" s="15">
        <f t="shared" si="422"/>
        <v>1385700</v>
      </c>
      <c r="BB887" s="21">
        <f t="shared" si="399"/>
        <v>3592160</v>
      </c>
      <c r="BC887" s="10">
        <f t="shared" si="400"/>
        <v>0</v>
      </c>
      <c r="BD887" s="10">
        <f t="shared" si="401"/>
        <v>0</v>
      </c>
      <c r="BE887" s="10">
        <v>124.4</v>
      </c>
      <c r="BF887" s="10">
        <v>56.8</v>
      </c>
      <c r="BG887" s="107">
        <v>46176</v>
      </c>
      <c r="BH887" s="107">
        <f t="shared" si="404"/>
        <v>46206</v>
      </c>
      <c r="BI887" s="23">
        <v>7</v>
      </c>
      <c r="BJ887" s="6"/>
      <c r="BK887" s="6"/>
      <c r="BL887" s="6">
        <f>VLOOKUP(A887,[2]Sheet1!$D$2:$H$933,5,0)</f>
        <v>0</v>
      </c>
      <c r="BM887" s="6" t="s">
        <v>3828</v>
      </c>
      <c r="BN887" s="6" t="s">
        <v>3829</v>
      </c>
      <c r="BO887" s="6" t="s">
        <v>3820</v>
      </c>
      <c r="BP887" s="6" t="s">
        <v>3821</v>
      </c>
      <c r="BQ887" s="6" t="s">
        <v>3830</v>
      </c>
      <c r="BR887" t="s">
        <v>3823</v>
      </c>
      <c r="BS887" t="s">
        <v>3824</v>
      </c>
      <c r="BT887" t="s">
        <v>3825</v>
      </c>
      <c r="BU887" t="s">
        <v>3826</v>
      </c>
      <c r="BV887" t="s">
        <v>3827</v>
      </c>
      <c r="BW887" t="s">
        <v>3835</v>
      </c>
      <c r="BX887">
        <v>0</v>
      </c>
      <c r="BY887" t="s">
        <v>3861</v>
      </c>
      <c r="BZ887" t="s">
        <v>3872</v>
      </c>
    </row>
    <row r="888" spans="1:78" x14ac:dyDescent="0.25">
      <c r="A888" s="7" t="s">
        <v>3561</v>
      </c>
      <c r="B888" s="7" t="s">
        <v>181</v>
      </c>
      <c r="C888" s="7" t="s">
        <v>3559</v>
      </c>
      <c r="D888" s="8" t="s">
        <v>3560</v>
      </c>
      <c r="E888" s="7" t="s">
        <v>3371</v>
      </c>
      <c r="F888" s="9">
        <v>45155</v>
      </c>
      <c r="G888" s="9" t="s">
        <v>527</v>
      </c>
      <c r="H888" s="9" t="s">
        <v>87</v>
      </c>
      <c r="I888" s="8" t="s">
        <v>78</v>
      </c>
      <c r="J888" s="10">
        <v>1463.9</v>
      </c>
      <c r="K888" s="10">
        <v>1463.9</v>
      </c>
      <c r="L888" s="10">
        <f t="shared" si="405"/>
        <v>0</v>
      </c>
      <c r="M888" s="10">
        <v>678.13</v>
      </c>
      <c r="N888" s="10">
        <v>678.13</v>
      </c>
      <c r="O888" s="10">
        <f t="shared" si="406"/>
        <v>0</v>
      </c>
      <c r="P888" s="11">
        <v>14646.00040986406</v>
      </c>
      <c r="Q888" s="11">
        <v>31616.769645938093</v>
      </c>
      <c r="R888" s="11">
        <v>40000</v>
      </c>
      <c r="S888" s="11">
        <v>21440280</v>
      </c>
      <c r="T888" s="11">
        <v>2572834</v>
      </c>
      <c r="U888" s="12">
        <f t="shared" si="407"/>
        <v>0.12000001865647276</v>
      </c>
      <c r="V888" s="13">
        <f t="shared" si="403"/>
        <v>0</v>
      </c>
      <c r="W888" s="10">
        <f t="shared" si="408"/>
        <v>0</v>
      </c>
      <c r="X888" s="10"/>
      <c r="Y888" s="10"/>
      <c r="Z888" s="11">
        <f t="shared" si="409"/>
        <v>21440280</v>
      </c>
      <c r="AA888" s="14"/>
      <c r="AB888" s="14"/>
      <c r="AC888" s="11">
        <f t="shared" si="410"/>
        <v>21440280</v>
      </c>
      <c r="AD888" s="10">
        <f t="shared" si="411"/>
        <v>300</v>
      </c>
      <c r="AE888" s="15">
        <v>203439</v>
      </c>
      <c r="AF888" s="16">
        <v>36620</v>
      </c>
      <c r="AG888" s="15">
        <f t="shared" si="412"/>
        <v>0</v>
      </c>
      <c r="AH888" s="15">
        <f t="shared" si="413"/>
        <v>0</v>
      </c>
      <c r="AI888" s="15">
        <f t="shared" si="414"/>
        <v>203439</v>
      </c>
      <c r="AJ888" s="15">
        <f t="shared" si="415"/>
        <v>36620</v>
      </c>
      <c r="AK888" s="10">
        <v>203439</v>
      </c>
      <c r="AL888" s="15">
        <f t="shared" si="416"/>
        <v>203439</v>
      </c>
      <c r="AM888" s="15">
        <f t="shared" si="417"/>
        <v>21643719</v>
      </c>
      <c r="AN888" s="15">
        <f t="shared" si="418"/>
        <v>2609454</v>
      </c>
      <c r="AO888" s="15">
        <f t="shared" si="395"/>
        <v>3423580.96</v>
      </c>
      <c r="AP888" s="17">
        <f t="shared" si="419"/>
        <v>25067299.960000001</v>
      </c>
      <c r="AQ888" s="15">
        <v>23040581.429999996</v>
      </c>
      <c r="AR888" s="15">
        <v>610687.96</v>
      </c>
      <c r="AS888" s="18">
        <f t="shared" si="396"/>
        <v>2026719</v>
      </c>
      <c r="AT888" s="19">
        <v>0</v>
      </c>
      <c r="AU888" s="8">
        <v>8800</v>
      </c>
      <c r="AV888" s="13">
        <f t="shared" si="397"/>
        <v>5967544</v>
      </c>
      <c r="AW888" s="18">
        <f t="shared" si="398"/>
        <v>21643719</v>
      </c>
      <c r="AX888" s="15">
        <f t="shared" si="420"/>
        <v>21644000</v>
      </c>
      <c r="AY888" s="20">
        <v>7.0000000000000007E-2</v>
      </c>
      <c r="AZ888" s="13">
        <f t="shared" si="421"/>
        <v>1515080.0000000002</v>
      </c>
      <c r="BA888" s="15">
        <f t="shared" si="422"/>
        <v>1515100</v>
      </c>
      <c r="BB888" s="21">
        <f t="shared" si="399"/>
        <v>3541819</v>
      </c>
      <c r="BC888" s="10">
        <f t="shared" si="400"/>
        <v>0</v>
      </c>
      <c r="BD888" s="10">
        <f t="shared" si="401"/>
        <v>0</v>
      </c>
      <c r="BE888" s="10">
        <v>136</v>
      </c>
      <c r="BF888" s="10">
        <v>63</v>
      </c>
      <c r="BG888" s="107">
        <v>46176</v>
      </c>
      <c r="BH888" s="107">
        <f t="shared" si="404"/>
        <v>46206</v>
      </c>
      <c r="BI888" s="23">
        <v>7</v>
      </c>
      <c r="BJ888" s="6"/>
      <c r="BK888" s="6"/>
      <c r="BL888" s="6">
        <f>VLOOKUP(A888,[2]Sheet1!$D$2:$H$933,5,0)</f>
        <v>0</v>
      </c>
      <c r="BM888" s="6" t="s">
        <v>3828</v>
      </c>
      <c r="BN888" s="6" t="s">
        <v>3829</v>
      </c>
      <c r="BO888" s="6" t="s">
        <v>3820</v>
      </c>
      <c r="BP888" s="6" t="s">
        <v>3821</v>
      </c>
      <c r="BQ888" s="6" t="s">
        <v>3830</v>
      </c>
      <c r="BR888" t="s">
        <v>3823</v>
      </c>
      <c r="BS888" t="s">
        <v>3824</v>
      </c>
      <c r="BT888" t="s">
        <v>3825</v>
      </c>
      <c r="BU888" t="s">
        <v>3826</v>
      </c>
      <c r="BV888" t="s">
        <v>3827</v>
      </c>
      <c r="BW888" t="s">
        <v>3835</v>
      </c>
      <c r="BX888">
        <v>0</v>
      </c>
      <c r="BY888" t="s">
        <v>3861</v>
      </c>
      <c r="BZ888" t="s">
        <v>3871</v>
      </c>
    </row>
    <row r="889" spans="1:78" x14ac:dyDescent="0.25">
      <c r="A889" s="7" t="s">
        <v>3564</v>
      </c>
      <c r="B889" s="7" t="s">
        <v>181</v>
      </c>
      <c r="C889" s="7" t="s">
        <v>3562</v>
      </c>
      <c r="D889" s="8" t="s">
        <v>3563</v>
      </c>
      <c r="E889" s="7" t="s">
        <v>3371</v>
      </c>
      <c r="F889" s="9">
        <v>45132</v>
      </c>
      <c r="G889" s="9" t="s">
        <v>404</v>
      </c>
      <c r="H889" s="9" t="s">
        <v>87</v>
      </c>
      <c r="I889" s="8" t="s">
        <v>78</v>
      </c>
      <c r="J889" s="10">
        <v>1463.9</v>
      </c>
      <c r="K889" s="10">
        <v>1463.9</v>
      </c>
      <c r="L889" s="10">
        <f t="shared" si="405"/>
        <v>0</v>
      </c>
      <c r="M889" s="10">
        <v>678.13</v>
      </c>
      <c r="N889" s="10">
        <v>678.13</v>
      </c>
      <c r="O889" s="10">
        <f t="shared" si="406"/>
        <v>0</v>
      </c>
      <c r="P889" s="11">
        <v>14646.00040986406</v>
      </c>
      <c r="Q889" s="11">
        <v>31616.769645938093</v>
      </c>
      <c r="R889" s="11">
        <v>40000</v>
      </c>
      <c r="S889" s="11">
        <v>21440280</v>
      </c>
      <c r="T889" s="11">
        <v>2572834</v>
      </c>
      <c r="U889" s="12">
        <f t="shared" si="407"/>
        <v>0.12000001865647276</v>
      </c>
      <c r="V889" s="13">
        <f t="shared" si="403"/>
        <v>0</v>
      </c>
      <c r="W889" s="10">
        <f t="shared" si="408"/>
        <v>0</v>
      </c>
      <c r="X889" s="10"/>
      <c r="Y889" s="10"/>
      <c r="Z889" s="11">
        <f t="shared" si="409"/>
        <v>21440280</v>
      </c>
      <c r="AA889" s="14"/>
      <c r="AB889" s="14"/>
      <c r="AC889" s="11">
        <f t="shared" si="410"/>
        <v>21440280</v>
      </c>
      <c r="AD889" s="10">
        <f t="shared" si="411"/>
        <v>300</v>
      </c>
      <c r="AE889" s="15">
        <v>203439</v>
      </c>
      <c r="AF889" s="16">
        <v>36620</v>
      </c>
      <c r="AG889" s="15">
        <f t="shared" si="412"/>
        <v>0</v>
      </c>
      <c r="AH889" s="15">
        <f t="shared" si="413"/>
        <v>0</v>
      </c>
      <c r="AI889" s="15">
        <f t="shared" si="414"/>
        <v>203439</v>
      </c>
      <c r="AJ889" s="15">
        <f t="shared" si="415"/>
        <v>36620</v>
      </c>
      <c r="AK889" s="10">
        <v>203439</v>
      </c>
      <c r="AL889" s="15">
        <f t="shared" si="416"/>
        <v>203439</v>
      </c>
      <c r="AM889" s="15">
        <f t="shared" si="417"/>
        <v>21643719</v>
      </c>
      <c r="AN889" s="15">
        <f t="shared" si="418"/>
        <v>2609454</v>
      </c>
      <c r="AO889" s="15">
        <f t="shared" si="395"/>
        <v>3424433</v>
      </c>
      <c r="AP889" s="17">
        <f t="shared" si="419"/>
        <v>25068152</v>
      </c>
      <c r="AQ889" s="15">
        <v>23040580.420000002</v>
      </c>
      <c r="AR889" s="15">
        <v>611540</v>
      </c>
      <c r="AS889" s="18">
        <f t="shared" si="396"/>
        <v>2027572</v>
      </c>
      <c r="AT889" s="19">
        <v>0</v>
      </c>
      <c r="AU889" s="8">
        <v>8800</v>
      </c>
      <c r="AV889" s="13">
        <f t="shared" si="397"/>
        <v>5967544</v>
      </c>
      <c r="AW889" s="18">
        <f t="shared" si="398"/>
        <v>21643719</v>
      </c>
      <c r="AX889" s="15">
        <f t="shared" si="420"/>
        <v>21644000</v>
      </c>
      <c r="AY889" s="20">
        <v>7.0000000000000007E-2</v>
      </c>
      <c r="AZ889" s="13">
        <f t="shared" si="421"/>
        <v>1515080.0000000002</v>
      </c>
      <c r="BA889" s="15">
        <f t="shared" si="422"/>
        <v>1515100</v>
      </c>
      <c r="BB889" s="21">
        <f t="shared" si="399"/>
        <v>3542672</v>
      </c>
      <c r="BC889" s="10">
        <f t="shared" si="400"/>
        <v>0</v>
      </c>
      <c r="BD889" s="10">
        <f t="shared" si="401"/>
        <v>0</v>
      </c>
      <c r="BE889" s="10">
        <v>136</v>
      </c>
      <c r="BF889" s="10">
        <v>63</v>
      </c>
      <c r="BG889" s="107">
        <v>46176</v>
      </c>
      <c r="BH889" s="107">
        <f t="shared" si="404"/>
        <v>46206</v>
      </c>
      <c r="BI889" s="23">
        <v>7</v>
      </c>
      <c r="BJ889" s="6"/>
      <c r="BK889" s="6"/>
      <c r="BL889" s="6">
        <f>VLOOKUP(A889,[2]Sheet1!$D$2:$H$933,5,0)</f>
        <v>0</v>
      </c>
      <c r="BM889" s="6" t="s">
        <v>3828</v>
      </c>
      <c r="BN889" s="6" t="s">
        <v>3829</v>
      </c>
      <c r="BO889" s="6" t="s">
        <v>3820</v>
      </c>
      <c r="BP889" s="6" t="s">
        <v>3821</v>
      </c>
      <c r="BQ889" s="6" t="s">
        <v>3830</v>
      </c>
      <c r="BR889" t="s">
        <v>3823</v>
      </c>
      <c r="BS889" t="s">
        <v>3824</v>
      </c>
      <c r="BT889" t="s">
        <v>3825</v>
      </c>
      <c r="BU889" t="s">
        <v>3826</v>
      </c>
      <c r="BV889" t="s">
        <v>3827</v>
      </c>
      <c r="BW889" t="s">
        <v>3835</v>
      </c>
      <c r="BX889">
        <v>0</v>
      </c>
      <c r="BY889" t="s">
        <v>3861</v>
      </c>
      <c r="BZ889" t="s">
        <v>3863</v>
      </c>
    </row>
    <row r="890" spans="1:78" x14ac:dyDescent="0.25">
      <c r="A890" s="7" t="s">
        <v>3567</v>
      </c>
      <c r="B890" s="7" t="s">
        <v>181</v>
      </c>
      <c r="C890" s="7" t="s">
        <v>3565</v>
      </c>
      <c r="D890" s="8" t="s">
        <v>3566</v>
      </c>
      <c r="E890" s="7" t="s">
        <v>3371</v>
      </c>
      <c r="F890" s="9">
        <v>45132</v>
      </c>
      <c r="G890" s="9" t="s">
        <v>404</v>
      </c>
      <c r="H890" s="9" t="s">
        <v>87</v>
      </c>
      <c r="I890" s="8" t="s">
        <v>78</v>
      </c>
      <c r="J890" s="10">
        <v>1463.9</v>
      </c>
      <c r="K890" s="10">
        <v>1463.9</v>
      </c>
      <c r="L890" s="10">
        <f t="shared" si="405"/>
        <v>0</v>
      </c>
      <c r="M890" s="10">
        <v>678.13</v>
      </c>
      <c r="N890" s="10">
        <v>678.13</v>
      </c>
      <c r="O890" s="10">
        <f t="shared" si="406"/>
        <v>0</v>
      </c>
      <c r="P890" s="11">
        <v>14646.00040986406</v>
      </c>
      <c r="Q890" s="11">
        <v>31616.769645938093</v>
      </c>
      <c r="R890" s="11">
        <v>40000</v>
      </c>
      <c r="S890" s="11">
        <v>21440280</v>
      </c>
      <c r="T890" s="11">
        <v>2572834</v>
      </c>
      <c r="U890" s="12">
        <f t="shared" si="407"/>
        <v>0.12000001865647276</v>
      </c>
      <c r="V890" s="13">
        <f t="shared" si="403"/>
        <v>0</v>
      </c>
      <c r="W890" s="10">
        <f t="shared" si="408"/>
        <v>0</v>
      </c>
      <c r="X890" s="10"/>
      <c r="Y890" s="10"/>
      <c r="Z890" s="11">
        <f t="shared" si="409"/>
        <v>21440280</v>
      </c>
      <c r="AA890" s="14"/>
      <c r="AB890" s="14"/>
      <c r="AC890" s="11">
        <f t="shared" si="410"/>
        <v>21440280</v>
      </c>
      <c r="AD890" s="10">
        <f t="shared" si="411"/>
        <v>300</v>
      </c>
      <c r="AE890" s="15">
        <v>203439</v>
      </c>
      <c r="AF890" s="16">
        <v>36620</v>
      </c>
      <c r="AG890" s="15">
        <f t="shared" si="412"/>
        <v>0</v>
      </c>
      <c r="AH890" s="15">
        <f t="shared" si="413"/>
        <v>0</v>
      </c>
      <c r="AI890" s="15">
        <f t="shared" si="414"/>
        <v>203439</v>
      </c>
      <c r="AJ890" s="15">
        <f t="shared" si="415"/>
        <v>36620</v>
      </c>
      <c r="AK890" s="10">
        <v>203439</v>
      </c>
      <c r="AL890" s="15">
        <f t="shared" si="416"/>
        <v>203439</v>
      </c>
      <c r="AM890" s="15">
        <f t="shared" si="417"/>
        <v>21643719</v>
      </c>
      <c r="AN890" s="15">
        <f t="shared" si="418"/>
        <v>2609454</v>
      </c>
      <c r="AO890" s="15">
        <f t="shared" si="395"/>
        <v>3424433</v>
      </c>
      <c r="AP890" s="17">
        <f t="shared" si="419"/>
        <v>25068152</v>
      </c>
      <c r="AQ890" s="15">
        <v>23040580.420000002</v>
      </c>
      <c r="AR890" s="15">
        <v>611540</v>
      </c>
      <c r="AS890" s="18">
        <f t="shared" si="396"/>
        <v>2027572</v>
      </c>
      <c r="AT890" s="19">
        <v>0</v>
      </c>
      <c r="AU890" s="8">
        <v>8800</v>
      </c>
      <c r="AV890" s="13">
        <f t="shared" si="397"/>
        <v>5967544</v>
      </c>
      <c r="AW890" s="18">
        <f t="shared" si="398"/>
        <v>21643719</v>
      </c>
      <c r="AX890" s="15">
        <f t="shared" si="420"/>
        <v>21644000</v>
      </c>
      <c r="AY890" s="20">
        <v>7.0000000000000007E-2</v>
      </c>
      <c r="AZ890" s="13">
        <f t="shared" si="421"/>
        <v>1515080.0000000002</v>
      </c>
      <c r="BA890" s="15">
        <f t="shared" si="422"/>
        <v>1515100</v>
      </c>
      <c r="BB890" s="21">
        <f t="shared" si="399"/>
        <v>3542672</v>
      </c>
      <c r="BC890" s="10">
        <f t="shared" si="400"/>
        <v>0</v>
      </c>
      <c r="BD890" s="10">
        <f t="shared" si="401"/>
        <v>0</v>
      </c>
      <c r="BE890" s="10">
        <v>136</v>
      </c>
      <c r="BF890" s="10">
        <v>63</v>
      </c>
      <c r="BG890" s="107">
        <v>46176</v>
      </c>
      <c r="BH890" s="107">
        <f t="shared" si="404"/>
        <v>46206</v>
      </c>
      <c r="BI890" s="23">
        <v>7</v>
      </c>
      <c r="BJ890" s="6"/>
      <c r="BK890" s="6"/>
      <c r="BL890" s="6">
        <f>VLOOKUP(A890,[2]Sheet1!$D$2:$H$933,5,0)</f>
        <v>0</v>
      </c>
      <c r="BM890" s="6" t="s">
        <v>3828</v>
      </c>
      <c r="BN890" s="6" t="s">
        <v>3829</v>
      </c>
      <c r="BO890" s="6" t="s">
        <v>3820</v>
      </c>
      <c r="BP890" s="6" t="s">
        <v>3821</v>
      </c>
      <c r="BQ890" s="6" t="s">
        <v>3830</v>
      </c>
      <c r="BR890" t="s">
        <v>3823</v>
      </c>
      <c r="BS890" t="s">
        <v>3824</v>
      </c>
      <c r="BT890" t="s">
        <v>3825</v>
      </c>
      <c r="BU890" t="s">
        <v>3826</v>
      </c>
      <c r="BV890" t="s">
        <v>3827</v>
      </c>
      <c r="BW890" t="s">
        <v>3835</v>
      </c>
      <c r="BX890">
        <v>0</v>
      </c>
      <c r="BY890" t="s">
        <v>3861</v>
      </c>
      <c r="BZ890" t="s">
        <v>3863</v>
      </c>
    </row>
    <row r="891" spans="1:78" x14ac:dyDescent="0.25">
      <c r="A891" s="7" t="s">
        <v>3570</v>
      </c>
      <c r="B891" s="7" t="s">
        <v>181</v>
      </c>
      <c r="C891" s="7" t="s">
        <v>3568</v>
      </c>
      <c r="D891" s="8" t="s">
        <v>3569</v>
      </c>
      <c r="E891" s="7" t="s">
        <v>3371</v>
      </c>
      <c r="F891" s="9">
        <v>45132</v>
      </c>
      <c r="G891" s="9" t="s">
        <v>717</v>
      </c>
      <c r="H891" s="9" t="s">
        <v>87</v>
      </c>
      <c r="I891" s="8" t="s">
        <v>78</v>
      </c>
      <c r="J891" s="10">
        <v>1125.9100000000001</v>
      </c>
      <c r="K891" s="10">
        <v>1125.9100000000001</v>
      </c>
      <c r="L891" s="10">
        <f t="shared" si="405"/>
        <v>0</v>
      </c>
      <c r="M891" s="10">
        <v>516.66999999999996</v>
      </c>
      <c r="N891" s="10">
        <v>516.66999999999996</v>
      </c>
      <c r="O891" s="10">
        <f t="shared" si="406"/>
        <v>0</v>
      </c>
      <c r="P891" s="11">
        <v>14645.998348002948</v>
      </c>
      <c r="Q891" s="11">
        <v>31916.070218901816</v>
      </c>
      <c r="R891" s="11">
        <v>40000</v>
      </c>
      <c r="S891" s="11">
        <v>16490076</v>
      </c>
      <c r="T891" s="11">
        <v>1978808</v>
      </c>
      <c r="U891" s="12">
        <f t="shared" si="407"/>
        <v>0.11999993208036154</v>
      </c>
      <c r="V891" s="13">
        <f t="shared" si="403"/>
        <v>0</v>
      </c>
      <c r="W891" s="10">
        <f t="shared" si="408"/>
        <v>0</v>
      </c>
      <c r="X891" s="10"/>
      <c r="Y891" s="10"/>
      <c r="Z891" s="11">
        <f t="shared" si="409"/>
        <v>16490076</v>
      </c>
      <c r="AA891" s="14"/>
      <c r="AB891" s="14"/>
      <c r="AC891" s="11">
        <f t="shared" si="410"/>
        <v>16490076</v>
      </c>
      <c r="AD891" s="10">
        <f t="shared" si="411"/>
        <v>300</v>
      </c>
      <c r="AE891" s="15">
        <v>155001</v>
      </c>
      <c r="AF891" s="16">
        <v>27900</v>
      </c>
      <c r="AG891" s="15">
        <f t="shared" si="412"/>
        <v>0</v>
      </c>
      <c r="AH891" s="15">
        <f t="shared" si="413"/>
        <v>0</v>
      </c>
      <c r="AI891" s="15">
        <f t="shared" si="414"/>
        <v>155001</v>
      </c>
      <c r="AJ891" s="15">
        <f t="shared" si="415"/>
        <v>27901</v>
      </c>
      <c r="AK891" s="10">
        <v>155001</v>
      </c>
      <c r="AL891" s="15">
        <f t="shared" si="416"/>
        <v>155001</v>
      </c>
      <c r="AM891" s="15">
        <f t="shared" si="417"/>
        <v>16645077</v>
      </c>
      <c r="AN891" s="15">
        <f t="shared" si="418"/>
        <v>2006709</v>
      </c>
      <c r="AO891" s="15">
        <f t="shared" ref="AO891:AO954" si="423">AN891+AL891+AR891</f>
        <v>2797607</v>
      </c>
      <c r="AP891" s="17">
        <f t="shared" si="419"/>
        <v>19442684</v>
      </c>
      <c r="AQ891" s="15">
        <v>17562674.02</v>
      </c>
      <c r="AR891" s="15">
        <v>635897</v>
      </c>
      <c r="AS891" s="18">
        <f t="shared" ref="AS891:AS954" si="424">ROUND(AP891-AQ891,0)</f>
        <v>1880010</v>
      </c>
      <c r="AT891" s="19">
        <v>0</v>
      </c>
      <c r="AU891" s="8">
        <v>8800</v>
      </c>
      <c r="AV891" s="13">
        <f t="shared" ref="AV891:AV954" si="425">AU891*N891</f>
        <v>4546696</v>
      </c>
      <c r="AW891" s="18">
        <f t="shared" ref="AW891:AW954" si="426">MAX(AM891,AT891,AV891)</f>
        <v>16645077</v>
      </c>
      <c r="AX891" s="15">
        <f t="shared" si="420"/>
        <v>16646000</v>
      </c>
      <c r="AY891" s="20">
        <v>7.0000000000000007E-2</v>
      </c>
      <c r="AZ891" s="13">
        <f t="shared" si="421"/>
        <v>1165220</v>
      </c>
      <c r="BA891" s="15">
        <f t="shared" si="422"/>
        <v>1165300</v>
      </c>
      <c r="BB891" s="21">
        <f t="shared" ref="BB891:BB954" si="427">BA891+AS891</f>
        <v>3045310</v>
      </c>
      <c r="BC891" s="10">
        <f t="shared" ref="BC891:BC954" si="428">L891/J891%</f>
        <v>0</v>
      </c>
      <c r="BD891" s="10">
        <f t="shared" ref="BD891:BD954" si="429">O891/M891%</f>
        <v>0</v>
      </c>
      <c r="BE891" s="10">
        <v>104.6</v>
      </c>
      <c r="BF891" s="10">
        <v>48</v>
      </c>
      <c r="BG891" s="107">
        <v>46176</v>
      </c>
      <c r="BH891" s="107">
        <f t="shared" si="404"/>
        <v>46206</v>
      </c>
      <c r="BI891" s="23">
        <v>7</v>
      </c>
      <c r="BJ891" s="6"/>
      <c r="BK891" s="6"/>
      <c r="BL891" s="6">
        <f>VLOOKUP(A891,[2]Sheet1!$D$2:$H$933,5,0)</f>
        <v>0</v>
      </c>
      <c r="BM891" s="6" t="s">
        <v>3828</v>
      </c>
      <c r="BN891" s="6" t="s">
        <v>3829</v>
      </c>
      <c r="BO891" s="6" t="s">
        <v>3820</v>
      </c>
      <c r="BP891" s="6" t="s">
        <v>3821</v>
      </c>
      <c r="BQ891" s="6" t="s">
        <v>3830</v>
      </c>
      <c r="BR891" t="s">
        <v>3823</v>
      </c>
      <c r="BS891" t="s">
        <v>3824</v>
      </c>
      <c r="BT891" t="s">
        <v>3825</v>
      </c>
      <c r="BU891" t="s">
        <v>3826</v>
      </c>
      <c r="BV891" t="s">
        <v>3827</v>
      </c>
      <c r="BW891" t="s">
        <v>3835</v>
      </c>
      <c r="BX891">
        <v>0</v>
      </c>
      <c r="BY891" t="s">
        <v>3861</v>
      </c>
      <c r="BZ891" t="s">
        <v>3872</v>
      </c>
    </row>
    <row r="892" spans="1:78" x14ac:dyDescent="0.25">
      <c r="A892" s="7" t="s">
        <v>3573</v>
      </c>
      <c r="B892" s="7" t="s">
        <v>181</v>
      </c>
      <c r="C892" s="7" t="s">
        <v>3571</v>
      </c>
      <c r="D892" s="8" t="s">
        <v>3572</v>
      </c>
      <c r="E892" s="7" t="s">
        <v>3442</v>
      </c>
      <c r="F892" s="9">
        <v>45146</v>
      </c>
      <c r="G892" s="9" t="s">
        <v>77</v>
      </c>
      <c r="H892" s="9" t="s">
        <v>92</v>
      </c>
      <c r="I892" s="8" t="s">
        <v>78</v>
      </c>
      <c r="J892" s="10">
        <v>1221.71</v>
      </c>
      <c r="K892" s="10">
        <v>1221.71</v>
      </c>
      <c r="L892" s="10">
        <f t="shared" si="405"/>
        <v>0</v>
      </c>
      <c r="M892" s="10">
        <v>564.03</v>
      </c>
      <c r="N892" s="10">
        <v>564.03</v>
      </c>
      <c r="O892" s="10">
        <f t="shared" si="406"/>
        <v>0</v>
      </c>
      <c r="P892" s="11">
        <v>12437.002234572852</v>
      </c>
      <c r="Q892" s="11">
        <v>26939.010336329629</v>
      </c>
      <c r="R892" s="11">
        <v>28000</v>
      </c>
      <c r="S892" s="11">
        <v>15194410</v>
      </c>
      <c r="T892" s="11">
        <v>1823328</v>
      </c>
      <c r="U892" s="12">
        <f t="shared" si="407"/>
        <v>0.11999992102358696</v>
      </c>
      <c r="V892" s="13">
        <f t="shared" si="403"/>
        <v>0</v>
      </c>
      <c r="W892" s="10">
        <f t="shared" si="408"/>
        <v>0</v>
      </c>
      <c r="X892" s="10"/>
      <c r="Y892" s="10"/>
      <c r="Z892" s="11">
        <f t="shared" si="409"/>
        <v>15194410</v>
      </c>
      <c r="AA892" s="14"/>
      <c r="AB892" s="14"/>
      <c r="AC892" s="11">
        <f t="shared" si="410"/>
        <v>15194410</v>
      </c>
      <c r="AD892" s="10">
        <f t="shared" si="411"/>
        <v>300</v>
      </c>
      <c r="AE892" s="15">
        <v>169209</v>
      </c>
      <c r="AF892" s="16">
        <v>30458</v>
      </c>
      <c r="AG892" s="15">
        <f t="shared" si="412"/>
        <v>0</v>
      </c>
      <c r="AH892" s="15">
        <f t="shared" si="413"/>
        <v>0</v>
      </c>
      <c r="AI892" s="15">
        <f t="shared" si="414"/>
        <v>169209</v>
      </c>
      <c r="AJ892" s="15">
        <f t="shared" si="415"/>
        <v>30458</v>
      </c>
      <c r="AK892" s="10">
        <v>169209</v>
      </c>
      <c r="AL892" s="15">
        <f t="shared" si="416"/>
        <v>169209</v>
      </c>
      <c r="AM892" s="15">
        <f t="shared" si="417"/>
        <v>15363619</v>
      </c>
      <c r="AN892" s="15">
        <f t="shared" si="418"/>
        <v>1853786</v>
      </c>
      <c r="AO892" s="15">
        <f t="shared" si="423"/>
        <v>2668612</v>
      </c>
      <c r="AP892" s="17">
        <f t="shared" si="419"/>
        <v>18032231</v>
      </c>
      <c r="AQ892" s="15">
        <v>15905321</v>
      </c>
      <c r="AR892" s="15">
        <v>645617</v>
      </c>
      <c r="AS892" s="18">
        <f t="shared" si="424"/>
        <v>2126910</v>
      </c>
      <c r="AT892" s="19">
        <v>0</v>
      </c>
      <c r="AU892" s="8">
        <v>8800</v>
      </c>
      <c r="AV892" s="13">
        <f t="shared" si="425"/>
        <v>4963464</v>
      </c>
      <c r="AW892" s="18">
        <f t="shared" si="426"/>
        <v>15363619</v>
      </c>
      <c r="AX892" s="15">
        <f t="shared" si="420"/>
        <v>15364000</v>
      </c>
      <c r="AY892" s="20">
        <v>0.05</v>
      </c>
      <c r="AZ892" s="13">
        <f t="shared" si="421"/>
        <v>768200</v>
      </c>
      <c r="BA892" s="15">
        <f t="shared" si="422"/>
        <v>768200</v>
      </c>
      <c r="BB892" s="21">
        <f t="shared" si="427"/>
        <v>2895110</v>
      </c>
      <c r="BC892" s="10">
        <f t="shared" si="428"/>
        <v>0</v>
      </c>
      <c r="BD892" s="10">
        <f t="shared" si="429"/>
        <v>0</v>
      </c>
      <c r="BE892" s="10">
        <v>113.5</v>
      </c>
      <c r="BF892" s="10">
        <v>52.4</v>
      </c>
      <c r="BG892" s="107">
        <v>46176</v>
      </c>
      <c r="BH892" s="107">
        <f t="shared" si="404"/>
        <v>46206</v>
      </c>
      <c r="BI892" s="23">
        <v>5</v>
      </c>
      <c r="BJ892" s="6"/>
      <c r="BK892" s="6"/>
      <c r="BL892" s="6">
        <f>VLOOKUP(A892,[2]Sheet1!$D$2:$H$933,5,0)</f>
        <v>0</v>
      </c>
      <c r="BM892" s="6" t="s">
        <v>3828</v>
      </c>
      <c r="BN892" s="6" t="s">
        <v>3829</v>
      </c>
      <c r="BO892" s="6" t="s">
        <v>3820</v>
      </c>
      <c r="BP892" s="6" t="s">
        <v>3821</v>
      </c>
      <c r="BQ892" s="6" t="s">
        <v>3830</v>
      </c>
      <c r="BR892" t="s">
        <v>3823</v>
      </c>
      <c r="BS892" t="s">
        <v>3824</v>
      </c>
      <c r="BT892" t="s">
        <v>3825</v>
      </c>
      <c r="BU892" t="s">
        <v>3826</v>
      </c>
      <c r="BV892" t="s">
        <v>3827</v>
      </c>
      <c r="BW892" t="s">
        <v>3835</v>
      </c>
      <c r="BX892">
        <v>0</v>
      </c>
      <c r="BY892" t="s">
        <v>3861</v>
      </c>
      <c r="BZ892" t="s">
        <v>3863</v>
      </c>
    </row>
    <row r="893" spans="1:78" x14ac:dyDescent="0.25">
      <c r="A893" s="7" t="s">
        <v>3576</v>
      </c>
      <c r="B893" s="7" t="s">
        <v>181</v>
      </c>
      <c r="C893" s="7" t="s">
        <v>3574</v>
      </c>
      <c r="D893" s="8" t="s">
        <v>3575</v>
      </c>
      <c r="E893" s="7" t="s">
        <v>1210</v>
      </c>
      <c r="F893" s="9">
        <v>44896</v>
      </c>
      <c r="G893" s="9" t="s">
        <v>527</v>
      </c>
      <c r="H893" s="9" t="s">
        <v>190</v>
      </c>
      <c r="I893" s="8" t="s">
        <v>78</v>
      </c>
      <c r="J893" s="10">
        <v>1363.8</v>
      </c>
      <c r="K893" s="10">
        <v>1363.8</v>
      </c>
      <c r="L893" s="10">
        <f t="shared" si="405"/>
        <v>0</v>
      </c>
      <c r="M893" s="10">
        <v>637.23</v>
      </c>
      <c r="N893" s="10">
        <v>637.23</v>
      </c>
      <c r="O893" s="10">
        <f t="shared" si="406"/>
        <v>0</v>
      </c>
      <c r="P893" s="11">
        <v>29700</v>
      </c>
      <c r="Q893" s="11">
        <v>63563.956499223197</v>
      </c>
      <c r="R893" s="11">
        <v>60000</v>
      </c>
      <c r="S893" s="11">
        <v>40504860</v>
      </c>
      <c r="T893" s="11">
        <v>4860584</v>
      </c>
      <c r="U893" s="12">
        <f t="shared" si="407"/>
        <v>0.12000001975071634</v>
      </c>
      <c r="V893" s="13">
        <f t="shared" si="403"/>
        <v>0</v>
      </c>
      <c r="W893" s="10">
        <f t="shared" si="408"/>
        <v>0</v>
      </c>
      <c r="X893" s="10"/>
      <c r="Y893" s="10"/>
      <c r="Z893" s="11">
        <f t="shared" si="409"/>
        <v>40504860</v>
      </c>
      <c r="AA893" s="14"/>
      <c r="AB893" s="14"/>
      <c r="AC893" s="11">
        <f t="shared" si="410"/>
        <v>40504860</v>
      </c>
      <c r="AD893" s="10">
        <f t="shared" si="411"/>
        <v>300</v>
      </c>
      <c r="AE893" s="15">
        <v>191169</v>
      </c>
      <c r="AF893" s="16">
        <v>34410</v>
      </c>
      <c r="AG893" s="15">
        <f t="shared" si="412"/>
        <v>0</v>
      </c>
      <c r="AH893" s="15">
        <f t="shared" si="413"/>
        <v>0</v>
      </c>
      <c r="AI893" s="15">
        <f t="shared" si="414"/>
        <v>191169</v>
      </c>
      <c r="AJ893" s="15">
        <f t="shared" si="415"/>
        <v>34411</v>
      </c>
      <c r="AK893" s="10">
        <v>191169</v>
      </c>
      <c r="AL893" s="15">
        <f t="shared" si="416"/>
        <v>191169</v>
      </c>
      <c r="AM893" s="15">
        <f t="shared" si="417"/>
        <v>40696029</v>
      </c>
      <c r="AN893" s="15">
        <f t="shared" si="418"/>
        <v>4894995</v>
      </c>
      <c r="AO893" s="15">
        <f t="shared" si="423"/>
        <v>5732817.0800000001</v>
      </c>
      <c r="AP893" s="17">
        <f t="shared" si="419"/>
        <v>46428846.079999998</v>
      </c>
      <c r="AQ893" s="15">
        <v>34027121.68</v>
      </c>
      <c r="AR893" s="15">
        <v>646653.07999999996</v>
      </c>
      <c r="AS893" s="18">
        <f t="shared" si="424"/>
        <v>12401724</v>
      </c>
      <c r="AT893" s="19">
        <v>0</v>
      </c>
      <c r="AU893" s="8">
        <v>8800</v>
      </c>
      <c r="AV893" s="13">
        <f t="shared" si="425"/>
        <v>5607624</v>
      </c>
      <c r="AW893" s="18">
        <f t="shared" si="426"/>
        <v>40696029</v>
      </c>
      <c r="AX893" s="15">
        <f t="shared" si="420"/>
        <v>40697000</v>
      </c>
      <c r="AY893" s="20">
        <v>6.3399999999999998E-2</v>
      </c>
      <c r="AZ893" s="13">
        <f t="shared" si="421"/>
        <v>2580189.7999999998</v>
      </c>
      <c r="BA893" s="15">
        <f t="shared" si="422"/>
        <v>2580200</v>
      </c>
      <c r="BB893" s="21">
        <f t="shared" si="427"/>
        <v>14981924</v>
      </c>
      <c r="BC893" s="10">
        <f t="shared" si="428"/>
        <v>0</v>
      </c>
      <c r="BD893" s="10">
        <f t="shared" si="429"/>
        <v>0</v>
      </c>
      <c r="BE893" s="10">
        <v>126.7</v>
      </c>
      <c r="BF893" s="10">
        <v>59.2</v>
      </c>
      <c r="BG893" s="107">
        <v>46176</v>
      </c>
      <c r="BH893" s="107">
        <f t="shared" si="404"/>
        <v>46206</v>
      </c>
      <c r="BI893" s="23">
        <v>6.34</v>
      </c>
      <c r="BJ893" s="6"/>
      <c r="BK893" s="6"/>
      <c r="BL893" s="6">
        <f>VLOOKUP(A893,[2]Sheet1!$D$2:$H$933,5,0)</f>
        <v>0</v>
      </c>
      <c r="BM893" s="6" t="s">
        <v>3828</v>
      </c>
      <c r="BN893" s="6" t="s">
        <v>3829</v>
      </c>
      <c r="BO893" s="6" t="s">
        <v>3820</v>
      </c>
      <c r="BP893" s="6" t="s">
        <v>3821</v>
      </c>
      <c r="BQ893" s="6" t="s">
        <v>3830</v>
      </c>
      <c r="BR893" t="s">
        <v>3823</v>
      </c>
      <c r="BS893" t="s">
        <v>3824</v>
      </c>
      <c r="BT893" t="s">
        <v>3825</v>
      </c>
      <c r="BU893" t="s">
        <v>3826</v>
      </c>
      <c r="BV893" t="s">
        <v>3827</v>
      </c>
      <c r="BW893" t="s">
        <v>3835</v>
      </c>
      <c r="BX893">
        <v>0</v>
      </c>
      <c r="BY893" t="s">
        <v>3868</v>
      </c>
      <c r="BZ893" t="s">
        <v>3871</v>
      </c>
    </row>
    <row r="894" spans="1:78" x14ac:dyDescent="0.25">
      <c r="A894" s="7" t="s">
        <v>3579</v>
      </c>
      <c r="B894" s="7" t="s">
        <v>181</v>
      </c>
      <c r="C894" s="7" t="s">
        <v>3577</v>
      </c>
      <c r="D894" s="8" t="s">
        <v>3578</v>
      </c>
      <c r="E894" s="7" t="s">
        <v>3580</v>
      </c>
      <c r="F894" s="9">
        <v>44883</v>
      </c>
      <c r="G894" s="9" t="s">
        <v>404</v>
      </c>
      <c r="H894" s="9" t="s">
        <v>190</v>
      </c>
      <c r="I894" s="8" t="s">
        <v>78</v>
      </c>
      <c r="J894" s="10">
        <v>1330.43</v>
      </c>
      <c r="K894" s="10">
        <v>1330.43</v>
      </c>
      <c r="L894" s="10">
        <f t="shared" si="405"/>
        <v>0</v>
      </c>
      <c r="M894" s="10">
        <v>615.70000000000005</v>
      </c>
      <c r="N894" s="10">
        <v>615.70000000000005</v>
      </c>
      <c r="O894" s="10">
        <f t="shared" si="406"/>
        <v>0</v>
      </c>
      <c r="P894" s="11">
        <v>20830.720143111626</v>
      </c>
      <c r="Q894" s="11">
        <v>45011.880786097121</v>
      </c>
      <c r="R894" s="11">
        <v>60000</v>
      </c>
      <c r="S894" s="11">
        <v>27713815</v>
      </c>
      <c r="T894" s="11">
        <v>3325658</v>
      </c>
      <c r="U894" s="12">
        <f t="shared" si="407"/>
        <v>0.12000000721661741</v>
      </c>
      <c r="V894" s="13">
        <f t="shared" si="403"/>
        <v>0</v>
      </c>
      <c r="W894" s="10">
        <f t="shared" si="408"/>
        <v>0</v>
      </c>
      <c r="X894" s="10">
        <v>2289116</v>
      </c>
      <c r="Y894" s="15">
        <f>X894*12%</f>
        <v>274693.92</v>
      </c>
      <c r="Z894" s="11">
        <f t="shared" si="409"/>
        <v>30002931</v>
      </c>
      <c r="AA894" s="14"/>
      <c r="AB894" s="14"/>
      <c r="AC894" s="11">
        <f t="shared" si="410"/>
        <v>30002931</v>
      </c>
      <c r="AD894" s="10">
        <f t="shared" si="411"/>
        <v>300</v>
      </c>
      <c r="AE894" s="15">
        <v>184710</v>
      </c>
      <c r="AF894" s="16">
        <v>33248</v>
      </c>
      <c r="AG894" s="15">
        <f t="shared" si="412"/>
        <v>0</v>
      </c>
      <c r="AH894" s="15">
        <f t="shared" si="413"/>
        <v>0</v>
      </c>
      <c r="AI894" s="15">
        <f t="shared" si="414"/>
        <v>184710</v>
      </c>
      <c r="AJ894" s="15">
        <f t="shared" si="415"/>
        <v>33248</v>
      </c>
      <c r="AK894" s="10">
        <v>184710</v>
      </c>
      <c r="AL894" s="15">
        <f t="shared" si="416"/>
        <v>184710</v>
      </c>
      <c r="AM894" s="15">
        <f t="shared" si="417"/>
        <v>30187641</v>
      </c>
      <c r="AN894" s="15">
        <f t="shared" si="418"/>
        <v>3633600</v>
      </c>
      <c r="AO894" s="15">
        <f t="shared" si="423"/>
        <v>4478101</v>
      </c>
      <c r="AP894" s="17">
        <f t="shared" si="419"/>
        <v>34665742</v>
      </c>
      <c r="AQ894" s="15">
        <v>22959804.75</v>
      </c>
      <c r="AR894" s="15">
        <v>659791</v>
      </c>
      <c r="AS894" s="18">
        <f t="shared" si="424"/>
        <v>11705937</v>
      </c>
      <c r="AT894" s="19">
        <v>0</v>
      </c>
      <c r="AU894" s="8">
        <v>8800</v>
      </c>
      <c r="AV894" s="13">
        <f t="shared" si="425"/>
        <v>5418160</v>
      </c>
      <c r="AW894" s="18">
        <f t="shared" si="426"/>
        <v>30187641</v>
      </c>
      <c r="AX894" s="15">
        <f t="shared" si="420"/>
        <v>30188000</v>
      </c>
      <c r="AY894" s="20">
        <v>7.0000000000000007E-2</v>
      </c>
      <c r="AZ894" s="13">
        <f t="shared" si="421"/>
        <v>2113160</v>
      </c>
      <c r="BA894" s="15">
        <f t="shared" si="422"/>
        <v>2113200</v>
      </c>
      <c r="BB894" s="21">
        <f t="shared" si="427"/>
        <v>13819137</v>
      </c>
      <c r="BC894" s="10">
        <f t="shared" si="428"/>
        <v>0</v>
      </c>
      <c r="BD894" s="10">
        <f t="shared" si="429"/>
        <v>0</v>
      </c>
      <c r="BE894" s="10">
        <v>123.6</v>
      </c>
      <c r="BF894" s="10">
        <v>57.2</v>
      </c>
      <c r="BG894" s="107">
        <v>46176</v>
      </c>
      <c r="BH894" s="107">
        <f t="shared" si="404"/>
        <v>46206</v>
      </c>
      <c r="BI894" s="23">
        <v>7</v>
      </c>
      <c r="BJ894" s="6"/>
      <c r="BK894" s="6"/>
      <c r="BL894" s="6">
        <f>VLOOKUP(A894,[2]Sheet1!$D$2:$H$933,5,0)</f>
        <v>0</v>
      </c>
      <c r="BM894" s="6" t="s">
        <v>3828</v>
      </c>
      <c r="BN894" s="6" t="s">
        <v>3829</v>
      </c>
      <c r="BO894" s="6" t="s">
        <v>3820</v>
      </c>
      <c r="BP894" s="6" t="s">
        <v>3821</v>
      </c>
      <c r="BQ894" s="6" t="s">
        <v>3830</v>
      </c>
      <c r="BR894" t="s">
        <v>3823</v>
      </c>
      <c r="BS894" t="s">
        <v>3824</v>
      </c>
      <c r="BT894" t="s">
        <v>3825</v>
      </c>
      <c r="BU894" t="s">
        <v>3826</v>
      </c>
      <c r="BV894" t="s">
        <v>3827</v>
      </c>
      <c r="BW894" t="s">
        <v>3835</v>
      </c>
      <c r="BX894">
        <v>0</v>
      </c>
      <c r="BY894" t="s">
        <v>3859</v>
      </c>
      <c r="BZ894" t="s">
        <v>3863</v>
      </c>
    </row>
    <row r="895" spans="1:78" x14ac:dyDescent="0.25">
      <c r="A895" s="7" t="s">
        <v>3583</v>
      </c>
      <c r="B895" s="7" t="s">
        <v>181</v>
      </c>
      <c r="C895" s="7" t="s">
        <v>3581</v>
      </c>
      <c r="D895" s="8" t="s">
        <v>3582</v>
      </c>
      <c r="E895" s="7" t="s">
        <v>3584</v>
      </c>
      <c r="F895" s="9">
        <v>44905</v>
      </c>
      <c r="G895" s="9" t="s">
        <v>527</v>
      </c>
      <c r="H895" s="9" t="s">
        <v>190</v>
      </c>
      <c r="I895" s="8" t="s">
        <v>78</v>
      </c>
      <c r="J895" s="10">
        <v>1330.43</v>
      </c>
      <c r="K895" s="10">
        <v>1330.43</v>
      </c>
      <c r="L895" s="10">
        <f t="shared" si="405"/>
        <v>0</v>
      </c>
      <c r="M895" s="10">
        <v>627.54</v>
      </c>
      <c r="N895" s="10">
        <v>627.54</v>
      </c>
      <c r="O895" s="10">
        <f t="shared" si="406"/>
        <v>0</v>
      </c>
      <c r="P895" s="11">
        <v>25000</v>
      </c>
      <c r="Q895" s="11">
        <v>53001.800682028239</v>
      </c>
      <c r="R895" s="11">
        <v>60000</v>
      </c>
      <c r="S895" s="11">
        <v>33260750</v>
      </c>
      <c r="T895" s="11">
        <v>3991294</v>
      </c>
      <c r="U895" s="12">
        <f t="shared" si="407"/>
        <v>0.12000012026187022</v>
      </c>
      <c r="V895" s="13">
        <f t="shared" si="403"/>
        <v>0</v>
      </c>
      <c r="W895" s="10">
        <f t="shared" si="408"/>
        <v>0</v>
      </c>
      <c r="X895" s="10"/>
      <c r="Y895" s="10"/>
      <c r="Z895" s="11">
        <f t="shared" si="409"/>
        <v>33260750</v>
      </c>
      <c r="AA895" s="14"/>
      <c r="AB895" s="14"/>
      <c r="AC895" s="11">
        <f t="shared" si="410"/>
        <v>33260750</v>
      </c>
      <c r="AD895" s="10">
        <f t="shared" si="411"/>
        <v>300</v>
      </c>
      <c r="AE895" s="15">
        <v>188262</v>
      </c>
      <c r="AF895" s="16">
        <v>33888</v>
      </c>
      <c r="AG895" s="15">
        <f t="shared" si="412"/>
        <v>0</v>
      </c>
      <c r="AH895" s="15">
        <f t="shared" si="413"/>
        <v>0</v>
      </c>
      <c r="AI895" s="15">
        <f t="shared" si="414"/>
        <v>188262</v>
      </c>
      <c r="AJ895" s="15">
        <f t="shared" si="415"/>
        <v>33888</v>
      </c>
      <c r="AK895" s="10">
        <v>188262</v>
      </c>
      <c r="AL895" s="15">
        <f t="shared" si="416"/>
        <v>188262</v>
      </c>
      <c r="AM895" s="15">
        <f t="shared" si="417"/>
        <v>33449012</v>
      </c>
      <c r="AN895" s="15">
        <f t="shared" si="418"/>
        <v>4025182</v>
      </c>
      <c r="AO895" s="15">
        <f t="shared" si="423"/>
        <v>4894105.72</v>
      </c>
      <c r="AP895" s="17">
        <f t="shared" si="419"/>
        <v>38343117.719999999</v>
      </c>
      <c r="AQ895" s="15">
        <v>26832151.489999998</v>
      </c>
      <c r="AR895" s="15">
        <v>680661.72</v>
      </c>
      <c r="AS895" s="18">
        <f t="shared" si="424"/>
        <v>11510966</v>
      </c>
      <c r="AT895" s="19">
        <v>33300422</v>
      </c>
      <c r="AU895" s="8">
        <v>8800</v>
      </c>
      <c r="AV895" s="13">
        <f t="shared" si="425"/>
        <v>5522352</v>
      </c>
      <c r="AW895" s="18">
        <f t="shared" si="426"/>
        <v>33449012</v>
      </c>
      <c r="AX895" s="15">
        <f t="shared" si="420"/>
        <v>33450000</v>
      </c>
      <c r="AY895" s="20">
        <v>7.0000000000000007E-2</v>
      </c>
      <c r="AZ895" s="13">
        <f t="shared" si="421"/>
        <v>2341500</v>
      </c>
      <c r="BA895" s="15">
        <f t="shared" si="422"/>
        <v>2341500</v>
      </c>
      <c r="BB895" s="21">
        <f t="shared" si="427"/>
        <v>13852466</v>
      </c>
      <c r="BC895" s="10">
        <f t="shared" si="428"/>
        <v>0</v>
      </c>
      <c r="BD895" s="10">
        <f t="shared" si="429"/>
        <v>0</v>
      </c>
      <c r="BE895" s="10">
        <v>123.6</v>
      </c>
      <c r="BF895" s="10">
        <v>58.3</v>
      </c>
      <c r="BG895" s="107">
        <v>46176</v>
      </c>
      <c r="BH895" s="107">
        <f t="shared" si="404"/>
        <v>46206</v>
      </c>
      <c r="BI895" s="23">
        <v>7</v>
      </c>
      <c r="BJ895" s="6"/>
      <c r="BK895" s="6"/>
      <c r="BL895" s="6">
        <f>VLOOKUP(A895,[2]Sheet1!$D$2:$H$933,5,0)</f>
        <v>0</v>
      </c>
      <c r="BM895" s="6" t="s">
        <v>3828</v>
      </c>
      <c r="BN895" s="6" t="s">
        <v>3829</v>
      </c>
      <c r="BO895" s="6" t="s">
        <v>3820</v>
      </c>
      <c r="BP895" s="6" t="s">
        <v>3821</v>
      </c>
      <c r="BQ895" s="6" t="s">
        <v>3830</v>
      </c>
      <c r="BR895" t="s">
        <v>3823</v>
      </c>
      <c r="BS895" t="s">
        <v>3824</v>
      </c>
      <c r="BT895" t="s">
        <v>3825</v>
      </c>
      <c r="BU895" t="s">
        <v>3826</v>
      </c>
      <c r="BV895" t="s">
        <v>3827</v>
      </c>
      <c r="BW895" t="s">
        <v>3835</v>
      </c>
      <c r="BX895">
        <v>0</v>
      </c>
      <c r="BY895" t="s">
        <v>3868</v>
      </c>
      <c r="BZ895" t="s">
        <v>3871</v>
      </c>
    </row>
    <row r="896" spans="1:78" x14ac:dyDescent="0.25">
      <c r="A896" s="7" t="s">
        <v>3587</v>
      </c>
      <c r="B896" s="7" t="s">
        <v>181</v>
      </c>
      <c r="C896" s="7" t="s">
        <v>3585</v>
      </c>
      <c r="D896" s="8" t="s">
        <v>3586</v>
      </c>
      <c r="E896" s="7" t="s">
        <v>3580</v>
      </c>
      <c r="F896" s="9">
        <v>44872</v>
      </c>
      <c r="G896" s="9" t="s">
        <v>527</v>
      </c>
      <c r="H896" s="9" t="s">
        <v>190</v>
      </c>
      <c r="I896" s="8" t="s">
        <v>78</v>
      </c>
      <c r="J896" s="10">
        <v>1896.83</v>
      </c>
      <c r="K896" s="10">
        <v>1896.83</v>
      </c>
      <c r="L896" s="10">
        <f t="shared" si="405"/>
        <v>0</v>
      </c>
      <c r="M896" s="10">
        <v>878.02</v>
      </c>
      <c r="N896" s="10">
        <v>878.02</v>
      </c>
      <c r="O896" s="10">
        <f t="shared" si="406"/>
        <v>0</v>
      </c>
      <c r="P896" s="11">
        <v>20830.720728794884</v>
      </c>
      <c r="Q896" s="11">
        <v>45001.635498052434</v>
      </c>
      <c r="R896" s="11">
        <v>60000</v>
      </c>
      <c r="S896" s="11">
        <v>39512336</v>
      </c>
      <c r="T896" s="11">
        <v>4741480</v>
      </c>
      <c r="U896" s="12">
        <f t="shared" si="407"/>
        <v>0.11999999190126344</v>
      </c>
      <c r="V896" s="13">
        <f t="shared" si="403"/>
        <v>0</v>
      </c>
      <c r="W896" s="10">
        <f t="shared" si="408"/>
        <v>0</v>
      </c>
      <c r="X896" s="10">
        <v>3263655</v>
      </c>
      <c r="Y896" s="15">
        <f>X896*12%</f>
        <v>391638.6</v>
      </c>
      <c r="Z896" s="11">
        <f t="shared" si="409"/>
        <v>42775991</v>
      </c>
      <c r="AA896" s="14"/>
      <c r="AB896" s="14"/>
      <c r="AC896" s="11">
        <f t="shared" si="410"/>
        <v>42775991</v>
      </c>
      <c r="AD896" s="10">
        <f t="shared" si="411"/>
        <v>300</v>
      </c>
      <c r="AE896" s="15">
        <v>263406</v>
      </c>
      <c r="AF896" s="16">
        <v>47414</v>
      </c>
      <c r="AG896" s="15">
        <f t="shared" si="412"/>
        <v>0</v>
      </c>
      <c r="AH896" s="15">
        <f t="shared" si="413"/>
        <v>0</v>
      </c>
      <c r="AI896" s="15">
        <f t="shared" si="414"/>
        <v>263406</v>
      </c>
      <c r="AJ896" s="15">
        <f t="shared" si="415"/>
        <v>47414</v>
      </c>
      <c r="AK896" s="10">
        <v>263406</v>
      </c>
      <c r="AL896" s="15">
        <f t="shared" si="416"/>
        <v>263406</v>
      </c>
      <c r="AM896" s="15">
        <f t="shared" si="417"/>
        <v>43039397</v>
      </c>
      <c r="AN896" s="15">
        <f t="shared" si="418"/>
        <v>5180533</v>
      </c>
      <c r="AO896" s="15">
        <f t="shared" si="423"/>
        <v>6146156</v>
      </c>
      <c r="AP896" s="17">
        <f t="shared" si="419"/>
        <v>49185553</v>
      </c>
      <c r="AQ896" s="15">
        <v>32734411.850000001</v>
      </c>
      <c r="AR896" s="15">
        <v>702217</v>
      </c>
      <c r="AS896" s="18">
        <f t="shared" si="424"/>
        <v>16451141</v>
      </c>
      <c r="AT896" s="19">
        <v>0</v>
      </c>
      <c r="AU896" s="8">
        <v>8800</v>
      </c>
      <c r="AV896" s="13">
        <f t="shared" si="425"/>
        <v>7726576</v>
      </c>
      <c r="AW896" s="18">
        <f t="shared" si="426"/>
        <v>43039397</v>
      </c>
      <c r="AX896" s="15">
        <f t="shared" si="420"/>
        <v>43040000</v>
      </c>
      <c r="AY896" s="20">
        <v>7.0000000000000007E-2</v>
      </c>
      <c r="AZ896" s="13">
        <f t="shared" si="421"/>
        <v>3012800.0000000005</v>
      </c>
      <c r="BA896" s="15">
        <f t="shared" si="422"/>
        <v>3012800</v>
      </c>
      <c r="BB896" s="21">
        <f t="shared" si="427"/>
        <v>19463941</v>
      </c>
      <c r="BC896" s="10">
        <f t="shared" si="428"/>
        <v>0</v>
      </c>
      <c r="BD896" s="10">
        <f t="shared" si="429"/>
        <v>0</v>
      </c>
      <c r="BE896" s="10">
        <v>176.22</v>
      </c>
      <c r="BF896" s="10">
        <v>81.569999999999993</v>
      </c>
      <c r="BG896" s="107">
        <v>46176</v>
      </c>
      <c r="BH896" s="107">
        <f t="shared" si="404"/>
        <v>46206</v>
      </c>
      <c r="BI896" s="23">
        <v>7</v>
      </c>
      <c r="BJ896" s="6"/>
      <c r="BK896" s="6"/>
      <c r="BL896" s="6">
        <f>VLOOKUP(A896,[2]Sheet1!$D$2:$H$933,5,0)</f>
        <v>0</v>
      </c>
      <c r="BM896" s="6" t="s">
        <v>3828</v>
      </c>
      <c r="BN896" s="6" t="s">
        <v>3829</v>
      </c>
      <c r="BO896" s="6" t="s">
        <v>3820</v>
      </c>
      <c r="BP896" s="6" t="s">
        <v>3821</v>
      </c>
      <c r="BQ896" s="6" t="s">
        <v>3830</v>
      </c>
      <c r="BR896" t="s">
        <v>3823</v>
      </c>
      <c r="BS896" t="s">
        <v>3824</v>
      </c>
      <c r="BT896" t="s">
        <v>3825</v>
      </c>
      <c r="BU896" t="s">
        <v>3826</v>
      </c>
      <c r="BV896" t="s">
        <v>3827</v>
      </c>
      <c r="BW896" t="s">
        <v>3835</v>
      </c>
      <c r="BX896">
        <v>0</v>
      </c>
      <c r="BY896" t="s">
        <v>3859</v>
      </c>
      <c r="BZ896" t="s">
        <v>3871</v>
      </c>
    </row>
    <row r="897" spans="1:78" x14ac:dyDescent="0.25">
      <c r="A897" s="7" t="s">
        <v>3590</v>
      </c>
      <c r="B897" s="7" t="s">
        <v>181</v>
      </c>
      <c r="C897" s="7" t="s">
        <v>3588</v>
      </c>
      <c r="D897" s="8" t="s">
        <v>3589</v>
      </c>
      <c r="E897" s="7" t="s">
        <v>3591</v>
      </c>
      <c r="F897" s="9">
        <v>44895</v>
      </c>
      <c r="G897" s="9" t="s">
        <v>527</v>
      </c>
      <c r="H897" s="9" t="s">
        <v>190</v>
      </c>
      <c r="I897" s="8" t="s">
        <v>78</v>
      </c>
      <c r="J897" s="10">
        <v>1330.43</v>
      </c>
      <c r="K897" s="10">
        <v>1330.43</v>
      </c>
      <c r="L897" s="10">
        <f t="shared" si="405"/>
        <v>0</v>
      </c>
      <c r="M897" s="10">
        <v>621.08000000000004</v>
      </c>
      <c r="N897" s="10">
        <v>621.08000000000004</v>
      </c>
      <c r="O897" s="10">
        <f t="shared" si="406"/>
        <v>0</v>
      </c>
      <c r="P897" s="11">
        <v>29700</v>
      </c>
      <c r="Q897" s="11">
        <v>63621.064919173048</v>
      </c>
      <c r="R897" s="11">
        <v>60000</v>
      </c>
      <c r="S897" s="11">
        <v>39513771</v>
      </c>
      <c r="T897" s="11">
        <v>4741656</v>
      </c>
      <c r="U897" s="12">
        <f t="shared" si="407"/>
        <v>0.12000008807056152</v>
      </c>
      <c r="V897" s="13">
        <f t="shared" si="403"/>
        <v>0</v>
      </c>
      <c r="W897" s="10">
        <f t="shared" si="408"/>
        <v>0</v>
      </c>
      <c r="X897" s="10"/>
      <c r="Y897" s="10"/>
      <c r="Z897" s="11">
        <f t="shared" si="409"/>
        <v>39513771</v>
      </c>
      <c r="AA897" s="14"/>
      <c r="AB897" s="14"/>
      <c r="AC897" s="11">
        <f t="shared" si="410"/>
        <v>39513771</v>
      </c>
      <c r="AD897" s="10">
        <f t="shared" si="411"/>
        <v>300</v>
      </c>
      <c r="AE897" s="15">
        <v>186324</v>
      </c>
      <c r="AF897" s="16">
        <v>33538</v>
      </c>
      <c r="AG897" s="15">
        <f t="shared" si="412"/>
        <v>0</v>
      </c>
      <c r="AH897" s="15">
        <f t="shared" si="413"/>
        <v>0</v>
      </c>
      <c r="AI897" s="15">
        <f t="shared" si="414"/>
        <v>186324</v>
      </c>
      <c r="AJ897" s="15">
        <f t="shared" si="415"/>
        <v>33539</v>
      </c>
      <c r="AK897" s="10">
        <v>186324</v>
      </c>
      <c r="AL897" s="15">
        <f t="shared" si="416"/>
        <v>186324</v>
      </c>
      <c r="AM897" s="15">
        <f t="shared" si="417"/>
        <v>39700095</v>
      </c>
      <c r="AN897" s="15">
        <f t="shared" si="418"/>
        <v>4775195</v>
      </c>
      <c r="AO897" s="15">
        <f t="shared" si="423"/>
        <v>5676876.4800000004</v>
      </c>
      <c r="AP897" s="17">
        <f t="shared" si="419"/>
        <v>45376971.480000004</v>
      </c>
      <c r="AQ897" s="15">
        <v>39763501.869999997</v>
      </c>
      <c r="AR897" s="15">
        <v>715357.48</v>
      </c>
      <c r="AS897" s="18">
        <f t="shared" si="424"/>
        <v>5613470</v>
      </c>
      <c r="AT897" s="19">
        <v>0</v>
      </c>
      <c r="AU897" s="8">
        <v>8800</v>
      </c>
      <c r="AV897" s="13">
        <f t="shared" si="425"/>
        <v>5465504</v>
      </c>
      <c r="AW897" s="18">
        <f t="shared" si="426"/>
        <v>39700095</v>
      </c>
      <c r="AX897" s="15">
        <f t="shared" si="420"/>
        <v>39701000</v>
      </c>
      <c r="AY897" s="20">
        <v>7.0000000000000007E-2</v>
      </c>
      <c r="AZ897" s="13">
        <f t="shared" si="421"/>
        <v>2779070.0000000005</v>
      </c>
      <c r="BA897" s="15">
        <f t="shared" si="422"/>
        <v>2779100</v>
      </c>
      <c r="BB897" s="21">
        <f t="shared" si="427"/>
        <v>8392570</v>
      </c>
      <c r="BC897" s="10">
        <f t="shared" si="428"/>
        <v>0</v>
      </c>
      <c r="BD897" s="10">
        <f t="shared" si="429"/>
        <v>0</v>
      </c>
      <c r="BE897" s="10">
        <v>123.6</v>
      </c>
      <c r="BF897" s="10">
        <v>57.7</v>
      </c>
      <c r="BG897" s="107">
        <v>46176</v>
      </c>
      <c r="BH897" s="107">
        <f t="shared" si="404"/>
        <v>46206</v>
      </c>
      <c r="BI897" s="23">
        <v>7</v>
      </c>
      <c r="BJ897" s="6"/>
      <c r="BK897" s="6"/>
      <c r="BL897" s="6">
        <f>VLOOKUP(A897,[2]Sheet1!$D$2:$H$933,5,0)</f>
        <v>0</v>
      </c>
      <c r="BM897" s="6" t="s">
        <v>3828</v>
      </c>
      <c r="BN897" s="6" t="s">
        <v>3829</v>
      </c>
      <c r="BO897" s="6" t="s">
        <v>3820</v>
      </c>
      <c r="BP897" s="6" t="s">
        <v>3821</v>
      </c>
      <c r="BQ897" s="6" t="s">
        <v>3830</v>
      </c>
      <c r="BR897" t="s">
        <v>3823</v>
      </c>
      <c r="BS897" t="s">
        <v>3824</v>
      </c>
      <c r="BT897" t="s">
        <v>3825</v>
      </c>
      <c r="BU897" t="s">
        <v>3826</v>
      </c>
      <c r="BV897" t="s">
        <v>3827</v>
      </c>
      <c r="BW897" t="s">
        <v>3835</v>
      </c>
      <c r="BX897">
        <v>0</v>
      </c>
      <c r="BY897" t="s">
        <v>3869</v>
      </c>
      <c r="BZ897" t="s">
        <v>3871</v>
      </c>
    </row>
    <row r="898" spans="1:78" x14ac:dyDescent="0.25">
      <c r="A898" s="7" t="s">
        <v>3594</v>
      </c>
      <c r="B898" s="7" t="s">
        <v>181</v>
      </c>
      <c r="C898" s="7" t="s">
        <v>3592</v>
      </c>
      <c r="D898" s="8" t="s">
        <v>3593</v>
      </c>
      <c r="E898" s="7" t="s">
        <v>3371</v>
      </c>
      <c r="F898" s="9">
        <v>45132</v>
      </c>
      <c r="G898" s="9" t="s">
        <v>717</v>
      </c>
      <c r="H898" s="9" t="s">
        <v>87</v>
      </c>
      <c r="I898" s="8" t="s">
        <v>78</v>
      </c>
      <c r="J898" s="10">
        <v>1339.04</v>
      </c>
      <c r="K898" s="10">
        <v>1339.04</v>
      </c>
      <c r="L898" s="10">
        <f t="shared" si="405"/>
        <v>0</v>
      </c>
      <c r="M898" s="10">
        <v>611.4</v>
      </c>
      <c r="N898" s="10">
        <v>611.4</v>
      </c>
      <c r="O898" s="10">
        <f t="shared" si="406"/>
        <v>0</v>
      </c>
      <c r="P898" s="11">
        <v>14645.99862588123</v>
      </c>
      <c r="Q898" s="11">
        <v>32076.509649983644</v>
      </c>
      <c r="R898" s="11">
        <v>40000</v>
      </c>
      <c r="S898" s="11">
        <v>19611578</v>
      </c>
      <c r="T898" s="11">
        <v>2353388</v>
      </c>
      <c r="U898" s="12">
        <f t="shared" si="407"/>
        <v>0.11999993065320903</v>
      </c>
      <c r="V898" s="13">
        <f t="shared" si="403"/>
        <v>0</v>
      </c>
      <c r="W898" s="10">
        <f t="shared" si="408"/>
        <v>0</v>
      </c>
      <c r="X898" s="10"/>
      <c r="Y898" s="10"/>
      <c r="Z898" s="11">
        <f t="shared" si="409"/>
        <v>19611578</v>
      </c>
      <c r="AA898" s="14"/>
      <c r="AB898" s="14"/>
      <c r="AC898" s="11">
        <f t="shared" si="410"/>
        <v>19611578</v>
      </c>
      <c r="AD898" s="10">
        <f t="shared" si="411"/>
        <v>300</v>
      </c>
      <c r="AE898" s="15">
        <v>183420</v>
      </c>
      <c r="AF898" s="16">
        <v>33016</v>
      </c>
      <c r="AG898" s="15">
        <f t="shared" si="412"/>
        <v>0</v>
      </c>
      <c r="AH898" s="15">
        <f t="shared" si="413"/>
        <v>0</v>
      </c>
      <c r="AI898" s="15">
        <f t="shared" si="414"/>
        <v>183420</v>
      </c>
      <c r="AJ898" s="15">
        <f t="shared" si="415"/>
        <v>33016</v>
      </c>
      <c r="AK898" s="10">
        <v>183420</v>
      </c>
      <c r="AL898" s="15">
        <f t="shared" si="416"/>
        <v>183420</v>
      </c>
      <c r="AM898" s="15">
        <f t="shared" si="417"/>
        <v>19794998</v>
      </c>
      <c r="AN898" s="15">
        <f t="shared" si="418"/>
        <v>2386404</v>
      </c>
      <c r="AO898" s="15">
        <f t="shared" si="423"/>
        <v>3331637</v>
      </c>
      <c r="AP898" s="17">
        <f t="shared" si="419"/>
        <v>23126635</v>
      </c>
      <c r="AQ898" s="15">
        <v>20887210.82</v>
      </c>
      <c r="AR898" s="15">
        <v>761813</v>
      </c>
      <c r="AS898" s="18">
        <f t="shared" si="424"/>
        <v>2239424</v>
      </c>
      <c r="AT898" s="19">
        <v>0</v>
      </c>
      <c r="AU898" s="8">
        <v>8800</v>
      </c>
      <c r="AV898" s="13">
        <f t="shared" si="425"/>
        <v>5380320</v>
      </c>
      <c r="AW898" s="18">
        <f t="shared" si="426"/>
        <v>19794998</v>
      </c>
      <c r="AX898" s="15">
        <f t="shared" si="420"/>
        <v>19795000</v>
      </c>
      <c r="AY898" s="20">
        <v>7.0000000000000007E-2</v>
      </c>
      <c r="AZ898" s="13">
        <f t="shared" si="421"/>
        <v>1385650.0000000002</v>
      </c>
      <c r="BA898" s="15">
        <f t="shared" si="422"/>
        <v>1385700</v>
      </c>
      <c r="BB898" s="21">
        <f t="shared" si="427"/>
        <v>3625124</v>
      </c>
      <c r="BC898" s="10">
        <f t="shared" si="428"/>
        <v>0</v>
      </c>
      <c r="BD898" s="10">
        <f t="shared" si="429"/>
        <v>0</v>
      </c>
      <c r="BE898" s="10">
        <v>124.4</v>
      </c>
      <c r="BF898" s="10">
        <v>56.8</v>
      </c>
      <c r="BG898" s="107">
        <v>46176</v>
      </c>
      <c r="BH898" s="107">
        <f t="shared" si="404"/>
        <v>46206</v>
      </c>
      <c r="BI898" s="23">
        <v>7</v>
      </c>
      <c r="BJ898" s="6"/>
      <c r="BK898" s="6"/>
      <c r="BL898" s="6">
        <f>VLOOKUP(A898,[2]Sheet1!$D$2:$H$933,5,0)</f>
        <v>0</v>
      </c>
      <c r="BM898" s="6" t="s">
        <v>3828</v>
      </c>
      <c r="BN898" s="6" t="s">
        <v>3829</v>
      </c>
      <c r="BO898" s="6" t="s">
        <v>3820</v>
      </c>
      <c r="BP898" s="6" t="s">
        <v>3821</v>
      </c>
      <c r="BQ898" s="6" t="s">
        <v>3830</v>
      </c>
      <c r="BR898" t="s">
        <v>3823</v>
      </c>
      <c r="BS898" t="s">
        <v>3824</v>
      </c>
      <c r="BT898" t="s">
        <v>3825</v>
      </c>
      <c r="BU898" t="s">
        <v>3826</v>
      </c>
      <c r="BV898" t="s">
        <v>3827</v>
      </c>
      <c r="BW898" t="s">
        <v>3835</v>
      </c>
      <c r="BX898">
        <v>0</v>
      </c>
      <c r="BY898" t="s">
        <v>3861</v>
      </c>
      <c r="BZ898" t="s">
        <v>3872</v>
      </c>
    </row>
    <row r="899" spans="1:78" x14ac:dyDescent="0.25">
      <c r="A899" s="7" t="s">
        <v>3597</v>
      </c>
      <c r="B899" s="7" t="s">
        <v>181</v>
      </c>
      <c r="C899" s="7" t="s">
        <v>3595</v>
      </c>
      <c r="D899" s="8" t="s">
        <v>3596</v>
      </c>
      <c r="E899" s="7" t="s">
        <v>3476</v>
      </c>
      <c r="F899" s="9">
        <v>44853</v>
      </c>
      <c r="G899" s="9" t="s">
        <v>65</v>
      </c>
      <c r="H899" s="9" t="s">
        <v>190</v>
      </c>
      <c r="I899" s="8" t="s">
        <v>78</v>
      </c>
      <c r="J899" s="10">
        <v>2076.38</v>
      </c>
      <c r="K899" s="10">
        <v>2076.38</v>
      </c>
      <c r="L899" s="10">
        <f t="shared" si="405"/>
        <v>0</v>
      </c>
      <c r="M899" s="10">
        <v>971.99</v>
      </c>
      <c r="N899" s="10">
        <v>971.99</v>
      </c>
      <c r="O899" s="10">
        <f t="shared" si="406"/>
        <v>0</v>
      </c>
      <c r="P899" s="11">
        <v>28500</v>
      </c>
      <c r="Q899" s="11">
        <v>60882.13870513071</v>
      </c>
      <c r="R899" s="11">
        <v>60000</v>
      </c>
      <c r="S899" s="11">
        <v>59176830</v>
      </c>
      <c r="T899" s="11">
        <v>7101218</v>
      </c>
      <c r="U899" s="12">
        <f t="shared" si="407"/>
        <v>0.11999997296239086</v>
      </c>
      <c r="V899" s="13">
        <f t="shared" si="403"/>
        <v>0</v>
      </c>
      <c r="W899" s="10">
        <f t="shared" si="408"/>
        <v>0</v>
      </c>
      <c r="X899" s="10"/>
      <c r="Y899" s="10"/>
      <c r="Z899" s="11">
        <f t="shared" si="409"/>
        <v>59176830</v>
      </c>
      <c r="AA899" s="14"/>
      <c r="AB899" s="14"/>
      <c r="AC899" s="11">
        <f t="shared" si="410"/>
        <v>59176830</v>
      </c>
      <c r="AD899" s="10">
        <f t="shared" si="411"/>
        <v>300</v>
      </c>
      <c r="AE899" s="15">
        <v>291597</v>
      </c>
      <c r="AF899" s="16">
        <v>52488</v>
      </c>
      <c r="AG899" s="15">
        <f t="shared" si="412"/>
        <v>0</v>
      </c>
      <c r="AH899" s="15">
        <f t="shared" si="413"/>
        <v>0</v>
      </c>
      <c r="AI899" s="15">
        <f t="shared" si="414"/>
        <v>291597</v>
      </c>
      <c r="AJ899" s="15">
        <f t="shared" si="415"/>
        <v>52488</v>
      </c>
      <c r="AK899" s="10">
        <v>291597</v>
      </c>
      <c r="AL899" s="15">
        <f t="shared" si="416"/>
        <v>291597</v>
      </c>
      <c r="AM899" s="15">
        <f t="shared" si="417"/>
        <v>59468427</v>
      </c>
      <c r="AN899" s="15">
        <f t="shared" si="418"/>
        <v>7153706</v>
      </c>
      <c r="AO899" s="15">
        <f t="shared" si="423"/>
        <v>8243500</v>
      </c>
      <c r="AP899" s="17">
        <f t="shared" si="419"/>
        <v>67711927</v>
      </c>
      <c r="AQ899" s="15">
        <v>39766830</v>
      </c>
      <c r="AR899" s="15">
        <v>798197</v>
      </c>
      <c r="AS899" s="18">
        <f t="shared" si="424"/>
        <v>27945097</v>
      </c>
      <c r="AT899" s="19">
        <v>0</v>
      </c>
      <c r="AU899" s="8">
        <v>8800</v>
      </c>
      <c r="AV899" s="13">
        <f t="shared" si="425"/>
        <v>8553512</v>
      </c>
      <c r="AW899" s="18">
        <f t="shared" si="426"/>
        <v>59468427</v>
      </c>
      <c r="AX899" s="15">
        <f t="shared" si="420"/>
        <v>59469000</v>
      </c>
      <c r="AY899" s="20">
        <v>7.0000000000000007E-2</v>
      </c>
      <c r="AZ899" s="13">
        <f t="shared" si="421"/>
        <v>4162830.0000000005</v>
      </c>
      <c r="BA899" s="15">
        <f t="shared" si="422"/>
        <v>4162900</v>
      </c>
      <c r="BB899" s="21">
        <f t="shared" si="427"/>
        <v>32107997</v>
      </c>
      <c r="BC899" s="10">
        <f t="shared" si="428"/>
        <v>0</v>
      </c>
      <c r="BD899" s="10">
        <f t="shared" si="429"/>
        <v>0</v>
      </c>
      <c r="BE899" s="10">
        <v>192.9</v>
      </c>
      <c r="BF899" s="10">
        <v>90.3</v>
      </c>
      <c r="BG899" s="107">
        <v>46176</v>
      </c>
      <c r="BH899" s="107">
        <f t="shared" si="404"/>
        <v>46206</v>
      </c>
      <c r="BI899" s="23">
        <v>7</v>
      </c>
      <c r="BJ899" s="64"/>
      <c r="BK899" s="6"/>
      <c r="BL899" s="6">
        <f>VLOOKUP(A899,[2]Sheet1!$D$2:$H$933,5,0)</f>
        <v>0</v>
      </c>
      <c r="BM899" s="6" t="s">
        <v>3828</v>
      </c>
      <c r="BN899" s="6" t="s">
        <v>3829</v>
      </c>
      <c r="BO899" s="6" t="s">
        <v>3820</v>
      </c>
      <c r="BP899" s="6" t="s">
        <v>3821</v>
      </c>
      <c r="BQ899" s="6" t="s">
        <v>3830</v>
      </c>
      <c r="BR899" t="s">
        <v>3823</v>
      </c>
      <c r="BS899" t="s">
        <v>3824</v>
      </c>
      <c r="BT899" t="s">
        <v>3825</v>
      </c>
      <c r="BU899" t="s">
        <v>3826</v>
      </c>
      <c r="BV899" t="s">
        <v>3827</v>
      </c>
      <c r="BW899" t="s">
        <v>3835</v>
      </c>
      <c r="BX899">
        <v>0</v>
      </c>
      <c r="BY899" t="s">
        <v>3864</v>
      </c>
      <c r="BZ899" t="s">
        <v>3860</v>
      </c>
    </row>
    <row r="900" spans="1:78" x14ac:dyDescent="0.25">
      <c r="A900" s="7" t="s">
        <v>3600</v>
      </c>
      <c r="B900" s="7" t="s">
        <v>181</v>
      </c>
      <c r="C900" s="7" t="s">
        <v>3598</v>
      </c>
      <c r="D900" s="8" t="s">
        <v>3599</v>
      </c>
      <c r="E900" s="7" t="s">
        <v>3601</v>
      </c>
      <c r="F900" s="9">
        <v>44931</v>
      </c>
      <c r="G900" s="9" t="s">
        <v>404</v>
      </c>
      <c r="H900" s="9" t="s">
        <v>190</v>
      </c>
      <c r="I900" s="8" t="s">
        <v>78</v>
      </c>
      <c r="J900" s="10">
        <v>1922.45</v>
      </c>
      <c r="K900" s="10">
        <v>1922.45</v>
      </c>
      <c r="L900" s="10">
        <f t="shared" si="405"/>
        <v>0</v>
      </c>
      <c r="M900" s="10">
        <v>894.49</v>
      </c>
      <c r="N900" s="10">
        <v>894.49</v>
      </c>
      <c r="O900" s="10">
        <f t="shared" si="406"/>
        <v>0</v>
      </c>
      <c r="P900" s="11">
        <v>24700</v>
      </c>
      <c r="Q900" s="11">
        <v>53085.573902447206</v>
      </c>
      <c r="R900" s="11">
        <v>60000</v>
      </c>
      <c r="S900" s="11">
        <v>47484515</v>
      </c>
      <c r="T900" s="11">
        <v>5698142</v>
      </c>
      <c r="U900" s="12">
        <f t="shared" si="407"/>
        <v>0.12000000421189939</v>
      </c>
      <c r="V900" s="13">
        <f t="shared" si="403"/>
        <v>0</v>
      </c>
      <c r="W900" s="10">
        <f t="shared" si="408"/>
        <v>0</v>
      </c>
      <c r="X900" s="10"/>
      <c r="Y900" s="10"/>
      <c r="Z900" s="11">
        <f t="shared" si="409"/>
        <v>47484515</v>
      </c>
      <c r="AA900" s="14"/>
      <c r="AB900" s="14"/>
      <c r="AC900" s="11">
        <f t="shared" si="410"/>
        <v>47484515</v>
      </c>
      <c r="AD900" s="10">
        <f t="shared" si="411"/>
        <v>300</v>
      </c>
      <c r="AE900" s="15">
        <v>268347</v>
      </c>
      <c r="AF900" s="16">
        <v>48302</v>
      </c>
      <c r="AG900" s="15">
        <f t="shared" si="412"/>
        <v>0</v>
      </c>
      <c r="AH900" s="15">
        <f t="shared" si="413"/>
        <v>0</v>
      </c>
      <c r="AI900" s="15">
        <f t="shared" si="414"/>
        <v>268347</v>
      </c>
      <c r="AJ900" s="15">
        <f t="shared" si="415"/>
        <v>48303</v>
      </c>
      <c r="AK900" s="10">
        <v>268347</v>
      </c>
      <c r="AL900" s="15">
        <f t="shared" si="416"/>
        <v>268347</v>
      </c>
      <c r="AM900" s="15">
        <f t="shared" si="417"/>
        <v>47752862</v>
      </c>
      <c r="AN900" s="15">
        <f t="shared" si="418"/>
        <v>5746445</v>
      </c>
      <c r="AO900" s="15">
        <f t="shared" si="423"/>
        <v>6829854</v>
      </c>
      <c r="AP900" s="17">
        <f t="shared" si="419"/>
        <v>54582716</v>
      </c>
      <c r="AQ900" s="15">
        <v>47864571.350000001</v>
      </c>
      <c r="AR900" s="15">
        <v>815062</v>
      </c>
      <c r="AS900" s="18">
        <f t="shared" si="424"/>
        <v>6718145</v>
      </c>
      <c r="AT900" s="19">
        <v>0</v>
      </c>
      <c r="AU900" s="8">
        <v>8800</v>
      </c>
      <c r="AV900" s="13">
        <f t="shared" si="425"/>
        <v>7871512</v>
      </c>
      <c r="AW900" s="18">
        <f t="shared" si="426"/>
        <v>47752862</v>
      </c>
      <c r="AX900" s="15">
        <f t="shared" si="420"/>
        <v>47753000</v>
      </c>
      <c r="AY900" s="20">
        <v>6.5000000000000002E-2</v>
      </c>
      <c r="AZ900" s="13">
        <f t="shared" si="421"/>
        <v>3103945</v>
      </c>
      <c r="BA900" s="15">
        <f t="shared" si="422"/>
        <v>3104000</v>
      </c>
      <c r="BB900" s="21">
        <f t="shared" si="427"/>
        <v>9822145</v>
      </c>
      <c r="BC900" s="10">
        <f t="shared" si="428"/>
        <v>0</v>
      </c>
      <c r="BD900" s="10">
        <f t="shared" si="429"/>
        <v>0</v>
      </c>
      <c r="BE900" s="10">
        <v>178.6</v>
      </c>
      <c r="BF900" s="10">
        <v>83.1</v>
      </c>
      <c r="BG900" s="107">
        <v>46176</v>
      </c>
      <c r="BH900" s="107">
        <f t="shared" si="404"/>
        <v>46206</v>
      </c>
      <c r="BI900" s="23">
        <v>6.5</v>
      </c>
      <c r="BJ900" s="6"/>
      <c r="BK900" s="6"/>
      <c r="BL900" s="6">
        <f>VLOOKUP(A900,[2]Sheet1!$D$2:$H$933,5,0)</f>
        <v>0</v>
      </c>
      <c r="BM900" s="6" t="s">
        <v>3828</v>
      </c>
      <c r="BN900" s="6" t="s">
        <v>3829</v>
      </c>
      <c r="BO900" s="6" t="s">
        <v>3820</v>
      </c>
      <c r="BP900" s="6" t="s">
        <v>3821</v>
      </c>
      <c r="BQ900" s="6" t="s">
        <v>3830</v>
      </c>
      <c r="BR900" t="s">
        <v>3823</v>
      </c>
      <c r="BS900" t="s">
        <v>3824</v>
      </c>
      <c r="BT900" t="s">
        <v>3825</v>
      </c>
      <c r="BU900" t="s">
        <v>3826</v>
      </c>
      <c r="BV900" t="s">
        <v>3827</v>
      </c>
      <c r="BW900" t="s">
        <v>3835</v>
      </c>
      <c r="BX900">
        <v>0</v>
      </c>
      <c r="BY900" t="s">
        <v>3861</v>
      </c>
      <c r="BZ900" t="s">
        <v>3863</v>
      </c>
    </row>
    <row r="901" spans="1:78" x14ac:dyDescent="0.25">
      <c r="A901" s="7" t="s">
        <v>3604</v>
      </c>
      <c r="B901" s="7" t="s">
        <v>181</v>
      </c>
      <c r="C901" s="7" t="s">
        <v>3602</v>
      </c>
      <c r="D901" s="8" t="s">
        <v>3603</v>
      </c>
      <c r="E901" s="7" t="s">
        <v>3605</v>
      </c>
      <c r="F901" s="9">
        <v>44896</v>
      </c>
      <c r="G901" s="9" t="s">
        <v>527</v>
      </c>
      <c r="H901" s="9" t="s">
        <v>190</v>
      </c>
      <c r="I901" s="8" t="s">
        <v>78</v>
      </c>
      <c r="J901" s="10">
        <v>1330.43</v>
      </c>
      <c r="K901" s="10">
        <v>1330.43</v>
      </c>
      <c r="L901" s="10">
        <f t="shared" si="405"/>
        <v>0</v>
      </c>
      <c r="M901" s="10">
        <v>627.54</v>
      </c>
      <c r="N901" s="10">
        <v>627.54</v>
      </c>
      <c r="O901" s="10">
        <f t="shared" si="406"/>
        <v>0</v>
      </c>
      <c r="P901" s="11">
        <v>25000</v>
      </c>
      <c r="Q901" s="11">
        <v>53001.800682028239</v>
      </c>
      <c r="R901" s="11">
        <v>60000</v>
      </c>
      <c r="S901" s="11">
        <v>33260750</v>
      </c>
      <c r="T901" s="11">
        <v>3991294</v>
      </c>
      <c r="U901" s="12">
        <f t="shared" si="407"/>
        <v>0.12000012026187022</v>
      </c>
      <c r="V901" s="13">
        <f t="shared" si="403"/>
        <v>0</v>
      </c>
      <c r="W901" s="10">
        <f t="shared" si="408"/>
        <v>0</v>
      </c>
      <c r="X901" s="10"/>
      <c r="Y901" s="10"/>
      <c r="Z901" s="11">
        <f t="shared" si="409"/>
        <v>33260750</v>
      </c>
      <c r="AA901" s="14"/>
      <c r="AB901" s="14"/>
      <c r="AC901" s="11">
        <f t="shared" si="410"/>
        <v>33260750</v>
      </c>
      <c r="AD901" s="10">
        <f t="shared" si="411"/>
        <v>300</v>
      </c>
      <c r="AE901" s="15">
        <v>188262</v>
      </c>
      <c r="AF901" s="16">
        <v>33888</v>
      </c>
      <c r="AG901" s="15">
        <f t="shared" si="412"/>
        <v>0</v>
      </c>
      <c r="AH901" s="15">
        <f t="shared" si="413"/>
        <v>0</v>
      </c>
      <c r="AI901" s="15">
        <f t="shared" si="414"/>
        <v>188262</v>
      </c>
      <c r="AJ901" s="15">
        <f t="shared" si="415"/>
        <v>33888</v>
      </c>
      <c r="AK901" s="10">
        <v>188262</v>
      </c>
      <c r="AL901" s="15">
        <f t="shared" si="416"/>
        <v>188262</v>
      </c>
      <c r="AM901" s="15">
        <f t="shared" si="417"/>
        <v>33449012</v>
      </c>
      <c r="AN901" s="15">
        <f t="shared" si="418"/>
        <v>4025182</v>
      </c>
      <c r="AO901" s="15">
        <f t="shared" si="423"/>
        <v>5157346.3600000003</v>
      </c>
      <c r="AP901" s="17">
        <f t="shared" si="419"/>
        <v>38606358.359999999</v>
      </c>
      <c r="AQ901" s="15">
        <v>26821441</v>
      </c>
      <c r="AR901" s="15">
        <v>943902.36</v>
      </c>
      <c r="AS901" s="18">
        <f t="shared" si="424"/>
        <v>11784917</v>
      </c>
      <c r="AT901" s="19">
        <v>0</v>
      </c>
      <c r="AU901" s="8">
        <v>8800</v>
      </c>
      <c r="AV901" s="13">
        <f t="shared" si="425"/>
        <v>5522352</v>
      </c>
      <c r="AW901" s="18">
        <f t="shared" si="426"/>
        <v>33449012</v>
      </c>
      <c r="AX901" s="15">
        <f t="shared" si="420"/>
        <v>33450000</v>
      </c>
      <c r="AY901" s="20">
        <v>7.0000000000000007E-2</v>
      </c>
      <c r="AZ901" s="13">
        <f t="shared" si="421"/>
        <v>2341500</v>
      </c>
      <c r="BA901" s="15">
        <f t="shared" si="422"/>
        <v>2341500</v>
      </c>
      <c r="BB901" s="21">
        <f t="shared" si="427"/>
        <v>14126417</v>
      </c>
      <c r="BC901" s="10">
        <f t="shared" si="428"/>
        <v>0</v>
      </c>
      <c r="BD901" s="10">
        <f t="shared" si="429"/>
        <v>0</v>
      </c>
      <c r="BE901" s="10">
        <v>123.6</v>
      </c>
      <c r="BF901" s="10">
        <v>58.3</v>
      </c>
      <c r="BG901" s="107">
        <v>46176</v>
      </c>
      <c r="BH901" s="107">
        <f t="shared" si="404"/>
        <v>46206</v>
      </c>
      <c r="BI901" s="23">
        <v>7</v>
      </c>
      <c r="BJ901" s="6"/>
      <c r="BK901" s="6"/>
      <c r="BL901" s="6">
        <f>VLOOKUP(A901,[2]Sheet1!$D$2:$H$933,5,0)</f>
        <v>0</v>
      </c>
      <c r="BM901" s="6" t="s">
        <v>3828</v>
      </c>
      <c r="BN901" s="6" t="s">
        <v>3829</v>
      </c>
      <c r="BO901" s="6" t="s">
        <v>3820</v>
      </c>
      <c r="BP901" s="6" t="s">
        <v>3821</v>
      </c>
      <c r="BQ901" s="6" t="s">
        <v>3830</v>
      </c>
      <c r="BR901" t="s">
        <v>3823</v>
      </c>
      <c r="BS901" t="s">
        <v>3824</v>
      </c>
      <c r="BT901" t="s">
        <v>3825</v>
      </c>
      <c r="BU901" t="s">
        <v>3826</v>
      </c>
      <c r="BV901" t="s">
        <v>3827</v>
      </c>
      <c r="BW901" t="s">
        <v>3835</v>
      </c>
      <c r="BX901">
        <v>0</v>
      </c>
      <c r="BY901" t="s">
        <v>3868</v>
      </c>
      <c r="BZ901" t="s">
        <v>3871</v>
      </c>
    </row>
    <row r="902" spans="1:78" x14ac:dyDescent="0.25">
      <c r="A902" s="65" t="s">
        <v>3608</v>
      </c>
      <c r="B902" s="7" t="s">
        <v>181</v>
      </c>
      <c r="C902" s="7" t="s">
        <v>3606</v>
      </c>
      <c r="D902" s="8" t="s">
        <v>3607</v>
      </c>
      <c r="E902" s="7" t="s">
        <v>3371</v>
      </c>
      <c r="F902" s="9">
        <v>45132</v>
      </c>
      <c r="G902" s="9" t="s">
        <v>404</v>
      </c>
      <c r="H902" s="9" t="s">
        <v>87</v>
      </c>
      <c r="I902" s="8" t="s">
        <v>78</v>
      </c>
      <c r="J902" s="10">
        <v>1702</v>
      </c>
      <c r="K902" s="10">
        <v>1702</v>
      </c>
      <c r="L902" s="10">
        <f t="shared" si="405"/>
        <v>0</v>
      </c>
      <c r="M902" s="10">
        <v>793.31</v>
      </c>
      <c r="N902" s="10">
        <v>793.31</v>
      </c>
      <c r="O902" s="10">
        <f t="shared" si="406"/>
        <v>0</v>
      </c>
      <c r="P902" s="11">
        <v>14645.998824911869</v>
      </c>
      <c r="Q902" s="11">
        <v>31422.130062648903</v>
      </c>
      <c r="R902" s="11">
        <v>40000</v>
      </c>
      <c r="S902" s="11">
        <v>24927490</v>
      </c>
      <c r="T902" s="11">
        <v>2991298</v>
      </c>
      <c r="U902" s="12">
        <f t="shared" si="407"/>
        <v>0.11999996790691722</v>
      </c>
      <c r="V902" s="13">
        <f t="shared" si="403"/>
        <v>0</v>
      </c>
      <c r="W902" s="10">
        <f t="shared" si="408"/>
        <v>0</v>
      </c>
      <c r="X902" s="10"/>
      <c r="Y902" s="10"/>
      <c r="Z902" s="11">
        <f t="shared" si="409"/>
        <v>24927490</v>
      </c>
      <c r="AA902" s="14"/>
      <c r="AB902" s="14"/>
      <c r="AC902" s="11">
        <f t="shared" si="410"/>
        <v>24927490</v>
      </c>
      <c r="AD902" s="10">
        <f t="shared" si="411"/>
        <v>300</v>
      </c>
      <c r="AE902" s="15">
        <v>237993</v>
      </c>
      <c r="AF902" s="16">
        <v>42838</v>
      </c>
      <c r="AG902" s="15">
        <f t="shared" si="412"/>
        <v>0</v>
      </c>
      <c r="AH902" s="15">
        <f t="shared" si="413"/>
        <v>0</v>
      </c>
      <c r="AI902" s="15">
        <f t="shared" si="414"/>
        <v>237992.99999999997</v>
      </c>
      <c r="AJ902" s="15">
        <f t="shared" si="415"/>
        <v>42839</v>
      </c>
      <c r="AK902" s="10">
        <v>237993</v>
      </c>
      <c r="AL902" s="15">
        <f t="shared" si="416"/>
        <v>237992.99999999997</v>
      </c>
      <c r="AM902" s="15">
        <f t="shared" si="417"/>
        <v>25165483</v>
      </c>
      <c r="AN902" s="15">
        <f t="shared" si="418"/>
        <v>3034137</v>
      </c>
      <c r="AO902" s="15">
        <f t="shared" si="423"/>
        <v>4217649</v>
      </c>
      <c r="AP902" s="17">
        <f t="shared" si="419"/>
        <v>29383132</v>
      </c>
      <c r="AQ902" s="15">
        <v>26548899.309999999</v>
      </c>
      <c r="AR902" s="15">
        <v>945519</v>
      </c>
      <c r="AS902" s="18">
        <f t="shared" si="424"/>
        <v>2834233</v>
      </c>
      <c r="AT902" s="19">
        <v>0</v>
      </c>
      <c r="AU902" s="8">
        <v>8800</v>
      </c>
      <c r="AV902" s="13">
        <f t="shared" si="425"/>
        <v>6981127.9999999991</v>
      </c>
      <c r="AW902" s="18">
        <f t="shared" si="426"/>
        <v>25165483</v>
      </c>
      <c r="AX902" s="15">
        <f t="shared" si="420"/>
        <v>25166000</v>
      </c>
      <c r="AY902" s="20">
        <v>7.0000000000000007E-2</v>
      </c>
      <c r="AZ902" s="13">
        <f t="shared" si="421"/>
        <v>1761620.0000000002</v>
      </c>
      <c r="BA902" s="15">
        <f t="shared" si="422"/>
        <v>1761700</v>
      </c>
      <c r="BB902" s="21">
        <f t="shared" si="427"/>
        <v>4595933</v>
      </c>
      <c r="BC902" s="10">
        <f t="shared" si="428"/>
        <v>0</v>
      </c>
      <c r="BD902" s="10">
        <f t="shared" si="429"/>
        <v>0</v>
      </c>
      <c r="BE902" s="10">
        <v>158.12</v>
      </c>
      <c r="BF902" s="10">
        <v>73.7</v>
      </c>
      <c r="BG902" s="107">
        <v>46176</v>
      </c>
      <c r="BH902" s="107">
        <f t="shared" si="404"/>
        <v>46206</v>
      </c>
      <c r="BI902" s="23">
        <v>7</v>
      </c>
      <c r="BJ902" s="6"/>
      <c r="BK902" s="6"/>
      <c r="BL902" s="6">
        <f>VLOOKUP(A902,[2]Sheet1!$D$2:$H$933,5,0)</f>
        <v>0</v>
      </c>
      <c r="BM902" s="6" t="s">
        <v>3828</v>
      </c>
      <c r="BN902" s="6" t="s">
        <v>3829</v>
      </c>
      <c r="BO902" s="6" t="s">
        <v>3820</v>
      </c>
      <c r="BP902" s="6" t="s">
        <v>3821</v>
      </c>
      <c r="BQ902" s="6" t="s">
        <v>3830</v>
      </c>
      <c r="BR902" t="s">
        <v>3823</v>
      </c>
      <c r="BS902" t="s">
        <v>3824</v>
      </c>
      <c r="BT902" t="s">
        <v>3825</v>
      </c>
      <c r="BU902" t="s">
        <v>3826</v>
      </c>
      <c r="BV902" t="s">
        <v>3827</v>
      </c>
      <c r="BW902" t="s">
        <v>3835</v>
      </c>
      <c r="BX902">
        <v>0</v>
      </c>
      <c r="BY902" t="s">
        <v>3861</v>
      </c>
      <c r="BZ902" t="s">
        <v>3863</v>
      </c>
    </row>
    <row r="903" spans="1:78" x14ac:dyDescent="0.25">
      <c r="A903" s="7" t="s">
        <v>3611</v>
      </c>
      <c r="B903" s="7" t="s">
        <v>181</v>
      </c>
      <c r="C903" s="7" t="s">
        <v>3609</v>
      </c>
      <c r="D903" s="8" t="s">
        <v>3610</v>
      </c>
      <c r="E903" s="7" t="s">
        <v>3612</v>
      </c>
      <c r="F903" s="9">
        <v>44958</v>
      </c>
      <c r="G903" s="9" t="s">
        <v>65</v>
      </c>
      <c r="H903" s="9" t="s">
        <v>190</v>
      </c>
      <c r="I903" s="8" t="s">
        <v>78</v>
      </c>
      <c r="J903" s="10">
        <v>1146.3699999999999</v>
      </c>
      <c r="K903" s="10">
        <v>1146.3699999999999</v>
      </c>
      <c r="L903" s="10">
        <f t="shared" si="405"/>
        <v>0</v>
      </c>
      <c r="M903" s="10">
        <v>499.13</v>
      </c>
      <c r="N903" s="10">
        <v>499.13</v>
      </c>
      <c r="O903" s="10">
        <f t="shared" si="406"/>
        <v>0</v>
      </c>
      <c r="P903" s="11">
        <v>25000.000000000004</v>
      </c>
      <c r="Q903" s="11">
        <v>57418.408029972154</v>
      </c>
      <c r="R903" s="11">
        <v>60000</v>
      </c>
      <c r="S903" s="11">
        <v>28659250</v>
      </c>
      <c r="T903" s="11">
        <v>3439108</v>
      </c>
      <c r="U903" s="12">
        <f t="shared" si="407"/>
        <v>0.11999993021450317</v>
      </c>
      <c r="V903" s="13">
        <f t="shared" si="403"/>
        <v>0</v>
      </c>
      <c r="W903" s="10">
        <f t="shared" si="408"/>
        <v>0</v>
      </c>
      <c r="X903" s="10"/>
      <c r="Y903" s="10"/>
      <c r="Z903" s="11">
        <f t="shared" si="409"/>
        <v>28659250</v>
      </c>
      <c r="AA903" s="14"/>
      <c r="AB903" s="14"/>
      <c r="AC903" s="11">
        <f t="shared" si="410"/>
        <v>28659250</v>
      </c>
      <c r="AD903" s="10">
        <f t="shared" si="411"/>
        <v>300</v>
      </c>
      <c r="AE903" s="15">
        <v>149739</v>
      </c>
      <c r="AF903" s="16">
        <v>26954</v>
      </c>
      <c r="AG903" s="15">
        <f t="shared" si="412"/>
        <v>0</v>
      </c>
      <c r="AH903" s="15">
        <f t="shared" si="413"/>
        <v>0</v>
      </c>
      <c r="AI903" s="15">
        <f t="shared" si="414"/>
        <v>149739</v>
      </c>
      <c r="AJ903" s="15">
        <f t="shared" si="415"/>
        <v>26954</v>
      </c>
      <c r="AK903" s="10">
        <v>149739</v>
      </c>
      <c r="AL903" s="15">
        <f t="shared" si="416"/>
        <v>149739</v>
      </c>
      <c r="AM903" s="15">
        <f t="shared" si="417"/>
        <v>28808989</v>
      </c>
      <c r="AN903" s="15">
        <f t="shared" si="418"/>
        <v>3466062</v>
      </c>
      <c r="AO903" s="15">
        <f t="shared" si="423"/>
        <v>4673890.72</v>
      </c>
      <c r="AP903" s="17">
        <f t="shared" si="419"/>
        <v>33482879.719999999</v>
      </c>
      <c r="AQ903" s="15">
        <v>23110818.699999999</v>
      </c>
      <c r="AR903" s="15">
        <v>1058089.72</v>
      </c>
      <c r="AS903" s="18">
        <f t="shared" si="424"/>
        <v>10372061</v>
      </c>
      <c r="AT903" s="19">
        <v>0</v>
      </c>
      <c r="AU903" s="8">
        <v>8800</v>
      </c>
      <c r="AV903" s="13">
        <f t="shared" si="425"/>
        <v>4392344</v>
      </c>
      <c r="AW903" s="18">
        <f t="shared" si="426"/>
        <v>28808989</v>
      </c>
      <c r="AX903" s="15">
        <f t="shared" si="420"/>
        <v>28809000</v>
      </c>
      <c r="AY903" s="20">
        <v>0.05</v>
      </c>
      <c r="AZ903" s="13">
        <f t="shared" si="421"/>
        <v>1440450</v>
      </c>
      <c r="BA903" s="15">
        <f t="shared" si="422"/>
        <v>1440500</v>
      </c>
      <c r="BB903" s="21">
        <f t="shared" si="427"/>
        <v>11812561</v>
      </c>
      <c r="BC903" s="10">
        <f t="shared" si="428"/>
        <v>0</v>
      </c>
      <c r="BD903" s="10">
        <f t="shared" si="429"/>
        <v>0</v>
      </c>
      <c r="BE903" s="10">
        <v>106.5</v>
      </c>
      <c r="BF903" s="10">
        <v>46.37</v>
      </c>
      <c r="BG903" s="107">
        <v>46176</v>
      </c>
      <c r="BH903" s="107">
        <f t="shared" si="404"/>
        <v>46206</v>
      </c>
      <c r="BI903" s="23">
        <v>5</v>
      </c>
      <c r="BJ903" s="6"/>
      <c r="BK903" s="6"/>
      <c r="BL903" s="6">
        <f>VLOOKUP(A903,[2]Sheet1!$D$2:$H$933,5,0)</f>
        <v>0</v>
      </c>
      <c r="BM903" s="6" t="s">
        <v>3828</v>
      </c>
      <c r="BN903" s="6" t="s">
        <v>3829</v>
      </c>
      <c r="BO903" s="6" t="s">
        <v>3820</v>
      </c>
      <c r="BP903" s="6" t="s">
        <v>3821</v>
      </c>
      <c r="BQ903" s="6" t="s">
        <v>3830</v>
      </c>
      <c r="BR903" t="s">
        <v>3823</v>
      </c>
      <c r="BS903" t="s">
        <v>3824</v>
      </c>
      <c r="BT903" t="s">
        <v>3825</v>
      </c>
      <c r="BU903" t="s">
        <v>3826</v>
      </c>
      <c r="BV903" t="s">
        <v>3827</v>
      </c>
      <c r="BW903" t="s">
        <v>3835</v>
      </c>
      <c r="BX903">
        <v>0</v>
      </c>
      <c r="BY903" t="s">
        <v>3864</v>
      </c>
      <c r="BZ903" t="s">
        <v>3860</v>
      </c>
    </row>
    <row r="904" spans="1:78" x14ac:dyDescent="0.25">
      <c r="A904" s="7" t="s">
        <v>3615</v>
      </c>
      <c r="B904" s="7" t="s">
        <v>181</v>
      </c>
      <c r="C904" s="7" t="s">
        <v>3613</v>
      </c>
      <c r="D904" s="8" t="s">
        <v>3614</v>
      </c>
      <c r="E904" s="7" t="s">
        <v>3616</v>
      </c>
      <c r="F904" s="9">
        <v>44905</v>
      </c>
      <c r="G904" s="9" t="s">
        <v>527</v>
      </c>
      <c r="H904" s="9" t="s">
        <v>190</v>
      </c>
      <c r="I904" s="8" t="s">
        <v>78</v>
      </c>
      <c r="J904" s="10">
        <v>1354.11</v>
      </c>
      <c r="K904" s="10">
        <v>1354.11</v>
      </c>
      <c r="L904" s="10">
        <f t="shared" si="405"/>
        <v>0</v>
      </c>
      <c r="M904" s="10">
        <v>627.54</v>
      </c>
      <c r="N904" s="10">
        <v>627.54</v>
      </c>
      <c r="O904" s="10">
        <f t="shared" si="406"/>
        <v>0</v>
      </c>
      <c r="P904" s="11">
        <v>25000.000000000004</v>
      </c>
      <c r="Q904" s="11">
        <v>53945.166841954298</v>
      </c>
      <c r="R904" s="11">
        <v>60000</v>
      </c>
      <c r="S904" s="11">
        <v>33852750</v>
      </c>
      <c r="T904" s="11">
        <v>4062330</v>
      </c>
      <c r="U904" s="12">
        <f t="shared" si="407"/>
        <v>0.12</v>
      </c>
      <c r="V904" s="13">
        <f t="shared" si="403"/>
        <v>0</v>
      </c>
      <c r="W904" s="10">
        <f t="shared" si="408"/>
        <v>0</v>
      </c>
      <c r="X904" s="10"/>
      <c r="Y904" s="10"/>
      <c r="Z904" s="11">
        <f t="shared" si="409"/>
        <v>33852750</v>
      </c>
      <c r="AA904" s="14"/>
      <c r="AB904" s="14"/>
      <c r="AC904" s="11">
        <f t="shared" si="410"/>
        <v>33852750</v>
      </c>
      <c r="AD904" s="10">
        <f t="shared" si="411"/>
        <v>300</v>
      </c>
      <c r="AE904" s="15">
        <v>188262</v>
      </c>
      <c r="AF904" s="16">
        <v>33888</v>
      </c>
      <c r="AG904" s="15">
        <f t="shared" si="412"/>
        <v>0</v>
      </c>
      <c r="AH904" s="15">
        <f t="shared" si="413"/>
        <v>0</v>
      </c>
      <c r="AI904" s="15">
        <f t="shared" si="414"/>
        <v>188262</v>
      </c>
      <c r="AJ904" s="15">
        <f t="shared" si="415"/>
        <v>33888</v>
      </c>
      <c r="AK904" s="10">
        <v>188262</v>
      </c>
      <c r="AL904" s="15">
        <f t="shared" si="416"/>
        <v>188262</v>
      </c>
      <c r="AM904" s="15">
        <f t="shared" si="417"/>
        <v>34041012</v>
      </c>
      <c r="AN904" s="15">
        <f t="shared" si="418"/>
        <v>4096218</v>
      </c>
      <c r="AO904" s="15">
        <f t="shared" si="423"/>
        <v>5389655.3200000003</v>
      </c>
      <c r="AP904" s="17">
        <f t="shared" si="419"/>
        <v>39430667.32</v>
      </c>
      <c r="AQ904" s="15">
        <v>27298842</v>
      </c>
      <c r="AR904" s="15">
        <v>1105175.32</v>
      </c>
      <c r="AS904" s="18">
        <f t="shared" si="424"/>
        <v>12131825</v>
      </c>
      <c r="AT904" s="19">
        <v>0</v>
      </c>
      <c r="AU904" s="8">
        <v>8800</v>
      </c>
      <c r="AV904" s="13">
        <f t="shared" si="425"/>
        <v>5522352</v>
      </c>
      <c r="AW904" s="18">
        <f t="shared" si="426"/>
        <v>34041012</v>
      </c>
      <c r="AX904" s="15">
        <f t="shared" si="420"/>
        <v>34042000</v>
      </c>
      <c r="AY904" s="20">
        <v>0.05</v>
      </c>
      <c r="AZ904" s="13">
        <f t="shared" si="421"/>
        <v>1702100</v>
      </c>
      <c r="BA904" s="15">
        <f t="shared" si="422"/>
        <v>1702100</v>
      </c>
      <c r="BB904" s="21">
        <f t="shared" si="427"/>
        <v>13833925</v>
      </c>
      <c r="BC904" s="10">
        <f t="shared" si="428"/>
        <v>0</v>
      </c>
      <c r="BD904" s="10">
        <f t="shared" si="429"/>
        <v>0</v>
      </c>
      <c r="BE904" s="10">
        <v>125.8</v>
      </c>
      <c r="BF904" s="10">
        <v>58.3</v>
      </c>
      <c r="BG904" s="107">
        <v>46176</v>
      </c>
      <c r="BH904" s="107">
        <f t="shared" si="404"/>
        <v>46206</v>
      </c>
      <c r="BI904" s="23">
        <v>5</v>
      </c>
      <c r="BJ904" s="6"/>
      <c r="BK904" s="6"/>
      <c r="BL904" s="6">
        <f>VLOOKUP(A904,[2]Sheet1!$D$2:$H$933,5,0)</f>
        <v>0</v>
      </c>
      <c r="BM904" s="6" t="s">
        <v>3828</v>
      </c>
      <c r="BN904" s="6" t="s">
        <v>3829</v>
      </c>
      <c r="BO904" s="6" t="s">
        <v>3820</v>
      </c>
      <c r="BP904" s="6" t="s">
        <v>3821</v>
      </c>
      <c r="BQ904" s="6" t="s">
        <v>3830</v>
      </c>
      <c r="BR904" t="s">
        <v>3823</v>
      </c>
      <c r="BS904" t="s">
        <v>3824</v>
      </c>
      <c r="BT904" t="s">
        <v>3825</v>
      </c>
      <c r="BU904" t="s">
        <v>3826</v>
      </c>
      <c r="BV904" t="s">
        <v>3827</v>
      </c>
      <c r="BW904" t="s">
        <v>3835</v>
      </c>
      <c r="BX904">
        <v>0</v>
      </c>
      <c r="BY904" t="s">
        <v>3868</v>
      </c>
      <c r="BZ904" t="s">
        <v>3871</v>
      </c>
    </row>
    <row r="905" spans="1:78" x14ac:dyDescent="0.25">
      <c r="A905" s="7" t="s">
        <v>3619</v>
      </c>
      <c r="B905" s="7" t="s">
        <v>181</v>
      </c>
      <c r="C905" s="7" t="s">
        <v>3617</v>
      </c>
      <c r="D905" s="8" t="s">
        <v>3618</v>
      </c>
      <c r="E905" s="7" t="s">
        <v>3323</v>
      </c>
      <c r="F905" s="9">
        <v>45169</v>
      </c>
      <c r="G905" s="9" t="s">
        <v>717</v>
      </c>
      <c r="H905" s="9" t="s">
        <v>92</v>
      </c>
      <c r="I905" s="8" t="s">
        <v>78</v>
      </c>
      <c r="J905" s="10">
        <v>1220.6400000000001</v>
      </c>
      <c r="K905" s="10">
        <v>1220.6400000000001</v>
      </c>
      <c r="L905" s="10">
        <f t="shared" si="405"/>
        <v>0</v>
      </c>
      <c r="M905" s="10">
        <v>557.58000000000004</v>
      </c>
      <c r="N905" s="10">
        <v>557.58000000000004</v>
      </c>
      <c r="O905" s="10">
        <f t="shared" si="406"/>
        <v>0</v>
      </c>
      <c r="P905" s="11">
        <v>12436.997804430463</v>
      </c>
      <c r="Q905" s="11">
        <v>27226.760285519566</v>
      </c>
      <c r="R905" s="11">
        <v>28000</v>
      </c>
      <c r="S905" s="11">
        <v>15181097</v>
      </c>
      <c r="T905" s="11">
        <v>1821732</v>
      </c>
      <c r="U905" s="12">
        <f t="shared" si="407"/>
        <v>0.12000002371370132</v>
      </c>
      <c r="V905" s="13">
        <f t="shared" si="403"/>
        <v>0</v>
      </c>
      <c r="W905" s="10">
        <f t="shared" si="408"/>
        <v>0</v>
      </c>
      <c r="X905" s="10"/>
      <c r="Y905" s="10"/>
      <c r="Z905" s="11">
        <f t="shared" si="409"/>
        <v>15181097</v>
      </c>
      <c r="AA905" s="14"/>
      <c r="AB905" s="14"/>
      <c r="AC905" s="11">
        <f t="shared" si="410"/>
        <v>15181097</v>
      </c>
      <c r="AD905" s="10">
        <f t="shared" si="411"/>
        <v>300</v>
      </c>
      <c r="AE905" s="15">
        <v>167274</v>
      </c>
      <c r="AF905" s="16">
        <v>30110</v>
      </c>
      <c r="AG905" s="15">
        <f t="shared" si="412"/>
        <v>0</v>
      </c>
      <c r="AH905" s="15">
        <f t="shared" si="413"/>
        <v>0</v>
      </c>
      <c r="AI905" s="15">
        <f t="shared" si="414"/>
        <v>167274</v>
      </c>
      <c r="AJ905" s="15">
        <f t="shared" si="415"/>
        <v>30110</v>
      </c>
      <c r="AK905" s="10">
        <v>167274</v>
      </c>
      <c r="AL905" s="15">
        <f t="shared" si="416"/>
        <v>167274</v>
      </c>
      <c r="AM905" s="15">
        <f t="shared" si="417"/>
        <v>15348371</v>
      </c>
      <c r="AN905" s="15">
        <f t="shared" si="418"/>
        <v>1851842</v>
      </c>
      <c r="AO905" s="15">
        <f t="shared" si="423"/>
        <v>3229343</v>
      </c>
      <c r="AP905" s="17">
        <f t="shared" si="419"/>
        <v>18577714</v>
      </c>
      <c r="AQ905" s="15">
        <v>16141162</v>
      </c>
      <c r="AR905" s="15">
        <v>1210227</v>
      </c>
      <c r="AS905" s="18">
        <f t="shared" si="424"/>
        <v>2436552</v>
      </c>
      <c r="AT905" s="19">
        <v>0</v>
      </c>
      <c r="AU905" s="8">
        <v>8800</v>
      </c>
      <c r="AV905" s="13">
        <f t="shared" si="425"/>
        <v>4906704</v>
      </c>
      <c r="AW905" s="18">
        <f t="shared" si="426"/>
        <v>15348371</v>
      </c>
      <c r="AX905" s="15">
        <f t="shared" si="420"/>
        <v>15349000</v>
      </c>
      <c r="AY905" s="20">
        <v>7.0000000000000007E-2</v>
      </c>
      <c r="AZ905" s="13">
        <f t="shared" si="421"/>
        <v>1074430</v>
      </c>
      <c r="BA905" s="15">
        <f t="shared" si="422"/>
        <v>1074500</v>
      </c>
      <c r="BB905" s="21">
        <f t="shared" si="427"/>
        <v>3511052</v>
      </c>
      <c r="BC905" s="10">
        <f t="shared" si="428"/>
        <v>0</v>
      </c>
      <c r="BD905" s="10">
        <f t="shared" si="429"/>
        <v>0</v>
      </c>
      <c r="BE905" s="10">
        <v>113.4</v>
      </c>
      <c r="BF905" s="10">
        <v>51.8</v>
      </c>
      <c r="BG905" s="107">
        <v>46176</v>
      </c>
      <c r="BH905" s="107">
        <f t="shared" si="404"/>
        <v>46206</v>
      </c>
      <c r="BI905" s="23">
        <v>7</v>
      </c>
      <c r="BJ905" s="6"/>
      <c r="BK905" s="6"/>
      <c r="BL905" s="6">
        <f>VLOOKUP(A905,[2]Sheet1!$D$2:$H$933,5,0)</f>
        <v>0</v>
      </c>
      <c r="BM905" s="6" t="s">
        <v>3828</v>
      </c>
      <c r="BN905" s="6" t="s">
        <v>3829</v>
      </c>
      <c r="BO905" s="6" t="s">
        <v>3820</v>
      </c>
      <c r="BP905" s="6" t="s">
        <v>3821</v>
      </c>
      <c r="BQ905" s="6" t="s">
        <v>3830</v>
      </c>
      <c r="BR905" t="s">
        <v>3823</v>
      </c>
      <c r="BS905" t="s">
        <v>3824</v>
      </c>
      <c r="BT905" t="s">
        <v>3825</v>
      </c>
      <c r="BU905" t="s">
        <v>3826</v>
      </c>
      <c r="BV905" t="s">
        <v>3827</v>
      </c>
      <c r="BW905" t="s">
        <v>3835</v>
      </c>
      <c r="BX905">
        <v>0</v>
      </c>
      <c r="BY905" t="s">
        <v>3861</v>
      </c>
      <c r="BZ905" t="s">
        <v>3872</v>
      </c>
    </row>
    <row r="906" spans="1:78" x14ac:dyDescent="0.25">
      <c r="A906" s="7" t="s">
        <v>3622</v>
      </c>
      <c r="B906" s="7" t="s">
        <v>181</v>
      </c>
      <c r="C906" s="7" t="s">
        <v>3620</v>
      </c>
      <c r="D906" s="8" t="s">
        <v>3621</v>
      </c>
      <c r="E906" s="7" t="s">
        <v>3472</v>
      </c>
      <c r="F906" s="9">
        <v>45149</v>
      </c>
      <c r="G906" s="9" t="s">
        <v>404</v>
      </c>
      <c r="H906" s="9" t="s">
        <v>66</v>
      </c>
      <c r="I906" s="8" t="s">
        <v>78</v>
      </c>
      <c r="J906" s="10">
        <v>1743.77</v>
      </c>
      <c r="K906" s="10">
        <v>1743.77</v>
      </c>
      <c r="L906" s="10">
        <f t="shared" si="405"/>
        <v>0</v>
      </c>
      <c r="M906" s="10">
        <v>814.3</v>
      </c>
      <c r="N906" s="10">
        <v>814.3</v>
      </c>
      <c r="O906" s="10">
        <f t="shared" si="406"/>
        <v>0</v>
      </c>
      <c r="P906" s="11">
        <v>10027.997958446354</v>
      </c>
      <c r="Q906" s="11">
        <v>21474.299398256171</v>
      </c>
      <c r="R906" s="11">
        <v>22000</v>
      </c>
      <c r="S906" s="11">
        <v>17486522</v>
      </c>
      <c r="T906" s="11">
        <v>2098380</v>
      </c>
      <c r="U906" s="12">
        <f t="shared" si="407"/>
        <v>0.11999984902658173</v>
      </c>
      <c r="V906" s="13">
        <f t="shared" si="403"/>
        <v>0</v>
      </c>
      <c r="W906" s="10">
        <f t="shared" si="408"/>
        <v>0</v>
      </c>
      <c r="X906" s="10"/>
      <c r="Y906" s="10"/>
      <c r="Z906" s="11">
        <f t="shared" si="409"/>
        <v>17486522</v>
      </c>
      <c r="AA906" s="14"/>
      <c r="AB906" s="14"/>
      <c r="AC906" s="11">
        <f t="shared" si="410"/>
        <v>17486522</v>
      </c>
      <c r="AD906" s="10">
        <f t="shared" si="411"/>
        <v>300</v>
      </c>
      <c r="AE906" s="15">
        <v>244290</v>
      </c>
      <c r="AF906" s="16">
        <v>43972</v>
      </c>
      <c r="AG906" s="15">
        <f t="shared" si="412"/>
        <v>0</v>
      </c>
      <c r="AH906" s="15">
        <f t="shared" si="413"/>
        <v>0</v>
      </c>
      <c r="AI906" s="15">
        <f t="shared" si="414"/>
        <v>244290</v>
      </c>
      <c r="AJ906" s="15">
        <f t="shared" si="415"/>
        <v>43973</v>
      </c>
      <c r="AK906" s="10">
        <v>244290</v>
      </c>
      <c r="AL906" s="15">
        <f t="shared" si="416"/>
        <v>244290</v>
      </c>
      <c r="AM906" s="15">
        <f t="shared" si="417"/>
        <v>17730812</v>
      </c>
      <c r="AN906" s="15">
        <f t="shared" si="418"/>
        <v>2142353</v>
      </c>
      <c r="AO906" s="15">
        <f t="shared" si="423"/>
        <v>3681828</v>
      </c>
      <c r="AP906" s="17">
        <f t="shared" si="419"/>
        <v>21412640</v>
      </c>
      <c r="AQ906" s="15">
        <v>18544496.98</v>
      </c>
      <c r="AR906" s="15">
        <v>1295185</v>
      </c>
      <c r="AS906" s="18">
        <f t="shared" si="424"/>
        <v>2868143</v>
      </c>
      <c r="AT906" s="19">
        <v>0</v>
      </c>
      <c r="AU906" s="8">
        <v>8800</v>
      </c>
      <c r="AV906" s="13">
        <f t="shared" si="425"/>
        <v>7165840</v>
      </c>
      <c r="AW906" s="18">
        <f t="shared" si="426"/>
        <v>17730812</v>
      </c>
      <c r="AX906" s="15">
        <f t="shared" si="420"/>
        <v>17731000</v>
      </c>
      <c r="AY906" s="20">
        <v>7.0000000000000007E-2</v>
      </c>
      <c r="AZ906" s="13">
        <f t="shared" si="421"/>
        <v>1241170.0000000002</v>
      </c>
      <c r="BA906" s="15">
        <f t="shared" si="422"/>
        <v>1241200</v>
      </c>
      <c r="BB906" s="21">
        <f t="shared" si="427"/>
        <v>4109343</v>
      </c>
      <c r="BC906" s="10">
        <f t="shared" si="428"/>
        <v>0</v>
      </c>
      <c r="BD906" s="10">
        <f t="shared" si="429"/>
        <v>0</v>
      </c>
      <c r="BE906" s="10">
        <v>162</v>
      </c>
      <c r="BF906" s="10">
        <v>75.650000000000006</v>
      </c>
      <c r="BG906" s="107">
        <v>46176</v>
      </c>
      <c r="BH906" s="107">
        <f t="shared" si="404"/>
        <v>46206</v>
      </c>
      <c r="BI906" s="23">
        <v>7</v>
      </c>
      <c r="BJ906" s="6"/>
      <c r="BK906" s="6"/>
      <c r="BL906" s="6">
        <f>VLOOKUP(A906,[2]Sheet1!$D$2:$H$933,5,0)</f>
        <v>0</v>
      </c>
      <c r="BM906" s="6" t="s">
        <v>3828</v>
      </c>
      <c r="BN906" s="6" t="s">
        <v>3829</v>
      </c>
      <c r="BO906" s="6" t="s">
        <v>3820</v>
      </c>
      <c r="BP906" s="6" t="s">
        <v>3821</v>
      </c>
      <c r="BQ906" s="6" t="s">
        <v>3830</v>
      </c>
      <c r="BR906" t="s">
        <v>3823</v>
      </c>
      <c r="BS906" t="s">
        <v>3824</v>
      </c>
      <c r="BT906" t="s">
        <v>3825</v>
      </c>
      <c r="BU906" t="s">
        <v>3826</v>
      </c>
      <c r="BV906" t="s">
        <v>3827</v>
      </c>
      <c r="BW906" t="s">
        <v>3835</v>
      </c>
      <c r="BX906">
        <v>0</v>
      </c>
      <c r="BY906" t="s">
        <v>3861</v>
      </c>
      <c r="BZ906" t="s">
        <v>3863</v>
      </c>
    </row>
    <row r="907" spans="1:78" x14ac:dyDescent="0.25">
      <c r="A907" s="7" t="s">
        <v>3625</v>
      </c>
      <c r="B907" s="7" t="s">
        <v>181</v>
      </c>
      <c r="C907" s="7" t="s">
        <v>3623</v>
      </c>
      <c r="D907" s="8" t="s">
        <v>3624</v>
      </c>
      <c r="E907" s="7" t="s">
        <v>3626</v>
      </c>
      <c r="F907" s="9">
        <v>44995</v>
      </c>
      <c r="G907" s="9" t="s">
        <v>404</v>
      </c>
      <c r="H907" s="9" t="s">
        <v>1167</v>
      </c>
      <c r="I907" s="8" t="s">
        <v>635</v>
      </c>
      <c r="J907" s="10">
        <v>2084.13</v>
      </c>
      <c r="K907" s="10">
        <v>2084.13</v>
      </c>
      <c r="L907" s="10">
        <f t="shared" si="405"/>
        <v>0</v>
      </c>
      <c r="M907" s="10">
        <v>229.27</v>
      </c>
      <c r="N907" s="10">
        <v>229.27</v>
      </c>
      <c r="O907" s="10">
        <f t="shared" si="406"/>
        <v>0</v>
      </c>
      <c r="P907" s="11">
        <v>5430.9999856055038</v>
      </c>
      <c r="Q907" s="11">
        <v>49369.346185719893</v>
      </c>
      <c r="R907" s="11">
        <v>20000</v>
      </c>
      <c r="S907" s="11">
        <v>11318910</v>
      </c>
      <c r="T907" s="11">
        <v>1358270</v>
      </c>
      <c r="U907" s="12">
        <f t="shared" si="407"/>
        <v>0.12000007067818368</v>
      </c>
      <c r="V907" s="13">
        <f t="shared" si="403"/>
        <v>0</v>
      </c>
      <c r="W907" s="10">
        <f t="shared" si="408"/>
        <v>0</v>
      </c>
      <c r="X907" s="10"/>
      <c r="Y907" s="10"/>
      <c r="Z907" s="11">
        <f t="shared" si="409"/>
        <v>11318910</v>
      </c>
      <c r="AA907" s="14"/>
      <c r="AB907" s="14"/>
      <c r="AC907" s="11">
        <f t="shared" si="410"/>
        <v>11318910</v>
      </c>
      <c r="AD907" s="10">
        <f t="shared" si="411"/>
        <v>300</v>
      </c>
      <c r="AE907" s="15">
        <v>68781</v>
      </c>
      <c r="AF907" s="16">
        <v>12380</v>
      </c>
      <c r="AG907" s="15">
        <f t="shared" si="412"/>
        <v>0</v>
      </c>
      <c r="AH907" s="15">
        <f t="shared" si="413"/>
        <v>0</v>
      </c>
      <c r="AI907" s="15">
        <f t="shared" si="414"/>
        <v>68781</v>
      </c>
      <c r="AJ907" s="15">
        <f t="shared" si="415"/>
        <v>12381</v>
      </c>
      <c r="AK907" s="10">
        <v>68781</v>
      </c>
      <c r="AL907" s="15">
        <f t="shared" si="416"/>
        <v>68781</v>
      </c>
      <c r="AM907" s="15">
        <f t="shared" si="417"/>
        <v>11387691</v>
      </c>
      <c r="AN907" s="15">
        <f t="shared" si="418"/>
        <v>1370651</v>
      </c>
      <c r="AO907" s="15">
        <f t="shared" si="423"/>
        <v>3046145</v>
      </c>
      <c r="AP907" s="17">
        <f t="shared" si="419"/>
        <v>14433836</v>
      </c>
      <c r="AQ907" s="15">
        <v>2240000</v>
      </c>
      <c r="AR907" s="15">
        <v>1606713</v>
      </c>
      <c r="AS907" s="18">
        <f t="shared" si="424"/>
        <v>12193836</v>
      </c>
      <c r="AT907" s="19">
        <v>0</v>
      </c>
      <c r="AU907" s="8">
        <v>8800</v>
      </c>
      <c r="AV907" s="13">
        <f t="shared" si="425"/>
        <v>2017576</v>
      </c>
      <c r="AW907" s="18">
        <f t="shared" si="426"/>
        <v>11387691</v>
      </c>
      <c r="AX907" s="15">
        <f t="shared" si="420"/>
        <v>11388000</v>
      </c>
      <c r="AY907" s="20">
        <v>0.05</v>
      </c>
      <c r="AZ907" s="13">
        <f t="shared" si="421"/>
        <v>569400</v>
      </c>
      <c r="BA907" s="15">
        <f t="shared" si="422"/>
        <v>569400</v>
      </c>
      <c r="BB907" s="21">
        <f t="shared" si="427"/>
        <v>12763236</v>
      </c>
      <c r="BC907" s="10">
        <f t="shared" si="428"/>
        <v>0</v>
      </c>
      <c r="BD907" s="10">
        <f t="shared" si="429"/>
        <v>0</v>
      </c>
      <c r="BE907" s="10">
        <v>193.62</v>
      </c>
      <c r="BF907" s="10">
        <v>21.3</v>
      </c>
      <c r="BG907" s="107">
        <v>46176</v>
      </c>
      <c r="BH907" s="107">
        <f t="shared" si="404"/>
        <v>46206</v>
      </c>
      <c r="BI907" s="23">
        <v>5</v>
      </c>
      <c r="BJ907" s="6"/>
      <c r="BK907" s="6"/>
      <c r="BL907" s="6">
        <f>VLOOKUP(A907,[2]Sheet1!$D$2:$H$933,5,0)</f>
        <v>0</v>
      </c>
      <c r="BM907" s="6" t="s">
        <v>3828</v>
      </c>
      <c r="BN907" s="6" t="s">
        <v>3829</v>
      </c>
      <c r="BO907" s="6" t="s">
        <v>3820</v>
      </c>
      <c r="BP907" s="6" t="s">
        <v>3821</v>
      </c>
      <c r="BQ907" s="6" t="s">
        <v>3830</v>
      </c>
      <c r="BR907" t="s">
        <v>3823</v>
      </c>
      <c r="BS907" t="s">
        <v>3824</v>
      </c>
      <c r="BT907" t="s">
        <v>3825</v>
      </c>
      <c r="BU907" t="s">
        <v>3826</v>
      </c>
      <c r="BV907" t="s">
        <v>3827</v>
      </c>
      <c r="BW907" t="s">
        <v>3835</v>
      </c>
      <c r="BX907">
        <v>0</v>
      </c>
      <c r="BY907" t="s">
        <v>3865</v>
      </c>
      <c r="BZ907" t="s">
        <v>3863</v>
      </c>
    </row>
    <row r="908" spans="1:78" x14ac:dyDescent="0.25">
      <c r="A908" s="7" t="s">
        <v>3629</v>
      </c>
      <c r="B908" s="7" t="s">
        <v>181</v>
      </c>
      <c r="C908" s="7" t="s">
        <v>3627</v>
      </c>
      <c r="D908" s="8" t="s">
        <v>3628</v>
      </c>
      <c r="E908" s="7" t="s">
        <v>3472</v>
      </c>
      <c r="F908" s="9">
        <v>45149</v>
      </c>
      <c r="G908" s="9" t="s">
        <v>65</v>
      </c>
      <c r="H908" s="9" t="s">
        <v>72</v>
      </c>
      <c r="I908" s="8" t="s">
        <v>78</v>
      </c>
      <c r="J908" s="10">
        <v>3224.46</v>
      </c>
      <c r="K908" s="10">
        <v>3224.46</v>
      </c>
      <c r="L908" s="10">
        <f t="shared" si="405"/>
        <v>0</v>
      </c>
      <c r="M908" s="10">
        <v>1506.96</v>
      </c>
      <c r="N908" s="10">
        <v>1506.96</v>
      </c>
      <c r="O908" s="10">
        <f t="shared" si="406"/>
        <v>0</v>
      </c>
      <c r="P908" s="11">
        <v>7236.9981330207229</v>
      </c>
      <c r="Q908" s="11">
        <v>15485.089849763763</v>
      </c>
      <c r="R908" s="11">
        <v>20000</v>
      </c>
      <c r="S908" s="11">
        <v>23335411</v>
      </c>
      <c r="T908" s="11">
        <v>2800248</v>
      </c>
      <c r="U908" s="12">
        <f t="shared" si="407"/>
        <v>0.11999994343360826</v>
      </c>
      <c r="V908" s="13">
        <f t="shared" si="403"/>
        <v>0</v>
      </c>
      <c r="W908" s="10">
        <f t="shared" si="408"/>
        <v>0</v>
      </c>
      <c r="X908" s="10"/>
      <c r="Y908" s="10"/>
      <c r="Z908" s="11">
        <f t="shared" si="409"/>
        <v>23335411</v>
      </c>
      <c r="AA908" s="14"/>
      <c r="AB908" s="14"/>
      <c r="AC908" s="11">
        <f t="shared" si="410"/>
        <v>23335411</v>
      </c>
      <c r="AD908" s="10">
        <f t="shared" si="411"/>
        <v>300</v>
      </c>
      <c r="AE908" s="15">
        <v>452088</v>
      </c>
      <c r="AF908" s="16">
        <v>81376</v>
      </c>
      <c r="AG908" s="15">
        <f t="shared" si="412"/>
        <v>0</v>
      </c>
      <c r="AH908" s="15">
        <f t="shared" si="413"/>
        <v>0</v>
      </c>
      <c r="AI908" s="15">
        <f t="shared" si="414"/>
        <v>452088</v>
      </c>
      <c r="AJ908" s="15">
        <f t="shared" si="415"/>
        <v>81376</v>
      </c>
      <c r="AK908" s="10">
        <v>452088</v>
      </c>
      <c r="AL908" s="15">
        <f t="shared" si="416"/>
        <v>452088</v>
      </c>
      <c r="AM908" s="15">
        <f t="shared" si="417"/>
        <v>23787499</v>
      </c>
      <c r="AN908" s="15">
        <f t="shared" si="418"/>
        <v>2881624</v>
      </c>
      <c r="AO908" s="15">
        <f t="shared" si="423"/>
        <v>4982232</v>
      </c>
      <c r="AP908" s="17">
        <f t="shared" si="419"/>
        <v>28769731</v>
      </c>
      <c r="AQ908" s="15">
        <v>24759811</v>
      </c>
      <c r="AR908" s="15">
        <v>1648520</v>
      </c>
      <c r="AS908" s="18">
        <f t="shared" si="424"/>
        <v>4009920</v>
      </c>
      <c r="AT908" s="19">
        <v>0</v>
      </c>
      <c r="AU908" s="8">
        <v>8800</v>
      </c>
      <c r="AV908" s="13">
        <f t="shared" si="425"/>
        <v>13261248</v>
      </c>
      <c r="AW908" s="18">
        <f t="shared" si="426"/>
        <v>23787499</v>
      </c>
      <c r="AX908" s="15">
        <f t="shared" si="420"/>
        <v>23788000</v>
      </c>
      <c r="AY908" s="20">
        <v>7.0000000000000007E-2</v>
      </c>
      <c r="AZ908" s="13">
        <f t="shared" si="421"/>
        <v>1665160.0000000002</v>
      </c>
      <c r="BA908" s="15">
        <f t="shared" si="422"/>
        <v>1665200</v>
      </c>
      <c r="BB908" s="21">
        <f t="shared" si="427"/>
        <v>5675120</v>
      </c>
      <c r="BC908" s="10">
        <f t="shared" si="428"/>
        <v>0</v>
      </c>
      <c r="BD908" s="10">
        <f t="shared" si="429"/>
        <v>0</v>
      </c>
      <c r="BE908" s="10">
        <v>299.56</v>
      </c>
      <c r="BF908" s="10">
        <v>140</v>
      </c>
      <c r="BG908" s="107">
        <v>46176</v>
      </c>
      <c r="BH908" s="107">
        <f t="shared" si="404"/>
        <v>46206</v>
      </c>
      <c r="BI908" s="23">
        <v>7</v>
      </c>
      <c r="BJ908" s="6"/>
      <c r="BK908" s="6"/>
      <c r="BL908" s="6">
        <f>VLOOKUP(A908,[2]Sheet1!$D$2:$H$933,5,0)</f>
        <v>0</v>
      </c>
      <c r="BM908" s="6" t="s">
        <v>3828</v>
      </c>
      <c r="BN908" s="6" t="s">
        <v>3829</v>
      </c>
      <c r="BO908" s="6" t="s">
        <v>3820</v>
      </c>
      <c r="BP908" s="6" t="s">
        <v>3821</v>
      </c>
      <c r="BQ908" s="6" t="s">
        <v>3830</v>
      </c>
      <c r="BR908" t="s">
        <v>3823</v>
      </c>
      <c r="BS908" t="s">
        <v>3824</v>
      </c>
      <c r="BT908" t="s">
        <v>3825</v>
      </c>
      <c r="BU908" t="s">
        <v>3826</v>
      </c>
      <c r="BV908" t="s">
        <v>3827</v>
      </c>
      <c r="BW908" t="s">
        <v>3835</v>
      </c>
      <c r="BX908">
        <v>0</v>
      </c>
      <c r="BY908" t="s">
        <v>3861</v>
      </c>
      <c r="BZ908" t="s">
        <v>3860</v>
      </c>
    </row>
    <row r="909" spans="1:78" x14ac:dyDescent="0.25">
      <c r="A909" s="7" t="s">
        <v>3632</v>
      </c>
      <c r="B909" s="7" t="s">
        <v>181</v>
      </c>
      <c r="C909" s="7" t="s">
        <v>3630</v>
      </c>
      <c r="D909" s="8" t="s">
        <v>3631</v>
      </c>
      <c r="E909" s="7" t="s">
        <v>3605</v>
      </c>
      <c r="F909" s="9">
        <v>44958</v>
      </c>
      <c r="G909" s="9" t="s">
        <v>527</v>
      </c>
      <c r="H909" s="9" t="s">
        <v>190</v>
      </c>
      <c r="I909" s="8" t="s">
        <v>78</v>
      </c>
      <c r="J909" s="10">
        <v>1951.94</v>
      </c>
      <c r="K909" s="10">
        <v>1951.94</v>
      </c>
      <c r="L909" s="10">
        <f t="shared" si="405"/>
        <v>0</v>
      </c>
      <c r="M909" s="10">
        <v>914.94</v>
      </c>
      <c r="N909" s="10">
        <v>914.94</v>
      </c>
      <c r="O909" s="10">
        <f t="shared" si="406"/>
        <v>0</v>
      </c>
      <c r="P909" s="11">
        <v>25000</v>
      </c>
      <c r="Q909" s="11">
        <v>53335.191378669639</v>
      </c>
      <c r="R909" s="11">
        <v>60000</v>
      </c>
      <c r="S909" s="11">
        <v>48798500</v>
      </c>
      <c r="T909" s="11">
        <v>5855822</v>
      </c>
      <c r="U909" s="12">
        <f t="shared" si="407"/>
        <v>0.12000004098486634</v>
      </c>
      <c r="V909" s="13">
        <f t="shared" si="403"/>
        <v>0</v>
      </c>
      <c r="W909" s="10">
        <f t="shared" si="408"/>
        <v>0</v>
      </c>
      <c r="X909" s="10"/>
      <c r="Y909" s="10"/>
      <c r="Z909" s="11">
        <f t="shared" si="409"/>
        <v>48798500</v>
      </c>
      <c r="AA909" s="14"/>
      <c r="AB909" s="14"/>
      <c r="AC909" s="11">
        <f t="shared" si="410"/>
        <v>48798500</v>
      </c>
      <c r="AD909" s="10">
        <f t="shared" si="411"/>
        <v>300</v>
      </c>
      <c r="AE909" s="15">
        <v>274482</v>
      </c>
      <c r="AF909" s="16">
        <v>49406</v>
      </c>
      <c r="AG909" s="15">
        <f t="shared" si="412"/>
        <v>0</v>
      </c>
      <c r="AH909" s="15">
        <f t="shared" si="413"/>
        <v>0</v>
      </c>
      <c r="AI909" s="15">
        <f t="shared" si="414"/>
        <v>274482</v>
      </c>
      <c r="AJ909" s="15">
        <f t="shared" si="415"/>
        <v>49407</v>
      </c>
      <c r="AK909" s="10">
        <v>274482</v>
      </c>
      <c r="AL909" s="15">
        <f t="shared" si="416"/>
        <v>274482</v>
      </c>
      <c r="AM909" s="15">
        <f t="shared" si="417"/>
        <v>49072982</v>
      </c>
      <c r="AN909" s="15">
        <f t="shared" si="418"/>
        <v>5905229</v>
      </c>
      <c r="AO909" s="15">
        <f t="shared" si="423"/>
        <v>7941795</v>
      </c>
      <c r="AP909" s="17">
        <f t="shared" si="419"/>
        <v>57014777</v>
      </c>
      <c r="AQ909" s="15">
        <v>39351112.799999997</v>
      </c>
      <c r="AR909" s="15">
        <v>1762084</v>
      </c>
      <c r="AS909" s="18">
        <f t="shared" si="424"/>
        <v>17663664</v>
      </c>
      <c r="AT909" s="19">
        <v>0</v>
      </c>
      <c r="AU909" s="8">
        <v>8800</v>
      </c>
      <c r="AV909" s="13">
        <f t="shared" si="425"/>
        <v>8051472.0000000009</v>
      </c>
      <c r="AW909" s="18">
        <f t="shared" si="426"/>
        <v>49072982</v>
      </c>
      <c r="AX909" s="15">
        <f t="shared" si="420"/>
        <v>49073000</v>
      </c>
      <c r="AY909" s="20">
        <v>7.0000000000000007E-2</v>
      </c>
      <c r="AZ909" s="13">
        <f t="shared" si="421"/>
        <v>3435110.0000000005</v>
      </c>
      <c r="BA909" s="15">
        <f t="shared" si="422"/>
        <v>3435200</v>
      </c>
      <c r="BB909" s="21">
        <f t="shared" si="427"/>
        <v>21098864</v>
      </c>
      <c r="BC909" s="10">
        <f t="shared" si="428"/>
        <v>0</v>
      </c>
      <c r="BD909" s="10">
        <f t="shared" si="429"/>
        <v>0</v>
      </c>
      <c r="BE909" s="10">
        <v>181.34</v>
      </c>
      <c r="BF909" s="10">
        <v>85</v>
      </c>
      <c r="BG909" s="107">
        <v>46176</v>
      </c>
      <c r="BH909" s="107">
        <f t="shared" si="404"/>
        <v>46206</v>
      </c>
      <c r="BI909" s="23">
        <v>7</v>
      </c>
      <c r="BJ909" s="6"/>
      <c r="BK909" s="6"/>
      <c r="BL909" s="6">
        <f>VLOOKUP(A909,[2]Sheet1!$D$2:$H$933,5,0)</f>
        <v>0</v>
      </c>
      <c r="BM909" s="6" t="s">
        <v>3828</v>
      </c>
      <c r="BN909" s="6" t="s">
        <v>3829</v>
      </c>
      <c r="BO909" s="6" t="s">
        <v>3820</v>
      </c>
      <c r="BP909" s="6" t="s">
        <v>3821</v>
      </c>
      <c r="BQ909" s="6" t="s">
        <v>3830</v>
      </c>
      <c r="BR909" t="s">
        <v>3823</v>
      </c>
      <c r="BS909" t="s">
        <v>3824</v>
      </c>
      <c r="BT909" t="s">
        <v>3825</v>
      </c>
      <c r="BU909" t="s">
        <v>3826</v>
      </c>
      <c r="BV909" t="s">
        <v>3827</v>
      </c>
      <c r="BW909" t="s">
        <v>3835</v>
      </c>
      <c r="BX909">
        <v>0</v>
      </c>
      <c r="BY909" t="s">
        <v>3868</v>
      </c>
      <c r="BZ909" t="s">
        <v>3871</v>
      </c>
    </row>
    <row r="910" spans="1:78" x14ac:dyDescent="0.25">
      <c r="A910" s="7" t="s">
        <v>3635</v>
      </c>
      <c r="B910" s="7" t="s">
        <v>181</v>
      </c>
      <c r="C910" s="7" t="s">
        <v>3633</v>
      </c>
      <c r="D910" s="8" t="s">
        <v>3634</v>
      </c>
      <c r="E910" s="7" t="s">
        <v>3472</v>
      </c>
      <c r="F910" s="9">
        <v>45181</v>
      </c>
      <c r="G910" s="9" t="s">
        <v>65</v>
      </c>
      <c r="H910" s="9" t="s">
        <v>66</v>
      </c>
      <c r="I910" s="8" t="s">
        <v>78</v>
      </c>
      <c r="J910" s="10">
        <v>3201.43</v>
      </c>
      <c r="K910" s="10">
        <v>3201.43</v>
      </c>
      <c r="L910" s="10">
        <f t="shared" si="405"/>
        <v>0</v>
      </c>
      <c r="M910" s="10">
        <v>1501.58</v>
      </c>
      <c r="N910" s="10">
        <v>1501.58</v>
      </c>
      <c r="O910" s="10">
        <f t="shared" si="406"/>
        <v>0</v>
      </c>
      <c r="P910" s="11">
        <v>10028.001861668068</v>
      </c>
      <c r="Q910" s="11">
        <v>21380.110283834361</v>
      </c>
      <c r="R910" s="11">
        <v>22000</v>
      </c>
      <c r="S910" s="11">
        <v>32103946</v>
      </c>
      <c r="T910" s="11">
        <v>3852474</v>
      </c>
      <c r="U910" s="12">
        <f t="shared" si="407"/>
        <v>0.12000001495143307</v>
      </c>
      <c r="V910" s="13">
        <f t="shared" si="403"/>
        <v>0</v>
      </c>
      <c r="W910" s="10">
        <f t="shared" si="408"/>
        <v>0</v>
      </c>
      <c r="X910" s="10"/>
      <c r="Y910" s="10"/>
      <c r="Z910" s="11">
        <f t="shared" si="409"/>
        <v>32103946</v>
      </c>
      <c r="AA910" s="14"/>
      <c r="AB910" s="14"/>
      <c r="AC910" s="11">
        <f t="shared" si="410"/>
        <v>32103946</v>
      </c>
      <c r="AD910" s="10">
        <f t="shared" si="411"/>
        <v>300</v>
      </c>
      <c r="AE910" s="15">
        <v>450474</v>
      </c>
      <c r="AF910" s="16">
        <v>81086</v>
      </c>
      <c r="AG910" s="15">
        <f t="shared" si="412"/>
        <v>0</v>
      </c>
      <c r="AH910" s="15">
        <f t="shared" si="413"/>
        <v>0</v>
      </c>
      <c r="AI910" s="15">
        <f t="shared" si="414"/>
        <v>450474</v>
      </c>
      <c r="AJ910" s="15">
        <f t="shared" si="415"/>
        <v>81086</v>
      </c>
      <c r="AK910" s="10">
        <v>450474</v>
      </c>
      <c r="AL910" s="15">
        <f t="shared" si="416"/>
        <v>450474</v>
      </c>
      <c r="AM910" s="15">
        <f t="shared" si="417"/>
        <v>32554420</v>
      </c>
      <c r="AN910" s="15">
        <f t="shared" si="418"/>
        <v>3933560</v>
      </c>
      <c r="AO910" s="15">
        <f t="shared" si="423"/>
        <v>6774471</v>
      </c>
      <c r="AP910" s="17">
        <f t="shared" si="419"/>
        <v>39328891</v>
      </c>
      <c r="AQ910" s="15">
        <v>34158599</v>
      </c>
      <c r="AR910" s="15">
        <v>2390437</v>
      </c>
      <c r="AS910" s="18">
        <f t="shared" si="424"/>
        <v>5170292</v>
      </c>
      <c r="AT910" s="19">
        <v>0</v>
      </c>
      <c r="AU910" s="8">
        <v>8800</v>
      </c>
      <c r="AV910" s="13">
        <f t="shared" si="425"/>
        <v>13213904</v>
      </c>
      <c r="AW910" s="18">
        <f t="shared" si="426"/>
        <v>32554420</v>
      </c>
      <c r="AX910" s="15">
        <f t="shared" si="420"/>
        <v>32555000</v>
      </c>
      <c r="AY910" s="20">
        <v>7.0000000000000007E-2</v>
      </c>
      <c r="AZ910" s="13">
        <f t="shared" si="421"/>
        <v>2278850</v>
      </c>
      <c r="BA910" s="15">
        <f t="shared" si="422"/>
        <v>2278900</v>
      </c>
      <c r="BB910" s="21">
        <f t="shared" si="427"/>
        <v>7449192</v>
      </c>
      <c r="BC910" s="10">
        <f t="shared" si="428"/>
        <v>0</v>
      </c>
      <c r="BD910" s="10">
        <f t="shared" si="429"/>
        <v>0</v>
      </c>
      <c r="BE910" s="10">
        <v>297.42</v>
      </c>
      <c r="BF910" s="10">
        <v>139.5</v>
      </c>
      <c r="BG910" s="107">
        <v>46176</v>
      </c>
      <c r="BH910" s="107">
        <f t="shared" si="404"/>
        <v>46206</v>
      </c>
      <c r="BI910" s="23">
        <v>7</v>
      </c>
      <c r="BJ910" s="6"/>
      <c r="BK910" s="6"/>
      <c r="BL910" s="6">
        <f>VLOOKUP(A910,[2]Sheet1!$D$2:$H$933,5,0)</f>
        <v>0</v>
      </c>
      <c r="BM910" s="6" t="s">
        <v>3828</v>
      </c>
      <c r="BN910" s="6" t="s">
        <v>3829</v>
      </c>
      <c r="BO910" s="6" t="s">
        <v>3820</v>
      </c>
      <c r="BP910" s="6" t="s">
        <v>3821</v>
      </c>
      <c r="BQ910" s="6" t="s">
        <v>3830</v>
      </c>
      <c r="BR910" t="s">
        <v>3823</v>
      </c>
      <c r="BS910" t="s">
        <v>3824</v>
      </c>
      <c r="BT910" t="s">
        <v>3825</v>
      </c>
      <c r="BU910" t="s">
        <v>3826</v>
      </c>
      <c r="BV910" t="s">
        <v>3827</v>
      </c>
      <c r="BW910" t="s">
        <v>3835</v>
      </c>
      <c r="BX910">
        <v>0</v>
      </c>
      <c r="BY910" t="s">
        <v>3861</v>
      </c>
      <c r="BZ910" t="s">
        <v>3860</v>
      </c>
    </row>
    <row r="911" spans="1:78" x14ac:dyDescent="0.25">
      <c r="A911" s="7" t="s">
        <v>3639</v>
      </c>
      <c r="B911" s="7" t="s">
        <v>181</v>
      </c>
      <c r="C911" s="7" t="s">
        <v>3637</v>
      </c>
      <c r="D911" s="8" t="s">
        <v>3638</v>
      </c>
      <c r="E911" s="7" t="s">
        <v>3640</v>
      </c>
      <c r="F911" s="9">
        <v>44991</v>
      </c>
      <c r="G911" s="9" t="s">
        <v>404</v>
      </c>
      <c r="H911" s="9" t="s">
        <v>190</v>
      </c>
      <c r="I911" s="8" t="s">
        <v>78</v>
      </c>
      <c r="J911" s="10">
        <v>1334.74</v>
      </c>
      <c r="K911" s="10">
        <v>1334.74</v>
      </c>
      <c r="L911" s="10">
        <f t="shared" si="405"/>
        <v>0</v>
      </c>
      <c r="M911" s="10">
        <v>624.30999999999995</v>
      </c>
      <c r="N911" s="10">
        <v>624.30999999999995</v>
      </c>
      <c r="O911" s="10">
        <f t="shared" si="406"/>
        <v>0</v>
      </c>
      <c r="P911" s="11">
        <v>25000</v>
      </c>
      <c r="Q911" s="11">
        <v>53448.60726241771</v>
      </c>
      <c r="R911" s="11">
        <v>60000</v>
      </c>
      <c r="S911" s="11">
        <v>33368500</v>
      </c>
      <c r="T911" s="11">
        <v>4004222</v>
      </c>
      <c r="U911" s="12">
        <f t="shared" si="407"/>
        <v>0.12000005993676671</v>
      </c>
      <c r="V911" s="13">
        <f t="shared" si="403"/>
        <v>0</v>
      </c>
      <c r="W911" s="10">
        <f t="shared" si="408"/>
        <v>0</v>
      </c>
      <c r="X911" s="10"/>
      <c r="Y911" s="10"/>
      <c r="Z911" s="11">
        <f t="shared" si="409"/>
        <v>33368500</v>
      </c>
      <c r="AA911" s="14"/>
      <c r="AB911" s="14"/>
      <c r="AC911" s="11">
        <f t="shared" si="410"/>
        <v>33368500</v>
      </c>
      <c r="AD911" s="10">
        <f t="shared" si="411"/>
        <v>300</v>
      </c>
      <c r="AE911" s="15">
        <v>187293</v>
      </c>
      <c r="AF911" s="16">
        <v>33712</v>
      </c>
      <c r="AG911" s="15">
        <f t="shared" si="412"/>
        <v>0</v>
      </c>
      <c r="AH911" s="15">
        <f t="shared" si="413"/>
        <v>0</v>
      </c>
      <c r="AI911" s="15">
        <f t="shared" si="414"/>
        <v>187292.99999999997</v>
      </c>
      <c r="AJ911" s="15">
        <f t="shared" si="415"/>
        <v>33713</v>
      </c>
      <c r="AK911" s="10">
        <v>187293</v>
      </c>
      <c r="AL911" s="15">
        <f t="shared" si="416"/>
        <v>187292.99999999997</v>
      </c>
      <c r="AM911" s="15">
        <f t="shared" si="417"/>
        <v>33555793</v>
      </c>
      <c r="AN911" s="15">
        <f t="shared" si="418"/>
        <v>4037935</v>
      </c>
      <c r="AO911" s="15">
        <f t="shared" si="423"/>
        <v>4225228</v>
      </c>
      <c r="AP911" s="17">
        <f t="shared" si="419"/>
        <v>37781021</v>
      </c>
      <c r="AQ911" s="15">
        <v>28029541</v>
      </c>
      <c r="AR911" s="15">
        <v>0</v>
      </c>
      <c r="AS911" s="18">
        <f t="shared" si="424"/>
        <v>9751480</v>
      </c>
      <c r="AT911" s="19">
        <v>33555795</v>
      </c>
      <c r="AU911" s="8">
        <v>8800</v>
      </c>
      <c r="AV911" s="13">
        <f t="shared" si="425"/>
        <v>5493927.9999999991</v>
      </c>
      <c r="AW911" s="18">
        <f t="shared" si="426"/>
        <v>33555795</v>
      </c>
      <c r="AX911" s="15">
        <f t="shared" si="420"/>
        <v>33556000</v>
      </c>
      <c r="AY911" s="20">
        <v>7.0000000000000007E-2</v>
      </c>
      <c r="AZ911" s="13">
        <f t="shared" si="421"/>
        <v>2348920</v>
      </c>
      <c r="BA911" s="15">
        <f t="shared" si="422"/>
        <v>2349000</v>
      </c>
      <c r="BB911" s="21">
        <f t="shared" si="427"/>
        <v>12100480</v>
      </c>
      <c r="BC911" s="10">
        <f t="shared" si="428"/>
        <v>0</v>
      </c>
      <c r="BD911" s="10">
        <f t="shared" si="429"/>
        <v>0</v>
      </c>
      <c r="BE911" s="10">
        <v>124</v>
      </c>
      <c r="BF911" s="10">
        <v>58</v>
      </c>
      <c r="BG911" s="107">
        <v>46176</v>
      </c>
      <c r="BH911" s="107">
        <f>BG911+30</f>
        <v>46206</v>
      </c>
      <c r="BI911" s="23">
        <v>7</v>
      </c>
      <c r="BJ911" s="6"/>
      <c r="BK911" s="6" t="s">
        <v>3636</v>
      </c>
      <c r="BL911" s="6"/>
      <c r="BM911" s="6" t="s">
        <v>3828</v>
      </c>
      <c r="BN911" s="6" t="s">
        <v>3829</v>
      </c>
      <c r="BO911" s="6" t="s">
        <v>3820</v>
      </c>
      <c r="BP911" s="6" t="s">
        <v>3821</v>
      </c>
      <c r="BQ911" s="6" t="s">
        <v>3830</v>
      </c>
      <c r="BR911" t="s">
        <v>3823</v>
      </c>
      <c r="BS911" t="s">
        <v>3824</v>
      </c>
      <c r="BT911" t="s">
        <v>3825</v>
      </c>
      <c r="BU911" t="s">
        <v>3826</v>
      </c>
      <c r="BV911" t="s">
        <v>3827</v>
      </c>
      <c r="BW911" t="s">
        <v>3835</v>
      </c>
      <c r="BX911">
        <v>0</v>
      </c>
      <c r="BY911" t="s">
        <v>3865</v>
      </c>
      <c r="BZ911" t="s">
        <v>3863</v>
      </c>
    </row>
    <row r="912" spans="1:78" x14ac:dyDescent="0.25">
      <c r="A912" s="48" t="s">
        <v>3643</v>
      </c>
      <c r="B912" s="48" t="s">
        <v>181</v>
      </c>
      <c r="C912" s="48" t="s">
        <v>3641</v>
      </c>
      <c r="D912" s="49" t="s">
        <v>3642</v>
      </c>
      <c r="E912" s="48" t="s">
        <v>3644</v>
      </c>
      <c r="F912" s="50">
        <v>44968</v>
      </c>
      <c r="G912" s="50" t="s">
        <v>65</v>
      </c>
      <c r="H912" s="50" t="s">
        <v>66</v>
      </c>
      <c r="I912" s="49" t="s">
        <v>78</v>
      </c>
      <c r="J912" s="51">
        <v>753.91</v>
      </c>
      <c r="K912" s="51">
        <v>753.91</v>
      </c>
      <c r="L912" s="51">
        <f t="shared" si="405"/>
        <v>0</v>
      </c>
      <c r="M912" s="51">
        <v>344.45</v>
      </c>
      <c r="N912" s="51">
        <v>344.45</v>
      </c>
      <c r="O912" s="51">
        <f t="shared" si="406"/>
        <v>0</v>
      </c>
      <c r="P912" s="52">
        <v>10487.999893886539</v>
      </c>
      <c r="Q912" s="52">
        <v>22955.45942807374</v>
      </c>
      <c r="R912" s="52">
        <v>22000</v>
      </c>
      <c r="S912" s="52">
        <v>7907008</v>
      </c>
      <c r="T912" s="52">
        <v>948842</v>
      </c>
      <c r="U912" s="53">
        <f t="shared" si="407"/>
        <v>0.12000013152889184</v>
      </c>
      <c r="V912" s="54">
        <f t="shared" si="403"/>
        <v>0</v>
      </c>
      <c r="W912" s="51">
        <f t="shared" si="408"/>
        <v>0</v>
      </c>
      <c r="X912" s="51"/>
      <c r="Y912" s="51"/>
      <c r="Z912" s="52">
        <f t="shared" si="409"/>
        <v>7907008</v>
      </c>
      <c r="AA912" s="56">
        <v>2767454</v>
      </c>
      <c r="AB912" s="56">
        <v>332094</v>
      </c>
      <c r="AC912" s="52">
        <f t="shared" si="410"/>
        <v>5139554</v>
      </c>
      <c r="AD912" s="51">
        <f t="shared" si="411"/>
        <v>300</v>
      </c>
      <c r="AE912" s="55">
        <v>103335</v>
      </c>
      <c r="AF912" s="57">
        <v>18600</v>
      </c>
      <c r="AG912" s="55">
        <f t="shared" si="412"/>
        <v>0</v>
      </c>
      <c r="AH912" s="55">
        <f t="shared" si="413"/>
        <v>0</v>
      </c>
      <c r="AI912" s="55">
        <f t="shared" ref="AI912:AI943" si="430">AD912*N912</f>
        <v>103335</v>
      </c>
      <c r="AJ912" s="55">
        <f t="shared" ref="AJ912:AJ943" si="431">ROUNDUP(AI912*18%,0)</f>
        <v>18601</v>
      </c>
      <c r="AK912" s="51">
        <v>103335</v>
      </c>
      <c r="AL912" s="55">
        <f t="shared" si="416"/>
        <v>103335</v>
      </c>
      <c r="AM912" s="15">
        <f t="shared" si="417"/>
        <v>5242889</v>
      </c>
      <c r="AN912" s="15">
        <f t="shared" si="418"/>
        <v>635349</v>
      </c>
      <c r="AO912" s="55">
        <f t="shared" si="423"/>
        <v>738684</v>
      </c>
      <c r="AP912" s="58">
        <f t="shared" si="419"/>
        <v>5981573</v>
      </c>
      <c r="AQ912" s="55">
        <v>6253048</v>
      </c>
      <c r="AR912" s="15">
        <v>0</v>
      </c>
      <c r="AS912" s="18">
        <f t="shared" si="424"/>
        <v>-271475</v>
      </c>
      <c r="AT912" s="60">
        <v>0</v>
      </c>
      <c r="AU912" s="49">
        <v>8800</v>
      </c>
      <c r="AV912" s="54">
        <f t="shared" si="425"/>
        <v>3031160</v>
      </c>
      <c r="AW912" s="59">
        <f t="shared" si="426"/>
        <v>5242889</v>
      </c>
      <c r="AX912" s="55">
        <f t="shared" si="420"/>
        <v>5243000</v>
      </c>
      <c r="AY912" s="61">
        <v>7.0000000000000007E-2</v>
      </c>
      <c r="AZ912" s="54">
        <f t="shared" si="421"/>
        <v>367010.00000000006</v>
      </c>
      <c r="BA912" s="55">
        <f t="shared" si="422"/>
        <v>367100</v>
      </c>
      <c r="BB912" s="62">
        <f t="shared" si="427"/>
        <v>95625</v>
      </c>
      <c r="BC912" s="51">
        <f t="shared" si="428"/>
        <v>0</v>
      </c>
      <c r="BD912" s="51">
        <f t="shared" si="429"/>
        <v>0</v>
      </c>
      <c r="BE912" s="51">
        <v>70.040000000000006</v>
      </c>
      <c r="BF912" s="51">
        <v>32</v>
      </c>
      <c r="BG912" s="107">
        <v>46176</v>
      </c>
      <c r="BH912" s="107">
        <f t="shared" ref="BH912:BH918" si="432">BG912+30</f>
        <v>46206</v>
      </c>
      <c r="BI912" s="63">
        <v>7</v>
      </c>
      <c r="BJ912" s="24" t="s">
        <v>350</v>
      </c>
      <c r="BK912" s="24" t="s">
        <v>3645</v>
      </c>
      <c r="BL912" s="6"/>
      <c r="BM912" s="6" t="s">
        <v>3828</v>
      </c>
      <c r="BN912" s="6" t="s">
        <v>3829</v>
      </c>
      <c r="BO912" s="6" t="s">
        <v>3820</v>
      </c>
      <c r="BP912" s="6" t="s">
        <v>3821</v>
      </c>
      <c r="BQ912" s="6" t="s">
        <v>3830</v>
      </c>
      <c r="BR912" t="s">
        <v>3823</v>
      </c>
      <c r="BS912" t="s">
        <v>3824</v>
      </c>
      <c r="BT912" t="s">
        <v>3825</v>
      </c>
      <c r="BU912" t="s">
        <v>3826</v>
      </c>
      <c r="BV912" t="s">
        <v>3827</v>
      </c>
      <c r="BW912" t="s">
        <v>3835</v>
      </c>
      <c r="BX912">
        <v>0</v>
      </c>
      <c r="BY912" t="s">
        <v>3868</v>
      </c>
      <c r="BZ912" t="s">
        <v>3860</v>
      </c>
    </row>
    <row r="913" spans="1:78" x14ac:dyDescent="0.25">
      <c r="A913" s="48" t="s">
        <v>3648</v>
      </c>
      <c r="B913" s="48" t="s">
        <v>181</v>
      </c>
      <c r="C913" s="48" t="s">
        <v>3646</v>
      </c>
      <c r="D913" s="49" t="s">
        <v>3647</v>
      </c>
      <c r="E913" s="48" t="s">
        <v>3649</v>
      </c>
      <c r="F913" s="50">
        <v>45128</v>
      </c>
      <c r="G913" s="50" t="s">
        <v>363</v>
      </c>
      <c r="H913" s="50" t="s">
        <v>87</v>
      </c>
      <c r="I913" s="49" t="s">
        <v>67</v>
      </c>
      <c r="J913" s="51">
        <v>346.84</v>
      </c>
      <c r="K913" s="51">
        <v>346.84</v>
      </c>
      <c r="L913" s="51">
        <f t="shared" si="405"/>
        <v>0</v>
      </c>
      <c r="M913" s="51">
        <v>139.93</v>
      </c>
      <c r="N913" s="51">
        <v>139.93</v>
      </c>
      <c r="O913" s="51">
        <f t="shared" si="406"/>
        <v>0</v>
      </c>
      <c r="P913" s="52">
        <v>35570.433052704422</v>
      </c>
      <c r="Q913" s="52">
        <v>88167.290788251266</v>
      </c>
      <c r="R913" s="52">
        <v>40000</v>
      </c>
      <c r="S913" s="52">
        <v>12337249</v>
      </c>
      <c r="T913" s="52">
        <v>1480472</v>
      </c>
      <c r="U913" s="53">
        <f t="shared" si="407"/>
        <v>0.12000017183733586</v>
      </c>
      <c r="V913" s="54">
        <f t="shared" si="403"/>
        <v>0</v>
      </c>
      <c r="W913" s="51">
        <f t="shared" si="408"/>
        <v>0</v>
      </c>
      <c r="X913" s="51"/>
      <c r="Y913" s="51"/>
      <c r="Z913" s="52">
        <f t="shared" si="409"/>
        <v>12337249</v>
      </c>
      <c r="AA913" s="56">
        <v>3005947</v>
      </c>
      <c r="AB913" s="56">
        <v>360714</v>
      </c>
      <c r="AC913" s="52">
        <f t="shared" si="410"/>
        <v>9331302</v>
      </c>
      <c r="AD913" s="51">
        <f t="shared" si="411"/>
        <v>300</v>
      </c>
      <c r="AE913" s="55">
        <v>41979</v>
      </c>
      <c r="AF913" s="57">
        <v>7556</v>
      </c>
      <c r="AG913" s="55">
        <f t="shared" si="412"/>
        <v>0</v>
      </c>
      <c r="AH913" s="55">
        <f t="shared" si="413"/>
        <v>0</v>
      </c>
      <c r="AI913" s="55">
        <f t="shared" si="430"/>
        <v>41979</v>
      </c>
      <c r="AJ913" s="55">
        <f t="shared" si="431"/>
        <v>7557</v>
      </c>
      <c r="AK913" s="51">
        <v>41979</v>
      </c>
      <c r="AL913" s="55">
        <f t="shared" si="416"/>
        <v>41979</v>
      </c>
      <c r="AM913" s="15">
        <f t="shared" si="417"/>
        <v>9373281</v>
      </c>
      <c r="AN913" s="15">
        <f t="shared" si="418"/>
        <v>1127315</v>
      </c>
      <c r="AO913" s="55">
        <f t="shared" si="423"/>
        <v>1170322.68</v>
      </c>
      <c r="AP913" s="58">
        <f t="shared" si="419"/>
        <v>10543603.68</v>
      </c>
      <c r="AQ913" s="55">
        <v>11036172</v>
      </c>
      <c r="AR913" s="15">
        <v>1028.68</v>
      </c>
      <c r="AS913" s="18">
        <f t="shared" si="424"/>
        <v>-492568</v>
      </c>
      <c r="AT913" s="60">
        <v>0</v>
      </c>
      <c r="AU913" s="49">
        <v>8800</v>
      </c>
      <c r="AV913" s="54">
        <f t="shared" si="425"/>
        <v>1231384</v>
      </c>
      <c r="AW913" s="59">
        <f t="shared" si="426"/>
        <v>9373281</v>
      </c>
      <c r="AX913" s="55">
        <f t="shared" si="420"/>
        <v>9374000</v>
      </c>
      <c r="AY913" s="61">
        <v>0.06</v>
      </c>
      <c r="AZ913" s="54">
        <f t="shared" si="421"/>
        <v>562440</v>
      </c>
      <c r="BA913" s="55">
        <f t="shared" si="422"/>
        <v>562500</v>
      </c>
      <c r="BB913" s="62">
        <f t="shared" si="427"/>
        <v>69932</v>
      </c>
      <c r="BC913" s="51">
        <f t="shared" si="428"/>
        <v>0</v>
      </c>
      <c r="BD913" s="51">
        <f t="shared" si="429"/>
        <v>0</v>
      </c>
      <c r="BE913" s="51">
        <v>32.22</v>
      </c>
      <c r="BF913" s="51">
        <v>13</v>
      </c>
      <c r="BG913" s="107">
        <v>46176</v>
      </c>
      <c r="BH913" s="107">
        <f t="shared" si="432"/>
        <v>46206</v>
      </c>
      <c r="BI913" s="63">
        <v>6</v>
      </c>
      <c r="BJ913" s="24" t="s">
        <v>350</v>
      </c>
      <c r="BK913" s="24" t="s">
        <v>3645</v>
      </c>
      <c r="BL913" s="6"/>
      <c r="BM913" s="6" t="s">
        <v>3828</v>
      </c>
      <c r="BN913" s="6" t="s">
        <v>3829</v>
      </c>
      <c r="BO913" s="6" t="s">
        <v>3820</v>
      </c>
      <c r="BP913" s="6" t="s">
        <v>3821</v>
      </c>
      <c r="BQ913" s="6" t="s">
        <v>3830</v>
      </c>
      <c r="BR913" t="s">
        <v>3823</v>
      </c>
      <c r="BS913" t="s">
        <v>3824</v>
      </c>
      <c r="BT913" t="s">
        <v>3825</v>
      </c>
      <c r="BU913" t="s">
        <v>3826</v>
      </c>
      <c r="BV913" t="s">
        <v>3827</v>
      </c>
      <c r="BW913" t="s">
        <v>3835</v>
      </c>
      <c r="BX913">
        <v>0</v>
      </c>
      <c r="BY913" t="s">
        <v>3862</v>
      </c>
      <c r="BZ913" t="s">
        <v>3860</v>
      </c>
    </row>
    <row r="914" spans="1:78" x14ac:dyDescent="0.25">
      <c r="A914" s="7" t="s">
        <v>3652</v>
      </c>
      <c r="B914" s="7" t="s">
        <v>181</v>
      </c>
      <c r="C914" s="7" t="s">
        <v>3650</v>
      </c>
      <c r="D914" s="8" t="s">
        <v>3651</v>
      </c>
      <c r="E914" s="7" t="s">
        <v>3653</v>
      </c>
      <c r="F914" s="9">
        <v>45034</v>
      </c>
      <c r="G914" s="9" t="s">
        <v>65</v>
      </c>
      <c r="H914" s="9" t="s">
        <v>87</v>
      </c>
      <c r="I914" s="8" t="s">
        <v>78</v>
      </c>
      <c r="J914" s="10">
        <v>372.5</v>
      </c>
      <c r="K914" s="10">
        <v>328.69</v>
      </c>
      <c r="L914" s="10">
        <f t="shared" si="405"/>
        <v>-43.81</v>
      </c>
      <c r="M914" s="10">
        <v>158.66</v>
      </c>
      <c r="N914" s="10">
        <v>140</v>
      </c>
      <c r="O914" s="10">
        <f t="shared" si="406"/>
        <v>-18.659999999999997</v>
      </c>
      <c r="P914" s="11">
        <v>21700</v>
      </c>
      <c r="Q914" s="11">
        <v>50946.993571158455</v>
      </c>
      <c r="R914" s="11">
        <v>40000</v>
      </c>
      <c r="S914" s="11">
        <v>8083250</v>
      </c>
      <c r="T914" s="11">
        <v>969992</v>
      </c>
      <c r="U914" s="12">
        <f t="shared" si="407"/>
        <v>0.12000024742523119</v>
      </c>
      <c r="V914" s="13">
        <f t="shared" ref="V914:V918" si="433">L914*P914</f>
        <v>-950677</v>
      </c>
      <c r="W914" s="10">
        <f t="shared" si="408"/>
        <v>-114081.4752214765</v>
      </c>
      <c r="X914" s="15"/>
      <c r="Y914" s="15"/>
      <c r="Z914" s="11">
        <f t="shared" si="409"/>
        <v>7132573</v>
      </c>
      <c r="AA914" s="14"/>
      <c r="AB914" s="14"/>
      <c r="AC914" s="11">
        <f t="shared" si="410"/>
        <v>7132573</v>
      </c>
      <c r="AD914" s="10">
        <f t="shared" si="411"/>
        <v>300</v>
      </c>
      <c r="AE914" s="15">
        <v>47598</v>
      </c>
      <c r="AF914" s="16">
        <v>8568</v>
      </c>
      <c r="AG914" s="15">
        <f t="shared" si="412"/>
        <v>-5597.9999999999991</v>
      </c>
      <c r="AH914" s="15">
        <f t="shared" si="413"/>
        <v>-1007.6399999999998</v>
      </c>
      <c r="AI914" s="15">
        <f t="shared" si="430"/>
        <v>42000</v>
      </c>
      <c r="AJ914" s="15">
        <f t="shared" si="431"/>
        <v>7560</v>
      </c>
      <c r="AK914" s="10">
        <v>47598</v>
      </c>
      <c r="AL914" s="15">
        <f t="shared" si="416"/>
        <v>42000</v>
      </c>
      <c r="AM914" s="15">
        <f t="shared" si="417"/>
        <v>7174573</v>
      </c>
      <c r="AN914" s="15">
        <f t="shared" si="418"/>
        <v>863471</v>
      </c>
      <c r="AO914" s="15">
        <f t="shared" si="423"/>
        <v>968073</v>
      </c>
      <c r="AP914" s="17">
        <f t="shared" si="419"/>
        <v>8142646</v>
      </c>
      <c r="AQ914" s="15">
        <v>8170252</v>
      </c>
      <c r="AR914" s="15">
        <v>62602</v>
      </c>
      <c r="AS914" s="18">
        <f t="shared" si="424"/>
        <v>-27606</v>
      </c>
      <c r="AT914" s="19">
        <v>0</v>
      </c>
      <c r="AU914" s="8">
        <v>8800</v>
      </c>
      <c r="AV914" s="13">
        <f t="shared" si="425"/>
        <v>1232000</v>
      </c>
      <c r="AW914" s="18">
        <f t="shared" si="426"/>
        <v>7174573</v>
      </c>
      <c r="AX914" s="15">
        <f t="shared" si="420"/>
        <v>7175000</v>
      </c>
      <c r="AY914" s="20">
        <v>7.0000000000000007E-2</v>
      </c>
      <c r="AZ914" s="13">
        <f t="shared" si="421"/>
        <v>502250.00000000006</v>
      </c>
      <c r="BA914" s="15">
        <f t="shared" si="422"/>
        <v>502300</v>
      </c>
      <c r="BB914" s="21">
        <f t="shared" si="427"/>
        <v>474694</v>
      </c>
      <c r="BC914" s="10">
        <f t="shared" si="428"/>
        <v>-11.761073825503356</v>
      </c>
      <c r="BD914" s="10">
        <f t="shared" si="429"/>
        <v>-11.760998361275682</v>
      </c>
      <c r="BE914" s="10">
        <v>30.54</v>
      </c>
      <c r="BF914" s="10">
        <v>13.01</v>
      </c>
      <c r="BG914" s="107">
        <v>46176</v>
      </c>
      <c r="BH914" s="107">
        <f t="shared" si="432"/>
        <v>46206</v>
      </c>
      <c r="BI914" s="23">
        <v>7</v>
      </c>
      <c r="BJ914" s="24"/>
      <c r="BK914" s="24" t="s">
        <v>3645</v>
      </c>
      <c r="BL914" s="6"/>
      <c r="BM914" s="6" t="s">
        <v>3828</v>
      </c>
      <c r="BN914" s="6" t="s">
        <v>3829</v>
      </c>
      <c r="BO914" s="6" t="s">
        <v>3820</v>
      </c>
      <c r="BP914" s="6" t="s">
        <v>3821</v>
      </c>
      <c r="BQ914" s="6" t="s">
        <v>3830</v>
      </c>
      <c r="BR914" t="s">
        <v>3823</v>
      </c>
      <c r="BS914" t="s">
        <v>3824</v>
      </c>
      <c r="BT914" t="s">
        <v>3825</v>
      </c>
      <c r="BU914" t="s">
        <v>3826</v>
      </c>
      <c r="BV914" t="s">
        <v>3827</v>
      </c>
      <c r="BW914" t="s">
        <v>3835</v>
      </c>
      <c r="BX914">
        <v>0</v>
      </c>
      <c r="BY914" t="s">
        <v>3864</v>
      </c>
      <c r="BZ914" t="s">
        <v>3860</v>
      </c>
    </row>
    <row r="915" spans="1:78" x14ac:dyDescent="0.25">
      <c r="A915" s="7" t="s">
        <v>3656</v>
      </c>
      <c r="B915" s="7" t="s">
        <v>181</v>
      </c>
      <c r="C915" s="7" t="s">
        <v>3654</v>
      </c>
      <c r="D915" s="8" t="s">
        <v>3655</v>
      </c>
      <c r="E915" s="7" t="s">
        <v>3657</v>
      </c>
      <c r="F915" s="9">
        <v>44875</v>
      </c>
      <c r="G915" s="9" t="s">
        <v>527</v>
      </c>
      <c r="H915" s="9" t="s">
        <v>72</v>
      </c>
      <c r="I915" s="8" t="s">
        <v>635</v>
      </c>
      <c r="J915" s="10">
        <v>1089.23</v>
      </c>
      <c r="K915" s="10">
        <v>1089.23</v>
      </c>
      <c r="L915" s="10">
        <f t="shared" si="405"/>
        <v>0</v>
      </c>
      <c r="M915" s="10">
        <v>160.91999999999999</v>
      </c>
      <c r="N915" s="10">
        <v>160.91999999999999</v>
      </c>
      <c r="O915" s="10">
        <f t="shared" si="406"/>
        <v>0</v>
      </c>
      <c r="P915" s="11">
        <v>14200</v>
      </c>
      <c r="Q915" s="11">
        <v>96116.49266716381</v>
      </c>
      <c r="R915" s="11">
        <v>20000</v>
      </c>
      <c r="S915" s="11">
        <v>15467066</v>
      </c>
      <c r="T915" s="11">
        <v>1856050</v>
      </c>
      <c r="U915" s="12">
        <f t="shared" si="407"/>
        <v>0.12000013447928651</v>
      </c>
      <c r="V915" s="13">
        <f t="shared" si="433"/>
        <v>0</v>
      </c>
      <c r="W915" s="10">
        <f t="shared" si="408"/>
        <v>0</v>
      </c>
      <c r="X915" s="10"/>
      <c r="Y915" s="10"/>
      <c r="Z915" s="11">
        <f t="shared" si="409"/>
        <v>15467066</v>
      </c>
      <c r="AA915" s="14">
        <v>3918323</v>
      </c>
      <c r="AB915" s="14">
        <v>470198</v>
      </c>
      <c r="AC915" s="11">
        <f t="shared" si="410"/>
        <v>11548743</v>
      </c>
      <c r="AD915" s="10">
        <f t="shared" si="411"/>
        <v>300</v>
      </c>
      <c r="AE915" s="15">
        <v>48276</v>
      </c>
      <c r="AF915" s="16">
        <v>8690</v>
      </c>
      <c r="AG915" s="15">
        <f t="shared" si="412"/>
        <v>0</v>
      </c>
      <c r="AH915" s="15">
        <f t="shared" si="413"/>
        <v>0</v>
      </c>
      <c r="AI915" s="15">
        <f t="shared" si="430"/>
        <v>48275.999999999993</v>
      </c>
      <c r="AJ915" s="15">
        <f t="shared" si="431"/>
        <v>8690</v>
      </c>
      <c r="AK915" s="10">
        <v>48276</v>
      </c>
      <c r="AL915" s="15">
        <f t="shared" si="416"/>
        <v>48275.999999999993</v>
      </c>
      <c r="AM915" s="15">
        <f t="shared" si="417"/>
        <v>11597019</v>
      </c>
      <c r="AN915" s="15">
        <f t="shared" si="418"/>
        <v>1394542</v>
      </c>
      <c r="AO915" s="15">
        <f t="shared" si="423"/>
        <v>1442818</v>
      </c>
      <c r="AP915" s="17">
        <f t="shared" si="419"/>
        <v>13039837</v>
      </c>
      <c r="AQ915" s="15">
        <v>15592258</v>
      </c>
      <c r="AR915" s="15">
        <v>0</v>
      </c>
      <c r="AS915" s="18">
        <f t="shared" si="424"/>
        <v>-2552421</v>
      </c>
      <c r="AT915" s="19">
        <v>0</v>
      </c>
      <c r="AU915" s="8">
        <v>8800</v>
      </c>
      <c r="AV915" s="13">
        <f t="shared" si="425"/>
        <v>1416096</v>
      </c>
      <c r="AW915" s="18">
        <f t="shared" si="426"/>
        <v>11597019</v>
      </c>
      <c r="AX915" s="15">
        <f t="shared" si="420"/>
        <v>11598000</v>
      </c>
      <c r="AY915" s="20">
        <v>0.06</v>
      </c>
      <c r="AZ915" s="13">
        <f t="shared" si="421"/>
        <v>695880</v>
      </c>
      <c r="BA915" s="15">
        <f t="shared" si="422"/>
        <v>695900</v>
      </c>
      <c r="BB915" s="21">
        <f t="shared" si="427"/>
        <v>-1856521</v>
      </c>
      <c r="BC915" s="10">
        <f t="shared" si="428"/>
        <v>0</v>
      </c>
      <c r="BD915" s="10">
        <f t="shared" si="429"/>
        <v>0</v>
      </c>
      <c r="BE915" s="10">
        <v>101.19</v>
      </c>
      <c r="BF915" s="10">
        <v>14.95</v>
      </c>
      <c r="BG915" s="107">
        <v>46176</v>
      </c>
      <c r="BH915" s="107">
        <f t="shared" si="432"/>
        <v>46206</v>
      </c>
      <c r="BI915" s="23">
        <v>6</v>
      </c>
      <c r="BJ915" s="24"/>
      <c r="BK915" s="24" t="s">
        <v>3645</v>
      </c>
      <c r="BL915" s="6"/>
      <c r="BM915" s="6" t="s">
        <v>3828</v>
      </c>
      <c r="BN915" s="6" t="s">
        <v>3829</v>
      </c>
      <c r="BO915" s="6" t="s">
        <v>3820</v>
      </c>
      <c r="BP915" s="6" t="s">
        <v>3821</v>
      </c>
      <c r="BQ915" s="6" t="s">
        <v>3830</v>
      </c>
      <c r="BR915" t="s">
        <v>3823</v>
      </c>
      <c r="BS915" t="s">
        <v>3824</v>
      </c>
      <c r="BT915" t="s">
        <v>3825</v>
      </c>
      <c r="BU915" t="s">
        <v>3826</v>
      </c>
      <c r="BV915" t="s">
        <v>3827</v>
      </c>
      <c r="BW915" t="s">
        <v>3835</v>
      </c>
      <c r="BX915">
        <v>0</v>
      </c>
      <c r="BY915" t="s">
        <v>3866</v>
      </c>
      <c r="BZ915" t="s">
        <v>3871</v>
      </c>
    </row>
    <row r="916" spans="1:78" x14ac:dyDescent="0.25">
      <c r="A916" s="7" t="s">
        <v>3660</v>
      </c>
      <c r="B916" s="7" t="s">
        <v>181</v>
      </c>
      <c r="C916" s="7" t="s">
        <v>3658</v>
      </c>
      <c r="D916" s="8" t="s">
        <v>3659</v>
      </c>
      <c r="E916" s="7" t="s">
        <v>3661</v>
      </c>
      <c r="F916" s="9">
        <v>44869</v>
      </c>
      <c r="G916" s="9" t="s">
        <v>527</v>
      </c>
      <c r="H916" s="9" t="s">
        <v>66</v>
      </c>
      <c r="I916" s="8" t="s">
        <v>78</v>
      </c>
      <c r="J916" s="10">
        <v>678.13</v>
      </c>
      <c r="K916" s="10">
        <v>678.13</v>
      </c>
      <c r="L916" s="10">
        <f t="shared" si="405"/>
        <v>0</v>
      </c>
      <c r="M916" s="10">
        <v>315.39</v>
      </c>
      <c r="N916" s="10">
        <v>315.39</v>
      </c>
      <c r="O916" s="10">
        <f t="shared" si="406"/>
        <v>0</v>
      </c>
      <c r="P916" s="11">
        <v>16163.999528114078</v>
      </c>
      <c r="Q916" s="11">
        <v>34754.725894923744</v>
      </c>
      <c r="R916" s="11">
        <v>22000</v>
      </c>
      <c r="S916" s="11">
        <v>10961293</v>
      </c>
      <c r="T916" s="11">
        <v>1315356</v>
      </c>
      <c r="U916" s="12">
        <f t="shared" si="407"/>
        <v>0.120000076633295</v>
      </c>
      <c r="V916" s="13">
        <f t="shared" si="433"/>
        <v>0</v>
      </c>
      <c r="W916" s="10">
        <f t="shared" si="408"/>
        <v>0</v>
      </c>
      <c r="X916" s="10"/>
      <c r="Y916" s="10"/>
      <c r="Z916" s="11">
        <f t="shared" si="409"/>
        <v>10961293</v>
      </c>
      <c r="AA916" s="14">
        <v>1805536</v>
      </c>
      <c r="AB916" s="14">
        <v>216664</v>
      </c>
      <c r="AC916" s="11">
        <f t="shared" si="410"/>
        <v>9155757</v>
      </c>
      <c r="AD916" s="10">
        <f t="shared" si="411"/>
        <v>300</v>
      </c>
      <c r="AE916" s="15">
        <v>94617</v>
      </c>
      <c r="AF916" s="16">
        <v>17032</v>
      </c>
      <c r="AG916" s="15">
        <f t="shared" si="412"/>
        <v>0</v>
      </c>
      <c r="AH916" s="15">
        <f t="shared" si="413"/>
        <v>0</v>
      </c>
      <c r="AI916" s="15">
        <f t="shared" si="430"/>
        <v>94617</v>
      </c>
      <c r="AJ916" s="15">
        <f t="shared" si="431"/>
        <v>17032</v>
      </c>
      <c r="AK916" s="10">
        <v>94617</v>
      </c>
      <c r="AL916" s="15">
        <f t="shared" si="416"/>
        <v>94617</v>
      </c>
      <c r="AM916" s="15">
        <f t="shared" si="417"/>
        <v>9250374</v>
      </c>
      <c r="AN916" s="15">
        <f t="shared" si="418"/>
        <v>1115724</v>
      </c>
      <c r="AO916" s="15">
        <f t="shared" si="423"/>
        <v>1210341</v>
      </c>
      <c r="AP916" s="17">
        <f t="shared" si="419"/>
        <v>10460715</v>
      </c>
      <c r="AQ916" s="15">
        <v>12046964</v>
      </c>
      <c r="AR916" s="15">
        <v>0</v>
      </c>
      <c r="AS916" s="18">
        <f t="shared" si="424"/>
        <v>-1586249</v>
      </c>
      <c r="AT916" s="19">
        <v>0</v>
      </c>
      <c r="AU916" s="8">
        <v>8800</v>
      </c>
      <c r="AV916" s="13">
        <f t="shared" si="425"/>
        <v>2775432</v>
      </c>
      <c r="AW916" s="18">
        <f t="shared" si="426"/>
        <v>9250374</v>
      </c>
      <c r="AX916" s="15">
        <f t="shared" si="420"/>
        <v>9251000</v>
      </c>
      <c r="AY916" s="20">
        <v>7.0000000000000007E-2</v>
      </c>
      <c r="AZ916" s="13">
        <f t="shared" si="421"/>
        <v>647570.00000000012</v>
      </c>
      <c r="BA916" s="15">
        <f t="shared" si="422"/>
        <v>647600</v>
      </c>
      <c r="BB916" s="21">
        <f t="shared" si="427"/>
        <v>-938649</v>
      </c>
      <c r="BC916" s="10">
        <f t="shared" si="428"/>
        <v>0</v>
      </c>
      <c r="BD916" s="10">
        <f t="shared" si="429"/>
        <v>0</v>
      </c>
      <c r="BE916" s="10">
        <v>63</v>
      </c>
      <c r="BF916" s="10">
        <v>29.3</v>
      </c>
      <c r="BG916" s="107">
        <v>46176</v>
      </c>
      <c r="BH916" s="107">
        <f t="shared" si="432"/>
        <v>46206</v>
      </c>
      <c r="BI916" s="23">
        <v>7</v>
      </c>
      <c r="BJ916" s="24"/>
      <c r="BK916" s="24" t="s">
        <v>3645</v>
      </c>
      <c r="BL916" s="6"/>
      <c r="BM916" s="6" t="s">
        <v>3828</v>
      </c>
      <c r="BN916" s="6" t="s">
        <v>3829</v>
      </c>
      <c r="BO916" s="6" t="s">
        <v>3820</v>
      </c>
      <c r="BP916" s="6" t="s">
        <v>3821</v>
      </c>
      <c r="BQ916" s="6" t="s">
        <v>3830</v>
      </c>
      <c r="BR916" t="s">
        <v>3823</v>
      </c>
      <c r="BS916" t="s">
        <v>3824</v>
      </c>
      <c r="BT916" t="s">
        <v>3825</v>
      </c>
      <c r="BU916" t="s">
        <v>3826</v>
      </c>
      <c r="BV916" t="s">
        <v>3827</v>
      </c>
      <c r="BW916" t="s">
        <v>3835</v>
      </c>
      <c r="BX916">
        <v>0</v>
      </c>
      <c r="BY916" t="s">
        <v>3866</v>
      </c>
      <c r="BZ916" t="s">
        <v>3871</v>
      </c>
    </row>
    <row r="917" spans="1:78" x14ac:dyDescent="0.25">
      <c r="A917" s="7" t="s">
        <v>3664</v>
      </c>
      <c r="B917" s="7" t="s">
        <v>181</v>
      </c>
      <c r="C917" s="7" t="s">
        <v>3662</v>
      </c>
      <c r="D917" s="8" t="s">
        <v>3663</v>
      </c>
      <c r="E917" s="7" t="s">
        <v>3665</v>
      </c>
      <c r="F917" s="9">
        <v>44915</v>
      </c>
      <c r="G917" s="9" t="s">
        <v>717</v>
      </c>
      <c r="H917" s="9" t="s">
        <v>87</v>
      </c>
      <c r="I917" s="8" t="s">
        <v>78</v>
      </c>
      <c r="J917" s="10">
        <v>390.73</v>
      </c>
      <c r="K917" s="10">
        <v>390.73</v>
      </c>
      <c r="L917" s="10">
        <f t="shared" si="405"/>
        <v>0</v>
      </c>
      <c r="M917" s="10">
        <v>163.07</v>
      </c>
      <c r="N917" s="10">
        <v>163.07</v>
      </c>
      <c r="O917" s="10">
        <f t="shared" si="406"/>
        <v>0</v>
      </c>
      <c r="P917" s="11">
        <v>22813.001305249149</v>
      </c>
      <c r="Q917" s="11">
        <v>54661.948856319374</v>
      </c>
      <c r="R917" s="11">
        <v>40000</v>
      </c>
      <c r="S917" s="11">
        <v>8913724</v>
      </c>
      <c r="T917" s="11">
        <v>1069648</v>
      </c>
      <c r="U917" s="12">
        <f t="shared" si="407"/>
        <v>0.12000012564894313</v>
      </c>
      <c r="V917" s="13">
        <f t="shared" si="433"/>
        <v>0</v>
      </c>
      <c r="W917" s="10">
        <f t="shared" si="408"/>
        <v>0</v>
      </c>
      <c r="X917" s="10"/>
      <c r="Y917" s="10"/>
      <c r="Z917" s="11">
        <f t="shared" si="409"/>
        <v>8913724</v>
      </c>
      <c r="AA917" s="14">
        <v>1758371</v>
      </c>
      <c r="AB917" s="14">
        <v>202412</v>
      </c>
      <c r="AC917" s="11">
        <f t="shared" si="410"/>
        <v>7155353</v>
      </c>
      <c r="AD917" s="10">
        <f t="shared" si="411"/>
        <v>300</v>
      </c>
      <c r="AE917" s="15">
        <v>48921</v>
      </c>
      <c r="AF917" s="16">
        <v>8806</v>
      </c>
      <c r="AG917" s="15">
        <f t="shared" si="412"/>
        <v>0</v>
      </c>
      <c r="AH917" s="15">
        <f t="shared" si="413"/>
        <v>0</v>
      </c>
      <c r="AI917" s="15">
        <f t="shared" si="430"/>
        <v>48921</v>
      </c>
      <c r="AJ917" s="15">
        <f t="shared" si="431"/>
        <v>8806</v>
      </c>
      <c r="AK917" s="10">
        <v>48921</v>
      </c>
      <c r="AL917" s="15">
        <f t="shared" si="416"/>
        <v>48921</v>
      </c>
      <c r="AM917" s="15">
        <f t="shared" si="417"/>
        <v>7204274</v>
      </c>
      <c r="AN917" s="15">
        <f t="shared" si="418"/>
        <v>876042</v>
      </c>
      <c r="AO917" s="15">
        <f t="shared" si="423"/>
        <v>924966.36</v>
      </c>
      <c r="AP917" s="17">
        <f t="shared" si="419"/>
        <v>8129240.3600000003</v>
      </c>
      <c r="AQ917" s="15">
        <v>8897731</v>
      </c>
      <c r="AR917" s="15">
        <v>3.36</v>
      </c>
      <c r="AS917" s="18">
        <f t="shared" si="424"/>
        <v>-768491</v>
      </c>
      <c r="AT917" s="19">
        <v>0</v>
      </c>
      <c r="AU917" s="8">
        <v>8800</v>
      </c>
      <c r="AV917" s="13">
        <f t="shared" si="425"/>
        <v>1435016</v>
      </c>
      <c r="AW917" s="18">
        <f t="shared" si="426"/>
        <v>7204274</v>
      </c>
      <c r="AX917" s="15">
        <f t="shared" si="420"/>
        <v>7205000</v>
      </c>
      <c r="AY917" s="20">
        <v>0.05</v>
      </c>
      <c r="AZ917" s="13">
        <f t="shared" si="421"/>
        <v>360250</v>
      </c>
      <c r="BA917" s="15">
        <f t="shared" si="422"/>
        <v>360300</v>
      </c>
      <c r="BB917" s="21">
        <f t="shared" si="427"/>
        <v>-408191</v>
      </c>
      <c r="BC917" s="10">
        <f t="shared" si="428"/>
        <v>0</v>
      </c>
      <c r="BD917" s="10">
        <f t="shared" si="429"/>
        <v>0</v>
      </c>
      <c r="BE917" s="10">
        <v>36.299999999999997</v>
      </c>
      <c r="BF917" s="10">
        <v>15.15</v>
      </c>
      <c r="BG917" s="107">
        <v>46176</v>
      </c>
      <c r="BH917" s="107">
        <f t="shared" si="432"/>
        <v>46206</v>
      </c>
      <c r="BI917" s="23">
        <v>5</v>
      </c>
      <c r="BJ917" s="24"/>
      <c r="BK917" s="24" t="s">
        <v>3645</v>
      </c>
      <c r="BL917" s="6"/>
      <c r="BM917" s="6" t="s">
        <v>3828</v>
      </c>
      <c r="BN917" s="6" t="s">
        <v>3829</v>
      </c>
      <c r="BO917" s="6" t="s">
        <v>3820</v>
      </c>
      <c r="BP917" s="6" t="s">
        <v>3821</v>
      </c>
      <c r="BQ917" s="6" t="s">
        <v>3830</v>
      </c>
      <c r="BR917" t="s">
        <v>3823</v>
      </c>
      <c r="BS917" t="s">
        <v>3824</v>
      </c>
      <c r="BT917" t="s">
        <v>3825</v>
      </c>
      <c r="BU917" t="s">
        <v>3826</v>
      </c>
      <c r="BV917" t="s">
        <v>3827</v>
      </c>
      <c r="BW917" t="s">
        <v>3835</v>
      </c>
      <c r="BX917">
        <v>0</v>
      </c>
      <c r="BY917" t="s">
        <v>3864</v>
      </c>
      <c r="BZ917" t="s">
        <v>3872</v>
      </c>
    </row>
    <row r="918" spans="1:78" x14ac:dyDescent="0.25">
      <c r="A918" s="7" t="s">
        <v>3668</v>
      </c>
      <c r="B918" s="7" t="s">
        <v>181</v>
      </c>
      <c r="C918" s="7" t="s">
        <v>3666</v>
      </c>
      <c r="D918" s="8" t="s">
        <v>3667</v>
      </c>
      <c r="E918" s="7" t="s">
        <v>3472</v>
      </c>
      <c r="F918" s="9">
        <v>45181</v>
      </c>
      <c r="G918" s="9" t="s">
        <v>65</v>
      </c>
      <c r="H918" s="9" t="s">
        <v>87</v>
      </c>
      <c r="I918" s="8" t="s">
        <v>78</v>
      </c>
      <c r="J918" s="10">
        <v>1450.99</v>
      </c>
      <c r="K918" s="10">
        <v>1037.43</v>
      </c>
      <c r="L918" s="10">
        <f t="shared" si="405"/>
        <v>-413.55999999999995</v>
      </c>
      <c r="M918" s="10">
        <v>672.75</v>
      </c>
      <c r="N918" s="10">
        <v>481</v>
      </c>
      <c r="O918" s="10">
        <f t="shared" si="406"/>
        <v>-191.75</v>
      </c>
      <c r="P918" s="11">
        <v>14645.998249471051</v>
      </c>
      <c r="Q918" s="11">
        <v>31588.549981419546</v>
      </c>
      <c r="R918" s="11">
        <v>40000</v>
      </c>
      <c r="S918" s="11">
        <v>21251197</v>
      </c>
      <c r="T918" s="11">
        <v>2550144</v>
      </c>
      <c r="U918" s="12">
        <f t="shared" si="407"/>
        <v>0.12000001694022223</v>
      </c>
      <c r="V918" s="13">
        <f t="shared" si="433"/>
        <v>-6056999.0360512473</v>
      </c>
      <c r="W918" s="10">
        <f t="shared" si="408"/>
        <v>-726839.98693305941</v>
      </c>
      <c r="X918" s="15"/>
      <c r="Y918" s="15"/>
      <c r="Z918" s="11">
        <f t="shared" si="409"/>
        <v>15194197.963948753</v>
      </c>
      <c r="AA918" s="14"/>
      <c r="AB918" s="14"/>
      <c r="AC918" s="11">
        <f t="shared" si="410"/>
        <v>15194197.963948753</v>
      </c>
      <c r="AD918" s="10">
        <f t="shared" si="411"/>
        <v>300</v>
      </c>
      <c r="AE918" s="15">
        <v>201825</v>
      </c>
      <c r="AF918" s="16">
        <v>36328</v>
      </c>
      <c r="AG918" s="15">
        <f t="shared" si="412"/>
        <v>-57525</v>
      </c>
      <c r="AH918" s="15">
        <f t="shared" si="413"/>
        <v>-10354.5</v>
      </c>
      <c r="AI918" s="15">
        <f t="shared" si="430"/>
        <v>144300</v>
      </c>
      <c r="AJ918" s="15">
        <f t="shared" si="431"/>
        <v>25974</v>
      </c>
      <c r="AK918" s="10">
        <v>201825</v>
      </c>
      <c r="AL918" s="15">
        <f t="shared" si="416"/>
        <v>144300</v>
      </c>
      <c r="AM918" s="15">
        <f t="shared" si="417"/>
        <v>15338498</v>
      </c>
      <c r="AN918" s="15">
        <f t="shared" si="418"/>
        <v>1849279</v>
      </c>
      <c r="AO918" s="15">
        <f t="shared" si="423"/>
        <v>2624982</v>
      </c>
      <c r="AP918" s="17">
        <f t="shared" si="419"/>
        <v>17963480</v>
      </c>
      <c r="AQ918" s="15">
        <v>22580632.609999999</v>
      </c>
      <c r="AR918" s="15">
        <v>631403</v>
      </c>
      <c r="AS918" s="18">
        <f t="shared" si="424"/>
        <v>-4617153</v>
      </c>
      <c r="AT918" s="19">
        <v>0</v>
      </c>
      <c r="AU918" s="8">
        <v>8800</v>
      </c>
      <c r="AV918" s="13">
        <f t="shared" si="425"/>
        <v>4232800</v>
      </c>
      <c r="AW918" s="18">
        <f t="shared" si="426"/>
        <v>15338498</v>
      </c>
      <c r="AX918" s="15">
        <f t="shared" si="420"/>
        <v>15339000</v>
      </c>
      <c r="AY918" s="20">
        <v>7.0000000000000007E-2</v>
      </c>
      <c r="AZ918" s="13">
        <f t="shared" si="421"/>
        <v>1073730</v>
      </c>
      <c r="BA918" s="15">
        <f t="shared" si="422"/>
        <v>1073800</v>
      </c>
      <c r="BB918" s="21">
        <f t="shared" si="427"/>
        <v>-3543353</v>
      </c>
      <c r="BC918" s="10">
        <f t="shared" si="428"/>
        <v>-28.501919379182485</v>
      </c>
      <c r="BD918" s="10">
        <f t="shared" si="429"/>
        <v>-28.502415458937197</v>
      </c>
      <c r="BE918" s="10">
        <v>96.38</v>
      </c>
      <c r="BF918" s="10">
        <v>44.69</v>
      </c>
      <c r="BG918" s="107">
        <v>46176</v>
      </c>
      <c r="BH918" s="107">
        <f t="shared" si="432"/>
        <v>46206</v>
      </c>
      <c r="BI918" s="23">
        <v>7</v>
      </c>
      <c r="BJ918" s="24"/>
      <c r="BK918" s="24" t="s">
        <v>3645</v>
      </c>
      <c r="BL918" s="6"/>
      <c r="BM918" s="6" t="s">
        <v>3828</v>
      </c>
      <c r="BN918" s="6" t="s">
        <v>3829</v>
      </c>
      <c r="BO918" s="6" t="s">
        <v>3820</v>
      </c>
      <c r="BP918" s="6" t="s">
        <v>3821</v>
      </c>
      <c r="BQ918" s="6" t="s">
        <v>3830</v>
      </c>
      <c r="BR918" t="s">
        <v>3823</v>
      </c>
      <c r="BS918" t="s">
        <v>3824</v>
      </c>
      <c r="BT918" t="s">
        <v>3825</v>
      </c>
      <c r="BU918" t="s">
        <v>3826</v>
      </c>
      <c r="BV918" t="s">
        <v>3827</v>
      </c>
      <c r="BW918" t="s">
        <v>3835</v>
      </c>
      <c r="BX918">
        <v>0</v>
      </c>
      <c r="BY918" t="s">
        <v>3861</v>
      </c>
      <c r="BZ918" t="s">
        <v>3860</v>
      </c>
    </row>
    <row r="919" spans="1:78" x14ac:dyDescent="0.25">
      <c r="A919" s="7" t="s">
        <v>3672</v>
      </c>
      <c r="B919" s="7" t="s">
        <v>3669</v>
      </c>
      <c r="C919" s="7" t="s">
        <v>3670</v>
      </c>
      <c r="D919" s="8" t="s">
        <v>3671</v>
      </c>
      <c r="E919" s="7" t="s">
        <v>3673</v>
      </c>
      <c r="F919" s="9">
        <v>45554</v>
      </c>
      <c r="G919" s="9" t="s">
        <v>3674</v>
      </c>
      <c r="H919" s="9" t="s">
        <v>66</v>
      </c>
      <c r="I919" s="8" t="s">
        <v>78</v>
      </c>
      <c r="J919" s="73">
        <v>1208</v>
      </c>
      <c r="K919" s="10">
        <v>1208</v>
      </c>
      <c r="L919" s="10">
        <f t="shared" ref="L919:L954" si="434">K919-J919</f>
        <v>0</v>
      </c>
      <c r="M919" s="73">
        <v>558</v>
      </c>
      <c r="N919" s="10">
        <v>558</v>
      </c>
      <c r="O919" s="10">
        <f t="shared" ref="O919:O954" si="435">N919-M919</f>
        <v>0</v>
      </c>
      <c r="P919" s="11">
        <v>6499.997516556291</v>
      </c>
      <c r="Q919" s="11">
        <v>14071.679211469534</v>
      </c>
      <c r="R919" s="11">
        <v>22000</v>
      </c>
      <c r="S919" s="14">
        <v>7851997</v>
      </c>
      <c r="T919" s="14">
        <v>392600</v>
      </c>
      <c r="U919" s="12">
        <f t="shared" ref="U919:U954" si="436">T919/S919</f>
        <v>5.0000019103420439E-2</v>
      </c>
      <c r="V919" s="13">
        <f t="shared" ref="V919:V924" si="437">L919*P919</f>
        <v>0</v>
      </c>
      <c r="W919" s="10">
        <f t="shared" ref="W919:W954" si="438">V919*U919</f>
        <v>0</v>
      </c>
      <c r="X919" s="10"/>
      <c r="Y919" s="10"/>
      <c r="Z919" s="11">
        <f t="shared" ref="Z919:Z954" si="439">S919+V919+X919</f>
        <v>7851997</v>
      </c>
      <c r="AA919" s="14"/>
      <c r="AB919" s="14"/>
      <c r="AC919" s="11">
        <f t="shared" ref="AC919:AC954" si="440">Z919-AA919</f>
        <v>7851997</v>
      </c>
      <c r="AD919" s="10">
        <f t="shared" ref="AD919:AD954" si="441">AE919/M919</f>
        <v>300</v>
      </c>
      <c r="AE919" s="73">
        <v>167400</v>
      </c>
      <c r="AF919" s="16">
        <v>30132</v>
      </c>
      <c r="AG919" s="15">
        <f t="shared" ref="AG919:AG954" si="442">(AD919*O919)</f>
        <v>0</v>
      </c>
      <c r="AH919" s="15">
        <f t="shared" ref="AH919:AH954" si="443">AG919*18%</f>
        <v>0</v>
      </c>
      <c r="AI919" s="15">
        <f t="shared" si="430"/>
        <v>167400</v>
      </c>
      <c r="AJ919" s="15">
        <f t="shared" si="431"/>
        <v>30132</v>
      </c>
      <c r="AK919" s="73">
        <v>167400</v>
      </c>
      <c r="AL919" s="15">
        <f t="shared" ref="AL919:AL954" si="444">N919*300</f>
        <v>167400</v>
      </c>
      <c r="AM919" s="15">
        <f t="shared" ref="AM919:AM954" si="445">ROUND(AI919+AC919,0)</f>
        <v>8019397</v>
      </c>
      <c r="AN919" s="15">
        <f t="shared" ref="AN919:AN954" si="446">ROUNDUP(AJ919+W919+T919+Y919-AB919,0)</f>
        <v>422732</v>
      </c>
      <c r="AO919" s="15">
        <f t="shared" si="423"/>
        <v>590132</v>
      </c>
      <c r="AP919" s="17">
        <f t="shared" ref="AP919:AP954" si="447">AM919+AO919</f>
        <v>8609529</v>
      </c>
      <c r="AQ919" s="15">
        <v>8453281.3499999996</v>
      </c>
      <c r="AR919" s="15">
        <v>0</v>
      </c>
      <c r="AS919" s="18">
        <f t="shared" si="424"/>
        <v>156248</v>
      </c>
      <c r="AT919" s="19">
        <v>0</v>
      </c>
      <c r="AU919" s="8">
        <v>8800</v>
      </c>
      <c r="AV919" s="13">
        <f t="shared" si="425"/>
        <v>4910400</v>
      </c>
      <c r="AW919" s="18">
        <f t="shared" si="426"/>
        <v>8019397</v>
      </c>
      <c r="AX919" s="15">
        <f t="shared" ref="AX919:AX954" si="448">CEILING((AW919),1000)</f>
        <v>8020000</v>
      </c>
      <c r="AY919" s="20">
        <v>0.05</v>
      </c>
      <c r="AZ919" s="13">
        <f t="shared" ref="AZ919:AZ954" si="449">AY919*AX919</f>
        <v>401000</v>
      </c>
      <c r="BA919" s="15">
        <f t="shared" ref="BA919:BA954" si="450">CEILING(AZ919,100)</f>
        <v>401000</v>
      </c>
      <c r="BB919" s="21">
        <f t="shared" si="427"/>
        <v>557248</v>
      </c>
      <c r="BC919" s="10">
        <f t="shared" si="428"/>
        <v>0</v>
      </c>
      <c r="BD919" s="10">
        <f t="shared" si="429"/>
        <v>0</v>
      </c>
      <c r="BE919" s="10">
        <v>112.23</v>
      </c>
      <c r="BF919" s="10">
        <v>51.84</v>
      </c>
      <c r="BG919" s="107">
        <v>46176</v>
      </c>
      <c r="BH919" s="107">
        <f t="shared" ref="BH919:BH954" si="451">BG919+30</f>
        <v>46206</v>
      </c>
      <c r="BI919" s="23">
        <v>5</v>
      </c>
      <c r="BJ919" s="6"/>
      <c r="BK919" s="93"/>
      <c r="BL919" s="93"/>
      <c r="BM919" s="6" t="s">
        <v>3831</v>
      </c>
      <c r="BN919" s="6" t="s">
        <v>3832</v>
      </c>
      <c r="BO919" s="6" t="s">
        <v>3833</v>
      </c>
      <c r="BP919" s="6" t="s">
        <v>3821</v>
      </c>
      <c r="BQ919" s="6" t="s">
        <v>3834</v>
      </c>
      <c r="BR919" t="s">
        <v>3823</v>
      </c>
      <c r="BS919" t="s">
        <v>3824</v>
      </c>
      <c r="BT919" t="s">
        <v>3825</v>
      </c>
      <c r="BU919" t="s">
        <v>3826</v>
      </c>
      <c r="BV919" t="s">
        <v>3827</v>
      </c>
      <c r="BW919" t="s">
        <v>3835</v>
      </c>
      <c r="BX919">
        <v>0</v>
      </c>
      <c r="BY919" t="s">
        <v>3866</v>
      </c>
      <c r="BZ919" t="s">
        <v>3872</v>
      </c>
    </row>
    <row r="920" spans="1:78" x14ac:dyDescent="0.25">
      <c r="A920" s="7" t="s">
        <v>3677</v>
      </c>
      <c r="B920" s="7" t="s">
        <v>3669</v>
      </c>
      <c r="C920" s="7" t="s">
        <v>3675</v>
      </c>
      <c r="D920" s="8" t="s">
        <v>3676</v>
      </c>
      <c r="E920" s="7" t="s">
        <v>3678</v>
      </c>
      <c r="F920" s="9">
        <v>45507</v>
      </c>
      <c r="G920" s="9" t="s">
        <v>3674</v>
      </c>
      <c r="H920" s="9" t="s">
        <v>72</v>
      </c>
      <c r="I920" s="8" t="s">
        <v>78</v>
      </c>
      <c r="J920" s="73">
        <v>742</v>
      </c>
      <c r="K920" s="10">
        <v>742</v>
      </c>
      <c r="L920" s="10">
        <f t="shared" si="434"/>
        <v>0</v>
      </c>
      <c r="M920" s="73">
        <v>340</v>
      </c>
      <c r="N920" s="10">
        <v>340</v>
      </c>
      <c r="O920" s="10">
        <f t="shared" si="435"/>
        <v>0</v>
      </c>
      <c r="P920" s="11">
        <v>6499.9986522911049</v>
      </c>
      <c r="Q920" s="11">
        <v>14185.291176470588</v>
      </c>
      <c r="R920" s="11">
        <v>20000</v>
      </c>
      <c r="S920" s="14">
        <v>4822999</v>
      </c>
      <c r="T920" s="14">
        <v>241148</v>
      </c>
      <c r="U920" s="12">
        <f t="shared" si="436"/>
        <v>4.9999595687247704E-2</v>
      </c>
      <c r="V920" s="13">
        <f t="shared" si="437"/>
        <v>0</v>
      </c>
      <c r="W920" s="10">
        <f t="shared" si="438"/>
        <v>0</v>
      </c>
      <c r="X920" s="10"/>
      <c r="Y920" s="10"/>
      <c r="Z920" s="11">
        <f t="shared" si="439"/>
        <v>4822999</v>
      </c>
      <c r="AA920" s="14"/>
      <c r="AB920" s="14"/>
      <c r="AC920" s="11">
        <f t="shared" si="440"/>
        <v>4822999</v>
      </c>
      <c r="AD920" s="10">
        <f t="shared" si="441"/>
        <v>300</v>
      </c>
      <c r="AE920" s="73">
        <v>102000</v>
      </c>
      <c r="AF920" s="16">
        <v>18360</v>
      </c>
      <c r="AG920" s="15">
        <f t="shared" si="442"/>
        <v>0</v>
      </c>
      <c r="AH920" s="15">
        <f t="shared" si="443"/>
        <v>0</v>
      </c>
      <c r="AI920" s="15">
        <f t="shared" si="430"/>
        <v>102000</v>
      </c>
      <c r="AJ920" s="15">
        <f t="shared" si="431"/>
        <v>18360</v>
      </c>
      <c r="AK920" s="73">
        <v>102000</v>
      </c>
      <c r="AL920" s="15">
        <f t="shared" si="444"/>
        <v>102000</v>
      </c>
      <c r="AM920" s="15">
        <f t="shared" si="445"/>
        <v>4924999</v>
      </c>
      <c r="AN920" s="15">
        <f t="shared" si="446"/>
        <v>259508</v>
      </c>
      <c r="AO920" s="15">
        <f t="shared" si="423"/>
        <v>361508</v>
      </c>
      <c r="AP920" s="17">
        <f t="shared" si="447"/>
        <v>5286507</v>
      </c>
      <c r="AQ920" s="15">
        <v>4557772</v>
      </c>
      <c r="AR920" s="15">
        <v>0</v>
      </c>
      <c r="AS920" s="18">
        <f t="shared" si="424"/>
        <v>728735</v>
      </c>
      <c r="AT920" s="19">
        <v>0</v>
      </c>
      <c r="AU920" s="8">
        <v>8800</v>
      </c>
      <c r="AV920" s="13">
        <f t="shared" si="425"/>
        <v>2992000</v>
      </c>
      <c r="AW920" s="18">
        <f t="shared" si="426"/>
        <v>4924999</v>
      </c>
      <c r="AX920" s="15">
        <f t="shared" si="448"/>
        <v>4925000</v>
      </c>
      <c r="AY920" s="20">
        <v>7.0000000000000007E-2</v>
      </c>
      <c r="AZ920" s="13">
        <f t="shared" si="449"/>
        <v>344750.00000000006</v>
      </c>
      <c r="BA920" s="15">
        <f t="shared" si="450"/>
        <v>344800</v>
      </c>
      <c r="BB920" s="21">
        <f t="shared" si="427"/>
        <v>1073535</v>
      </c>
      <c r="BC920" s="10">
        <f t="shared" si="428"/>
        <v>0</v>
      </c>
      <c r="BD920" s="10">
        <f t="shared" si="429"/>
        <v>0</v>
      </c>
      <c r="BE920" s="10">
        <v>68.930000000000007</v>
      </c>
      <c r="BF920" s="10">
        <v>31.59</v>
      </c>
      <c r="BG920" s="107">
        <v>46176</v>
      </c>
      <c r="BH920" s="107">
        <f t="shared" si="451"/>
        <v>46206</v>
      </c>
      <c r="BI920" s="23">
        <v>7</v>
      </c>
      <c r="BJ920" s="6"/>
      <c r="BK920" s="93"/>
      <c r="BL920" s="93"/>
      <c r="BM920" s="6" t="s">
        <v>3831</v>
      </c>
      <c r="BN920" s="6" t="s">
        <v>3832</v>
      </c>
      <c r="BO920" s="6" t="s">
        <v>3833</v>
      </c>
      <c r="BP920" s="6" t="s">
        <v>3821</v>
      </c>
      <c r="BQ920" s="6" t="s">
        <v>3834</v>
      </c>
      <c r="BR920" t="s">
        <v>3823</v>
      </c>
      <c r="BS920" t="s">
        <v>3824</v>
      </c>
      <c r="BT920" t="s">
        <v>3825</v>
      </c>
      <c r="BU920" t="s">
        <v>3826</v>
      </c>
      <c r="BV920" t="s">
        <v>3827</v>
      </c>
      <c r="BW920" t="s">
        <v>3835</v>
      </c>
      <c r="BX920" s="101">
        <v>143948</v>
      </c>
      <c r="BY920" t="s">
        <v>3868</v>
      </c>
      <c r="BZ920" t="s">
        <v>3872</v>
      </c>
    </row>
    <row r="921" spans="1:78" x14ac:dyDescent="0.25">
      <c r="A921" s="7" t="s">
        <v>3681</v>
      </c>
      <c r="B921" s="7" t="s">
        <v>3669</v>
      </c>
      <c r="C921" s="7" t="s">
        <v>3679</v>
      </c>
      <c r="D921" s="8" t="s">
        <v>3680</v>
      </c>
      <c r="E921" s="7" t="s">
        <v>3682</v>
      </c>
      <c r="F921" s="9">
        <v>45507</v>
      </c>
      <c r="G921" s="9" t="s">
        <v>3674</v>
      </c>
      <c r="H921" s="9" t="s">
        <v>92</v>
      </c>
      <c r="I921" s="8" t="s">
        <v>78</v>
      </c>
      <c r="J921" s="73">
        <v>174</v>
      </c>
      <c r="K921" s="10">
        <v>174</v>
      </c>
      <c r="L921" s="10">
        <f t="shared" si="434"/>
        <v>0</v>
      </c>
      <c r="M921" s="73">
        <v>77</v>
      </c>
      <c r="N921" s="10">
        <v>77</v>
      </c>
      <c r="O921" s="10">
        <f t="shared" si="435"/>
        <v>0</v>
      </c>
      <c r="P921" s="11">
        <v>18820</v>
      </c>
      <c r="Q921" s="11">
        <v>42528.311688311689</v>
      </c>
      <c r="R921" s="11">
        <v>28000</v>
      </c>
      <c r="S921" s="14">
        <v>3274680</v>
      </c>
      <c r="T921" s="14">
        <v>163734</v>
      </c>
      <c r="U921" s="12">
        <f t="shared" si="436"/>
        <v>0.05</v>
      </c>
      <c r="V921" s="13">
        <f t="shared" si="437"/>
        <v>0</v>
      </c>
      <c r="W921" s="10">
        <f t="shared" si="438"/>
        <v>0</v>
      </c>
      <c r="X921" s="10"/>
      <c r="Y921" s="10"/>
      <c r="Z921" s="11">
        <f t="shared" si="439"/>
        <v>3274680</v>
      </c>
      <c r="AA921" s="14"/>
      <c r="AB921" s="14"/>
      <c r="AC921" s="11">
        <f t="shared" si="440"/>
        <v>3274680</v>
      </c>
      <c r="AD921" s="10">
        <f t="shared" si="441"/>
        <v>300</v>
      </c>
      <c r="AE921" s="73">
        <v>23100</v>
      </c>
      <c r="AF921" s="16">
        <v>4158</v>
      </c>
      <c r="AG921" s="15">
        <f t="shared" si="442"/>
        <v>0</v>
      </c>
      <c r="AH921" s="15">
        <f t="shared" si="443"/>
        <v>0</v>
      </c>
      <c r="AI921" s="15">
        <f t="shared" si="430"/>
        <v>23100</v>
      </c>
      <c r="AJ921" s="15">
        <f t="shared" si="431"/>
        <v>4158</v>
      </c>
      <c r="AK921" s="73">
        <v>23100</v>
      </c>
      <c r="AL921" s="15">
        <f t="shared" si="444"/>
        <v>23100</v>
      </c>
      <c r="AM921" s="15">
        <f t="shared" si="445"/>
        <v>3297780</v>
      </c>
      <c r="AN921" s="15">
        <f t="shared" si="446"/>
        <v>167892</v>
      </c>
      <c r="AO921" s="15">
        <f t="shared" si="423"/>
        <v>190992</v>
      </c>
      <c r="AP921" s="17">
        <f t="shared" si="447"/>
        <v>3488772</v>
      </c>
      <c r="AQ921" s="15">
        <v>3094636</v>
      </c>
      <c r="AR921" s="15">
        <v>0</v>
      </c>
      <c r="AS921" s="18">
        <f t="shared" si="424"/>
        <v>394136</v>
      </c>
      <c r="AT921" s="19">
        <v>0</v>
      </c>
      <c r="AU921" s="8">
        <v>8800</v>
      </c>
      <c r="AV921" s="13">
        <f t="shared" si="425"/>
        <v>677600</v>
      </c>
      <c r="AW921" s="18">
        <f t="shared" si="426"/>
        <v>3297780</v>
      </c>
      <c r="AX921" s="15">
        <f t="shared" si="448"/>
        <v>3298000</v>
      </c>
      <c r="AY921" s="20">
        <v>7.0000000000000007E-2</v>
      </c>
      <c r="AZ921" s="13">
        <f t="shared" si="449"/>
        <v>230860.00000000003</v>
      </c>
      <c r="BA921" s="15">
        <f t="shared" si="450"/>
        <v>230900</v>
      </c>
      <c r="BB921" s="21">
        <f t="shared" si="427"/>
        <v>625036</v>
      </c>
      <c r="BC921" s="10">
        <f t="shared" si="428"/>
        <v>0</v>
      </c>
      <c r="BD921" s="10">
        <f t="shared" si="429"/>
        <v>0</v>
      </c>
      <c r="BE921" s="10">
        <v>16.16</v>
      </c>
      <c r="BF921" s="10">
        <v>7.15</v>
      </c>
      <c r="BG921" s="107">
        <v>46176</v>
      </c>
      <c r="BH921" s="107">
        <f t="shared" si="451"/>
        <v>46206</v>
      </c>
      <c r="BI921" s="23">
        <v>7</v>
      </c>
      <c r="BJ921" s="6"/>
      <c r="BK921" s="93"/>
      <c r="BL921" s="93"/>
      <c r="BM921" s="6" t="s">
        <v>3831</v>
      </c>
      <c r="BN921" s="6" t="s">
        <v>3832</v>
      </c>
      <c r="BO921" s="6" t="s">
        <v>3833</v>
      </c>
      <c r="BP921" s="6" t="s">
        <v>3821</v>
      </c>
      <c r="BQ921" s="6" t="s">
        <v>3834</v>
      </c>
      <c r="BR921" t="s">
        <v>3823</v>
      </c>
      <c r="BS921" t="s">
        <v>3824</v>
      </c>
      <c r="BT921" t="s">
        <v>3825</v>
      </c>
      <c r="BU921" t="s">
        <v>3826</v>
      </c>
      <c r="BV921" t="s">
        <v>3827</v>
      </c>
      <c r="BW921" t="s">
        <v>3835</v>
      </c>
      <c r="BX921">
        <v>0</v>
      </c>
      <c r="BY921" t="s">
        <v>3866</v>
      </c>
      <c r="BZ921" t="s">
        <v>3872</v>
      </c>
    </row>
    <row r="922" spans="1:78" x14ac:dyDescent="0.25">
      <c r="A922" s="25" t="s">
        <v>3685</v>
      </c>
      <c r="B922" s="7" t="s">
        <v>3669</v>
      </c>
      <c r="C922" s="8" t="s">
        <v>3683</v>
      </c>
      <c r="D922" s="8" t="s">
        <v>3684</v>
      </c>
      <c r="E922" s="7" t="s">
        <v>3686</v>
      </c>
      <c r="F922" s="26">
        <v>45717</v>
      </c>
      <c r="G922" s="9" t="s">
        <v>3674</v>
      </c>
      <c r="H922" s="9" t="s">
        <v>87</v>
      </c>
      <c r="I922" s="8" t="s">
        <v>78</v>
      </c>
      <c r="J922" s="8">
        <v>824</v>
      </c>
      <c r="K922" s="10">
        <v>824</v>
      </c>
      <c r="L922" s="10">
        <f t="shared" si="434"/>
        <v>0</v>
      </c>
      <c r="M922" s="8">
        <v>379</v>
      </c>
      <c r="N922" s="10">
        <v>379</v>
      </c>
      <c r="O922" s="10">
        <f t="shared" si="435"/>
        <v>0</v>
      </c>
      <c r="P922" s="11">
        <v>10000</v>
      </c>
      <c r="Q922" s="14">
        <v>21741.419525065961</v>
      </c>
      <c r="R922" s="11">
        <v>40000</v>
      </c>
      <c r="S922" s="14">
        <v>8239998</v>
      </c>
      <c r="T922" s="14">
        <v>412000</v>
      </c>
      <c r="U922" s="12">
        <f t="shared" si="436"/>
        <v>5.0000012135925274E-2</v>
      </c>
      <c r="V922" s="13">
        <f t="shared" si="437"/>
        <v>0</v>
      </c>
      <c r="W922" s="10">
        <f t="shared" si="438"/>
        <v>0</v>
      </c>
      <c r="X922" s="10"/>
      <c r="Y922" s="10"/>
      <c r="Z922" s="11">
        <f t="shared" si="439"/>
        <v>8239998</v>
      </c>
      <c r="AA922" s="14"/>
      <c r="AB922" s="14"/>
      <c r="AC922" s="11">
        <f t="shared" si="440"/>
        <v>8239998</v>
      </c>
      <c r="AD922" s="10">
        <f t="shared" si="441"/>
        <v>300</v>
      </c>
      <c r="AE922" s="8">
        <v>113700</v>
      </c>
      <c r="AF922" s="16">
        <v>20466</v>
      </c>
      <c r="AG922" s="15">
        <f t="shared" si="442"/>
        <v>0</v>
      </c>
      <c r="AH922" s="15">
        <f t="shared" si="443"/>
        <v>0</v>
      </c>
      <c r="AI922" s="15">
        <f t="shared" si="430"/>
        <v>113700</v>
      </c>
      <c r="AJ922" s="15">
        <f t="shared" si="431"/>
        <v>20466</v>
      </c>
      <c r="AK922" s="8">
        <v>113700</v>
      </c>
      <c r="AL922" s="15">
        <f t="shared" si="444"/>
        <v>113700</v>
      </c>
      <c r="AM922" s="15">
        <f t="shared" si="445"/>
        <v>8353698</v>
      </c>
      <c r="AN922" s="15">
        <f t="shared" si="446"/>
        <v>432466</v>
      </c>
      <c r="AO922" s="15">
        <f t="shared" si="423"/>
        <v>546166</v>
      </c>
      <c r="AP922" s="17">
        <f t="shared" si="447"/>
        <v>8899864</v>
      </c>
      <c r="AQ922" s="15">
        <v>865200</v>
      </c>
      <c r="AR922" s="15">
        <v>0</v>
      </c>
      <c r="AS922" s="18">
        <f t="shared" si="424"/>
        <v>8034664</v>
      </c>
      <c r="AT922" s="19">
        <v>0</v>
      </c>
      <c r="AU922" s="8">
        <v>8800</v>
      </c>
      <c r="AV922" s="13">
        <f t="shared" si="425"/>
        <v>3335200</v>
      </c>
      <c r="AW922" s="18">
        <f t="shared" si="426"/>
        <v>8353698</v>
      </c>
      <c r="AX922" s="15">
        <f t="shared" si="448"/>
        <v>8354000</v>
      </c>
      <c r="AY922" s="20">
        <v>7.0000000000000007E-2</v>
      </c>
      <c r="AZ922" s="13">
        <f t="shared" si="449"/>
        <v>584780</v>
      </c>
      <c r="BA922" s="15">
        <f t="shared" si="450"/>
        <v>584800</v>
      </c>
      <c r="BB922" s="21">
        <f t="shared" si="427"/>
        <v>8619464</v>
      </c>
      <c r="BC922" s="10">
        <f t="shared" si="428"/>
        <v>0</v>
      </c>
      <c r="BD922" s="10">
        <f t="shared" si="429"/>
        <v>0</v>
      </c>
      <c r="BE922" s="10">
        <v>76.55</v>
      </c>
      <c r="BF922" s="10">
        <v>35.21</v>
      </c>
      <c r="BG922" s="107">
        <v>46176</v>
      </c>
      <c r="BH922" s="107">
        <f t="shared" si="451"/>
        <v>46206</v>
      </c>
      <c r="BI922" s="23">
        <v>7</v>
      </c>
      <c r="BJ922" s="6"/>
      <c r="BK922" s="6"/>
      <c r="BL922" s="6"/>
      <c r="BM922" s="6" t="s">
        <v>3831</v>
      </c>
      <c r="BN922" s="6" t="s">
        <v>3832</v>
      </c>
      <c r="BO922" s="6" t="s">
        <v>3833</v>
      </c>
      <c r="BP922" s="6" t="s">
        <v>3821</v>
      </c>
      <c r="BQ922" s="6" t="s">
        <v>3834</v>
      </c>
      <c r="BR922" t="s">
        <v>3823</v>
      </c>
      <c r="BS922" t="s">
        <v>3824</v>
      </c>
      <c r="BT922" t="s">
        <v>3825</v>
      </c>
      <c r="BU922" t="s">
        <v>3826</v>
      </c>
      <c r="BV922" t="s">
        <v>3827</v>
      </c>
      <c r="BW922" t="s">
        <v>3835</v>
      </c>
      <c r="BX922">
        <v>0</v>
      </c>
      <c r="BY922" t="s">
        <v>3864</v>
      </c>
      <c r="BZ922" t="s">
        <v>3872</v>
      </c>
    </row>
    <row r="923" spans="1:78" x14ac:dyDescent="0.25">
      <c r="A923" s="25" t="s">
        <v>3689</v>
      </c>
      <c r="B923" s="7" t="s">
        <v>3669</v>
      </c>
      <c r="C923" s="8" t="s">
        <v>3687</v>
      </c>
      <c r="D923" s="8" t="s">
        <v>3688</v>
      </c>
      <c r="E923" s="7" t="s">
        <v>770</v>
      </c>
      <c r="F923" s="26">
        <v>45761</v>
      </c>
      <c r="G923" s="9" t="s">
        <v>3674</v>
      </c>
      <c r="H923" s="9" t="s">
        <v>87</v>
      </c>
      <c r="I923" s="8" t="s">
        <v>78</v>
      </c>
      <c r="J923" s="8">
        <v>1318</v>
      </c>
      <c r="K923" s="10">
        <v>1274.8900000000001</v>
      </c>
      <c r="L923" s="10">
        <f t="shared" si="434"/>
        <v>-43.1099999999999</v>
      </c>
      <c r="M923" s="8">
        <v>611</v>
      </c>
      <c r="N923" s="10">
        <v>591</v>
      </c>
      <c r="O923" s="10">
        <f t="shared" si="435"/>
        <v>-20</v>
      </c>
      <c r="P923" s="11">
        <v>10000</v>
      </c>
      <c r="Q923" s="14">
        <v>21571.194762684125</v>
      </c>
      <c r="R923" s="11">
        <v>40000</v>
      </c>
      <c r="S923" s="14">
        <v>13180000</v>
      </c>
      <c r="T923" s="14">
        <v>659000</v>
      </c>
      <c r="U923" s="12">
        <f t="shared" si="436"/>
        <v>0.05</v>
      </c>
      <c r="V923" s="13">
        <f t="shared" si="437"/>
        <v>-431099.99999999901</v>
      </c>
      <c r="W923" s="10">
        <f t="shared" si="438"/>
        <v>-21554.999999999953</v>
      </c>
      <c r="X923" s="15"/>
      <c r="Y923" s="15"/>
      <c r="Z923" s="11">
        <f t="shared" si="439"/>
        <v>12748900.000000002</v>
      </c>
      <c r="AA923" s="14"/>
      <c r="AB923" s="14"/>
      <c r="AC923" s="11">
        <f t="shared" si="440"/>
        <v>12748900.000000002</v>
      </c>
      <c r="AD923" s="10">
        <f t="shared" si="441"/>
        <v>300</v>
      </c>
      <c r="AE923" s="8">
        <v>183300</v>
      </c>
      <c r="AF923" s="16">
        <v>32994</v>
      </c>
      <c r="AG923" s="15">
        <f t="shared" si="442"/>
        <v>-6000</v>
      </c>
      <c r="AH923" s="15">
        <f t="shared" si="443"/>
        <v>-1080</v>
      </c>
      <c r="AI923" s="15">
        <f t="shared" si="430"/>
        <v>177300</v>
      </c>
      <c r="AJ923" s="15">
        <f t="shared" si="431"/>
        <v>31914</v>
      </c>
      <c r="AK923" s="8">
        <v>183300</v>
      </c>
      <c r="AL923" s="15">
        <f t="shared" si="444"/>
        <v>177300</v>
      </c>
      <c r="AM923" s="15">
        <f t="shared" si="445"/>
        <v>12926200</v>
      </c>
      <c r="AN923" s="15">
        <f t="shared" si="446"/>
        <v>669359</v>
      </c>
      <c r="AO923" s="15">
        <f t="shared" si="423"/>
        <v>846659</v>
      </c>
      <c r="AP923" s="17">
        <f t="shared" si="447"/>
        <v>13772859</v>
      </c>
      <c r="AQ923" s="15">
        <v>1383900</v>
      </c>
      <c r="AR923" s="15">
        <v>0</v>
      </c>
      <c r="AS923" s="18">
        <f t="shared" si="424"/>
        <v>12388959</v>
      </c>
      <c r="AT923" s="19">
        <v>0</v>
      </c>
      <c r="AU923" s="8">
        <v>8800</v>
      </c>
      <c r="AV923" s="13">
        <f t="shared" si="425"/>
        <v>5200800</v>
      </c>
      <c r="AW923" s="18">
        <f t="shared" si="426"/>
        <v>12926200</v>
      </c>
      <c r="AX923" s="15">
        <f t="shared" si="448"/>
        <v>12927000</v>
      </c>
      <c r="AY923" s="20">
        <v>7.0000000000000007E-2</v>
      </c>
      <c r="AZ923" s="13">
        <f t="shared" si="449"/>
        <v>904890.00000000012</v>
      </c>
      <c r="BA923" s="15">
        <f t="shared" si="450"/>
        <v>904900</v>
      </c>
      <c r="BB923" s="21">
        <f t="shared" si="427"/>
        <v>13293859</v>
      </c>
      <c r="BC923" s="10">
        <f t="shared" si="428"/>
        <v>-3.2708649468892186</v>
      </c>
      <c r="BD923" s="10">
        <f t="shared" si="429"/>
        <v>-3.2733224222585924</v>
      </c>
      <c r="BE923" s="10">
        <v>118.44</v>
      </c>
      <c r="BF923" s="10">
        <v>54.91</v>
      </c>
      <c r="BG923" s="107">
        <v>46176</v>
      </c>
      <c r="BH923" s="107">
        <f t="shared" si="451"/>
        <v>46206</v>
      </c>
      <c r="BI923" s="23">
        <v>7</v>
      </c>
      <c r="BJ923" s="6"/>
      <c r="BK923" s="6"/>
      <c r="BL923" s="6"/>
      <c r="BM923" s="6" t="s">
        <v>3831</v>
      </c>
      <c r="BN923" s="6" t="s">
        <v>3832</v>
      </c>
      <c r="BO923" s="6" t="s">
        <v>3833</v>
      </c>
      <c r="BP923" s="6" t="s">
        <v>3821</v>
      </c>
      <c r="BQ923" s="6" t="s">
        <v>3834</v>
      </c>
      <c r="BR923" t="s">
        <v>3823</v>
      </c>
      <c r="BS923" t="s">
        <v>3824</v>
      </c>
      <c r="BT923" t="s">
        <v>3825</v>
      </c>
      <c r="BU923" t="s">
        <v>3826</v>
      </c>
      <c r="BV923" t="s">
        <v>3827</v>
      </c>
      <c r="BW923" t="s">
        <v>3835</v>
      </c>
      <c r="BX923">
        <v>0</v>
      </c>
      <c r="BY923" t="s">
        <v>3864</v>
      </c>
      <c r="BZ923" t="s">
        <v>3872</v>
      </c>
    </row>
    <row r="924" spans="1:78" x14ac:dyDescent="0.25">
      <c r="A924" s="7" t="s">
        <v>3692</v>
      </c>
      <c r="B924" s="7" t="s">
        <v>3669</v>
      </c>
      <c r="C924" s="7" t="s">
        <v>3690</v>
      </c>
      <c r="D924" s="8" t="s">
        <v>3691</v>
      </c>
      <c r="E924" s="7" t="s">
        <v>3693</v>
      </c>
      <c r="F924" s="9">
        <v>45532</v>
      </c>
      <c r="G924" s="9" t="s">
        <v>3674</v>
      </c>
      <c r="H924" s="9" t="s">
        <v>66</v>
      </c>
      <c r="I924" s="8" t="s">
        <v>78</v>
      </c>
      <c r="J924" s="73">
        <v>174</v>
      </c>
      <c r="K924" s="10">
        <v>174</v>
      </c>
      <c r="L924" s="10">
        <f t="shared" si="434"/>
        <v>0</v>
      </c>
      <c r="M924" s="73">
        <v>77</v>
      </c>
      <c r="N924" s="10">
        <v>77</v>
      </c>
      <c r="O924" s="10">
        <f t="shared" si="435"/>
        <v>0</v>
      </c>
      <c r="P924" s="11">
        <v>15755</v>
      </c>
      <c r="Q924" s="11">
        <v>35602.207792207795</v>
      </c>
      <c r="R924" s="11">
        <v>22000</v>
      </c>
      <c r="S924" s="14">
        <v>2741370</v>
      </c>
      <c r="T924" s="14">
        <v>137068</v>
      </c>
      <c r="U924" s="12">
        <f t="shared" si="436"/>
        <v>4.9999817609443456E-2</v>
      </c>
      <c r="V924" s="13">
        <f t="shared" si="437"/>
        <v>0</v>
      </c>
      <c r="W924" s="10">
        <f t="shared" si="438"/>
        <v>0</v>
      </c>
      <c r="X924" s="10"/>
      <c r="Y924" s="10"/>
      <c r="Z924" s="11">
        <f t="shared" si="439"/>
        <v>2741370</v>
      </c>
      <c r="AA924" s="14"/>
      <c r="AB924" s="14"/>
      <c r="AC924" s="11">
        <f t="shared" si="440"/>
        <v>2741370</v>
      </c>
      <c r="AD924" s="10">
        <f t="shared" si="441"/>
        <v>300</v>
      </c>
      <c r="AE924" s="73">
        <v>23100</v>
      </c>
      <c r="AF924" s="16">
        <v>4158</v>
      </c>
      <c r="AG924" s="15">
        <f t="shared" si="442"/>
        <v>0</v>
      </c>
      <c r="AH924" s="15">
        <f t="shared" si="443"/>
        <v>0</v>
      </c>
      <c r="AI924" s="15">
        <f t="shared" si="430"/>
        <v>23100</v>
      </c>
      <c r="AJ924" s="15">
        <f t="shared" si="431"/>
        <v>4158</v>
      </c>
      <c r="AK924" s="73">
        <v>23100</v>
      </c>
      <c r="AL924" s="15">
        <f t="shared" si="444"/>
        <v>23100</v>
      </c>
      <c r="AM924" s="15">
        <f t="shared" si="445"/>
        <v>2764470</v>
      </c>
      <c r="AN924" s="15">
        <f t="shared" si="446"/>
        <v>141226</v>
      </c>
      <c r="AO924" s="15">
        <f t="shared" si="423"/>
        <v>164361.1</v>
      </c>
      <c r="AP924" s="17">
        <f t="shared" si="447"/>
        <v>2928831.1</v>
      </c>
      <c r="AQ924" s="15">
        <v>2583287</v>
      </c>
      <c r="AR924" s="15">
        <v>35.1</v>
      </c>
      <c r="AS924" s="18">
        <f t="shared" si="424"/>
        <v>345544</v>
      </c>
      <c r="AT924" s="19">
        <v>0</v>
      </c>
      <c r="AU924" s="8">
        <v>8800</v>
      </c>
      <c r="AV924" s="13">
        <f t="shared" si="425"/>
        <v>677600</v>
      </c>
      <c r="AW924" s="18">
        <f t="shared" si="426"/>
        <v>2764470</v>
      </c>
      <c r="AX924" s="15">
        <f t="shared" si="448"/>
        <v>2765000</v>
      </c>
      <c r="AY924" s="20">
        <v>7.0000000000000007E-2</v>
      </c>
      <c r="AZ924" s="13">
        <f t="shared" si="449"/>
        <v>193550.00000000003</v>
      </c>
      <c r="BA924" s="15">
        <f t="shared" si="450"/>
        <v>193600</v>
      </c>
      <c r="BB924" s="21">
        <f t="shared" si="427"/>
        <v>539144</v>
      </c>
      <c r="BC924" s="10">
        <f t="shared" si="428"/>
        <v>0</v>
      </c>
      <c r="BD924" s="10">
        <f t="shared" si="429"/>
        <v>0</v>
      </c>
      <c r="BE924" s="10">
        <v>16.16</v>
      </c>
      <c r="BF924" s="10">
        <v>7.15</v>
      </c>
      <c r="BG924" s="107">
        <v>46176</v>
      </c>
      <c r="BH924" s="107">
        <f t="shared" si="451"/>
        <v>46206</v>
      </c>
      <c r="BI924" s="23">
        <v>7</v>
      </c>
      <c r="BJ924" s="6"/>
      <c r="BK924" s="6"/>
      <c r="BL924" s="6"/>
      <c r="BM924" s="6" t="s">
        <v>3831</v>
      </c>
      <c r="BN924" s="6" t="s">
        <v>3832</v>
      </c>
      <c r="BO924" s="6" t="s">
        <v>3833</v>
      </c>
      <c r="BP924" s="6" t="s">
        <v>3821</v>
      </c>
      <c r="BQ924" s="6" t="s">
        <v>3834</v>
      </c>
      <c r="BR924" t="s">
        <v>3823</v>
      </c>
      <c r="BS924" t="s">
        <v>3824</v>
      </c>
      <c r="BT924" t="s">
        <v>3825</v>
      </c>
      <c r="BU924" t="s">
        <v>3826</v>
      </c>
      <c r="BV924" t="s">
        <v>3827</v>
      </c>
      <c r="BW924" t="s">
        <v>3835</v>
      </c>
      <c r="BX924">
        <v>0</v>
      </c>
      <c r="BY924" t="s">
        <v>3865</v>
      </c>
      <c r="BZ924" t="s">
        <v>3872</v>
      </c>
    </row>
    <row r="925" spans="1:78" x14ac:dyDescent="0.25">
      <c r="A925" s="7" t="s">
        <v>3696</v>
      </c>
      <c r="B925" s="7" t="s">
        <v>3669</v>
      </c>
      <c r="C925" s="7" t="s">
        <v>3694</v>
      </c>
      <c r="D925" s="8" t="s">
        <v>3695</v>
      </c>
      <c r="E925" s="7" t="s">
        <v>3697</v>
      </c>
      <c r="F925" s="9">
        <v>45535</v>
      </c>
      <c r="G925" s="9" t="s">
        <v>3674</v>
      </c>
      <c r="H925" s="9" t="s">
        <v>66</v>
      </c>
      <c r="I925" s="8" t="s">
        <v>78</v>
      </c>
      <c r="J925" s="73">
        <v>592</v>
      </c>
      <c r="K925" s="10">
        <v>645.02</v>
      </c>
      <c r="L925" s="10">
        <f t="shared" si="434"/>
        <v>53.019999999999982</v>
      </c>
      <c r="M925" s="73">
        <v>268</v>
      </c>
      <c r="N925" s="10">
        <v>292</v>
      </c>
      <c r="O925" s="10">
        <f t="shared" si="435"/>
        <v>24</v>
      </c>
      <c r="P925" s="11">
        <v>15561.216216216217</v>
      </c>
      <c r="Q925" s="11">
        <v>34374.029850746272</v>
      </c>
      <c r="R925" s="11">
        <v>22000</v>
      </c>
      <c r="S925" s="14">
        <v>9212240</v>
      </c>
      <c r="T925" s="14">
        <v>460612</v>
      </c>
      <c r="U925" s="12">
        <f t="shared" si="436"/>
        <v>0.05</v>
      </c>
      <c r="V925" s="13">
        <f>L925*R925</f>
        <v>1166439.9999999995</v>
      </c>
      <c r="W925" s="10">
        <f t="shared" si="438"/>
        <v>58321.999999999978</v>
      </c>
      <c r="X925" s="15"/>
      <c r="Y925" s="15"/>
      <c r="Z925" s="11">
        <f t="shared" si="439"/>
        <v>10378680</v>
      </c>
      <c r="AA925" s="14"/>
      <c r="AB925" s="14"/>
      <c r="AC925" s="11">
        <f t="shared" si="440"/>
        <v>10378680</v>
      </c>
      <c r="AD925" s="10">
        <f t="shared" si="441"/>
        <v>300</v>
      </c>
      <c r="AE925" s="73">
        <v>80400</v>
      </c>
      <c r="AF925" s="16">
        <v>14472</v>
      </c>
      <c r="AG925" s="15">
        <f t="shared" si="442"/>
        <v>7200</v>
      </c>
      <c r="AH925" s="15">
        <f t="shared" si="443"/>
        <v>1296</v>
      </c>
      <c r="AI925" s="15">
        <f t="shared" si="430"/>
        <v>87600</v>
      </c>
      <c r="AJ925" s="15">
        <f t="shared" si="431"/>
        <v>15768</v>
      </c>
      <c r="AK925" s="73">
        <v>80400</v>
      </c>
      <c r="AL925" s="15">
        <f t="shared" si="444"/>
        <v>87600</v>
      </c>
      <c r="AM925" s="15">
        <f t="shared" si="445"/>
        <v>10466280</v>
      </c>
      <c r="AN925" s="15">
        <f t="shared" si="446"/>
        <v>534702</v>
      </c>
      <c r="AO925" s="15">
        <f t="shared" si="423"/>
        <v>622416.26</v>
      </c>
      <c r="AP925" s="17">
        <f t="shared" si="447"/>
        <v>11088696.26</v>
      </c>
      <c r="AQ925" s="15">
        <v>8672329.8399999999</v>
      </c>
      <c r="AR925" s="15">
        <v>114.26</v>
      </c>
      <c r="AS925" s="18">
        <f t="shared" si="424"/>
        <v>2416366</v>
      </c>
      <c r="AT925" s="19">
        <v>0</v>
      </c>
      <c r="AU925" s="8">
        <v>8800</v>
      </c>
      <c r="AV925" s="13">
        <f t="shared" si="425"/>
        <v>2569600</v>
      </c>
      <c r="AW925" s="18">
        <f t="shared" si="426"/>
        <v>10466280</v>
      </c>
      <c r="AX925" s="15">
        <f t="shared" si="448"/>
        <v>10467000</v>
      </c>
      <c r="AY925" s="20">
        <v>7.0000000000000007E-2</v>
      </c>
      <c r="AZ925" s="13">
        <f t="shared" si="449"/>
        <v>732690.00000000012</v>
      </c>
      <c r="BA925" s="15">
        <f t="shared" si="450"/>
        <v>732700</v>
      </c>
      <c r="BB925" s="21">
        <f t="shared" si="427"/>
        <v>3149066</v>
      </c>
      <c r="BC925" s="10">
        <f t="shared" si="428"/>
        <v>8.9560810810810789</v>
      </c>
      <c r="BD925" s="10">
        <f t="shared" si="429"/>
        <v>8.9552238805970141</v>
      </c>
      <c r="BE925" s="10">
        <v>59.92</v>
      </c>
      <c r="BF925" s="10">
        <v>27.13</v>
      </c>
      <c r="BG925" s="107">
        <v>46176</v>
      </c>
      <c r="BH925" s="107">
        <f t="shared" si="451"/>
        <v>46206</v>
      </c>
      <c r="BI925" s="23">
        <v>7</v>
      </c>
      <c r="BJ925" s="6"/>
      <c r="BK925" s="6"/>
      <c r="BL925" s="6"/>
      <c r="BM925" s="6" t="s">
        <v>3831</v>
      </c>
      <c r="BN925" s="6" t="s">
        <v>3832</v>
      </c>
      <c r="BO925" s="6" t="s">
        <v>3833</v>
      </c>
      <c r="BP925" s="6" t="s">
        <v>3821</v>
      </c>
      <c r="BQ925" s="6" t="s">
        <v>3834</v>
      </c>
      <c r="BR925" t="s">
        <v>3823</v>
      </c>
      <c r="BS925" t="s">
        <v>3824</v>
      </c>
      <c r="BT925" t="s">
        <v>3825</v>
      </c>
      <c r="BU925" t="s">
        <v>3826</v>
      </c>
      <c r="BV925" t="s">
        <v>3827</v>
      </c>
      <c r="BW925" t="s">
        <v>3835</v>
      </c>
      <c r="BX925">
        <v>0</v>
      </c>
      <c r="BY925" t="s">
        <v>3865</v>
      </c>
      <c r="BZ925" t="s">
        <v>3872</v>
      </c>
    </row>
    <row r="926" spans="1:78" x14ac:dyDescent="0.25">
      <c r="A926" s="7" t="s">
        <v>3700</v>
      </c>
      <c r="B926" s="7" t="s">
        <v>3669</v>
      </c>
      <c r="C926" s="7" t="s">
        <v>3698</v>
      </c>
      <c r="D926" s="8" t="s">
        <v>3699</v>
      </c>
      <c r="E926" s="7" t="s">
        <v>3701</v>
      </c>
      <c r="F926" s="9">
        <v>45507</v>
      </c>
      <c r="G926" s="9" t="s">
        <v>3674</v>
      </c>
      <c r="H926" s="9" t="s">
        <v>92</v>
      </c>
      <c r="I926" s="8" t="s">
        <v>78</v>
      </c>
      <c r="J926" s="73">
        <v>592</v>
      </c>
      <c r="K926" s="10">
        <v>645.02</v>
      </c>
      <c r="L926" s="10">
        <f t="shared" si="434"/>
        <v>53.019999999999982</v>
      </c>
      <c r="M926" s="73">
        <v>268</v>
      </c>
      <c r="N926" s="10">
        <v>292</v>
      </c>
      <c r="O926" s="10">
        <f t="shared" si="435"/>
        <v>24</v>
      </c>
      <c r="P926" s="11">
        <v>18477.701013513513</v>
      </c>
      <c r="Q926" s="11">
        <v>40816.414179104475</v>
      </c>
      <c r="R926" s="11">
        <v>28000</v>
      </c>
      <c r="S926" s="14">
        <v>10938799</v>
      </c>
      <c r="T926" s="14">
        <v>546940</v>
      </c>
      <c r="U926" s="12">
        <f t="shared" si="436"/>
        <v>5.0000004570885707E-2</v>
      </c>
      <c r="V926" s="13">
        <f>L926*R926</f>
        <v>1484559.9999999995</v>
      </c>
      <c r="W926" s="10">
        <f t="shared" si="438"/>
        <v>74228.006785754056</v>
      </c>
      <c r="X926" s="15"/>
      <c r="Y926" s="15"/>
      <c r="Z926" s="11">
        <f t="shared" si="439"/>
        <v>12423359</v>
      </c>
      <c r="AA926" s="14"/>
      <c r="AB926" s="14"/>
      <c r="AC926" s="11">
        <f t="shared" si="440"/>
        <v>12423359</v>
      </c>
      <c r="AD926" s="10">
        <f t="shared" si="441"/>
        <v>300</v>
      </c>
      <c r="AE926" s="73">
        <v>80400</v>
      </c>
      <c r="AF926" s="16">
        <v>14472</v>
      </c>
      <c r="AG926" s="15">
        <f t="shared" si="442"/>
        <v>7200</v>
      </c>
      <c r="AH926" s="15">
        <f t="shared" si="443"/>
        <v>1296</v>
      </c>
      <c r="AI926" s="15">
        <f t="shared" si="430"/>
        <v>87600</v>
      </c>
      <c r="AJ926" s="15">
        <f t="shared" si="431"/>
        <v>15768</v>
      </c>
      <c r="AK926" s="73">
        <v>80400</v>
      </c>
      <c r="AL926" s="15">
        <f t="shared" si="444"/>
        <v>87600</v>
      </c>
      <c r="AM926" s="15">
        <f t="shared" si="445"/>
        <v>12510959</v>
      </c>
      <c r="AN926" s="15">
        <f t="shared" si="446"/>
        <v>636937</v>
      </c>
      <c r="AO926" s="15">
        <f t="shared" si="423"/>
        <v>724686.36</v>
      </c>
      <c r="AP926" s="17">
        <f t="shared" si="447"/>
        <v>13235645.359999999</v>
      </c>
      <c r="AQ926" s="15">
        <v>10293326</v>
      </c>
      <c r="AR926" s="15">
        <v>149.36000000000001</v>
      </c>
      <c r="AS926" s="18">
        <f t="shared" si="424"/>
        <v>2942319</v>
      </c>
      <c r="AT926" s="19">
        <v>0</v>
      </c>
      <c r="AU926" s="8">
        <v>8800</v>
      </c>
      <c r="AV926" s="13">
        <f t="shared" si="425"/>
        <v>2569600</v>
      </c>
      <c r="AW926" s="18">
        <f t="shared" si="426"/>
        <v>12510959</v>
      </c>
      <c r="AX926" s="15">
        <f t="shared" si="448"/>
        <v>12511000</v>
      </c>
      <c r="AY926" s="20">
        <v>7.0000000000000007E-2</v>
      </c>
      <c r="AZ926" s="13">
        <f t="shared" si="449"/>
        <v>875770.00000000012</v>
      </c>
      <c r="BA926" s="15">
        <f t="shared" si="450"/>
        <v>875800</v>
      </c>
      <c r="BB926" s="21">
        <f t="shared" si="427"/>
        <v>3818119</v>
      </c>
      <c r="BC926" s="10">
        <f t="shared" si="428"/>
        <v>8.9560810810810789</v>
      </c>
      <c r="BD926" s="10">
        <f t="shared" si="429"/>
        <v>8.9552238805970141</v>
      </c>
      <c r="BE926" s="10">
        <v>59.92</v>
      </c>
      <c r="BF926" s="10">
        <v>27.13</v>
      </c>
      <c r="BG926" s="107">
        <v>46176</v>
      </c>
      <c r="BH926" s="107">
        <f t="shared" si="451"/>
        <v>46206</v>
      </c>
      <c r="BI926" s="23">
        <v>7</v>
      </c>
      <c r="BJ926" s="6"/>
      <c r="BK926" s="6"/>
      <c r="BL926" s="6"/>
      <c r="BM926" s="6" t="s">
        <v>3831</v>
      </c>
      <c r="BN926" s="6" t="s">
        <v>3832</v>
      </c>
      <c r="BO926" s="6" t="s">
        <v>3833</v>
      </c>
      <c r="BP926" s="6" t="s">
        <v>3821</v>
      </c>
      <c r="BQ926" s="6" t="s">
        <v>3834</v>
      </c>
      <c r="BR926" t="s">
        <v>3823</v>
      </c>
      <c r="BS926" t="s">
        <v>3824</v>
      </c>
      <c r="BT926" t="s">
        <v>3825</v>
      </c>
      <c r="BU926" t="s">
        <v>3826</v>
      </c>
      <c r="BV926" t="s">
        <v>3827</v>
      </c>
      <c r="BW926" t="s">
        <v>3835</v>
      </c>
      <c r="BX926">
        <v>0</v>
      </c>
      <c r="BY926" t="s">
        <v>3864</v>
      </c>
      <c r="BZ926" t="s">
        <v>3872</v>
      </c>
    </row>
    <row r="927" spans="1:78" x14ac:dyDescent="0.25">
      <c r="A927" s="7" t="s">
        <v>3704</v>
      </c>
      <c r="B927" s="7" t="s">
        <v>3669</v>
      </c>
      <c r="C927" s="7" t="s">
        <v>3702</v>
      </c>
      <c r="D927" s="8" t="s">
        <v>3703</v>
      </c>
      <c r="E927" s="7" t="s">
        <v>3705</v>
      </c>
      <c r="F927" s="9">
        <v>45507</v>
      </c>
      <c r="G927" s="9" t="s">
        <v>3674</v>
      </c>
      <c r="H927" s="9" t="s">
        <v>72</v>
      </c>
      <c r="I927" s="8" t="s">
        <v>78</v>
      </c>
      <c r="J927" s="73">
        <v>742</v>
      </c>
      <c r="K927" s="10">
        <v>742</v>
      </c>
      <c r="L927" s="10">
        <f t="shared" si="434"/>
        <v>0</v>
      </c>
      <c r="M927" s="73">
        <v>340</v>
      </c>
      <c r="N927" s="10">
        <v>340</v>
      </c>
      <c r="O927" s="10">
        <f t="shared" si="435"/>
        <v>0</v>
      </c>
      <c r="P927" s="11">
        <v>6499.9986522911049</v>
      </c>
      <c r="Q927" s="11">
        <v>14185.291176470588</v>
      </c>
      <c r="R927" s="11">
        <v>20000</v>
      </c>
      <c r="S927" s="14">
        <v>4822999</v>
      </c>
      <c r="T927" s="14">
        <v>241148</v>
      </c>
      <c r="U927" s="12">
        <f t="shared" si="436"/>
        <v>4.9999595687247704E-2</v>
      </c>
      <c r="V927" s="13">
        <f>L927*P927</f>
        <v>0</v>
      </c>
      <c r="W927" s="10">
        <f t="shared" si="438"/>
        <v>0</v>
      </c>
      <c r="X927" s="10"/>
      <c r="Y927" s="10"/>
      <c r="Z927" s="11">
        <f t="shared" si="439"/>
        <v>4822999</v>
      </c>
      <c r="AA927" s="14"/>
      <c r="AB927" s="14"/>
      <c r="AC927" s="11">
        <f t="shared" si="440"/>
        <v>4822999</v>
      </c>
      <c r="AD927" s="10">
        <f t="shared" si="441"/>
        <v>300</v>
      </c>
      <c r="AE927" s="73">
        <v>102000</v>
      </c>
      <c r="AF927" s="16">
        <v>18360</v>
      </c>
      <c r="AG927" s="15">
        <f t="shared" si="442"/>
        <v>0</v>
      </c>
      <c r="AH927" s="15">
        <f t="shared" si="443"/>
        <v>0</v>
      </c>
      <c r="AI927" s="15">
        <f t="shared" si="430"/>
        <v>102000</v>
      </c>
      <c r="AJ927" s="15">
        <f t="shared" si="431"/>
        <v>18360</v>
      </c>
      <c r="AK927" s="73">
        <v>102000</v>
      </c>
      <c r="AL927" s="15">
        <f t="shared" si="444"/>
        <v>102000</v>
      </c>
      <c r="AM927" s="15">
        <f t="shared" si="445"/>
        <v>4924999</v>
      </c>
      <c r="AN927" s="15">
        <f t="shared" si="446"/>
        <v>259508</v>
      </c>
      <c r="AO927" s="15">
        <f t="shared" si="423"/>
        <v>361661.36</v>
      </c>
      <c r="AP927" s="17">
        <f t="shared" si="447"/>
        <v>5286660.3600000003</v>
      </c>
      <c r="AQ927" s="15">
        <v>4524616.0599999996</v>
      </c>
      <c r="AR927" s="15">
        <v>153.36000000000001</v>
      </c>
      <c r="AS927" s="18">
        <f t="shared" si="424"/>
        <v>762044</v>
      </c>
      <c r="AT927" s="19">
        <v>0</v>
      </c>
      <c r="AU927" s="8">
        <v>8800</v>
      </c>
      <c r="AV927" s="13">
        <f t="shared" si="425"/>
        <v>2992000</v>
      </c>
      <c r="AW927" s="18">
        <f t="shared" si="426"/>
        <v>4924999</v>
      </c>
      <c r="AX927" s="15">
        <f t="shared" si="448"/>
        <v>4925000</v>
      </c>
      <c r="AY927" s="20">
        <v>0.05</v>
      </c>
      <c r="AZ927" s="13">
        <f t="shared" si="449"/>
        <v>246250</v>
      </c>
      <c r="BA927" s="15">
        <f t="shared" si="450"/>
        <v>246300</v>
      </c>
      <c r="BB927" s="21">
        <f t="shared" si="427"/>
        <v>1008344</v>
      </c>
      <c r="BC927" s="10">
        <f t="shared" si="428"/>
        <v>0</v>
      </c>
      <c r="BD927" s="10">
        <f t="shared" si="429"/>
        <v>0</v>
      </c>
      <c r="BE927" s="10">
        <v>68.930000000000007</v>
      </c>
      <c r="BF927" s="10">
        <v>31.59</v>
      </c>
      <c r="BG927" s="107">
        <v>46176</v>
      </c>
      <c r="BH927" s="107">
        <f t="shared" si="451"/>
        <v>46206</v>
      </c>
      <c r="BI927" s="23">
        <v>5</v>
      </c>
      <c r="BJ927" s="6"/>
      <c r="BK927" s="6"/>
      <c r="BL927" s="6"/>
      <c r="BM927" s="6" t="s">
        <v>3831</v>
      </c>
      <c r="BN927" s="6" t="s">
        <v>3832</v>
      </c>
      <c r="BO927" s="6" t="s">
        <v>3833</v>
      </c>
      <c r="BP927" s="6" t="s">
        <v>3821</v>
      </c>
      <c r="BQ927" s="6" t="s">
        <v>3834</v>
      </c>
      <c r="BR927" t="s">
        <v>3823</v>
      </c>
      <c r="BS927" t="s">
        <v>3824</v>
      </c>
      <c r="BT927" t="s">
        <v>3825</v>
      </c>
      <c r="BU927" t="s">
        <v>3826</v>
      </c>
      <c r="BV927" t="s">
        <v>3827</v>
      </c>
      <c r="BW927" t="s">
        <v>3835</v>
      </c>
      <c r="BX927">
        <v>0</v>
      </c>
      <c r="BY927" t="s">
        <v>3866</v>
      </c>
      <c r="BZ927" t="s">
        <v>3872</v>
      </c>
    </row>
    <row r="928" spans="1:78" x14ac:dyDescent="0.25">
      <c r="A928" s="7" t="s">
        <v>3708</v>
      </c>
      <c r="B928" s="7" t="s">
        <v>3669</v>
      </c>
      <c r="C928" s="7" t="s">
        <v>3706</v>
      </c>
      <c r="D928" s="8" t="s">
        <v>3707</v>
      </c>
      <c r="E928" s="7" t="s">
        <v>3709</v>
      </c>
      <c r="F928" s="9">
        <v>45507</v>
      </c>
      <c r="G928" s="9" t="s">
        <v>3674</v>
      </c>
      <c r="H928" s="9" t="s">
        <v>72</v>
      </c>
      <c r="I928" s="8" t="s">
        <v>78</v>
      </c>
      <c r="J928" s="73">
        <v>592</v>
      </c>
      <c r="K928" s="10">
        <v>645.02</v>
      </c>
      <c r="L928" s="10">
        <f t="shared" si="434"/>
        <v>53.019999999999982</v>
      </c>
      <c r="M928" s="73">
        <v>268</v>
      </c>
      <c r="N928" s="10">
        <v>292</v>
      </c>
      <c r="O928" s="10">
        <f t="shared" si="435"/>
        <v>24</v>
      </c>
      <c r="P928" s="11">
        <v>11591.00168918919</v>
      </c>
      <c r="Q928" s="11">
        <v>25604.003731343284</v>
      </c>
      <c r="R928" s="11">
        <v>20000</v>
      </c>
      <c r="S928" s="14">
        <v>6861873</v>
      </c>
      <c r="T928" s="14">
        <v>343094</v>
      </c>
      <c r="U928" s="12">
        <f t="shared" si="436"/>
        <v>5.0000051006481756E-2</v>
      </c>
      <c r="V928" s="13">
        <f>L928*R928</f>
        <v>1060399.9999999995</v>
      </c>
      <c r="W928" s="10">
        <f t="shared" si="438"/>
        <v>53020.054087273231</v>
      </c>
      <c r="X928" s="15"/>
      <c r="Y928" s="15"/>
      <c r="Z928" s="11">
        <f t="shared" si="439"/>
        <v>7922273</v>
      </c>
      <c r="AA928" s="14"/>
      <c r="AB928" s="14"/>
      <c r="AC928" s="11">
        <f t="shared" si="440"/>
        <v>7922273</v>
      </c>
      <c r="AD928" s="10">
        <f t="shared" si="441"/>
        <v>300</v>
      </c>
      <c r="AE928" s="73">
        <v>80400</v>
      </c>
      <c r="AF928" s="16">
        <v>14472</v>
      </c>
      <c r="AG928" s="15">
        <f t="shared" si="442"/>
        <v>7200</v>
      </c>
      <c r="AH928" s="15">
        <f t="shared" si="443"/>
        <v>1296</v>
      </c>
      <c r="AI928" s="15">
        <f t="shared" si="430"/>
        <v>87600</v>
      </c>
      <c r="AJ928" s="15">
        <f t="shared" si="431"/>
        <v>15768</v>
      </c>
      <c r="AK928" s="73">
        <v>80400</v>
      </c>
      <c r="AL928" s="15">
        <f t="shared" si="444"/>
        <v>87600</v>
      </c>
      <c r="AM928" s="15">
        <f t="shared" si="445"/>
        <v>8009873</v>
      </c>
      <c r="AN928" s="15">
        <f t="shared" si="446"/>
        <v>411883</v>
      </c>
      <c r="AO928" s="15">
        <f t="shared" si="423"/>
        <v>499694.5</v>
      </c>
      <c r="AP928" s="17">
        <f t="shared" si="447"/>
        <v>8509567.5</v>
      </c>
      <c r="AQ928" s="15">
        <v>6422712.6400000006</v>
      </c>
      <c r="AR928" s="15">
        <v>211.5</v>
      </c>
      <c r="AS928" s="18">
        <f t="shared" si="424"/>
        <v>2086855</v>
      </c>
      <c r="AT928" s="19">
        <v>0</v>
      </c>
      <c r="AU928" s="8">
        <v>8800</v>
      </c>
      <c r="AV928" s="13">
        <f t="shared" si="425"/>
        <v>2569600</v>
      </c>
      <c r="AW928" s="18">
        <f t="shared" si="426"/>
        <v>8009873</v>
      </c>
      <c r="AX928" s="15">
        <f t="shared" si="448"/>
        <v>8010000</v>
      </c>
      <c r="AY928" s="20">
        <v>0.06</v>
      </c>
      <c r="AZ928" s="13">
        <f t="shared" si="449"/>
        <v>480600</v>
      </c>
      <c r="BA928" s="15">
        <f t="shared" si="450"/>
        <v>480600</v>
      </c>
      <c r="BB928" s="21">
        <f t="shared" si="427"/>
        <v>2567455</v>
      </c>
      <c r="BC928" s="10">
        <f t="shared" si="428"/>
        <v>8.9560810810810789</v>
      </c>
      <c r="BD928" s="10">
        <f t="shared" si="429"/>
        <v>8.9552238805970141</v>
      </c>
      <c r="BE928" s="10">
        <v>59.92</v>
      </c>
      <c r="BF928" s="10">
        <v>27.13</v>
      </c>
      <c r="BG928" s="107">
        <v>46176</v>
      </c>
      <c r="BH928" s="107">
        <f t="shared" si="451"/>
        <v>46206</v>
      </c>
      <c r="BI928" s="23">
        <v>6</v>
      </c>
      <c r="BJ928" s="6"/>
      <c r="BK928" s="6"/>
      <c r="BL928" s="6"/>
      <c r="BM928" s="6" t="s">
        <v>3831</v>
      </c>
      <c r="BN928" s="6" t="s">
        <v>3832</v>
      </c>
      <c r="BO928" s="6" t="s">
        <v>3833</v>
      </c>
      <c r="BP928" s="6" t="s">
        <v>3821</v>
      </c>
      <c r="BQ928" s="6" t="s">
        <v>3834</v>
      </c>
      <c r="BR928" t="s">
        <v>3823</v>
      </c>
      <c r="BS928" t="s">
        <v>3824</v>
      </c>
      <c r="BT928" t="s">
        <v>3825</v>
      </c>
      <c r="BU928" t="s">
        <v>3826</v>
      </c>
      <c r="BV928" t="s">
        <v>3827</v>
      </c>
      <c r="BW928" t="s">
        <v>3835</v>
      </c>
      <c r="BX928">
        <v>0</v>
      </c>
      <c r="BY928" t="s">
        <v>3864</v>
      </c>
      <c r="BZ928" t="s">
        <v>3872</v>
      </c>
    </row>
    <row r="929" spans="1:78" x14ac:dyDescent="0.25">
      <c r="A929" s="7" t="s">
        <v>3712</v>
      </c>
      <c r="B929" s="7" t="s">
        <v>3669</v>
      </c>
      <c r="C929" s="7" t="s">
        <v>3710</v>
      </c>
      <c r="D929" s="8" t="s">
        <v>3711</v>
      </c>
      <c r="E929" s="7" t="s">
        <v>3713</v>
      </c>
      <c r="F929" s="9">
        <v>45545</v>
      </c>
      <c r="G929" s="9" t="s">
        <v>3674</v>
      </c>
      <c r="H929" s="9" t="s">
        <v>66</v>
      </c>
      <c r="I929" s="8" t="s">
        <v>78</v>
      </c>
      <c r="J929" s="73">
        <v>722</v>
      </c>
      <c r="K929" s="10">
        <v>722</v>
      </c>
      <c r="L929" s="10">
        <f t="shared" si="434"/>
        <v>0</v>
      </c>
      <c r="M929" s="73">
        <v>331</v>
      </c>
      <c r="N929" s="10">
        <v>331</v>
      </c>
      <c r="O929" s="10">
        <f t="shared" si="435"/>
        <v>0</v>
      </c>
      <c r="P929" s="14">
        <v>14502.897506925208</v>
      </c>
      <c r="Q929" s="14">
        <v>31634.719033232628</v>
      </c>
      <c r="R929" s="11">
        <v>22000</v>
      </c>
      <c r="S929" s="14">
        <v>10471092</v>
      </c>
      <c r="T929" s="14">
        <v>523554</v>
      </c>
      <c r="U929" s="12">
        <f t="shared" si="436"/>
        <v>4.9999942699386082E-2</v>
      </c>
      <c r="V929" s="13">
        <f>L929*P929</f>
        <v>0</v>
      </c>
      <c r="W929" s="10">
        <f t="shared" si="438"/>
        <v>0</v>
      </c>
      <c r="X929" s="10"/>
      <c r="Y929" s="10"/>
      <c r="Z929" s="11">
        <f t="shared" si="439"/>
        <v>10471092</v>
      </c>
      <c r="AA929" s="14"/>
      <c r="AB929" s="14"/>
      <c r="AC929" s="11">
        <f t="shared" si="440"/>
        <v>10471092</v>
      </c>
      <c r="AD929" s="10">
        <f t="shared" si="441"/>
        <v>300</v>
      </c>
      <c r="AE929" s="73">
        <v>99300</v>
      </c>
      <c r="AF929" s="16">
        <v>17874</v>
      </c>
      <c r="AG929" s="15">
        <f t="shared" si="442"/>
        <v>0</v>
      </c>
      <c r="AH929" s="15">
        <f t="shared" si="443"/>
        <v>0</v>
      </c>
      <c r="AI929" s="15">
        <f t="shared" si="430"/>
        <v>99300</v>
      </c>
      <c r="AJ929" s="15">
        <f t="shared" si="431"/>
        <v>17874</v>
      </c>
      <c r="AK929" s="73">
        <v>99300</v>
      </c>
      <c r="AL929" s="15">
        <f t="shared" si="444"/>
        <v>99300</v>
      </c>
      <c r="AM929" s="15">
        <f t="shared" si="445"/>
        <v>10570392</v>
      </c>
      <c r="AN929" s="15">
        <f t="shared" si="446"/>
        <v>541428</v>
      </c>
      <c r="AO929" s="15">
        <f t="shared" si="423"/>
        <v>640950.5</v>
      </c>
      <c r="AP929" s="17">
        <f t="shared" si="447"/>
        <v>11211342.5</v>
      </c>
      <c r="AQ929" s="15">
        <v>9847432.8499999996</v>
      </c>
      <c r="AR929" s="15">
        <v>222.5</v>
      </c>
      <c r="AS929" s="18">
        <f t="shared" si="424"/>
        <v>1363910</v>
      </c>
      <c r="AT929" s="19">
        <v>0</v>
      </c>
      <c r="AU929" s="8">
        <v>8800</v>
      </c>
      <c r="AV929" s="13">
        <f t="shared" si="425"/>
        <v>2912800</v>
      </c>
      <c r="AW929" s="18">
        <f t="shared" si="426"/>
        <v>10570392</v>
      </c>
      <c r="AX929" s="15">
        <f t="shared" si="448"/>
        <v>10571000</v>
      </c>
      <c r="AY929" s="20">
        <v>5.67E-2</v>
      </c>
      <c r="AZ929" s="13">
        <f t="shared" si="449"/>
        <v>599375.69999999995</v>
      </c>
      <c r="BA929" s="15">
        <f t="shared" si="450"/>
        <v>599400</v>
      </c>
      <c r="BB929" s="21">
        <f t="shared" si="427"/>
        <v>1963310</v>
      </c>
      <c r="BC929" s="10">
        <f t="shared" si="428"/>
        <v>0</v>
      </c>
      <c r="BD929" s="10">
        <f t="shared" si="429"/>
        <v>0</v>
      </c>
      <c r="BE929" s="10">
        <v>67.08</v>
      </c>
      <c r="BF929" s="10">
        <v>30.75</v>
      </c>
      <c r="BG929" s="107">
        <v>46176</v>
      </c>
      <c r="BH929" s="107">
        <f t="shared" si="451"/>
        <v>46206</v>
      </c>
      <c r="BI929" s="23">
        <v>5.67</v>
      </c>
      <c r="BJ929" s="6"/>
      <c r="BK929" s="6"/>
      <c r="BL929" s="6"/>
      <c r="BM929" s="6" t="s">
        <v>3831</v>
      </c>
      <c r="BN929" s="6" t="s">
        <v>3832</v>
      </c>
      <c r="BO929" s="6" t="s">
        <v>3833</v>
      </c>
      <c r="BP929" s="6" t="s">
        <v>3821</v>
      </c>
      <c r="BQ929" s="6" t="s">
        <v>3834</v>
      </c>
      <c r="BR929" t="s">
        <v>3823</v>
      </c>
      <c r="BS929" t="s">
        <v>3824</v>
      </c>
      <c r="BT929" t="s">
        <v>3825</v>
      </c>
      <c r="BU929" t="s">
        <v>3826</v>
      </c>
      <c r="BV929" t="s">
        <v>3827</v>
      </c>
      <c r="BW929" t="s">
        <v>3835</v>
      </c>
      <c r="BX929">
        <v>0</v>
      </c>
      <c r="BY929" t="s">
        <v>3861</v>
      </c>
      <c r="BZ929" t="s">
        <v>3872</v>
      </c>
    </row>
    <row r="930" spans="1:78" x14ac:dyDescent="0.25">
      <c r="A930" s="7" t="s">
        <v>3716</v>
      </c>
      <c r="B930" s="7" t="s">
        <v>3669</v>
      </c>
      <c r="C930" s="7" t="s">
        <v>3714</v>
      </c>
      <c r="D930" s="8" t="s">
        <v>3715</v>
      </c>
      <c r="E930" s="7" t="s">
        <v>3717</v>
      </c>
      <c r="F930" s="9">
        <v>45507</v>
      </c>
      <c r="G930" s="9" t="s">
        <v>3674</v>
      </c>
      <c r="H930" s="9" t="s">
        <v>72</v>
      </c>
      <c r="I930" s="8" t="s">
        <v>78</v>
      </c>
      <c r="J930" s="73">
        <v>592</v>
      </c>
      <c r="K930" s="10">
        <v>645.02</v>
      </c>
      <c r="L930" s="10">
        <f t="shared" si="434"/>
        <v>53.019999999999982</v>
      </c>
      <c r="M930" s="73">
        <v>268</v>
      </c>
      <c r="N930" s="10">
        <v>292</v>
      </c>
      <c r="O930" s="10">
        <f t="shared" si="435"/>
        <v>24</v>
      </c>
      <c r="P930" s="11">
        <v>11299.99831081081</v>
      </c>
      <c r="Q930" s="11">
        <v>24961.190298507463</v>
      </c>
      <c r="R930" s="11">
        <v>20000</v>
      </c>
      <c r="S930" s="14">
        <v>6689599</v>
      </c>
      <c r="T930" s="14">
        <v>334480</v>
      </c>
      <c r="U930" s="12">
        <f t="shared" si="436"/>
        <v>5.0000007474289565E-2</v>
      </c>
      <c r="V930" s="13">
        <f>L930*R930</f>
        <v>1060399.9999999995</v>
      </c>
      <c r="W930" s="10">
        <f t="shared" si="438"/>
        <v>53020.007925736631</v>
      </c>
      <c r="X930" s="15"/>
      <c r="Y930" s="15"/>
      <c r="Z930" s="11">
        <f t="shared" si="439"/>
        <v>7749999</v>
      </c>
      <c r="AA930" s="14"/>
      <c r="AB930" s="14"/>
      <c r="AC930" s="11">
        <f t="shared" si="440"/>
        <v>7749999</v>
      </c>
      <c r="AD930" s="10">
        <f t="shared" si="441"/>
        <v>300</v>
      </c>
      <c r="AE930" s="73">
        <v>80400</v>
      </c>
      <c r="AF930" s="16">
        <v>14472</v>
      </c>
      <c r="AG930" s="15">
        <f t="shared" si="442"/>
        <v>7200</v>
      </c>
      <c r="AH930" s="15">
        <f t="shared" si="443"/>
        <v>1296</v>
      </c>
      <c r="AI930" s="15">
        <f t="shared" si="430"/>
        <v>87600</v>
      </c>
      <c r="AJ930" s="15">
        <f t="shared" si="431"/>
        <v>15768</v>
      </c>
      <c r="AK930" s="73">
        <v>80400</v>
      </c>
      <c r="AL930" s="15">
        <f t="shared" si="444"/>
        <v>87600</v>
      </c>
      <c r="AM930" s="15">
        <f t="shared" si="445"/>
        <v>7837599</v>
      </c>
      <c r="AN930" s="15">
        <f t="shared" si="446"/>
        <v>403269</v>
      </c>
      <c r="AO930" s="15">
        <f t="shared" si="423"/>
        <v>491197.22</v>
      </c>
      <c r="AP930" s="17">
        <f t="shared" si="447"/>
        <v>8328796.2199999997</v>
      </c>
      <c r="AQ930" s="15">
        <f>6187880+100000+7034</f>
        <v>6294914</v>
      </c>
      <c r="AR930" s="15">
        <v>328.22</v>
      </c>
      <c r="AS930" s="18">
        <f t="shared" si="424"/>
        <v>2033882</v>
      </c>
      <c r="AT930" s="19">
        <v>0</v>
      </c>
      <c r="AU930" s="8">
        <v>8800</v>
      </c>
      <c r="AV930" s="13">
        <f t="shared" si="425"/>
        <v>2569600</v>
      </c>
      <c r="AW930" s="18">
        <f t="shared" si="426"/>
        <v>7837599</v>
      </c>
      <c r="AX930" s="15">
        <f t="shared" si="448"/>
        <v>7838000</v>
      </c>
      <c r="AY930" s="20">
        <v>0.06</v>
      </c>
      <c r="AZ930" s="13">
        <f t="shared" si="449"/>
        <v>470280</v>
      </c>
      <c r="BA930" s="15">
        <f t="shared" si="450"/>
        <v>470300</v>
      </c>
      <c r="BB930" s="21">
        <f t="shared" si="427"/>
        <v>2504182</v>
      </c>
      <c r="BC930" s="10">
        <f t="shared" si="428"/>
        <v>8.9560810810810789</v>
      </c>
      <c r="BD930" s="10">
        <f t="shared" si="429"/>
        <v>8.9552238805970141</v>
      </c>
      <c r="BE930" s="10">
        <v>59.92</v>
      </c>
      <c r="BF930" s="10">
        <v>27.13</v>
      </c>
      <c r="BG930" s="107">
        <v>46176</v>
      </c>
      <c r="BH930" s="107">
        <f t="shared" si="451"/>
        <v>46206</v>
      </c>
      <c r="BI930" s="23">
        <v>6</v>
      </c>
      <c r="BJ930" s="6"/>
      <c r="BK930" s="6"/>
      <c r="BL930" s="6"/>
      <c r="BM930" s="6" t="s">
        <v>3831</v>
      </c>
      <c r="BN930" s="6" t="s">
        <v>3832</v>
      </c>
      <c r="BO930" s="6" t="s">
        <v>3833</v>
      </c>
      <c r="BP930" s="6" t="s">
        <v>3821</v>
      </c>
      <c r="BQ930" s="6" t="s">
        <v>3834</v>
      </c>
      <c r="BR930" t="s">
        <v>3823</v>
      </c>
      <c r="BS930" t="s">
        <v>3824</v>
      </c>
      <c r="BT930" t="s">
        <v>3825</v>
      </c>
      <c r="BU930" t="s">
        <v>3826</v>
      </c>
      <c r="BV930" t="s">
        <v>3827</v>
      </c>
      <c r="BW930" t="s">
        <v>3835</v>
      </c>
      <c r="BX930">
        <v>0</v>
      </c>
      <c r="BY930" t="s">
        <v>3864</v>
      </c>
      <c r="BZ930" t="s">
        <v>3872</v>
      </c>
    </row>
    <row r="931" spans="1:78" x14ac:dyDescent="0.25">
      <c r="A931" s="7" t="s">
        <v>3720</v>
      </c>
      <c r="B931" s="7" t="s">
        <v>3669</v>
      </c>
      <c r="C931" s="7" t="s">
        <v>3718</v>
      </c>
      <c r="D931" s="8" t="s">
        <v>3719</v>
      </c>
      <c r="E931" s="7" t="s">
        <v>3721</v>
      </c>
      <c r="F931" s="9">
        <v>45559</v>
      </c>
      <c r="G931" s="9" t="s">
        <v>3674</v>
      </c>
      <c r="H931" s="9" t="s">
        <v>66</v>
      </c>
      <c r="I931" s="8" t="s">
        <v>78</v>
      </c>
      <c r="J931" s="73">
        <v>722</v>
      </c>
      <c r="K931" s="10">
        <v>722</v>
      </c>
      <c r="L931" s="10">
        <f t="shared" si="434"/>
        <v>0</v>
      </c>
      <c r="M931" s="73">
        <v>331</v>
      </c>
      <c r="N931" s="10">
        <v>331</v>
      </c>
      <c r="O931" s="10">
        <f t="shared" si="435"/>
        <v>0</v>
      </c>
      <c r="P931" s="11">
        <v>7500.0013850415517</v>
      </c>
      <c r="Q931" s="11">
        <v>16359.519637462236</v>
      </c>
      <c r="R931" s="11">
        <v>22000</v>
      </c>
      <c r="S931" s="14">
        <v>5415001</v>
      </c>
      <c r="T931" s="14">
        <v>270750</v>
      </c>
      <c r="U931" s="12">
        <f t="shared" si="436"/>
        <v>4.9999990766391361E-2</v>
      </c>
      <c r="V931" s="13">
        <f>L931*P931</f>
        <v>0</v>
      </c>
      <c r="W931" s="10">
        <f t="shared" si="438"/>
        <v>0</v>
      </c>
      <c r="X931" s="10"/>
      <c r="Y931" s="10"/>
      <c r="Z931" s="11">
        <f t="shared" si="439"/>
        <v>5415001</v>
      </c>
      <c r="AA931" s="14"/>
      <c r="AB931" s="14"/>
      <c r="AC931" s="11">
        <f t="shared" si="440"/>
        <v>5415001</v>
      </c>
      <c r="AD931" s="10">
        <f t="shared" si="441"/>
        <v>300</v>
      </c>
      <c r="AE931" s="73">
        <v>99300</v>
      </c>
      <c r="AF931" s="16">
        <v>17874</v>
      </c>
      <c r="AG931" s="15">
        <f t="shared" si="442"/>
        <v>0</v>
      </c>
      <c r="AH931" s="15">
        <f t="shared" si="443"/>
        <v>0</v>
      </c>
      <c r="AI931" s="15">
        <f t="shared" si="430"/>
        <v>99300</v>
      </c>
      <c r="AJ931" s="15">
        <f t="shared" si="431"/>
        <v>17874</v>
      </c>
      <c r="AK931" s="73">
        <v>99300</v>
      </c>
      <c r="AL931" s="15">
        <f t="shared" si="444"/>
        <v>99300</v>
      </c>
      <c r="AM931" s="15">
        <f t="shared" si="445"/>
        <v>5514301</v>
      </c>
      <c r="AN931" s="15">
        <f t="shared" si="446"/>
        <v>288624</v>
      </c>
      <c r="AO931" s="15">
        <f t="shared" si="423"/>
        <v>388664.18</v>
      </c>
      <c r="AP931" s="17">
        <f t="shared" si="447"/>
        <v>5902965.1799999997</v>
      </c>
      <c r="AQ931" s="15">
        <v>5795745.2199999997</v>
      </c>
      <c r="AR931" s="15">
        <v>740.18</v>
      </c>
      <c r="AS931" s="18">
        <f t="shared" si="424"/>
        <v>107220</v>
      </c>
      <c r="AT931" s="19">
        <v>0</v>
      </c>
      <c r="AU931" s="8">
        <v>8800</v>
      </c>
      <c r="AV931" s="13">
        <f t="shared" si="425"/>
        <v>2912800</v>
      </c>
      <c r="AW931" s="18">
        <f t="shared" si="426"/>
        <v>5514301</v>
      </c>
      <c r="AX931" s="15">
        <f t="shared" si="448"/>
        <v>5515000</v>
      </c>
      <c r="AY931" s="20">
        <v>0.05</v>
      </c>
      <c r="AZ931" s="13">
        <f t="shared" si="449"/>
        <v>275750</v>
      </c>
      <c r="BA931" s="15">
        <f t="shared" si="450"/>
        <v>275800</v>
      </c>
      <c r="BB931" s="21">
        <f t="shared" si="427"/>
        <v>383020</v>
      </c>
      <c r="BC931" s="10">
        <f t="shared" si="428"/>
        <v>0</v>
      </c>
      <c r="BD931" s="10">
        <f t="shared" si="429"/>
        <v>0</v>
      </c>
      <c r="BE931" s="10">
        <v>67.08</v>
      </c>
      <c r="BF931" s="10">
        <v>30.75</v>
      </c>
      <c r="BG931" s="107">
        <v>46176</v>
      </c>
      <c r="BH931" s="107">
        <f t="shared" si="451"/>
        <v>46206</v>
      </c>
      <c r="BI931" s="23">
        <v>5</v>
      </c>
      <c r="BJ931" s="6"/>
      <c r="BK931" s="6"/>
      <c r="BL931" s="6"/>
      <c r="BM931" s="6" t="s">
        <v>3831</v>
      </c>
      <c r="BN931" s="6" t="s">
        <v>3832</v>
      </c>
      <c r="BO931" s="6" t="s">
        <v>3833</v>
      </c>
      <c r="BP931" s="6" t="s">
        <v>3821</v>
      </c>
      <c r="BQ931" s="6" t="s">
        <v>3834</v>
      </c>
      <c r="BR931" t="s">
        <v>3823</v>
      </c>
      <c r="BS931" t="s">
        <v>3824</v>
      </c>
      <c r="BT931" t="s">
        <v>3825</v>
      </c>
      <c r="BU931" t="s">
        <v>3826</v>
      </c>
      <c r="BV931" t="s">
        <v>3827</v>
      </c>
      <c r="BW931" t="s">
        <v>3835</v>
      </c>
      <c r="BX931">
        <v>0</v>
      </c>
      <c r="BY931" t="s">
        <v>3866</v>
      </c>
      <c r="BZ931" t="s">
        <v>3872</v>
      </c>
    </row>
    <row r="932" spans="1:78" x14ac:dyDescent="0.25">
      <c r="A932" s="7" t="s">
        <v>3724</v>
      </c>
      <c r="B932" s="7" t="s">
        <v>3669</v>
      </c>
      <c r="C932" s="7" t="s">
        <v>3722</v>
      </c>
      <c r="D932" s="8" t="s">
        <v>3723</v>
      </c>
      <c r="E932" s="7" t="s">
        <v>3725</v>
      </c>
      <c r="F932" s="9">
        <v>45524</v>
      </c>
      <c r="G932" s="9" t="s">
        <v>3674</v>
      </c>
      <c r="H932" s="9" t="s">
        <v>72</v>
      </c>
      <c r="I932" s="8" t="s">
        <v>78</v>
      </c>
      <c r="J932" s="73">
        <v>592</v>
      </c>
      <c r="K932" s="10">
        <v>645.02</v>
      </c>
      <c r="L932" s="10">
        <f t="shared" si="434"/>
        <v>53.019999999999982</v>
      </c>
      <c r="M932" s="73">
        <v>268</v>
      </c>
      <c r="N932" s="10">
        <v>292</v>
      </c>
      <c r="O932" s="10">
        <f t="shared" si="435"/>
        <v>24</v>
      </c>
      <c r="P932" s="11">
        <v>6499.9983108108108</v>
      </c>
      <c r="Q932" s="11">
        <v>14358.205223880597</v>
      </c>
      <c r="R932" s="11">
        <v>20000</v>
      </c>
      <c r="S932" s="14">
        <v>3847999</v>
      </c>
      <c r="T932" s="14">
        <v>192400</v>
      </c>
      <c r="U932" s="12">
        <f t="shared" si="436"/>
        <v>5.0000012993766371E-2</v>
      </c>
      <c r="V932" s="13">
        <f>L932*R932</f>
        <v>1060399.9999999995</v>
      </c>
      <c r="W932" s="10">
        <f t="shared" si="438"/>
        <v>53020.013778589833</v>
      </c>
      <c r="X932" s="15"/>
      <c r="Y932" s="15"/>
      <c r="Z932" s="11">
        <f t="shared" si="439"/>
        <v>4908399</v>
      </c>
      <c r="AA932" s="14"/>
      <c r="AB932" s="14"/>
      <c r="AC932" s="11">
        <f t="shared" si="440"/>
        <v>4908399</v>
      </c>
      <c r="AD932" s="10">
        <f t="shared" si="441"/>
        <v>300</v>
      </c>
      <c r="AE932" s="73">
        <v>80400</v>
      </c>
      <c r="AF932" s="16">
        <v>14472</v>
      </c>
      <c r="AG932" s="15">
        <f t="shared" si="442"/>
        <v>7200</v>
      </c>
      <c r="AH932" s="15">
        <f t="shared" si="443"/>
        <v>1296</v>
      </c>
      <c r="AI932" s="15">
        <f t="shared" si="430"/>
        <v>87600</v>
      </c>
      <c r="AJ932" s="15">
        <f t="shared" si="431"/>
        <v>15768</v>
      </c>
      <c r="AK932" s="73">
        <v>80400</v>
      </c>
      <c r="AL932" s="15">
        <f t="shared" si="444"/>
        <v>87600</v>
      </c>
      <c r="AM932" s="15">
        <f t="shared" si="445"/>
        <v>4995999</v>
      </c>
      <c r="AN932" s="15">
        <f t="shared" si="446"/>
        <v>261189</v>
      </c>
      <c r="AO932" s="15">
        <f t="shared" si="423"/>
        <v>351353</v>
      </c>
      <c r="AP932" s="17">
        <f t="shared" si="447"/>
        <v>5347352</v>
      </c>
      <c r="AQ932" s="15">
        <v>3636359</v>
      </c>
      <c r="AR932" s="15">
        <v>2564</v>
      </c>
      <c r="AS932" s="18">
        <f t="shared" si="424"/>
        <v>1710993</v>
      </c>
      <c r="AT932" s="19">
        <v>0</v>
      </c>
      <c r="AU932" s="8">
        <v>8800</v>
      </c>
      <c r="AV932" s="13">
        <f t="shared" si="425"/>
        <v>2569600</v>
      </c>
      <c r="AW932" s="18">
        <f t="shared" si="426"/>
        <v>4995999</v>
      </c>
      <c r="AX932" s="15">
        <f t="shared" si="448"/>
        <v>4996000</v>
      </c>
      <c r="AY932" s="20">
        <v>7.0000000000000007E-2</v>
      </c>
      <c r="AZ932" s="13">
        <f t="shared" si="449"/>
        <v>349720.00000000006</v>
      </c>
      <c r="BA932" s="15">
        <f t="shared" si="450"/>
        <v>349800</v>
      </c>
      <c r="BB932" s="21">
        <f t="shared" si="427"/>
        <v>2060793</v>
      </c>
      <c r="BC932" s="10">
        <f t="shared" si="428"/>
        <v>8.9560810810810789</v>
      </c>
      <c r="BD932" s="10">
        <f t="shared" si="429"/>
        <v>8.9552238805970141</v>
      </c>
      <c r="BE932" s="10">
        <v>59.92</v>
      </c>
      <c r="BF932" s="10">
        <v>27.13</v>
      </c>
      <c r="BG932" s="107">
        <v>46176</v>
      </c>
      <c r="BH932" s="107">
        <f t="shared" si="451"/>
        <v>46206</v>
      </c>
      <c r="BI932" s="23">
        <v>7</v>
      </c>
      <c r="BJ932" s="6"/>
      <c r="BK932" s="6"/>
      <c r="BL932" s="6"/>
      <c r="BM932" s="6" t="s">
        <v>3831</v>
      </c>
      <c r="BN932" s="6" t="s">
        <v>3832</v>
      </c>
      <c r="BO932" s="6" t="s">
        <v>3833</v>
      </c>
      <c r="BP932" s="6" t="s">
        <v>3821</v>
      </c>
      <c r="BQ932" s="6" t="s">
        <v>3834</v>
      </c>
      <c r="BR932" t="s">
        <v>3823</v>
      </c>
      <c r="BS932" t="s">
        <v>3824</v>
      </c>
      <c r="BT932" t="s">
        <v>3825</v>
      </c>
      <c r="BU932" t="s">
        <v>3826</v>
      </c>
      <c r="BV932" t="s">
        <v>3827</v>
      </c>
      <c r="BW932" t="s">
        <v>3835</v>
      </c>
      <c r="BX932">
        <v>0</v>
      </c>
      <c r="BY932" t="s">
        <v>3868</v>
      </c>
      <c r="BZ932" t="s">
        <v>3872</v>
      </c>
    </row>
    <row r="933" spans="1:78" x14ac:dyDescent="0.25">
      <c r="A933" s="7" t="s">
        <v>3728</v>
      </c>
      <c r="B933" s="7" t="s">
        <v>3669</v>
      </c>
      <c r="C933" s="7" t="s">
        <v>3726</v>
      </c>
      <c r="D933" s="8" t="s">
        <v>3727</v>
      </c>
      <c r="E933" s="7" t="s">
        <v>3729</v>
      </c>
      <c r="F933" s="9">
        <v>45566</v>
      </c>
      <c r="G933" s="9" t="s">
        <v>3674</v>
      </c>
      <c r="H933" s="9" t="s">
        <v>72</v>
      </c>
      <c r="I933" s="8" t="s">
        <v>78</v>
      </c>
      <c r="J933" s="73">
        <v>592</v>
      </c>
      <c r="K933" s="10">
        <v>645.02</v>
      </c>
      <c r="L933" s="10">
        <f t="shared" si="434"/>
        <v>53.019999999999982</v>
      </c>
      <c r="M933" s="73">
        <v>268</v>
      </c>
      <c r="N933" s="10">
        <v>292</v>
      </c>
      <c r="O933" s="10">
        <f t="shared" si="435"/>
        <v>24</v>
      </c>
      <c r="P933" s="11">
        <v>17950.00168918919</v>
      </c>
      <c r="Q933" s="11">
        <v>39650.75</v>
      </c>
      <c r="R933" s="11">
        <v>20000</v>
      </c>
      <c r="S933" s="14">
        <v>10626401</v>
      </c>
      <c r="T933" s="14">
        <v>531320</v>
      </c>
      <c r="U933" s="12">
        <f t="shared" si="436"/>
        <v>4.999999529473808E-2</v>
      </c>
      <c r="V933" s="13">
        <f>L933*R933</f>
        <v>1060399.9999999995</v>
      </c>
      <c r="W933" s="10">
        <f t="shared" si="438"/>
        <v>53019.995010540239</v>
      </c>
      <c r="X933" s="15"/>
      <c r="Y933" s="15"/>
      <c r="Z933" s="11">
        <f t="shared" si="439"/>
        <v>11686801</v>
      </c>
      <c r="AA933" s="14"/>
      <c r="AB933" s="14"/>
      <c r="AC933" s="11">
        <f t="shared" si="440"/>
        <v>11686801</v>
      </c>
      <c r="AD933" s="10">
        <f t="shared" si="441"/>
        <v>300</v>
      </c>
      <c r="AE933" s="73">
        <v>80400</v>
      </c>
      <c r="AF933" s="16">
        <v>14472</v>
      </c>
      <c r="AG933" s="15">
        <f t="shared" si="442"/>
        <v>7200</v>
      </c>
      <c r="AH933" s="15">
        <f t="shared" si="443"/>
        <v>1296</v>
      </c>
      <c r="AI933" s="15">
        <f t="shared" si="430"/>
        <v>87600</v>
      </c>
      <c r="AJ933" s="15">
        <f t="shared" si="431"/>
        <v>15768</v>
      </c>
      <c r="AK933" s="73">
        <v>80400</v>
      </c>
      <c r="AL933" s="15">
        <f t="shared" si="444"/>
        <v>87600</v>
      </c>
      <c r="AM933" s="15">
        <f t="shared" si="445"/>
        <v>11774401</v>
      </c>
      <c r="AN933" s="15">
        <f t="shared" si="446"/>
        <v>600108</v>
      </c>
      <c r="AO933" s="15">
        <f t="shared" si="423"/>
        <v>690690</v>
      </c>
      <c r="AP933" s="17">
        <f t="shared" si="447"/>
        <v>12465091</v>
      </c>
      <c r="AQ933" s="15">
        <v>11252593</v>
      </c>
      <c r="AR933" s="15">
        <v>2982</v>
      </c>
      <c r="AS933" s="18">
        <f t="shared" si="424"/>
        <v>1212498</v>
      </c>
      <c r="AT933" s="19">
        <v>0</v>
      </c>
      <c r="AU933" s="8">
        <v>8800</v>
      </c>
      <c r="AV933" s="13">
        <f t="shared" si="425"/>
        <v>2569600</v>
      </c>
      <c r="AW933" s="18">
        <f t="shared" si="426"/>
        <v>11774401</v>
      </c>
      <c r="AX933" s="15">
        <f t="shared" si="448"/>
        <v>11775000</v>
      </c>
      <c r="AY933" s="20">
        <v>0.05</v>
      </c>
      <c r="AZ933" s="13">
        <f t="shared" si="449"/>
        <v>588750</v>
      </c>
      <c r="BA933" s="15">
        <f t="shared" si="450"/>
        <v>588800</v>
      </c>
      <c r="BB933" s="21">
        <f t="shared" si="427"/>
        <v>1801298</v>
      </c>
      <c r="BC933" s="10">
        <f t="shared" si="428"/>
        <v>8.9560810810810789</v>
      </c>
      <c r="BD933" s="10">
        <f t="shared" si="429"/>
        <v>8.9552238805970141</v>
      </c>
      <c r="BE933" s="10">
        <v>59.92</v>
      </c>
      <c r="BF933" s="10">
        <v>27.13</v>
      </c>
      <c r="BG933" s="107">
        <v>46176</v>
      </c>
      <c r="BH933" s="107">
        <f t="shared" si="451"/>
        <v>46206</v>
      </c>
      <c r="BI933" s="23">
        <v>5</v>
      </c>
      <c r="BJ933" s="6"/>
      <c r="BK933" s="6"/>
      <c r="BL933" s="6"/>
      <c r="BM933" s="6" t="s">
        <v>3831</v>
      </c>
      <c r="BN933" s="6" t="s">
        <v>3832</v>
      </c>
      <c r="BO933" s="6" t="s">
        <v>3833</v>
      </c>
      <c r="BP933" s="6" t="s">
        <v>3821</v>
      </c>
      <c r="BQ933" s="6" t="s">
        <v>3834</v>
      </c>
      <c r="BR933" t="s">
        <v>3823</v>
      </c>
      <c r="BS933" t="s">
        <v>3824</v>
      </c>
      <c r="BT933" t="s">
        <v>3825</v>
      </c>
      <c r="BU933" t="s">
        <v>3826</v>
      </c>
      <c r="BV933" t="s">
        <v>3827</v>
      </c>
      <c r="BW933" t="s">
        <v>3835</v>
      </c>
      <c r="BX933">
        <v>0</v>
      </c>
      <c r="BY933" t="s">
        <v>3864</v>
      </c>
      <c r="BZ933" t="s">
        <v>3872</v>
      </c>
    </row>
    <row r="934" spans="1:78" x14ac:dyDescent="0.25">
      <c r="A934" s="7" t="s">
        <v>3732</v>
      </c>
      <c r="B934" s="7" t="s">
        <v>3669</v>
      </c>
      <c r="C934" s="7" t="s">
        <v>3730</v>
      </c>
      <c r="D934" s="8" t="s">
        <v>3731</v>
      </c>
      <c r="E934" s="7" t="s">
        <v>3733</v>
      </c>
      <c r="F934" s="9">
        <v>45545</v>
      </c>
      <c r="G934" s="9" t="s">
        <v>3674</v>
      </c>
      <c r="H934" s="9" t="s">
        <v>66</v>
      </c>
      <c r="I934" s="8" t="s">
        <v>78</v>
      </c>
      <c r="J934" s="73">
        <v>742</v>
      </c>
      <c r="K934" s="10">
        <v>742</v>
      </c>
      <c r="L934" s="10">
        <f t="shared" si="434"/>
        <v>0</v>
      </c>
      <c r="M934" s="73">
        <v>340</v>
      </c>
      <c r="N934" s="10">
        <v>340</v>
      </c>
      <c r="O934" s="10">
        <f t="shared" si="435"/>
        <v>0</v>
      </c>
      <c r="P934" s="11">
        <v>7499.9986522911049</v>
      </c>
      <c r="Q934" s="11">
        <v>16367.644117647058</v>
      </c>
      <c r="R934" s="11">
        <v>22000</v>
      </c>
      <c r="S934" s="14">
        <v>5564999</v>
      </c>
      <c r="T934" s="14">
        <v>278252</v>
      </c>
      <c r="U934" s="12">
        <f t="shared" si="436"/>
        <v>5.0000368373830796E-2</v>
      </c>
      <c r="V934" s="13">
        <f t="shared" ref="V934:V939" si="452">L934*P934</f>
        <v>0</v>
      </c>
      <c r="W934" s="10">
        <f t="shared" si="438"/>
        <v>0</v>
      </c>
      <c r="X934" s="10"/>
      <c r="Y934" s="10"/>
      <c r="Z934" s="11">
        <f t="shared" si="439"/>
        <v>5564999</v>
      </c>
      <c r="AA934" s="14"/>
      <c r="AB934" s="14"/>
      <c r="AC934" s="11">
        <f t="shared" si="440"/>
        <v>5564999</v>
      </c>
      <c r="AD934" s="10">
        <f t="shared" si="441"/>
        <v>300</v>
      </c>
      <c r="AE934" s="73">
        <v>102000</v>
      </c>
      <c r="AF934" s="16">
        <v>18360</v>
      </c>
      <c r="AG934" s="15">
        <f t="shared" si="442"/>
        <v>0</v>
      </c>
      <c r="AH934" s="15">
        <f t="shared" si="443"/>
        <v>0</v>
      </c>
      <c r="AI934" s="15">
        <f t="shared" si="430"/>
        <v>102000</v>
      </c>
      <c r="AJ934" s="15">
        <f t="shared" si="431"/>
        <v>18360</v>
      </c>
      <c r="AK934" s="73">
        <v>102000</v>
      </c>
      <c r="AL934" s="15">
        <f t="shared" si="444"/>
        <v>102000</v>
      </c>
      <c r="AM934" s="15">
        <f t="shared" si="445"/>
        <v>5666999</v>
      </c>
      <c r="AN934" s="15">
        <f t="shared" si="446"/>
        <v>296612</v>
      </c>
      <c r="AO934" s="15">
        <f t="shared" si="423"/>
        <v>405402</v>
      </c>
      <c r="AP934" s="17">
        <f t="shared" si="447"/>
        <v>6072401</v>
      </c>
      <c r="AQ934" s="15">
        <v>4158925</v>
      </c>
      <c r="AR934" s="15">
        <v>6790</v>
      </c>
      <c r="AS934" s="18">
        <f t="shared" si="424"/>
        <v>1913476</v>
      </c>
      <c r="AT934" s="19">
        <v>0</v>
      </c>
      <c r="AU934" s="8">
        <v>8800</v>
      </c>
      <c r="AV934" s="13">
        <f t="shared" si="425"/>
        <v>2992000</v>
      </c>
      <c r="AW934" s="18">
        <f t="shared" si="426"/>
        <v>5666999</v>
      </c>
      <c r="AX934" s="15">
        <f t="shared" si="448"/>
        <v>5667000</v>
      </c>
      <c r="AY934" s="20">
        <v>7.0000000000000007E-2</v>
      </c>
      <c r="AZ934" s="13">
        <f t="shared" si="449"/>
        <v>396690.00000000006</v>
      </c>
      <c r="BA934" s="15">
        <f t="shared" si="450"/>
        <v>396700</v>
      </c>
      <c r="BB934" s="21">
        <f t="shared" si="427"/>
        <v>2310176</v>
      </c>
      <c r="BC934" s="10">
        <f t="shared" si="428"/>
        <v>0</v>
      </c>
      <c r="BD934" s="10">
        <f t="shared" si="429"/>
        <v>0</v>
      </c>
      <c r="BE934" s="10">
        <v>68.930000000000007</v>
      </c>
      <c r="BF934" s="10">
        <v>31.59</v>
      </c>
      <c r="BG934" s="107">
        <v>46176</v>
      </c>
      <c r="BH934" s="107">
        <f t="shared" si="451"/>
        <v>46206</v>
      </c>
      <c r="BI934" s="23">
        <v>7</v>
      </c>
      <c r="BJ934" s="6"/>
      <c r="BK934" s="6"/>
      <c r="BL934" s="6"/>
      <c r="BM934" s="6" t="s">
        <v>3831</v>
      </c>
      <c r="BN934" s="6" t="s">
        <v>3832</v>
      </c>
      <c r="BO934" s="6" t="s">
        <v>3833</v>
      </c>
      <c r="BP934" s="6" t="s">
        <v>3821</v>
      </c>
      <c r="BQ934" s="6" t="s">
        <v>3834</v>
      </c>
      <c r="BR934" t="s">
        <v>3823</v>
      </c>
      <c r="BS934" t="s">
        <v>3824</v>
      </c>
      <c r="BT934" t="s">
        <v>3825</v>
      </c>
      <c r="BU934" t="s">
        <v>3826</v>
      </c>
      <c r="BV934" t="s">
        <v>3827</v>
      </c>
      <c r="BW934" t="s">
        <v>3835</v>
      </c>
      <c r="BX934">
        <v>0</v>
      </c>
      <c r="BY934" t="s">
        <v>3866</v>
      </c>
      <c r="BZ934" t="s">
        <v>3872</v>
      </c>
    </row>
    <row r="935" spans="1:78" x14ac:dyDescent="0.25">
      <c r="A935" s="7" t="s">
        <v>3736</v>
      </c>
      <c r="B935" s="7" t="s">
        <v>3669</v>
      </c>
      <c r="C935" s="7" t="s">
        <v>3734</v>
      </c>
      <c r="D935" s="8" t="s">
        <v>3735</v>
      </c>
      <c r="E935" s="7" t="s">
        <v>3737</v>
      </c>
      <c r="F935" s="9">
        <v>45545</v>
      </c>
      <c r="G935" s="9" t="s">
        <v>3674</v>
      </c>
      <c r="H935" s="9" t="s">
        <v>72</v>
      </c>
      <c r="I935" s="8" t="s">
        <v>78</v>
      </c>
      <c r="J935" s="73">
        <v>1208</v>
      </c>
      <c r="K935" s="10">
        <v>1208</v>
      </c>
      <c r="L935" s="10">
        <f t="shared" si="434"/>
        <v>0</v>
      </c>
      <c r="M935" s="73">
        <v>558</v>
      </c>
      <c r="N935" s="10">
        <v>558</v>
      </c>
      <c r="O935" s="10">
        <f t="shared" si="435"/>
        <v>0</v>
      </c>
      <c r="P935" s="11">
        <v>11748.999172185431</v>
      </c>
      <c r="Q935" s="11">
        <v>25435.109318996416</v>
      </c>
      <c r="R935" s="11">
        <v>20000</v>
      </c>
      <c r="S935" s="14">
        <v>14192791</v>
      </c>
      <c r="T935" s="14">
        <v>709640</v>
      </c>
      <c r="U935" s="12">
        <f t="shared" si="436"/>
        <v>5.000003170623734E-2</v>
      </c>
      <c r="V935" s="13">
        <f t="shared" si="452"/>
        <v>0</v>
      </c>
      <c r="W935" s="10">
        <f t="shared" si="438"/>
        <v>0</v>
      </c>
      <c r="X935" s="10"/>
      <c r="Y935" s="10"/>
      <c r="Z935" s="11">
        <f t="shared" si="439"/>
        <v>14192791</v>
      </c>
      <c r="AA935" s="14"/>
      <c r="AB935" s="14"/>
      <c r="AC935" s="11">
        <f t="shared" si="440"/>
        <v>14192791</v>
      </c>
      <c r="AD935" s="10">
        <f t="shared" si="441"/>
        <v>300</v>
      </c>
      <c r="AE935" s="73">
        <v>167400</v>
      </c>
      <c r="AF935" s="16">
        <v>30132</v>
      </c>
      <c r="AG935" s="15">
        <f t="shared" si="442"/>
        <v>0</v>
      </c>
      <c r="AH935" s="15">
        <f t="shared" si="443"/>
        <v>0</v>
      </c>
      <c r="AI935" s="15">
        <f t="shared" si="430"/>
        <v>167400</v>
      </c>
      <c r="AJ935" s="15">
        <f t="shared" si="431"/>
        <v>30132</v>
      </c>
      <c r="AK935" s="73">
        <v>167400</v>
      </c>
      <c r="AL935" s="15">
        <f t="shared" si="444"/>
        <v>167400</v>
      </c>
      <c r="AM935" s="15">
        <f t="shared" si="445"/>
        <v>14360191</v>
      </c>
      <c r="AN935" s="15">
        <f t="shared" si="446"/>
        <v>739772</v>
      </c>
      <c r="AO935" s="15">
        <f t="shared" si="423"/>
        <v>912190.76</v>
      </c>
      <c r="AP935" s="17">
        <f t="shared" si="447"/>
        <v>15272381.76</v>
      </c>
      <c r="AQ935" s="15">
        <v>13341566.530000001</v>
      </c>
      <c r="AR935" s="15">
        <v>5018.76</v>
      </c>
      <c r="AS935" s="18">
        <f t="shared" si="424"/>
        <v>1930815</v>
      </c>
      <c r="AT935" s="19">
        <v>0</v>
      </c>
      <c r="AU935" s="8">
        <v>8800</v>
      </c>
      <c r="AV935" s="13">
        <f t="shared" si="425"/>
        <v>4910400</v>
      </c>
      <c r="AW935" s="18">
        <f t="shared" si="426"/>
        <v>14360191</v>
      </c>
      <c r="AX935" s="15">
        <f t="shared" si="448"/>
        <v>14361000</v>
      </c>
      <c r="AY935" s="20">
        <v>7.0000000000000007E-2</v>
      </c>
      <c r="AZ935" s="13">
        <f t="shared" si="449"/>
        <v>1005270.0000000001</v>
      </c>
      <c r="BA935" s="15">
        <f t="shared" si="450"/>
        <v>1005300</v>
      </c>
      <c r="BB935" s="21">
        <f t="shared" si="427"/>
        <v>2936115</v>
      </c>
      <c r="BC935" s="10">
        <f t="shared" si="428"/>
        <v>0</v>
      </c>
      <c r="BD935" s="10">
        <f t="shared" si="429"/>
        <v>0</v>
      </c>
      <c r="BE935" s="10">
        <v>112.23</v>
      </c>
      <c r="BF935" s="10">
        <v>51.84</v>
      </c>
      <c r="BG935" s="107">
        <v>46176</v>
      </c>
      <c r="BH935" s="107">
        <f t="shared" si="451"/>
        <v>46206</v>
      </c>
      <c r="BI935" s="23">
        <v>7</v>
      </c>
      <c r="BJ935" s="6"/>
      <c r="BK935" s="6"/>
      <c r="BL935" s="6"/>
      <c r="BM935" s="6" t="s">
        <v>3831</v>
      </c>
      <c r="BN935" s="6" t="s">
        <v>3832</v>
      </c>
      <c r="BO935" s="6" t="s">
        <v>3833</v>
      </c>
      <c r="BP935" s="6" t="s">
        <v>3821</v>
      </c>
      <c r="BQ935" s="6" t="s">
        <v>3834</v>
      </c>
      <c r="BR935" t="s">
        <v>3823</v>
      </c>
      <c r="BS935" t="s">
        <v>3824</v>
      </c>
      <c r="BT935" t="s">
        <v>3825</v>
      </c>
      <c r="BU935" t="s">
        <v>3826</v>
      </c>
      <c r="BV935" t="s">
        <v>3827</v>
      </c>
      <c r="BW935" t="s">
        <v>3835</v>
      </c>
      <c r="BX935">
        <v>0</v>
      </c>
      <c r="BY935" t="s">
        <v>3866</v>
      </c>
      <c r="BZ935" t="s">
        <v>3872</v>
      </c>
    </row>
    <row r="936" spans="1:78" x14ac:dyDescent="0.25">
      <c r="A936" s="7" t="s">
        <v>3740</v>
      </c>
      <c r="B936" s="7" t="s">
        <v>3669</v>
      </c>
      <c r="C936" s="7" t="s">
        <v>3738</v>
      </c>
      <c r="D936" s="8" t="s">
        <v>3739</v>
      </c>
      <c r="E936" s="7" t="s">
        <v>3741</v>
      </c>
      <c r="F936" s="9">
        <v>45507</v>
      </c>
      <c r="G936" s="9" t="s">
        <v>3674</v>
      </c>
      <c r="H936" s="9" t="s">
        <v>72</v>
      </c>
      <c r="I936" s="8" t="s">
        <v>78</v>
      </c>
      <c r="J936" s="73">
        <v>174</v>
      </c>
      <c r="K936" s="10">
        <v>174</v>
      </c>
      <c r="L936" s="10">
        <f t="shared" si="434"/>
        <v>0</v>
      </c>
      <c r="M936" s="73">
        <v>77</v>
      </c>
      <c r="N936" s="10">
        <v>77</v>
      </c>
      <c r="O936" s="10">
        <f t="shared" si="435"/>
        <v>0</v>
      </c>
      <c r="P936" s="11">
        <v>9565</v>
      </c>
      <c r="Q936" s="11">
        <v>21614.415584415583</v>
      </c>
      <c r="R936" s="11">
        <v>20000</v>
      </c>
      <c r="S936" s="14">
        <v>1664310</v>
      </c>
      <c r="T936" s="14">
        <v>83214</v>
      </c>
      <c r="U936" s="12">
        <f t="shared" si="436"/>
        <v>4.9999098725597997E-2</v>
      </c>
      <c r="V936" s="13">
        <f t="shared" si="452"/>
        <v>0</v>
      </c>
      <c r="W936" s="10">
        <f t="shared" si="438"/>
        <v>0</v>
      </c>
      <c r="X936" s="10"/>
      <c r="Y936" s="10"/>
      <c r="Z936" s="11">
        <f t="shared" si="439"/>
        <v>1664310</v>
      </c>
      <c r="AA936" s="14"/>
      <c r="AB936" s="14"/>
      <c r="AC936" s="11">
        <f t="shared" si="440"/>
        <v>1664310</v>
      </c>
      <c r="AD936" s="10">
        <f t="shared" si="441"/>
        <v>300</v>
      </c>
      <c r="AE936" s="73">
        <v>23100</v>
      </c>
      <c r="AF936" s="16">
        <v>4158</v>
      </c>
      <c r="AG936" s="15">
        <f t="shared" si="442"/>
        <v>0</v>
      </c>
      <c r="AH936" s="15">
        <f t="shared" si="443"/>
        <v>0</v>
      </c>
      <c r="AI936" s="15">
        <f t="shared" si="430"/>
        <v>23100</v>
      </c>
      <c r="AJ936" s="15">
        <f t="shared" si="431"/>
        <v>4158</v>
      </c>
      <c r="AK936" s="73">
        <v>23100</v>
      </c>
      <c r="AL936" s="15">
        <f t="shared" si="444"/>
        <v>23100</v>
      </c>
      <c r="AM936" s="15">
        <f t="shared" si="445"/>
        <v>1687410</v>
      </c>
      <c r="AN936" s="15">
        <f t="shared" si="446"/>
        <v>87372</v>
      </c>
      <c r="AO936" s="15">
        <f t="shared" si="423"/>
        <v>121298.76</v>
      </c>
      <c r="AP936" s="17">
        <f t="shared" si="447"/>
        <v>1808708.76</v>
      </c>
      <c r="AQ936" s="15">
        <v>662622</v>
      </c>
      <c r="AR936" s="15">
        <v>10826.76</v>
      </c>
      <c r="AS936" s="18">
        <f t="shared" si="424"/>
        <v>1146087</v>
      </c>
      <c r="AT936" s="19">
        <v>0</v>
      </c>
      <c r="AU936" s="8">
        <v>8800</v>
      </c>
      <c r="AV936" s="13">
        <f t="shared" si="425"/>
        <v>677600</v>
      </c>
      <c r="AW936" s="18">
        <f t="shared" si="426"/>
        <v>1687410</v>
      </c>
      <c r="AX936" s="15">
        <f t="shared" si="448"/>
        <v>1688000</v>
      </c>
      <c r="AY936" s="20">
        <v>0.06</v>
      </c>
      <c r="AZ936" s="13">
        <f t="shared" si="449"/>
        <v>101280</v>
      </c>
      <c r="BA936" s="15">
        <f t="shared" si="450"/>
        <v>101300</v>
      </c>
      <c r="BB936" s="21">
        <f t="shared" si="427"/>
        <v>1247387</v>
      </c>
      <c r="BC936" s="10">
        <f t="shared" si="428"/>
        <v>0</v>
      </c>
      <c r="BD936" s="10">
        <f t="shared" si="429"/>
        <v>0</v>
      </c>
      <c r="BE936" s="10">
        <v>16.16</v>
      </c>
      <c r="BF936" s="10">
        <v>7.15</v>
      </c>
      <c r="BG936" s="107">
        <v>46176</v>
      </c>
      <c r="BH936" s="107">
        <f t="shared" si="451"/>
        <v>46206</v>
      </c>
      <c r="BI936" s="23">
        <v>6</v>
      </c>
      <c r="BJ936" s="6"/>
      <c r="BK936" s="6"/>
      <c r="BL936" s="6"/>
      <c r="BM936" s="6" t="s">
        <v>3831</v>
      </c>
      <c r="BN936" s="6" t="s">
        <v>3832</v>
      </c>
      <c r="BO936" s="6" t="s">
        <v>3833</v>
      </c>
      <c r="BP936" s="6" t="s">
        <v>3821</v>
      </c>
      <c r="BQ936" s="6" t="s">
        <v>3834</v>
      </c>
      <c r="BR936" t="s">
        <v>3823</v>
      </c>
      <c r="BS936" t="s">
        <v>3824</v>
      </c>
      <c r="BT936" t="s">
        <v>3825</v>
      </c>
      <c r="BU936" t="s">
        <v>3826</v>
      </c>
      <c r="BV936" t="s">
        <v>3827</v>
      </c>
      <c r="BW936" t="s">
        <v>3835</v>
      </c>
      <c r="BX936">
        <v>0</v>
      </c>
      <c r="BY936" t="s">
        <v>3859</v>
      </c>
      <c r="BZ936" t="s">
        <v>3872</v>
      </c>
    </row>
    <row r="937" spans="1:78" x14ac:dyDescent="0.25">
      <c r="A937" s="7" t="s">
        <v>3744</v>
      </c>
      <c r="B937" s="7" t="s">
        <v>3669</v>
      </c>
      <c r="C937" s="7" t="s">
        <v>3742</v>
      </c>
      <c r="D937" s="8" t="s">
        <v>3743</v>
      </c>
      <c r="E937" s="7" t="s">
        <v>3745</v>
      </c>
      <c r="F937" s="9">
        <v>45546</v>
      </c>
      <c r="G937" s="9" t="s">
        <v>3674</v>
      </c>
      <c r="H937" s="9" t="s">
        <v>87</v>
      </c>
      <c r="I937" s="8" t="s">
        <v>78</v>
      </c>
      <c r="J937" s="73">
        <v>227</v>
      </c>
      <c r="K937" s="10">
        <v>227</v>
      </c>
      <c r="L937" s="10">
        <f t="shared" si="434"/>
        <v>0</v>
      </c>
      <c r="M937" s="73">
        <v>100</v>
      </c>
      <c r="N937" s="10">
        <v>100</v>
      </c>
      <c r="O937" s="10">
        <f t="shared" si="435"/>
        <v>0</v>
      </c>
      <c r="P937" s="11">
        <v>22080</v>
      </c>
      <c r="Q937" s="11">
        <v>50121.599999999999</v>
      </c>
      <c r="R937" s="11">
        <v>40000</v>
      </c>
      <c r="S937" s="14">
        <v>5012160</v>
      </c>
      <c r="T937" s="14">
        <v>250608</v>
      </c>
      <c r="U937" s="12">
        <f t="shared" si="436"/>
        <v>0.05</v>
      </c>
      <c r="V937" s="13">
        <f t="shared" si="452"/>
        <v>0</v>
      </c>
      <c r="W937" s="10">
        <f t="shared" si="438"/>
        <v>0</v>
      </c>
      <c r="X937" s="10"/>
      <c r="Y937" s="10"/>
      <c r="Z937" s="11">
        <f t="shared" si="439"/>
        <v>5012160</v>
      </c>
      <c r="AA937" s="14"/>
      <c r="AB937" s="14"/>
      <c r="AC937" s="11">
        <f t="shared" si="440"/>
        <v>5012160</v>
      </c>
      <c r="AD937" s="10">
        <f t="shared" si="441"/>
        <v>300</v>
      </c>
      <c r="AE937" s="73">
        <v>30000</v>
      </c>
      <c r="AF937" s="16">
        <v>5400</v>
      </c>
      <c r="AG937" s="15">
        <f t="shared" si="442"/>
        <v>0</v>
      </c>
      <c r="AH937" s="15">
        <f t="shared" si="443"/>
        <v>0</v>
      </c>
      <c r="AI937" s="15">
        <f t="shared" si="430"/>
        <v>30000</v>
      </c>
      <c r="AJ937" s="15">
        <f t="shared" si="431"/>
        <v>5400</v>
      </c>
      <c r="AK937" s="73">
        <v>30000</v>
      </c>
      <c r="AL937" s="15">
        <f t="shared" si="444"/>
        <v>30000</v>
      </c>
      <c r="AM937" s="15">
        <f t="shared" si="445"/>
        <v>5042160</v>
      </c>
      <c r="AN937" s="15">
        <f t="shared" si="446"/>
        <v>256008</v>
      </c>
      <c r="AO937" s="15">
        <f t="shared" si="423"/>
        <v>301233.2</v>
      </c>
      <c r="AP937" s="17">
        <f t="shared" si="447"/>
        <v>5343393.2</v>
      </c>
      <c r="AQ937" s="15">
        <v>4716444</v>
      </c>
      <c r="AR937" s="15">
        <v>15225.2</v>
      </c>
      <c r="AS937" s="18">
        <f t="shared" si="424"/>
        <v>626949</v>
      </c>
      <c r="AT937" s="19">
        <v>0</v>
      </c>
      <c r="AU937" s="8">
        <v>8800</v>
      </c>
      <c r="AV937" s="13">
        <f t="shared" si="425"/>
        <v>880000</v>
      </c>
      <c r="AW937" s="18">
        <f t="shared" si="426"/>
        <v>5042160</v>
      </c>
      <c r="AX937" s="15">
        <f t="shared" si="448"/>
        <v>5043000</v>
      </c>
      <c r="AY937" s="20">
        <v>0.05</v>
      </c>
      <c r="AZ937" s="13">
        <f t="shared" si="449"/>
        <v>252150</v>
      </c>
      <c r="BA937" s="15">
        <f t="shared" si="450"/>
        <v>252200</v>
      </c>
      <c r="BB937" s="21">
        <f t="shared" si="427"/>
        <v>879149</v>
      </c>
      <c r="BC937" s="10">
        <f t="shared" si="428"/>
        <v>0</v>
      </c>
      <c r="BD937" s="10">
        <f t="shared" si="429"/>
        <v>0</v>
      </c>
      <c r="BE937" s="10">
        <v>21.09</v>
      </c>
      <c r="BF937" s="10">
        <v>9.2899999999999991</v>
      </c>
      <c r="BG937" s="107">
        <v>46176</v>
      </c>
      <c r="BH937" s="107">
        <f t="shared" si="451"/>
        <v>46206</v>
      </c>
      <c r="BI937" s="23">
        <v>5</v>
      </c>
      <c r="BJ937" s="6"/>
      <c r="BK937" s="6"/>
      <c r="BL937" s="6"/>
      <c r="BM937" s="6" t="s">
        <v>3831</v>
      </c>
      <c r="BN937" s="6" t="s">
        <v>3832</v>
      </c>
      <c r="BO937" s="6" t="s">
        <v>3833</v>
      </c>
      <c r="BP937" s="6" t="s">
        <v>3821</v>
      </c>
      <c r="BQ937" s="6" t="s">
        <v>3834</v>
      </c>
      <c r="BR937" t="s">
        <v>3823</v>
      </c>
      <c r="BS937" t="s">
        <v>3824</v>
      </c>
      <c r="BT937" t="s">
        <v>3825</v>
      </c>
      <c r="BU937" t="s">
        <v>3826</v>
      </c>
      <c r="BV937" t="s">
        <v>3827</v>
      </c>
      <c r="BW937" t="s">
        <v>3835</v>
      </c>
      <c r="BX937">
        <v>0</v>
      </c>
      <c r="BY937" t="s">
        <v>3866</v>
      </c>
      <c r="BZ937" t="s">
        <v>3872</v>
      </c>
    </row>
    <row r="938" spans="1:78" x14ac:dyDescent="0.25">
      <c r="A938" s="7" t="s">
        <v>3748</v>
      </c>
      <c r="B938" s="7" t="s">
        <v>3669</v>
      </c>
      <c r="C938" s="7" t="s">
        <v>3746</v>
      </c>
      <c r="D938" s="8" t="s">
        <v>3747</v>
      </c>
      <c r="E938" s="7" t="s">
        <v>3737</v>
      </c>
      <c r="F938" s="9">
        <v>45545</v>
      </c>
      <c r="G938" s="9" t="s">
        <v>3674</v>
      </c>
      <c r="H938" s="9" t="s">
        <v>72</v>
      </c>
      <c r="I938" s="8" t="s">
        <v>78</v>
      </c>
      <c r="J938" s="73">
        <v>1208</v>
      </c>
      <c r="K938" s="10">
        <v>1208</v>
      </c>
      <c r="L938" s="10">
        <f t="shared" si="434"/>
        <v>0</v>
      </c>
      <c r="M938" s="73">
        <v>558</v>
      </c>
      <c r="N938" s="10">
        <v>558</v>
      </c>
      <c r="O938" s="10">
        <f t="shared" si="435"/>
        <v>0</v>
      </c>
      <c r="P938" s="11">
        <v>11748.999172185431</v>
      </c>
      <c r="Q938" s="11">
        <v>25435.109318996416</v>
      </c>
      <c r="R938" s="11">
        <v>20000</v>
      </c>
      <c r="S938" s="14">
        <v>14192791</v>
      </c>
      <c r="T938" s="14">
        <v>709640</v>
      </c>
      <c r="U938" s="12">
        <f t="shared" si="436"/>
        <v>5.000003170623734E-2</v>
      </c>
      <c r="V938" s="13">
        <f t="shared" si="452"/>
        <v>0</v>
      </c>
      <c r="W938" s="10">
        <f t="shared" si="438"/>
        <v>0</v>
      </c>
      <c r="X938" s="10"/>
      <c r="Y938" s="10"/>
      <c r="Z938" s="11">
        <f t="shared" si="439"/>
        <v>14192791</v>
      </c>
      <c r="AA938" s="14"/>
      <c r="AB938" s="14"/>
      <c r="AC938" s="11">
        <f t="shared" si="440"/>
        <v>14192791</v>
      </c>
      <c r="AD938" s="10">
        <f t="shared" si="441"/>
        <v>300</v>
      </c>
      <c r="AE938" s="73">
        <v>167400</v>
      </c>
      <c r="AF938" s="16">
        <v>30132</v>
      </c>
      <c r="AG938" s="15">
        <f t="shared" si="442"/>
        <v>0</v>
      </c>
      <c r="AH938" s="15">
        <f t="shared" si="443"/>
        <v>0</v>
      </c>
      <c r="AI938" s="15">
        <f t="shared" si="430"/>
        <v>167400</v>
      </c>
      <c r="AJ938" s="15">
        <f t="shared" si="431"/>
        <v>30132</v>
      </c>
      <c r="AK938" s="73">
        <v>167400</v>
      </c>
      <c r="AL938" s="15">
        <f t="shared" si="444"/>
        <v>167400</v>
      </c>
      <c r="AM938" s="15">
        <f t="shared" si="445"/>
        <v>14360191</v>
      </c>
      <c r="AN938" s="15">
        <f t="shared" si="446"/>
        <v>739772</v>
      </c>
      <c r="AO938" s="15">
        <f t="shared" si="423"/>
        <v>940898</v>
      </c>
      <c r="AP938" s="17">
        <f t="shared" si="447"/>
        <v>15301089</v>
      </c>
      <c r="AQ938" s="15">
        <v>6996920.5300000003</v>
      </c>
      <c r="AR938" s="15">
        <v>33726</v>
      </c>
      <c r="AS938" s="18">
        <f t="shared" si="424"/>
        <v>8304168</v>
      </c>
      <c r="AT938" s="19">
        <v>0</v>
      </c>
      <c r="AU938" s="8">
        <v>8800</v>
      </c>
      <c r="AV938" s="13">
        <f t="shared" si="425"/>
        <v>4910400</v>
      </c>
      <c r="AW938" s="18">
        <f t="shared" si="426"/>
        <v>14360191</v>
      </c>
      <c r="AX938" s="15">
        <f t="shared" si="448"/>
        <v>14361000</v>
      </c>
      <c r="AY938" s="20">
        <v>7.0000000000000007E-2</v>
      </c>
      <c r="AZ938" s="13">
        <f t="shared" si="449"/>
        <v>1005270.0000000001</v>
      </c>
      <c r="BA938" s="15">
        <f t="shared" si="450"/>
        <v>1005300</v>
      </c>
      <c r="BB938" s="21">
        <f t="shared" si="427"/>
        <v>9309468</v>
      </c>
      <c r="BC938" s="10">
        <f t="shared" si="428"/>
        <v>0</v>
      </c>
      <c r="BD938" s="10">
        <f t="shared" si="429"/>
        <v>0</v>
      </c>
      <c r="BE938" s="10">
        <v>112.23</v>
      </c>
      <c r="BF938" s="10">
        <v>51.84</v>
      </c>
      <c r="BG938" s="107">
        <v>46176</v>
      </c>
      <c r="BH938" s="107">
        <f t="shared" si="451"/>
        <v>46206</v>
      </c>
      <c r="BI938" s="23">
        <v>7</v>
      </c>
      <c r="BJ938" s="6"/>
      <c r="BK938" s="6"/>
      <c r="BL938" s="6"/>
      <c r="BM938" s="6" t="s">
        <v>3831</v>
      </c>
      <c r="BN938" s="6" t="s">
        <v>3832</v>
      </c>
      <c r="BO938" s="6" t="s">
        <v>3833</v>
      </c>
      <c r="BP938" s="6" t="s">
        <v>3821</v>
      </c>
      <c r="BQ938" s="6" t="s">
        <v>3834</v>
      </c>
      <c r="BR938" t="s">
        <v>3823</v>
      </c>
      <c r="BS938" t="s">
        <v>3824</v>
      </c>
      <c r="BT938" t="s">
        <v>3825</v>
      </c>
      <c r="BU938" t="s">
        <v>3826</v>
      </c>
      <c r="BV938" t="s">
        <v>3827</v>
      </c>
      <c r="BW938" t="s">
        <v>3835</v>
      </c>
      <c r="BX938">
        <v>0</v>
      </c>
      <c r="BY938" t="s">
        <v>3859</v>
      </c>
      <c r="BZ938" t="s">
        <v>3872</v>
      </c>
    </row>
    <row r="939" spans="1:78" x14ac:dyDescent="0.25">
      <c r="A939" s="8" t="s">
        <v>3751</v>
      </c>
      <c r="B939" s="7" t="s">
        <v>3669</v>
      </c>
      <c r="C939" s="8" t="s">
        <v>3749</v>
      </c>
      <c r="D939" s="8" t="s">
        <v>3750</v>
      </c>
      <c r="E939" s="7" t="s">
        <v>3752</v>
      </c>
      <c r="F939" s="22">
        <v>45630</v>
      </c>
      <c r="G939" s="9" t="s">
        <v>3674</v>
      </c>
      <c r="H939" s="9" t="s">
        <v>72</v>
      </c>
      <c r="I939" s="8" t="s">
        <v>78</v>
      </c>
      <c r="J939" s="73">
        <v>1208</v>
      </c>
      <c r="K939" s="10">
        <v>1208</v>
      </c>
      <c r="L939" s="10">
        <f t="shared" si="434"/>
        <v>0</v>
      </c>
      <c r="M939" s="73">
        <v>558</v>
      </c>
      <c r="N939" s="10">
        <v>558</v>
      </c>
      <c r="O939" s="10">
        <f t="shared" si="435"/>
        <v>0</v>
      </c>
      <c r="P939" s="11">
        <v>15999.998344370861</v>
      </c>
      <c r="Q939" s="14">
        <v>34637.99</v>
      </c>
      <c r="R939" s="11">
        <v>20000</v>
      </c>
      <c r="S939" s="14">
        <v>19327998</v>
      </c>
      <c r="T939" s="14">
        <v>966400</v>
      </c>
      <c r="U939" s="12">
        <f t="shared" si="436"/>
        <v>5.0000005173841594E-2</v>
      </c>
      <c r="V939" s="13">
        <f t="shared" si="452"/>
        <v>0</v>
      </c>
      <c r="W939" s="10">
        <f t="shared" si="438"/>
        <v>0</v>
      </c>
      <c r="X939" s="10"/>
      <c r="Y939" s="10"/>
      <c r="Z939" s="11">
        <f t="shared" si="439"/>
        <v>19327998</v>
      </c>
      <c r="AA939" s="14"/>
      <c r="AB939" s="14"/>
      <c r="AC939" s="11">
        <f t="shared" si="440"/>
        <v>19327998</v>
      </c>
      <c r="AD939" s="10">
        <f t="shared" si="441"/>
        <v>300</v>
      </c>
      <c r="AE939" s="73">
        <v>167400</v>
      </c>
      <c r="AF939" s="16">
        <v>30132</v>
      </c>
      <c r="AG939" s="15">
        <f t="shared" si="442"/>
        <v>0</v>
      </c>
      <c r="AH939" s="15">
        <f t="shared" si="443"/>
        <v>0</v>
      </c>
      <c r="AI939" s="15">
        <f t="shared" si="430"/>
        <v>167400</v>
      </c>
      <c r="AJ939" s="15">
        <f t="shared" si="431"/>
        <v>30132</v>
      </c>
      <c r="AK939" s="73">
        <v>167400</v>
      </c>
      <c r="AL939" s="15">
        <f t="shared" si="444"/>
        <v>167400</v>
      </c>
      <c r="AM939" s="15">
        <f t="shared" si="445"/>
        <v>19495398</v>
      </c>
      <c r="AN939" s="15">
        <f t="shared" si="446"/>
        <v>996532</v>
      </c>
      <c r="AO939" s="15">
        <f t="shared" si="423"/>
        <v>1188471.3</v>
      </c>
      <c r="AP939" s="17">
        <f t="shared" si="447"/>
        <v>20683869.300000001</v>
      </c>
      <c r="AQ939" s="15">
        <v>20498460</v>
      </c>
      <c r="AR939" s="15">
        <v>24539.3</v>
      </c>
      <c r="AS939" s="18">
        <f t="shared" si="424"/>
        <v>185409</v>
      </c>
      <c r="AT939" s="19">
        <v>0</v>
      </c>
      <c r="AU939" s="8">
        <v>8800</v>
      </c>
      <c r="AV939" s="13">
        <f t="shared" si="425"/>
        <v>4910400</v>
      </c>
      <c r="AW939" s="18">
        <f t="shared" si="426"/>
        <v>19495398</v>
      </c>
      <c r="AX939" s="15">
        <f t="shared" si="448"/>
        <v>19496000</v>
      </c>
      <c r="AY939" s="20">
        <v>0.06</v>
      </c>
      <c r="AZ939" s="13">
        <f t="shared" si="449"/>
        <v>1169760</v>
      </c>
      <c r="BA939" s="15">
        <f t="shared" si="450"/>
        <v>1169800</v>
      </c>
      <c r="BB939" s="21">
        <f t="shared" si="427"/>
        <v>1355209</v>
      </c>
      <c r="BC939" s="10">
        <f t="shared" si="428"/>
        <v>0</v>
      </c>
      <c r="BD939" s="10">
        <f t="shared" si="429"/>
        <v>0</v>
      </c>
      <c r="BE939" s="10">
        <v>112.23</v>
      </c>
      <c r="BF939" s="10">
        <v>51.84</v>
      </c>
      <c r="BG939" s="107">
        <v>46176</v>
      </c>
      <c r="BH939" s="107">
        <f t="shared" si="451"/>
        <v>46206</v>
      </c>
      <c r="BI939" s="23">
        <v>6</v>
      </c>
      <c r="BJ939" s="6"/>
      <c r="BK939" s="6"/>
      <c r="BL939" s="6"/>
      <c r="BM939" s="6" t="s">
        <v>3831</v>
      </c>
      <c r="BN939" s="6" t="s">
        <v>3832</v>
      </c>
      <c r="BO939" s="6" t="s">
        <v>3833</v>
      </c>
      <c r="BP939" s="6" t="s">
        <v>3821</v>
      </c>
      <c r="BQ939" s="6" t="s">
        <v>3834</v>
      </c>
      <c r="BR939" t="s">
        <v>3823</v>
      </c>
      <c r="BS939" t="s">
        <v>3824</v>
      </c>
      <c r="BT939" t="s">
        <v>3825</v>
      </c>
      <c r="BU939" t="s">
        <v>3826</v>
      </c>
      <c r="BV939" t="s">
        <v>3827</v>
      </c>
      <c r="BW939" t="s">
        <v>3835</v>
      </c>
      <c r="BX939">
        <v>0</v>
      </c>
      <c r="BY939" t="s">
        <v>3866</v>
      </c>
      <c r="BZ939" t="s">
        <v>3872</v>
      </c>
    </row>
    <row r="940" spans="1:78" x14ac:dyDescent="0.25">
      <c r="A940" s="7" t="s">
        <v>3755</v>
      </c>
      <c r="B940" s="7" t="s">
        <v>3669</v>
      </c>
      <c r="C940" s="7" t="s">
        <v>3753</v>
      </c>
      <c r="D940" s="8" t="s">
        <v>3754</v>
      </c>
      <c r="E940" s="7" t="s">
        <v>3756</v>
      </c>
      <c r="F940" s="9">
        <v>45612</v>
      </c>
      <c r="G940" s="9" t="s">
        <v>3674</v>
      </c>
      <c r="H940" s="9" t="s">
        <v>92</v>
      </c>
      <c r="I940" s="8" t="s">
        <v>78</v>
      </c>
      <c r="J940" s="73">
        <v>592</v>
      </c>
      <c r="K940" s="10">
        <v>645.02</v>
      </c>
      <c r="L940" s="10">
        <f t="shared" si="434"/>
        <v>53.019999999999982</v>
      </c>
      <c r="M940" s="73">
        <v>268</v>
      </c>
      <c r="N940" s="10">
        <v>292</v>
      </c>
      <c r="O940" s="10">
        <f t="shared" si="435"/>
        <v>24</v>
      </c>
      <c r="P940" s="11">
        <v>22249.99831081081</v>
      </c>
      <c r="Q940" s="11">
        <v>49149.25</v>
      </c>
      <c r="R940" s="11">
        <v>28000</v>
      </c>
      <c r="S940" s="14">
        <v>13171999</v>
      </c>
      <c r="T940" s="14">
        <v>658600</v>
      </c>
      <c r="U940" s="12">
        <f t="shared" si="436"/>
        <v>5.0000003795931051E-2</v>
      </c>
      <c r="V940" s="13">
        <f>L940*R940</f>
        <v>1484559.9999999995</v>
      </c>
      <c r="W940" s="10">
        <f t="shared" si="438"/>
        <v>74228.00563528738</v>
      </c>
      <c r="X940" s="15"/>
      <c r="Y940" s="15"/>
      <c r="Z940" s="11">
        <f t="shared" si="439"/>
        <v>14656559</v>
      </c>
      <c r="AA940" s="14"/>
      <c r="AB940" s="14"/>
      <c r="AC940" s="11">
        <f t="shared" si="440"/>
        <v>14656559</v>
      </c>
      <c r="AD940" s="10">
        <f t="shared" si="441"/>
        <v>300</v>
      </c>
      <c r="AE940" s="73">
        <v>80400</v>
      </c>
      <c r="AF940" s="16">
        <v>14472</v>
      </c>
      <c r="AG940" s="15">
        <f t="shared" si="442"/>
        <v>7200</v>
      </c>
      <c r="AH940" s="15">
        <f t="shared" si="443"/>
        <v>1296</v>
      </c>
      <c r="AI940" s="15">
        <f t="shared" si="430"/>
        <v>87600</v>
      </c>
      <c r="AJ940" s="15">
        <f t="shared" si="431"/>
        <v>15768</v>
      </c>
      <c r="AK940" s="73">
        <v>80400</v>
      </c>
      <c r="AL940" s="15">
        <f t="shared" si="444"/>
        <v>87600</v>
      </c>
      <c r="AM940" s="15">
        <f t="shared" si="445"/>
        <v>14744159</v>
      </c>
      <c r="AN940" s="15">
        <f t="shared" si="446"/>
        <v>748597</v>
      </c>
      <c r="AO940" s="15">
        <f t="shared" si="423"/>
        <v>875005</v>
      </c>
      <c r="AP940" s="17">
        <f t="shared" si="447"/>
        <v>15619164</v>
      </c>
      <c r="AQ940" s="15">
        <v>13925471</v>
      </c>
      <c r="AR940" s="15">
        <v>38808</v>
      </c>
      <c r="AS940" s="18">
        <f t="shared" si="424"/>
        <v>1693693</v>
      </c>
      <c r="AT940" s="19">
        <v>0</v>
      </c>
      <c r="AU940" s="8">
        <v>8800</v>
      </c>
      <c r="AV940" s="13">
        <f t="shared" si="425"/>
        <v>2569600</v>
      </c>
      <c r="AW940" s="18">
        <f t="shared" si="426"/>
        <v>14744159</v>
      </c>
      <c r="AX940" s="15">
        <f t="shared" si="448"/>
        <v>14745000</v>
      </c>
      <c r="AY940" s="20">
        <v>0.06</v>
      </c>
      <c r="AZ940" s="13">
        <f t="shared" si="449"/>
        <v>884700</v>
      </c>
      <c r="BA940" s="15">
        <f t="shared" si="450"/>
        <v>884700</v>
      </c>
      <c r="BB940" s="21">
        <f t="shared" si="427"/>
        <v>2578393</v>
      </c>
      <c r="BC940" s="10">
        <f t="shared" si="428"/>
        <v>8.9560810810810789</v>
      </c>
      <c r="BD940" s="10">
        <f t="shared" si="429"/>
        <v>8.9552238805970141</v>
      </c>
      <c r="BE940" s="10">
        <v>59.92</v>
      </c>
      <c r="BF940" s="10">
        <v>27.13</v>
      </c>
      <c r="BG940" s="107">
        <v>46176</v>
      </c>
      <c r="BH940" s="107">
        <f t="shared" si="451"/>
        <v>46206</v>
      </c>
      <c r="BI940" s="23">
        <v>6</v>
      </c>
      <c r="BJ940" s="6"/>
      <c r="BK940" s="6"/>
      <c r="BL940" s="6"/>
      <c r="BM940" s="6" t="s">
        <v>3831</v>
      </c>
      <c r="BN940" s="6" t="s">
        <v>3832</v>
      </c>
      <c r="BO940" s="6" t="s">
        <v>3833</v>
      </c>
      <c r="BP940" s="6" t="s">
        <v>3821</v>
      </c>
      <c r="BQ940" s="6" t="s">
        <v>3834</v>
      </c>
      <c r="BR940" t="s">
        <v>3823</v>
      </c>
      <c r="BS940" t="s">
        <v>3824</v>
      </c>
      <c r="BT940" t="s">
        <v>3825</v>
      </c>
      <c r="BU940" t="s">
        <v>3826</v>
      </c>
      <c r="BV940" t="s">
        <v>3827</v>
      </c>
      <c r="BW940" t="s">
        <v>3835</v>
      </c>
      <c r="BX940">
        <v>0</v>
      </c>
      <c r="BY940" t="s">
        <v>3864</v>
      </c>
      <c r="BZ940" t="s">
        <v>3872</v>
      </c>
    </row>
    <row r="941" spans="1:78" x14ac:dyDescent="0.25">
      <c r="A941" s="7" t="s">
        <v>3759</v>
      </c>
      <c r="B941" s="7" t="s">
        <v>3669</v>
      </c>
      <c r="C941" s="7" t="s">
        <v>3757</v>
      </c>
      <c r="D941" s="8" t="s">
        <v>3758</v>
      </c>
      <c r="E941" s="7" t="s">
        <v>3760</v>
      </c>
      <c r="F941" s="9">
        <v>45507</v>
      </c>
      <c r="G941" s="9" t="s">
        <v>3674</v>
      </c>
      <c r="H941" s="9" t="s">
        <v>92</v>
      </c>
      <c r="I941" s="8" t="s">
        <v>78</v>
      </c>
      <c r="J941" s="73">
        <v>742</v>
      </c>
      <c r="K941" s="10">
        <v>742</v>
      </c>
      <c r="L941" s="10">
        <f t="shared" si="434"/>
        <v>0</v>
      </c>
      <c r="M941" s="73">
        <v>340</v>
      </c>
      <c r="N941" s="10">
        <v>340</v>
      </c>
      <c r="O941" s="10">
        <f t="shared" si="435"/>
        <v>0</v>
      </c>
      <c r="P941" s="11">
        <v>18957.882749326145</v>
      </c>
      <c r="Q941" s="11">
        <v>41372.791176470586</v>
      </c>
      <c r="R941" s="11">
        <v>28000</v>
      </c>
      <c r="S941" s="14">
        <v>14066749</v>
      </c>
      <c r="T941" s="14">
        <v>703338</v>
      </c>
      <c r="U941" s="12">
        <f t="shared" si="436"/>
        <v>5.0000039099297212E-2</v>
      </c>
      <c r="V941" s="13">
        <f>L941*P941</f>
        <v>0</v>
      </c>
      <c r="W941" s="10">
        <f t="shared" si="438"/>
        <v>0</v>
      </c>
      <c r="X941" s="10"/>
      <c r="Y941" s="10"/>
      <c r="Z941" s="11">
        <f t="shared" si="439"/>
        <v>14066749</v>
      </c>
      <c r="AA941" s="14"/>
      <c r="AB941" s="14"/>
      <c r="AC941" s="11">
        <f t="shared" si="440"/>
        <v>14066749</v>
      </c>
      <c r="AD941" s="10">
        <f t="shared" si="441"/>
        <v>300</v>
      </c>
      <c r="AE941" s="73">
        <v>102000</v>
      </c>
      <c r="AF941" s="16">
        <v>18360</v>
      </c>
      <c r="AG941" s="15">
        <f t="shared" si="442"/>
        <v>0</v>
      </c>
      <c r="AH941" s="15">
        <f t="shared" si="443"/>
        <v>0</v>
      </c>
      <c r="AI941" s="15">
        <f t="shared" si="430"/>
        <v>102000</v>
      </c>
      <c r="AJ941" s="15">
        <f t="shared" si="431"/>
        <v>18360</v>
      </c>
      <c r="AK941" s="73">
        <v>102000</v>
      </c>
      <c r="AL941" s="15">
        <f t="shared" si="444"/>
        <v>102000</v>
      </c>
      <c r="AM941" s="15">
        <f t="shared" si="445"/>
        <v>14168749</v>
      </c>
      <c r="AN941" s="15">
        <f t="shared" si="446"/>
        <v>721698</v>
      </c>
      <c r="AO941" s="15">
        <f t="shared" si="423"/>
        <v>874985</v>
      </c>
      <c r="AP941" s="17">
        <f t="shared" si="447"/>
        <v>15043734</v>
      </c>
      <c r="AQ941" s="15">
        <v>5453700</v>
      </c>
      <c r="AR941" s="15">
        <v>51287</v>
      </c>
      <c r="AS941" s="18">
        <f t="shared" si="424"/>
        <v>9590034</v>
      </c>
      <c r="AT941" s="19">
        <v>0</v>
      </c>
      <c r="AU941" s="8">
        <v>8800</v>
      </c>
      <c r="AV941" s="13">
        <f t="shared" si="425"/>
        <v>2992000</v>
      </c>
      <c r="AW941" s="18">
        <f t="shared" si="426"/>
        <v>14168749</v>
      </c>
      <c r="AX941" s="15">
        <f t="shared" si="448"/>
        <v>14169000</v>
      </c>
      <c r="AY941" s="20">
        <v>0.05</v>
      </c>
      <c r="AZ941" s="13">
        <f t="shared" si="449"/>
        <v>708450</v>
      </c>
      <c r="BA941" s="15">
        <f t="shared" si="450"/>
        <v>708500</v>
      </c>
      <c r="BB941" s="21">
        <f t="shared" si="427"/>
        <v>10298534</v>
      </c>
      <c r="BC941" s="10">
        <f t="shared" si="428"/>
        <v>0</v>
      </c>
      <c r="BD941" s="10">
        <f t="shared" si="429"/>
        <v>0</v>
      </c>
      <c r="BE941" s="10">
        <v>68.930000000000007</v>
      </c>
      <c r="BF941" s="10">
        <v>31.59</v>
      </c>
      <c r="BG941" s="107">
        <v>46176</v>
      </c>
      <c r="BH941" s="107">
        <f t="shared" si="451"/>
        <v>46206</v>
      </c>
      <c r="BI941" s="23">
        <v>5</v>
      </c>
      <c r="BJ941" s="6"/>
      <c r="BK941" s="6"/>
      <c r="BL941" s="6"/>
      <c r="BM941" s="6" t="s">
        <v>3831</v>
      </c>
      <c r="BN941" s="6" t="s">
        <v>3832</v>
      </c>
      <c r="BO941" s="6" t="s">
        <v>3833</v>
      </c>
      <c r="BP941" s="6" t="s">
        <v>3821</v>
      </c>
      <c r="BQ941" s="6" t="s">
        <v>3834</v>
      </c>
      <c r="BR941" t="s">
        <v>3823</v>
      </c>
      <c r="BS941" t="s">
        <v>3824</v>
      </c>
      <c r="BT941" t="s">
        <v>3825</v>
      </c>
      <c r="BU941" t="s">
        <v>3826</v>
      </c>
      <c r="BV941" t="s">
        <v>3827</v>
      </c>
      <c r="BW941" t="s">
        <v>3835</v>
      </c>
      <c r="BX941">
        <v>0</v>
      </c>
      <c r="BY941" t="s">
        <v>3866</v>
      </c>
      <c r="BZ941" t="s">
        <v>3872</v>
      </c>
    </row>
    <row r="942" spans="1:78" x14ac:dyDescent="0.25">
      <c r="A942" s="7" t="s">
        <v>3763</v>
      </c>
      <c r="B942" s="7" t="s">
        <v>3669</v>
      </c>
      <c r="C942" s="7" t="s">
        <v>3761</v>
      </c>
      <c r="D942" s="8" t="s">
        <v>3762</v>
      </c>
      <c r="E942" s="7" t="s">
        <v>3764</v>
      </c>
      <c r="F942" s="9">
        <v>45507</v>
      </c>
      <c r="G942" s="9" t="s">
        <v>3674</v>
      </c>
      <c r="H942" s="9" t="s">
        <v>72</v>
      </c>
      <c r="I942" s="8" t="s">
        <v>78</v>
      </c>
      <c r="J942" s="73">
        <v>736</v>
      </c>
      <c r="K942" s="10">
        <v>736</v>
      </c>
      <c r="L942" s="10">
        <f t="shared" si="434"/>
        <v>0</v>
      </c>
      <c r="M942" s="73">
        <v>336</v>
      </c>
      <c r="N942" s="10">
        <v>336</v>
      </c>
      <c r="O942" s="10">
        <f t="shared" si="435"/>
        <v>0</v>
      </c>
      <c r="P942" s="11">
        <v>9999.998641304348</v>
      </c>
      <c r="Q942" s="11">
        <v>21904.758928571428</v>
      </c>
      <c r="R942" s="11">
        <v>20000</v>
      </c>
      <c r="S942" s="14">
        <v>7359999</v>
      </c>
      <c r="T942" s="14">
        <v>368000</v>
      </c>
      <c r="U942" s="12">
        <f t="shared" si="436"/>
        <v>5.0000006793479185E-2</v>
      </c>
      <c r="V942" s="13">
        <f>L942*P942</f>
        <v>0</v>
      </c>
      <c r="W942" s="10">
        <f t="shared" si="438"/>
        <v>0</v>
      </c>
      <c r="X942" s="10"/>
      <c r="Y942" s="10"/>
      <c r="Z942" s="11">
        <f t="shared" si="439"/>
        <v>7359999</v>
      </c>
      <c r="AA942" s="14"/>
      <c r="AB942" s="14"/>
      <c r="AC942" s="11">
        <f t="shared" si="440"/>
        <v>7359999</v>
      </c>
      <c r="AD942" s="10">
        <f t="shared" si="441"/>
        <v>300</v>
      </c>
      <c r="AE942" s="73">
        <v>100800</v>
      </c>
      <c r="AF942" s="16">
        <v>18144</v>
      </c>
      <c r="AG942" s="15">
        <f t="shared" si="442"/>
        <v>0</v>
      </c>
      <c r="AH942" s="15">
        <f t="shared" si="443"/>
        <v>0</v>
      </c>
      <c r="AI942" s="15">
        <f t="shared" si="430"/>
        <v>100800</v>
      </c>
      <c r="AJ942" s="15">
        <f t="shared" si="431"/>
        <v>18144</v>
      </c>
      <c r="AK942" s="73">
        <v>100800</v>
      </c>
      <c r="AL942" s="15">
        <f t="shared" si="444"/>
        <v>100800</v>
      </c>
      <c r="AM942" s="15">
        <f t="shared" si="445"/>
        <v>7460799</v>
      </c>
      <c r="AN942" s="15">
        <f t="shared" si="446"/>
        <v>386144</v>
      </c>
      <c r="AO942" s="15">
        <f t="shared" si="423"/>
        <v>530856.4</v>
      </c>
      <c r="AP942" s="17">
        <f t="shared" si="447"/>
        <v>7991655.4000000004</v>
      </c>
      <c r="AQ942" s="15">
        <v>6917965</v>
      </c>
      <c r="AR942" s="15">
        <v>43912.4</v>
      </c>
      <c r="AS942" s="18">
        <f t="shared" si="424"/>
        <v>1073690</v>
      </c>
      <c r="AT942" s="19">
        <v>0</v>
      </c>
      <c r="AU942" s="8">
        <v>8800</v>
      </c>
      <c r="AV942" s="13">
        <f t="shared" si="425"/>
        <v>2956800</v>
      </c>
      <c r="AW942" s="18">
        <f t="shared" si="426"/>
        <v>7460799</v>
      </c>
      <c r="AX942" s="15">
        <f t="shared" si="448"/>
        <v>7461000</v>
      </c>
      <c r="AY942" s="20">
        <v>0.06</v>
      </c>
      <c r="AZ942" s="13">
        <f t="shared" si="449"/>
        <v>447660</v>
      </c>
      <c r="BA942" s="15">
        <f t="shared" si="450"/>
        <v>447700</v>
      </c>
      <c r="BB942" s="21">
        <f t="shared" si="427"/>
        <v>1521390</v>
      </c>
      <c r="BC942" s="10">
        <f t="shared" si="428"/>
        <v>0</v>
      </c>
      <c r="BD942" s="10">
        <f t="shared" si="429"/>
        <v>0</v>
      </c>
      <c r="BE942" s="10">
        <v>68.38</v>
      </c>
      <c r="BF942" s="10">
        <v>31.22</v>
      </c>
      <c r="BG942" s="107">
        <v>46176</v>
      </c>
      <c r="BH942" s="107">
        <f t="shared" si="451"/>
        <v>46206</v>
      </c>
      <c r="BI942" s="23">
        <v>6</v>
      </c>
      <c r="BJ942" s="6"/>
      <c r="BK942" s="6"/>
      <c r="BL942" s="6"/>
      <c r="BM942" s="6" t="s">
        <v>3831</v>
      </c>
      <c r="BN942" s="6" t="s">
        <v>3832</v>
      </c>
      <c r="BO942" s="6" t="s">
        <v>3833</v>
      </c>
      <c r="BP942" s="6" t="s">
        <v>3821</v>
      </c>
      <c r="BQ942" s="6" t="s">
        <v>3834</v>
      </c>
      <c r="BR942" t="s">
        <v>3823</v>
      </c>
      <c r="BS942" t="s">
        <v>3824</v>
      </c>
      <c r="BT942" t="s">
        <v>3825</v>
      </c>
      <c r="BU942" t="s">
        <v>3826</v>
      </c>
      <c r="BV942" t="s">
        <v>3827</v>
      </c>
      <c r="BW942" t="s">
        <v>3835</v>
      </c>
      <c r="BX942">
        <v>0</v>
      </c>
      <c r="BY942" t="s">
        <v>3866</v>
      </c>
      <c r="BZ942" t="s">
        <v>3872</v>
      </c>
    </row>
    <row r="943" spans="1:78" x14ac:dyDescent="0.25">
      <c r="A943" s="7" t="s">
        <v>3767</v>
      </c>
      <c r="B943" s="7" t="s">
        <v>3669</v>
      </c>
      <c r="C943" s="7" t="s">
        <v>3765</v>
      </c>
      <c r="D943" s="8" t="s">
        <v>3766</v>
      </c>
      <c r="E943" s="7" t="s">
        <v>3768</v>
      </c>
      <c r="F943" s="9">
        <v>45554</v>
      </c>
      <c r="G943" s="9" t="s">
        <v>3674</v>
      </c>
      <c r="H943" s="9" t="s">
        <v>66</v>
      </c>
      <c r="I943" s="8" t="s">
        <v>78</v>
      </c>
      <c r="J943" s="73">
        <v>592</v>
      </c>
      <c r="K943" s="10">
        <v>645.02</v>
      </c>
      <c r="L943" s="10">
        <f t="shared" si="434"/>
        <v>53.019999999999982</v>
      </c>
      <c r="M943" s="73">
        <v>268</v>
      </c>
      <c r="N943" s="10">
        <v>292</v>
      </c>
      <c r="O943" s="10">
        <f t="shared" si="435"/>
        <v>24</v>
      </c>
      <c r="P943" s="11">
        <v>18431.99831081081</v>
      </c>
      <c r="Q943" s="11">
        <v>40715.458955223883</v>
      </c>
      <c r="R943" s="11">
        <v>22000</v>
      </c>
      <c r="S943" s="14">
        <v>10911743</v>
      </c>
      <c r="T943" s="14">
        <v>545586</v>
      </c>
      <c r="U943" s="12">
        <f t="shared" si="436"/>
        <v>4.9999894608954772E-2</v>
      </c>
      <c r="V943" s="13">
        <f>L943*R943</f>
        <v>1166439.9999999995</v>
      </c>
      <c r="W943" s="10">
        <f t="shared" si="438"/>
        <v>58321.877067669178</v>
      </c>
      <c r="X943" s="15"/>
      <c r="Y943" s="15"/>
      <c r="Z943" s="11">
        <f t="shared" si="439"/>
        <v>12078183</v>
      </c>
      <c r="AA943" s="14"/>
      <c r="AB943" s="14"/>
      <c r="AC943" s="11">
        <f t="shared" si="440"/>
        <v>12078183</v>
      </c>
      <c r="AD943" s="10">
        <f t="shared" si="441"/>
        <v>300</v>
      </c>
      <c r="AE943" s="73">
        <v>80400</v>
      </c>
      <c r="AF943" s="16">
        <v>14472</v>
      </c>
      <c r="AG943" s="15">
        <f t="shared" si="442"/>
        <v>7200</v>
      </c>
      <c r="AH943" s="15">
        <f t="shared" si="443"/>
        <v>1296</v>
      </c>
      <c r="AI943" s="15">
        <f t="shared" si="430"/>
        <v>87600</v>
      </c>
      <c r="AJ943" s="15">
        <f t="shared" si="431"/>
        <v>15768</v>
      </c>
      <c r="AK943" s="73">
        <v>80400</v>
      </c>
      <c r="AL943" s="15">
        <f t="shared" si="444"/>
        <v>87600</v>
      </c>
      <c r="AM943" s="15">
        <f t="shared" si="445"/>
        <v>12165783</v>
      </c>
      <c r="AN943" s="15">
        <f t="shared" si="446"/>
        <v>619676</v>
      </c>
      <c r="AO943" s="15">
        <f t="shared" si="423"/>
        <v>771874</v>
      </c>
      <c r="AP943" s="17">
        <f t="shared" si="447"/>
        <v>12937657</v>
      </c>
      <c r="AQ943" s="15">
        <v>5678666</v>
      </c>
      <c r="AR943" s="15">
        <v>64598</v>
      </c>
      <c r="AS943" s="18">
        <f t="shared" si="424"/>
        <v>7258991</v>
      </c>
      <c r="AT943" s="19">
        <v>0</v>
      </c>
      <c r="AU943" s="8">
        <v>8800</v>
      </c>
      <c r="AV943" s="13">
        <f t="shared" si="425"/>
        <v>2569600</v>
      </c>
      <c r="AW943" s="18">
        <f t="shared" si="426"/>
        <v>12165783</v>
      </c>
      <c r="AX943" s="15">
        <f t="shared" si="448"/>
        <v>12166000</v>
      </c>
      <c r="AY943" s="20">
        <v>0.05</v>
      </c>
      <c r="AZ943" s="13">
        <f t="shared" si="449"/>
        <v>608300</v>
      </c>
      <c r="BA943" s="15">
        <f t="shared" si="450"/>
        <v>608300</v>
      </c>
      <c r="BB943" s="21">
        <f t="shared" si="427"/>
        <v>7867291</v>
      </c>
      <c r="BC943" s="10">
        <f t="shared" si="428"/>
        <v>8.9560810810810789</v>
      </c>
      <c r="BD943" s="10">
        <f t="shared" si="429"/>
        <v>8.9552238805970141</v>
      </c>
      <c r="BE943" s="10">
        <v>59.92</v>
      </c>
      <c r="BF943" s="10">
        <v>27.13</v>
      </c>
      <c r="BG943" s="107">
        <v>46176</v>
      </c>
      <c r="BH943" s="107">
        <f t="shared" si="451"/>
        <v>46206</v>
      </c>
      <c r="BI943" s="23">
        <v>5</v>
      </c>
      <c r="BJ943" s="6"/>
      <c r="BK943" s="6"/>
      <c r="BL943" s="6"/>
      <c r="BM943" s="6" t="s">
        <v>3831</v>
      </c>
      <c r="BN943" s="6" t="s">
        <v>3832</v>
      </c>
      <c r="BO943" s="6" t="s">
        <v>3833</v>
      </c>
      <c r="BP943" s="6" t="s">
        <v>3821</v>
      </c>
      <c r="BQ943" s="6" t="s">
        <v>3834</v>
      </c>
      <c r="BR943" t="s">
        <v>3823</v>
      </c>
      <c r="BS943" t="s">
        <v>3824</v>
      </c>
      <c r="BT943" t="s">
        <v>3825</v>
      </c>
      <c r="BU943" t="s">
        <v>3826</v>
      </c>
      <c r="BV943" t="s">
        <v>3827</v>
      </c>
      <c r="BW943" t="s">
        <v>3835</v>
      </c>
      <c r="BX943">
        <v>0</v>
      </c>
      <c r="BY943" t="s">
        <v>3864</v>
      </c>
      <c r="BZ943" t="s">
        <v>3872</v>
      </c>
    </row>
    <row r="944" spans="1:78" x14ac:dyDescent="0.25">
      <c r="A944" s="7" t="s">
        <v>3771</v>
      </c>
      <c r="B944" s="7" t="s">
        <v>3669</v>
      </c>
      <c r="C944" s="7" t="s">
        <v>3769</v>
      </c>
      <c r="D944" s="8" t="s">
        <v>3770</v>
      </c>
      <c r="E944" s="7" t="s">
        <v>3772</v>
      </c>
      <c r="F944" s="9">
        <v>45637</v>
      </c>
      <c r="G944" s="9" t="s">
        <v>3674</v>
      </c>
      <c r="H944" s="9" t="s">
        <v>92</v>
      </c>
      <c r="I944" s="8" t="s">
        <v>78</v>
      </c>
      <c r="J944" s="73">
        <v>736</v>
      </c>
      <c r="K944" s="10">
        <v>736</v>
      </c>
      <c r="L944" s="10">
        <f t="shared" si="434"/>
        <v>0</v>
      </c>
      <c r="M944" s="73">
        <v>336</v>
      </c>
      <c r="N944" s="10">
        <v>336</v>
      </c>
      <c r="O944" s="10">
        <f t="shared" si="435"/>
        <v>0</v>
      </c>
      <c r="P944" s="14">
        <v>16912.5</v>
      </c>
      <c r="Q944" s="11">
        <v>37046.43</v>
      </c>
      <c r="R944" s="11">
        <v>28000</v>
      </c>
      <c r="S944" s="14">
        <v>12447600</v>
      </c>
      <c r="T944" s="14">
        <v>622380</v>
      </c>
      <c r="U944" s="12">
        <f t="shared" si="436"/>
        <v>0.05</v>
      </c>
      <c r="V944" s="13">
        <f>L944*P944</f>
        <v>0</v>
      </c>
      <c r="W944" s="10">
        <f t="shared" si="438"/>
        <v>0</v>
      </c>
      <c r="X944" s="10"/>
      <c r="Y944" s="10"/>
      <c r="Z944" s="11">
        <f t="shared" si="439"/>
        <v>12447600</v>
      </c>
      <c r="AA944" s="14"/>
      <c r="AB944" s="14"/>
      <c r="AC944" s="11">
        <f t="shared" si="440"/>
        <v>12447600</v>
      </c>
      <c r="AD944" s="10">
        <f t="shared" si="441"/>
        <v>300</v>
      </c>
      <c r="AE944" s="73">
        <v>100800</v>
      </c>
      <c r="AF944" s="16">
        <v>18144</v>
      </c>
      <c r="AG944" s="15">
        <f t="shared" si="442"/>
        <v>0</v>
      </c>
      <c r="AH944" s="15">
        <f t="shared" si="443"/>
        <v>0</v>
      </c>
      <c r="AI944" s="15">
        <f t="shared" ref="AI944:AI954" si="453">AD944*N944</f>
        <v>100800</v>
      </c>
      <c r="AJ944" s="15">
        <f t="shared" ref="AJ944:AJ954" si="454">ROUNDUP(AI944*18%,0)</f>
        <v>18144</v>
      </c>
      <c r="AK944" s="73">
        <v>100800</v>
      </c>
      <c r="AL944" s="15">
        <f t="shared" si="444"/>
        <v>100800</v>
      </c>
      <c r="AM944" s="15">
        <f t="shared" si="445"/>
        <v>12548400</v>
      </c>
      <c r="AN944" s="15">
        <f t="shared" si="446"/>
        <v>640524</v>
      </c>
      <c r="AO944" s="15">
        <f t="shared" si="423"/>
        <v>954641</v>
      </c>
      <c r="AP944" s="17">
        <f t="shared" si="447"/>
        <v>13503041</v>
      </c>
      <c r="AQ944" s="15">
        <v>2772420</v>
      </c>
      <c r="AR944" s="15">
        <v>213317</v>
      </c>
      <c r="AS944" s="18">
        <f t="shared" si="424"/>
        <v>10730621</v>
      </c>
      <c r="AT944" s="19">
        <v>0</v>
      </c>
      <c r="AU944" s="8">
        <v>8800</v>
      </c>
      <c r="AV944" s="13">
        <f t="shared" si="425"/>
        <v>2956800</v>
      </c>
      <c r="AW944" s="18">
        <f t="shared" si="426"/>
        <v>12548400</v>
      </c>
      <c r="AX944" s="15">
        <f t="shared" si="448"/>
        <v>12549000</v>
      </c>
      <c r="AY944" s="20">
        <v>7.0000000000000007E-2</v>
      </c>
      <c r="AZ944" s="13">
        <f t="shared" si="449"/>
        <v>878430.00000000012</v>
      </c>
      <c r="BA944" s="15">
        <f t="shared" si="450"/>
        <v>878500</v>
      </c>
      <c r="BB944" s="21">
        <f t="shared" si="427"/>
        <v>11609121</v>
      </c>
      <c r="BC944" s="10">
        <f t="shared" si="428"/>
        <v>0</v>
      </c>
      <c r="BD944" s="10">
        <f t="shared" si="429"/>
        <v>0</v>
      </c>
      <c r="BE944" s="10">
        <v>68.38</v>
      </c>
      <c r="BF944" s="10">
        <v>31.22</v>
      </c>
      <c r="BG944" s="107">
        <v>46176</v>
      </c>
      <c r="BH944" s="107">
        <f t="shared" si="451"/>
        <v>46206</v>
      </c>
      <c r="BI944" s="23">
        <v>7</v>
      </c>
      <c r="BJ944" s="6"/>
      <c r="BK944" s="6"/>
      <c r="BL944" s="6"/>
      <c r="BM944" s="6" t="s">
        <v>3831</v>
      </c>
      <c r="BN944" s="6" t="s">
        <v>3832</v>
      </c>
      <c r="BO944" s="6" t="s">
        <v>3833</v>
      </c>
      <c r="BP944" s="6" t="s">
        <v>3821</v>
      </c>
      <c r="BQ944" s="6" t="s">
        <v>3834</v>
      </c>
      <c r="BR944" t="s">
        <v>3823</v>
      </c>
      <c r="BS944" t="s">
        <v>3824</v>
      </c>
      <c r="BT944" t="s">
        <v>3825</v>
      </c>
      <c r="BU944" t="s">
        <v>3826</v>
      </c>
      <c r="BV944" t="s">
        <v>3827</v>
      </c>
      <c r="BW944" t="s">
        <v>3835</v>
      </c>
      <c r="BX944">
        <v>0</v>
      </c>
      <c r="BY944" t="s">
        <v>3864</v>
      </c>
      <c r="BZ944" t="s">
        <v>3872</v>
      </c>
    </row>
    <row r="945" spans="1:78" x14ac:dyDescent="0.25">
      <c r="A945" s="7" t="s">
        <v>3775</v>
      </c>
      <c r="B945" s="7" t="s">
        <v>3669</v>
      </c>
      <c r="C945" s="7" t="s">
        <v>3773</v>
      </c>
      <c r="D945" s="8" t="s">
        <v>3774</v>
      </c>
      <c r="E945" s="7" t="s">
        <v>3776</v>
      </c>
      <c r="F945" s="9">
        <v>45625</v>
      </c>
      <c r="G945" s="9" t="s">
        <v>3674</v>
      </c>
      <c r="H945" s="9" t="s">
        <v>92</v>
      </c>
      <c r="I945" s="8" t="s">
        <v>78</v>
      </c>
      <c r="J945" s="73">
        <v>722</v>
      </c>
      <c r="K945" s="10">
        <v>722</v>
      </c>
      <c r="L945" s="10">
        <f t="shared" si="434"/>
        <v>0</v>
      </c>
      <c r="M945" s="73">
        <v>331</v>
      </c>
      <c r="N945" s="10">
        <v>331</v>
      </c>
      <c r="O945" s="10">
        <f t="shared" si="435"/>
        <v>0</v>
      </c>
      <c r="P945" s="11">
        <v>16825</v>
      </c>
      <c r="Q945" s="11">
        <v>36699.84894259819</v>
      </c>
      <c r="R945" s="11">
        <v>28000</v>
      </c>
      <c r="S945" s="14">
        <v>12147650</v>
      </c>
      <c r="T945" s="14">
        <v>607382</v>
      </c>
      <c r="U945" s="12">
        <f t="shared" si="436"/>
        <v>4.9999958839775593E-2</v>
      </c>
      <c r="V945" s="13">
        <f>L945*P945</f>
        <v>0</v>
      </c>
      <c r="W945" s="10">
        <f t="shared" si="438"/>
        <v>0</v>
      </c>
      <c r="X945" s="10"/>
      <c r="Y945" s="10"/>
      <c r="Z945" s="11">
        <f t="shared" si="439"/>
        <v>12147650</v>
      </c>
      <c r="AA945" s="14"/>
      <c r="AB945" s="14"/>
      <c r="AC945" s="11">
        <f t="shared" si="440"/>
        <v>12147650</v>
      </c>
      <c r="AD945" s="10">
        <f t="shared" si="441"/>
        <v>300</v>
      </c>
      <c r="AE945" s="73">
        <v>99300</v>
      </c>
      <c r="AF945" s="16">
        <v>17874</v>
      </c>
      <c r="AG945" s="15">
        <f t="shared" si="442"/>
        <v>0</v>
      </c>
      <c r="AH945" s="15">
        <f t="shared" si="443"/>
        <v>0</v>
      </c>
      <c r="AI945" s="15">
        <f t="shared" si="453"/>
        <v>99300</v>
      </c>
      <c r="AJ945" s="15">
        <f t="shared" si="454"/>
        <v>17874</v>
      </c>
      <c r="AK945" s="73">
        <v>99300</v>
      </c>
      <c r="AL945" s="15">
        <f t="shared" si="444"/>
        <v>99300</v>
      </c>
      <c r="AM945" s="15">
        <f t="shared" si="445"/>
        <v>12246950</v>
      </c>
      <c r="AN945" s="15">
        <f t="shared" si="446"/>
        <v>625256</v>
      </c>
      <c r="AO945" s="15">
        <f t="shared" si="423"/>
        <v>1040483.56</v>
      </c>
      <c r="AP945" s="17">
        <f t="shared" si="447"/>
        <v>13287433.560000001</v>
      </c>
      <c r="AQ945" s="15">
        <v>2628080</v>
      </c>
      <c r="AR945" s="15">
        <v>315927.56</v>
      </c>
      <c r="AS945" s="18">
        <f t="shared" si="424"/>
        <v>10659354</v>
      </c>
      <c r="AT945" s="19">
        <v>0</v>
      </c>
      <c r="AU945" s="8">
        <v>8800</v>
      </c>
      <c r="AV945" s="13">
        <f t="shared" si="425"/>
        <v>2912800</v>
      </c>
      <c r="AW945" s="18">
        <f t="shared" si="426"/>
        <v>12246950</v>
      </c>
      <c r="AX945" s="15">
        <f t="shared" si="448"/>
        <v>12247000</v>
      </c>
      <c r="AY945" s="20">
        <v>5.67E-2</v>
      </c>
      <c r="AZ945" s="13">
        <f t="shared" si="449"/>
        <v>694404.9</v>
      </c>
      <c r="BA945" s="15">
        <f t="shared" si="450"/>
        <v>694500</v>
      </c>
      <c r="BB945" s="21">
        <f t="shared" si="427"/>
        <v>11353854</v>
      </c>
      <c r="BC945" s="10">
        <f t="shared" si="428"/>
        <v>0</v>
      </c>
      <c r="BD945" s="10">
        <f t="shared" si="429"/>
        <v>0</v>
      </c>
      <c r="BE945" s="10">
        <v>67.08</v>
      </c>
      <c r="BF945" s="10">
        <v>30.75</v>
      </c>
      <c r="BG945" s="107">
        <v>46176</v>
      </c>
      <c r="BH945" s="107">
        <f t="shared" si="451"/>
        <v>46206</v>
      </c>
      <c r="BI945" s="23">
        <v>5.67</v>
      </c>
      <c r="BJ945" s="6"/>
      <c r="BK945" s="6"/>
      <c r="BL945" s="6"/>
      <c r="BM945" s="6" t="s">
        <v>3831</v>
      </c>
      <c r="BN945" s="6" t="s">
        <v>3832</v>
      </c>
      <c r="BO945" s="6" t="s">
        <v>3833</v>
      </c>
      <c r="BP945" s="6" t="s">
        <v>3821</v>
      </c>
      <c r="BQ945" s="6" t="s">
        <v>3834</v>
      </c>
      <c r="BR945" t="s">
        <v>3823</v>
      </c>
      <c r="BS945" t="s">
        <v>3824</v>
      </c>
      <c r="BT945" t="s">
        <v>3825</v>
      </c>
      <c r="BU945" t="s">
        <v>3826</v>
      </c>
      <c r="BV945" t="s">
        <v>3827</v>
      </c>
      <c r="BW945" t="s">
        <v>3835</v>
      </c>
      <c r="BX945">
        <v>0</v>
      </c>
      <c r="BY945" t="s">
        <v>3864</v>
      </c>
      <c r="BZ945" t="s">
        <v>3872</v>
      </c>
    </row>
    <row r="946" spans="1:78" x14ac:dyDescent="0.25">
      <c r="A946" s="7" t="s">
        <v>3779</v>
      </c>
      <c r="B946" s="7" t="s">
        <v>3669</v>
      </c>
      <c r="C946" s="7" t="s">
        <v>3777</v>
      </c>
      <c r="D946" s="8" t="s">
        <v>3778</v>
      </c>
      <c r="E946" s="7" t="s">
        <v>3776</v>
      </c>
      <c r="F946" s="9">
        <v>45625</v>
      </c>
      <c r="G946" s="9" t="s">
        <v>3674</v>
      </c>
      <c r="H946" s="9" t="s">
        <v>92</v>
      </c>
      <c r="I946" s="8" t="s">
        <v>78</v>
      </c>
      <c r="J946" s="73">
        <v>722</v>
      </c>
      <c r="K946" s="10">
        <v>722</v>
      </c>
      <c r="L946" s="10">
        <f t="shared" si="434"/>
        <v>0</v>
      </c>
      <c r="M946" s="73">
        <v>331</v>
      </c>
      <c r="N946" s="10">
        <v>331</v>
      </c>
      <c r="O946" s="10">
        <f t="shared" si="435"/>
        <v>0</v>
      </c>
      <c r="P946" s="11">
        <v>16825</v>
      </c>
      <c r="Q946" s="11">
        <v>36699.84894259819</v>
      </c>
      <c r="R946" s="11">
        <v>28000</v>
      </c>
      <c r="S946" s="14">
        <v>12147650</v>
      </c>
      <c r="T946" s="14">
        <v>607382</v>
      </c>
      <c r="U946" s="12">
        <f t="shared" si="436"/>
        <v>4.9999958839775593E-2</v>
      </c>
      <c r="V946" s="13">
        <f>L946*P946</f>
        <v>0</v>
      </c>
      <c r="W946" s="10">
        <f t="shared" si="438"/>
        <v>0</v>
      </c>
      <c r="X946" s="10"/>
      <c r="Y946" s="10"/>
      <c r="Z946" s="11">
        <f t="shared" si="439"/>
        <v>12147650</v>
      </c>
      <c r="AA946" s="14"/>
      <c r="AB946" s="14"/>
      <c r="AC946" s="11">
        <f t="shared" si="440"/>
        <v>12147650</v>
      </c>
      <c r="AD946" s="10">
        <f t="shared" si="441"/>
        <v>300</v>
      </c>
      <c r="AE946" s="73">
        <v>99300</v>
      </c>
      <c r="AF946" s="16">
        <v>17874</v>
      </c>
      <c r="AG946" s="15">
        <f t="shared" si="442"/>
        <v>0</v>
      </c>
      <c r="AH946" s="15">
        <f t="shared" si="443"/>
        <v>0</v>
      </c>
      <c r="AI946" s="15">
        <f t="shared" si="453"/>
        <v>99300</v>
      </c>
      <c r="AJ946" s="15">
        <f t="shared" si="454"/>
        <v>17874</v>
      </c>
      <c r="AK946" s="73">
        <v>99300</v>
      </c>
      <c r="AL946" s="15">
        <f t="shared" si="444"/>
        <v>99300</v>
      </c>
      <c r="AM946" s="15">
        <f t="shared" si="445"/>
        <v>12246950</v>
      </c>
      <c r="AN946" s="15">
        <f t="shared" si="446"/>
        <v>625256</v>
      </c>
      <c r="AO946" s="15">
        <f t="shared" si="423"/>
        <v>1040483.56</v>
      </c>
      <c r="AP946" s="17">
        <f t="shared" si="447"/>
        <v>13287433.560000001</v>
      </c>
      <c r="AQ946" s="15">
        <v>2628080</v>
      </c>
      <c r="AR946" s="15">
        <v>315927.56</v>
      </c>
      <c r="AS946" s="18">
        <f t="shared" si="424"/>
        <v>10659354</v>
      </c>
      <c r="AT946" s="19">
        <v>0</v>
      </c>
      <c r="AU946" s="8">
        <v>8800</v>
      </c>
      <c r="AV946" s="13">
        <f t="shared" si="425"/>
        <v>2912800</v>
      </c>
      <c r="AW946" s="18">
        <f t="shared" si="426"/>
        <v>12246950</v>
      </c>
      <c r="AX946" s="15">
        <f t="shared" si="448"/>
        <v>12247000</v>
      </c>
      <c r="AY946" s="20">
        <v>5.67E-2</v>
      </c>
      <c r="AZ946" s="13">
        <f t="shared" si="449"/>
        <v>694404.9</v>
      </c>
      <c r="BA946" s="15">
        <f t="shared" si="450"/>
        <v>694500</v>
      </c>
      <c r="BB946" s="21">
        <f t="shared" si="427"/>
        <v>11353854</v>
      </c>
      <c r="BC946" s="10">
        <f t="shared" si="428"/>
        <v>0</v>
      </c>
      <c r="BD946" s="10">
        <f t="shared" si="429"/>
        <v>0</v>
      </c>
      <c r="BE946" s="10">
        <v>67.08</v>
      </c>
      <c r="BF946" s="10">
        <v>30.75</v>
      </c>
      <c r="BG946" s="107">
        <v>46176</v>
      </c>
      <c r="BH946" s="107">
        <f t="shared" si="451"/>
        <v>46206</v>
      </c>
      <c r="BI946" s="23">
        <v>5.67</v>
      </c>
      <c r="BJ946" s="6"/>
      <c r="BK946" s="6"/>
      <c r="BL946" s="6"/>
      <c r="BM946" s="6" t="s">
        <v>3831</v>
      </c>
      <c r="BN946" s="6" t="s">
        <v>3832</v>
      </c>
      <c r="BO946" s="6" t="s">
        <v>3833</v>
      </c>
      <c r="BP946" s="6" t="s">
        <v>3821</v>
      </c>
      <c r="BQ946" s="6" t="s">
        <v>3834</v>
      </c>
      <c r="BR946" t="s">
        <v>3823</v>
      </c>
      <c r="BS946" t="s">
        <v>3824</v>
      </c>
      <c r="BT946" t="s">
        <v>3825</v>
      </c>
      <c r="BU946" t="s">
        <v>3826</v>
      </c>
      <c r="BV946" t="s">
        <v>3827</v>
      </c>
      <c r="BW946" t="s">
        <v>3835</v>
      </c>
      <c r="BX946">
        <v>0</v>
      </c>
      <c r="BY946" t="s">
        <v>3864</v>
      </c>
      <c r="BZ946" t="s">
        <v>3872</v>
      </c>
    </row>
    <row r="947" spans="1:78" x14ac:dyDescent="0.25">
      <c r="A947" s="7" t="s">
        <v>3782</v>
      </c>
      <c r="B947" s="7" t="s">
        <v>3669</v>
      </c>
      <c r="C947" s="7" t="s">
        <v>3780</v>
      </c>
      <c r="D947" s="8" t="s">
        <v>3781</v>
      </c>
      <c r="E947" s="7" t="s">
        <v>598</v>
      </c>
      <c r="F947" s="9">
        <v>45637</v>
      </c>
      <c r="G947" s="9" t="s">
        <v>3674</v>
      </c>
      <c r="H947" s="9" t="s">
        <v>87</v>
      </c>
      <c r="I947" s="8" t="s">
        <v>78</v>
      </c>
      <c r="J947" s="73">
        <v>655</v>
      </c>
      <c r="K947" s="10">
        <v>655</v>
      </c>
      <c r="L947" s="10">
        <f t="shared" si="434"/>
        <v>0</v>
      </c>
      <c r="M947" s="73">
        <v>298</v>
      </c>
      <c r="N947" s="10">
        <v>298</v>
      </c>
      <c r="O947" s="10">
        <f t="shared" si="435"/>
        <v>0</v>
      </c>
      <c r="P947" s="14">
        <v>22638</v>
      </c>
      <c r="Q947" s="11">
        <v>49758.02</v>
      </c>
      <c r="R947" s="11">
        <v>40000</v>
      </c>
      <c r="S947" s="14">
        <v>14827890</v>
      </c>
      <c r="T947" s="14">
        <v>741394</v>
      </c>
      <c r="U947" s="12">
        <f t="shared" si="436"/>
        <v>4.9999966279760638E-2</v>
      </c>
      <c r="V947" s="13">
        <f>L947*P947</f>
        <v>0</v>
      </c>
      <c r="W947" s="10">
        <f t="shared" si="438"/>
        <v>0</v>
      </c>
      <c r="X947" s="10"/>
      <c r="Y947" s="10"/>
      <c r="Z947" s="11">
        <f t="shared" si="439"/>
        <v>14827890</v>
      </c>
      <c r="AA947" s="14"/>
      <c r="AB947" s="14"/>
      <c r="AC947" s="11">
        <f t="shared" si="440"/>
        <v>14827890</v>
      </c>
      <c r="AD947" s="10">
        <f t="shared" si="441"/>
        <v>300</v>
      </c>
      <c r="AE947" s="73">
        <v>89400</v>
      </c>
      <c r="AF947" s="16">
        <v>16092</v>
      </c>
      <c r="AG947" s="15">
        <f t="shared" si="442"/>
        <v>0</v>
      </c>
      <c r="AH947" s="15">
        <f t="shared" si="443"/>
        <v>0</v>
      </c>
      <c r="AI947" s="15">
        <f t="shared" si="453"/>
        <v>89400</v>
      </c>
      <c r="AJ947" s="15">
        <f t="shared" si="454"/>
        <v>16092</v>
      </c>
      <c r="AK947" s="73">
        <v>89400</v>
      </c>
      <c r="AL947" s="15">
        <f t="shared" si="444"/>
        <v>89400</v>
      </c>
      <c r="AM947" s="15">
        <f t="shared" si="445"/>
        <v>14917290</v>
      </c>
      <c r="AN947" s="15">
        <f t="shared" si="446"/>
        <v>757486</v>
      </c>
      <c r="AO947" s="15">
        <f t="shared" si="423"/>
        <v>1206611</v>
      </c>
      <c r="AP947" s="17">
        <f t="shared" si="447"/>
        <v>16123901</v>
      </c>
      <c r="AQ947" s="15">
        <v>3500000</v>
      </c>
      <c r="AR947" s="15">
        <v>359725</v>
      </c>
      <c r="AS947" s="18">
        <f t="shared" si="424"/>
        <v>12623901</v>
      </c>
      <c r="AT947" s="19">
        <v>0</v>
      </c>
      <c r="AU947" s="8">
        <v>8800</v>
      </c>
      <c r="AV947" s="13">
        <f t="shared" si="425"/>
        <v>2622400</v>
      </c>
      <c r="AW947" s="18">
        <f t="shared" si="426"/>
        <v>14917290</v>
      </c>
      <c r="AX947" s="15">
        <f t="shared" si="448"/>
        <v>14918000</v>
      </c>
      <c r="AY947" s="20">
        <v>7.0000000000000007E-2</v>
      </c>
      <c r="AZ947" s="13">
        <f t="shared" si="449"/>
        <v>1044260.0000000001</v>
      </c>
      <c r="BA947" s="15">
        <f t="shared" si="450"/>
        <v>1044300</v>
      </c>
      <c r="BB947" s="21">
        <f t="shared" si="427"/>
        <v>13668201</v>
      </c>
      <c r="BC947" s="10">
        <f t="shared" si="428"/>
        <v>0</v>
      </c>
      <c r="BD947" s="10">
        <f t="shared" si="429"/>
        <v>0</v>
      </c>
      <c r="BE947" s="10">
        <v>60.85</v>
      </c>
      <c r="BF947" s="10">
        <v>27.68</v>
      </c>
      <c r="BG947" s="107">
        <v>46176</v>
      </c>
      <c r="BH947" s="107">
        <f t="shared" si="451"/>
        <v>46206</v>
      </c>
      <c r="BI947" s="23">
        <v>7</v>
      </c>
      <c r="BJ947" s="6"/>
      <c r="BK947" s="6"/>
      <c r="BL947" s="6"/>
      <c r="BM947" s="6" t="s">
        <v>3831</v>
      </c>
      <c r="BN947" s="6" t="s">
        <v>3832</v>
      </c>
      <c r="BO947" s="6" t="s">
        <v>3833</v>
      </c>
      <c r="BP947" s="6" t="s">
        <v>3821</v>
      </c>
      <c r="BQ947" s="6" t="s">
        <v>3834</v>
      </c>
      <c r="BR947" t="s">
        <v>3823</v>
      </c>
      <c r="BS947" t="s">
        <v>3824</v>
      </c>
      <c r="BT947" t="s">
        <v>3825</v>
      </c>
      <c r="BU947" t="s">
        <v>3826</v>
      </c>
      <c r="BV947" t="s">
        <v>3827</v>
      </c>
      <c r="BW947" t="s">
        <v>3835</v>
      </c>
      <c r="BX947">
        <v>0</v>
      </c>
      <c r="BY947" t="s">
        <v>3864</v>
      </c>
      <c r="BZ947" t="s">
        <v>3872</v>
      </c>
    </row>
    <row r="948" spans="1:78" x14ac:dyDescent="0.25">
      <c r="A948" s="7" t="s">
        <v>3785</v>
      </c>
      <c r="B948" s="7" t="s">
        <v>3669</v>
      </c>
      <c r="C948" s="7" t="s">
        <v>3783</v>
      </c>
      <c r="D948" s="8" t="s">
        <v>3784</v>
      </c>
      <c r="E948" s="7" t="s">
        <v>3786</v>
      </c>
      <c r="F948" s="9">
        <v>45554</v>
      </c>
      <c r="G948" s="9" t="s">
        <v>3674</v>
      </c>
      <c r="H948" s="9" t="s">
        <v>66</v>
      </c>
      <c r="I948" s="8" t="s">
        <v>78</v>
      </c>
      <c r="J948" s="73">
        <v>592</v>
      </c>
      <c r="K948" s="10">
        <v>645.02</v>
      </c>
      <c r="L948" s="10">
        <f t="shared" si="434"/>
        <v>53.019999999999982</v>
      </c>
      <c r="M948" s="73">
        <v>268</v>
      </c>
      <c r="N948" s="10">
        <v>292</v>
      </c>
      <c r="O948" s="10">
        <f t="shared" si="435"/>
        <v>24</v>
      </c>
      <c r="P948" s="11">
        <v>7499.9983108108108</v>
      </c>
      <c r="Q948" s="11">
        <v>16567.160447761195</v>
      </c>
      <c r="R948" s="11">
        <v>22000</v>
      </c>
      <c r="S948" s="14">
        <v>4439999</v>
      </c>
      <c r="T948" s="14">
        <v>222000</v>
      </c>
      <c r="U948" s="12">
        <f t="shared" si="436"/>
        <v>5.0000011261263799E-2</v>
      </c>
      <c r="V948" s="13">
        <f>L948*R948</f>
        <v>1166439.9999999995</v>
      </c>
      <c r="W948" s="10">
        <f t="shared" si="438"/>
        <v>58322.013135588524</v>
      </c>
      <c r="X948" s="15"/>
      <c r="Y948" s="15"/>
      <c r="Z948" s="11">
        <f t="shared" si="439"/>
        <v>5606439</v>
      </c>
      <c r="AA948" s="14"/>
      <c r="AB948" s="14"/>
      <c r="AC948" s="11">
        <f t="shared" si="440"/>
        <v>5606439</v>
      </c>
      <c r="AD948" s="10">
        <f t="shared" si="441"/>
        <v>300</v>
      </c>
      <c r="AE948" s="73">
        <v>80400</v>
      </c>
      <c r="AF948" s="16">
        <v>14472</v>
      </c>
      <c r="AG948" s="15">
        <f t="shared" si="442"/>
        <v>7200</v>
      </c>
      <c r="AH948" s="15">
        <f t="shared" si="443"/>
        <v>1296</v>
      </c>
      <c r="AI948" s="15">
        <f t="shared" si="453"/>
        <v>87600</v>
      </c>
      <c r="AJ948" s="15">
        <f t="shared" si="454"/>
        <v>15768</v>
      </c>
      <c r="AK948" s="73">
        <v>80400</v>
      </c>
      <c r="AL948" s="15">
        <f t="shared" si="444"/>
        <v>87600</v>
      </c>
      <c r="AM948" s="15">
        <f t="shared" si="445"/>
        <v>5694039</v>
      </c>
      <c r="AN948" s="15">
        <f t="shared" si="446"/>
        <v>296091</v>
      </c>
      <c r="AO948" s="15">
        <f t="shared" si="423"/>
        <v>815329</v>
      </c>
      <c r="AP948" s="17">
        <f t="shared" si="447"/>
        <v>6509368</v>
      </c>
      <c r="AQ948" s="15">
        <v>596736</v>
      </c>
      <c r="AR948" s="15">
        <v>431638</v>
      </c>
      <c r="AS948" s="18">
        <f t="shared" si="424"/>
        <v>5912632</v>
      </c>
      <c r="AT948" s="19">
        <v>0</v>
      </c>
      <c r="AU948" s="8">
        <v>8800</v>
      </c>
      <c r="AV948" s="13">
        <f t="shared" si="425"/>
        <v>2569600</v>
      </c>
      <c r="AW948" s="18">
        <f t="shared" si="426"/>
        <v>5694039</v>
      </c>
      <c r="AX948" s="15">
        <f t="shared" si="448"/>
        <v>5695000</v>
      </c>
      <c r="AY948" s="20">
        <v>7.0000000000000007E-2</v>
      </c>
      <c r="AZ948" s="13">
        <f t="shared" si="449"/>
        <v>398650.00000000006</v>
      </c>
      <c r="BA948" s="15">
        <f t="shared" si="450"/>
        <v>398700</v>
      </c>
      <c r="BB948" s="21">
        <f t="shared" si="427"/>
        <v>6311332</v>
      </c>
      <c r="BC948" s="10">
        <f t="shared" si="428"/>
        <v>8.9560810810810789</v>
      </c>
      <c r="BD948" s="10">
        <f t="shared" si="429"/>
        <v>8.9552238805970141</v>
      </c>
      <c r="BE948" s="10">
        <v>59.92</v>
      </c>
      <c r="BF948" s="10">
        <v>27.13</v>
      </c>
      <c r="BG948" s="107">
        <v>46176</v>
      </c>
      <c r="BH948" s="107">
        <f t="shared" si="451"/>
        <v>46206</v>
      </c>
      <c r="BI948" s="23">
        <v>7</v>
      </c>
      <c r="BJ948" s="6"/>
      <c r="BK948" s="6"/>
      <c r="BL948" s="6"/>
      <c r="BM948" s="6" t="s">
        <v>3831</v>
      </c>
      <c r="BN948" s="6" t="s">
        <v>3832</v>
      </c>
      <c r="BO948" s="6" t="s">
        <v>3833</v>
      </c>
      <c r="BP948" s="6" t="s">
        <v>3821</v>
      </c>
      <c r="BQ948" s="6" t="s">
        <v>3834</v>
      </c>
      <c r="BR948" t="s">
        <v>3823</v>
      </c>
      <c r="BS948" t="s">
        <v>3824</v>
      </c>
      <c r="BT948" t="s">
        <v>3825</v>
      </c>
      <c r="BU948" t="s">
        <v>3826</v>
      </c>
      <c r="BV948" t="s">
        <v>3827</v>
      </c>
      <c r="BW948" t="s">
        <v>3835</v>
      </c>
      <c r="BX948">
        <v>0</v>
      </c>
      <c r="BY948" t="s">
        <v>3864</v>
      </c>
      <c r="BZ948" t="s">
        <v>3872</v>
      </c>
    </row>
    <row r="949" spans="1:78" x14ac:dyDescent="0.25">
      <c r="A949" s="7" t="s">
        <v>3789</v>
      </c>
      <c r="B949" s="7" t="s">
        <v>3669</v>
      </c>
      <c r="C949" s="7" t="s">
        <v>3787</v>
      </c>
      <c r="D949" s="8" t="s">
        <v>3788</v>
      </c>
      <c r="E949" s="7" t="s">
        <v>3790</v>
      </c>
      <c r="F949" s="9">
        <v>45675</v>
      </c>
      <c r="G949" s="9" t="s">
        <v>3674</v>
      </c>
      <c r="H949" s="9" t="s">
        <v>66</v>
      </c>
      <c r="I949" s="8" t="s">
        <v>78</v>
      </c>
      <c r="J949" s="73">
        <v>1208</v>
      </c>
      <c r="K949" s="10">
        <v>1208</v>
      </c>
      <c r="L949" s="10">
        <f t="shared" si="434"/>
        <v>0</v>
      </c>
      <c r="M949" s="73">
        <v>558</v>
      </c>
      <c r="N949" s="10">
        <v>558</v>
      </c>
      <c r="O949" s="10">
        <f t="shared" si="435"/>
        <v>0</v>
      </c>
      <c r="P949" s="11">
        <v>17835.000827814569</v>
      </c>
      <c r="Q949" s="11">
        <v>38610.539426523297</v>
      </c>
      <c r="R949" s="11">
        <v>22000</v>
      </c>
      <c r="S949" s="14">
        <v>21544681</v>
      </c>
      <c r="T949" s="14">
        <f>23810+514808+538618</f>
        <v>1077236</v>
      </c>
      <c r="U949" s="12">
        <f t="shared" si="436"/>
        <v>5.0000090509578675E-2</v>
      </c>
      <c r="V949" s="13">
        <f t="shared" ref="V949:V954" si="455">L949*P949</f>
        <v>0</v>
      </c>
      <c r="W949" s="10">
        <f t="shared" si="438"/>
        <v>0</v>
      </c>
      <c r="X949" s="10"/>
      <c r="Y949" s="10"/>
      <c r="Z949" s="11">
        <f t="shared" si="439"/>
        <v>21544681</v>
      </c>
      <c r="AA949" s="14"/>
      <c r="AB949" s="14"/>
      <c r="AC949" s="11">
        <f t="shared" si="440"/>
        <v>21544681</v>
      </c>
      <c r="AD949" s="10">
        <f t="shared" si="441"/>
        <v>300</v>
      </c>
      <c r="AE949" s="73">
        <v>167400</v>
      </c>
      <c r="AF949" s="16">
        <v>30132</v>
      </c>
      <c r="AG949" s="15">
        <f t="shared" si="442"/>
        <v>0</v>
      </c>
      <c r="AH949" s="15">
        <f t="shared" si="443"/>
        <v>0</v>
      </c>
      <c r="AI949" s="15">
        <f t="shared" si="453"/>
        <v>167400</v>
      </c>
      <c r="AJ949" s="15">
        <f t="shared" si="454"/>
        <v>30132</v>
      </c>
      <c r="AK949" s="73">
        <v>167400</v>
      </c>
      <c r="AL949" s="15">
        <f t="shared" si="444"/>
        <v>167400</v>
      </c>
      <c r="AM949" s="15">
        <f t="shared" si="445"/>
        <v>21712081</v>
      </c>
      <c r="AN949" s="15">
        <f t="shared" si="446"/>
        <v>1107368</v>
      </c>
      <c r="AO949" s="15">
        <f t="shared" si="423"/>
        <v>1728443</v>
      </c>
      <c r="AP949" s="17">
        <f t="shared" si="447"/>
        <v>23440524</v>
      </c>
      <c r="AQ949" s="15">
        <v>20367057</v>
      </c>
      <c r="AR949" s="15">
        <v>453675</v>
      </c>
      <c r="AS949" s="18">
        <f t="shared" si="424"/>
        <v>3073467</v>
      </c>
      <c r="AT949" s="19">
        <v>0</v>
      </c>
      <c r="AU949" s="8">
        <v>8800</v>
      </c>
      <c r="AV949" s="13">
        <f t="shared" si="425"/>
        <v>4910400</v>
      </c>
      <c r="AW949" s="18">
        <f t="shared" si="426"/>
        <v>21712081</v>
      </c>
      <c r="AX949" s="15">
        <f t="shared" si="448"/>
        <v>21713000</v>
      </c>
      <c r="AY949" s="20">
        <v>7.0000000000000007E-2</v>
      </c>
      <c r="AZ949" s="13">
        <f t="shared" si="449"/>
        <v>1519910.0000000002</v>
      </c>
      <c r="BA949" s="15">
        <f t="shared" si="450"/>
        <v>1520000</v>
      </c>
      <c r="BB949" s="21">
        <f t="shared" si="427"/>
        <v>4593467</v>
      </c>
      <c r="BC949" s="10">
        <f t="shared" si="428"/>
        <v>0</v>
      </c>
      <c r="BD949" s="10">
        <f t="shared" si="429"/>
        <v>0</v>
      </c>
      <c r="BE949" s="10">
        <v>112.23</v>
      </c>
      <c r="BF949" s="10">
        <v>51.84</v>
      </c>
      <c r="BG949" s="107">
        <v>46176</v>
      </c>
      <c r="BH949" s="107">
        <f t="shared" si="451"/>
        <v>46206</v>
      </c>
      <c r="BI949" s="23">
        <v>7</v>
      </c>
      <c r="BJ949" s="6"/>
      <c r="BK949" s="6"/>
      <c r="BL949" s="6"/>
      <c r="BM949" s="6" t="s">
        <v>3831</v>
      </c>
      <c r="BN949" s="6" t="s">
        <v>3832</v>
      </c>
      <c r="BO949" s="6" t="s">
        <v>3833</v>
      </c>
      <c r="BP949" s="6" t="s">
        <v>3821</v>
      </c>
      <c r="BQ949" s="6" t="s">
        <v>3834</v>
      </c>
      <c r="BR949" t="s">
        <v>3823</v>
      </c>
      <c r="BS949" t="s">
        <v>3824</v>
      </c>
      <c r="BT949" t="s">
        <v>3825</v>
      </c>
      <c r="BU949" t="s">
        <v>3826</v>
      </c>
      <c r="BV949" t="s">
        <v>3827</v>
      </c>
      <c r="BW949" t="s">
        <v>3835</v>
      </c>
      <c r="BX949">
        <v>0</v>
      </c>
      <c r="BY949" t="s">
        <v>3864</v>
      </c>
      <c r="BZ949" t="s">
        <v>3872</v>
      </c>
    </row>
    <row r="950" spans="1:78" x14ac:dyDescent="0.25">
      <c r="A950" s="7" t="s">
        <v>3793</v>
      </c>
      <c r="B950" s="7" t="s">
        <v>3669</v>
      </c>
      <c r="C950" s="7" t="s">
        <v>3791</v>
      </c>
      <c r="D950" s="8" t="s">
        <v>3792</v>
      </c>
      <c r="E950" s="7" t="s">
        <v>3776</v>
      </c>
      <c r="F950" s="9">
        <v>45708</v>
      </c>
      <c r="G950" s="9" t="s">
        <v>3674</v>
      </c>
      <c r="H950" s="9" t="s">
        <v>92</v>
      </c>
      <c r="I950" s="8" t="s">
        <v>78</v>
      </c>
      <c r="J950" s="73">
        <v>1208</v>
      </c>
      <c r="K950" s="10">
        <v>1208</v>
      </c>
      <c r="L950" s="10">
        <f t="shared" si="434"/>
        <v>0</v>
      </c>
      <c r="M950" s="73">
        <v>558</v>
      </c>
      <c r="N950" s="10">
        <v>558</v>
      </c>
      <c r="O950" s="10">
        <f t="shared" si="435"/>
        <v>0</v>
      </c>
      <c r="P950" s="11">
        <v>16825</v>
      </c>
      <c r="Q950" s="11">
        <v>36424.010752688169</v>
      </c>
      <c r="R950" s="11">
        <v>28000</v>
      </c>
      <c r="S950" s="14">
        <v>20324598</v>
      </c>
      <c r="T950" s="14">
        <f>23810+187590+804830</f>
        <v>1016230</v>
      </c>
      <c r="U950" s="12">
        <f t="shared" si="436"/>
        <v>5.0000004920146515E-2</v>
      </c>
      <c r="V950" s="13">
        <f t="shared" si="455"/>
        <v>0</v>
      </c>
      <c r="W950" s="10">
        <f t="shared" si="438"/>
        <v>0</v>
      </c>
      <c r="X950" s="10"/>
      <c r="Y950" s="10"/>
      <c r="Z950" s="11">
        <f t="shared" si="439"/>
        <v>20324598</v>
      </c>
      <c r="AA950" s="14"/>
      <c r="AB950" s="14"/>
      <c r="AC950" s="11">
        <f t="shared" si="440"/>
        <v>20324598</v>
      </c>
      <c r="AD950" s="10">
        <f t="shared" si="441"/>
        <v>300</v>
      </c>
      <c r="AE950" s="73">
        <v>167400</v>
      </c>
      <c r="AF950" s="16">
        <v>30132</v>
      </c>
      <c r="AG950" s="15">
        <f t="shared" si="442"/>
        <v>0</v>
      </c>
      <c r="AH950" s="15">
        <f t="shared" si="443"/>
        <v>0</v>
      </c>
      <c r="AI950" s="15">
        <f t="shared" si="453"/>
        <v>167400</v>
      </c>
      <c r="AJ950" s="15">
        <f t="shared" si="454"/>
        <v>30132</v>
      </c>
      <c r="AK950" s="73">
        <v>167400</v>
      </c>
      <c r="AL950" s="15">
        <f t="shared" si="444"/>
        <v>167400</v>
      </c>
      <c r="AM950" s="15">
        <f t="shared" si="445"/>
        <v>20491998</v>
      </c>
      <c r="AN950" s="15">
        <f t="shared" si="446"/>
        <v>1046362</v>
      </c>
      <c r="AO950" s="15">
        <f t="shared" si="423"/>
        <v>1741304.96</v>
      </c>
      <c r="AP950" s="17">
        <f t="shared" si="447"/>
        <v>22233302.960000001</v>
      </c>
      <c r="AQ950" s="15">
        <v>4397120</v>
      </c>
      <c r="AR950" s="15">
        <v>527542.96</v>
      </c>
      <c r="AS950" s="18">
        <f t="shared" si="424"/>
        <v>17836183</v>
      </c>
      <c r="AT950" s="19">
        <v>0</v>
      </c>
      <c r="AU950" s="8">
        <v>8800</v>
      </c>
      <c r="AV950" s="13">
        <f t="shared" si="425"/>
        <v>4910400</v>
      </c>
      <c r="AW950" s="18">
        <f t="shared" si="426"/>
        <v>20491998</v>
      </c>
      <c r="AX950" s="15">
        <f t="shared" si="448"/>
        <v>20492000</v>
      </c>
      <c r="AY950" s="20">
        <v>5.67E-2</v>
      </c>
      <c r="AZ950" s="13">
        <f t="shared" si="449"/>
        <v>1161896.3999999999</v>
      </c>
      <c r="BA950" s="15">
        <f t="shared" si="450"/>
        <v>1161900</v>
      </c>
      <c r="BB950" s="21">
        <f t="shared" si="427"/>
        <v>18998083</v>
      </c>
      <c r="BC950" s="10">
        <f t="shared" si="428"/>
        <v>0</v>
      </c>
      <c r="BD950" s="10">
        <f t="shared" si="429"/>
        <v>0</v>
      </c>
      <c r="BE950" s="10">
        <v>112.23</v>
      </c>
      <c r="BF950" s="10">
        <v>51.84</v>
      </c>
      <c r="BG950" s="107">
        <v>46176</v>
      </c>
      <c r="BH950" s="107">
        <f t="shared" si="451"/>
        <v>46206</v>
      </c>
      <c r="BI950" s="23">
        <v>5.67</v>
      </c>
      <c r="BJ950" s="6"/>
      <c r="BK950" s="6"/>
      <c r="BL950" s="6"/>
      <c r="BM950" s="6" t="s">
        <v>3831</v>
      </c>
      <c r="BN950" s="6" t="s">
        <v>3832</v>
      </c>
      <c r="BO950" s="6" t="s">
        <v>3833</v>
      </c>
      <c r="BP950" s="6" t="s">
        <v>3821</v>
      </c>
      <c r="BQ950" s="6" t="s">
        <v>3834</v>
      </c>
      <c r="BR950" t="s">
        <v>3823</v>
      </c>
      <c r="BS950" t="s">
        <v>3824</v>
      </c>
      <c r="BT950" t="s">
        <v>3825</v>
      </c>
      <c r="BU950" t="s">
        <v>3826</v>
      </c>
      <c r="BV950" t="s">
        <v>3827</v>
      </c>
      <c r="BW950" t="s">
        <v>3835</v>
      </c>
      <c r="BX950">
        <v>0</v>
      </c>
      <c r="BY950" t="s">
        <v>3864</v>
      </c>
      <c r="BZ950" t="s">
        <v>3872</v>
      </c>
    </row>
    <row r="951" spans="1:78" x14ac:dyDescent="0.25">
      <c r="A951" s="7" t="s">
        <v>3796</v>
      </c>
      <c r="B951" s="7" t="s">
        <v>3669</v>
      </c>
      <c r="C951" s="7" t="s">
        <v>3794</v>
      </c>
      <c r="D951" s="8" t="s">
        <v>3795</v>
      </c>
      <c r="E951" s="7" t="s">
        <v>3776</v>
      </c>
      <c r="F951" s="9">
        <v>45684</v>
      </c>
      <c r="G951" s="9" t="s">
        <v>3674</v>
      </c>
      <c r="H951" s="9" t="s">
        <v>92</v>
      </c>
      <c r="I951" s="8" t="s">
        <v>78</v>
      </c>
      <c r="J951" s="73">
        <v>1208</v>
      </c>
      <c r="K951" s="10">
        <v>1104.17</v>
      </c>
      <c r="L951" s="10">
        <f t="shared" si="434"/>
        <v>-103.82999999999993</v>
      </c>
      <c r="M951" s="73">
        <v>558</v>
      </c>
      <c r="N951" s="10">
        <v>510</v>
      </c>
      <c r="O951" s="10">
        <f t="shared" si="435"/>
        <v>-48</v>
      </c>
      <c r="P951" s="11">
        <v>16824.998344370862</v>
      </c>
      <c r="Q951" s="11">
        <v>36424.010752688169</v>
      </c>
      <c r="R951" s="11">
        <v>28000</v>
      </c>
      <c r="S951" s="14">
        <v>20324598</v>
      </c>
      <c r="T951" s="14">
        <v>1016230</v>
      </c>
      <c r="U951" s="12">
        <f t="shared" si="436"/>
        <v>5.0000004920146515E-2</v>
      </c>
      <c r="V951" s="13">
        <f t="shared" si="455"/>
        <v>-1746939.5780960254</v>
      </c>
      <c r="W951" s="10">
        <f t="shared" si="438"/>
        <v>-87346.987499999945</v>
      </c>
      <c r="X951" s="15"/>
      <c r="Y951" s="15"/>
      <c r="Z951" s="11">
        <f t="shared" si="439"/>
        <v>18577658.421903975</v>
      </c>
      <c r="AA951" s="14"/>
      <c r="AB951" s="14"/>
      <c r="AC951" s="11">
        <f t="shared" si="440"/>
        <v>18577658.421903975</v>
      </c>
      <c r="AD951" s="10">
        <f t="shared" si="441"/>
        <v>300</v>
      </c>
      <c r="AE951" s="73">
        <v>167400</v>
      </c>
      <c r="AF951" s="16">
        <v>30132</v>
      </c>
      <c r="AG951" s="15">
        <f t="shared" si="442"/>
        <v>-14400</v>
      </c>
      <c r="AH951" s="15">
        <f t="shared" si="443"/>
        <v>-2592</v>
      </c>
      <c r="AI951" s="15">
        <f t="shared" si="453"/>
        <v>153000</v>
      </c>
      <c r="AJ951" s="15">
        <f t="shared" si="454"/>
        <v>27540</v>
      </c>
      <c r="AK951" s="73">
        <v>167400</v>
      </c>
      <c r="AL951" s="15">
        <f t="shared" si="444"/>
        <v>153000</v>
      </c>
      <c r="AM951" s="15">
        <f t="shared" si="445"/>
        <v>18730658</v>
      </c>
      <c r="AN951" s="15">
        <f t="shared" si="446"/>
        <v>956424</v>
      </c>
      <c r="AO951" s="15">
        <f t="shared" si="423"/>
        <v>1637235.96</v>
      </c>
      <c r="AP951" s="17">
        <f t="shared" si="447"/>
        <v>20367893.960000001</v>
      </c>
      <c r="AQ951" s="15">
        <v>4397120</v>
      </c>
      <c r="AR951" s="15">
        <v>527811.96</v>
      </c>
      <c r="AS951" s="18">
        <f t="shared" si="424"/>
        <v>15970774</v>
      </c>
      <c r="AT951" s="19">
        <v>0</v>
      </c>
      <c r="AU951" s="8">
        <v>8800</v>
      </c>
      <c r="AV951" s="13">
        <f t="shared" si="425"/>
        <v>4488000</v>
      </c>
      <c r="AW951" s="18">
        <f t="shared" si="426"/>
        <v>18730658</v>
      </c>
      <c r="AX951" s="15">
        <f t="shared" si="448"/>
        <v>18731000</v>
      </c>
      <c r="AY951" s="20">
        <v>5.67E-2</v>
      </c>
      <c r="AZ951" s="13">
        <f t="shared" si="449"/>
        <v>1062047.7</v>
      </c>
      <c r="BA951" s="15">
        <f t="shared" si="450"/>
        <v>1062100</v>
      </c>
      <c r="BB951" s="21">
        <f t="shared" si="427"/>
        <v>17032874</v>
      </c>
      <c r="BC951" s="10">
        <f t="shared" si="428"/>
        <v>-8.5951986754966825</v>
      </c>
      <c r="BD951" s="10">
        <f t="shared" si="429"/>
        <v>-8.6021505376344081</v>
      </c>
      <c r="BE951" s="10">
        <v>102.58</v>
      </c>
      <c r="BF951" s="10">
        <v>47.38</v>
      </c>
      <c r="BG951" s="107">
        <v>46176</v>
      </c>
      <c r="BH951" s="107">
        <f t="shared" si="451"/>
        <v>46206</v>
      </c>
      <c r="BI951" s="23">
        <v>5.67</v>
      </c>
      <c r="BJ951" s="6"/>
      <c r="BK951" s="6"/>
      <c r="BL951" s="6"/>
      <c r="BM951" s="6" t="s">
        <v>3831</v>
      </c>
      <c r="BN951" s="6" t="s">
        <v>3832</v>
      </c>
      <c r="BO951" s="6" t="s">
        <v>3833</v>
      </c>
      <c r="BP951" s="6" t="s">
        <v>3821</v>
      </c>
      <c r="BQ951" s="6" t="s">
        <v>3834</v>
      </c>
      <c r="BR951" t="s">
        <v>3823</v>
      </c>
      <c r="BS951" t="s">
        <v>3824</v>
      </c>
      <c r="BT951" t="s">
        <v>3825</v>
      </c>
      <c r="BU951" t="s">
        <v>3826</v>
      </c>
      <c r="BV951" t="s">
        <v>3827</v>
      </c>
      <c r="BW951" t="s">
        <v>3835</v>
      </c>
      <c r="BX951">
        <v>0</v>
      </c>
      <c r="BY951" t="s">
        <v>3864</v>
      </c>
      <c r="BZ951" t="s">
        <v>3872</v>
      </c>
    </row>
    <row r="952" spans="1:78" x14ac:dyDescent="0.25">
      <c r="A952" s="7" t="s">
        <v>3799</v>
      </c>
      <c r="B952" s="7" t="s">
        <v>3669</v>
      </c>
      <c r="C952" s="7" t="s">
        <v>3797</v>
      </c>
      <c r="D952" s="8" t="s">
        <v>3798</v>
      </c>
      <c r="E952" s="7" t="s">
        <v>3776</v>
      </c>
      <c r="F952" s="9">
        <v>45675</v>
      </c>
      <c r="G952" s="9" t="s">
        <v>3674</v>
      </c>
      <c r="H952" s="9" t="s">
        <v>92</v>
      </c>
      <c r="I952" s="8" t="s">
        <v>78</v>
      </c>
      <c r="J952" s="10">
        <v>1208</v>
      </c>
      <c r="K952" s="10">
        <v>1208</v>
      </c>
      <c r="L952" s="10">
        <f t="shared" si="434"/>
        <v>0</v>
      </c>
      <c r="M952" s="10">
        <v>558</v>
      </c>
      <c r="N952" s="10">
        <v>558</v>
      </c>
      <c r="O952" s="10">
        <f t="shared" si="435"/>
        <v>0</v>
      </c>
      <c r="P952" s="11">
        <v>16825</v>
      </c>
      <c r="Q952" s="11">
        <v>36424.01</v>
      </c>
      <c r="R952" s="11">
        <v>28000</v>
      </c>
      <c r="S952" s="11">
        <v>20324598</v>
      </c>
      <c r="T952" s="11">
        <v>1016230</v>
      </c>
      <c r="U952" s="12">
        <f t="shared" si="436"/>
        <v>5.0000004920146515E-2</v>
      </c>
      <c r="V952" s="13">
        <f t="shared" si="455"/>
        <v>0</v>
      </c>
      <c r="W952" s="10">
        <f t="shared" si="438"/>
        <v>0</v>
      </c>
      <c r="X952" s="10"/>
      <c r="Y952" s="10"/>
      <c r="Z952" s="11">
        <f t="shared" si="439"/>
        <v>20324598</v>
      </c>
      <c r="AA952" s="14"/>
      <c r="AB952" s="14"/>
      <c r="AC952" s="11">
        <f t="shared" si="440"/>
        <v>20324598</v>
      </c>
      <c r="AD952" s="10">
        <f t="shared" si="441"/>
        <v>300</v>
      </c>
      <c r="AE952" s="15">
        <v>167400</v>
      </c>
      <c r="AF952" s="16">
        <v>30132</v>
      </c>
      <c r="AG952" s="15">
        <f t="shared" si="442"/>
        <v>0</v>
      </c>
      <c r="AH952" s="15">
        <f t="shared" si="443"/>
        <v>0</v>
      </c>
      <c r="AI952" s="15">
        <f t="shared" si="453"/>
        <v>167400</v>
      </c>
      <c r="AJ952" s="15">
        <f t="shared" si="454"/>
        <v>30132</v>
      </c>
      <c r="AK952" s="10">
        <v>167400</v>
      </c>
      <c r="AL952" s="15">
        <f t="shared" si="444"/>
        <v>167400</v>
      </c>
      <c r="AM952" s="15">
        <f t="shared" si="445"/>
        <v>20491998</v>
      </c>
      <c r="AN952" s="15">
        <f t="shared" si="446"/>
        <v>1046362</v>
      </c>
      <c r="AO952" s="15">
        <f t="shared" si="423"/>
        <v>1741723.96</v>
      </c>
      <c r="AP952" s="17">
        <f t="shared" si="447"/>
        <v>22233721.960000001</v>
      </c>
      <c r="AQ952" s="15">
        <v>4397120</v>
      </c>
      <c r="AR952" s="15">
        <v>527961.96</v>
      </c>
      <c r="AS952" s="18">
        <f t="shared" si="424"/>
        <v>17836602</v>
      </c>
      <c r="AT952" s="19">
        <v>0</v>
      </c>
      <c r="AU952" s="8">
        <v>8800</v>
      </c>
      <c r="AV952" s="13">
        <f t="shared" si="425"/>
        <v>4910400</v>
      </c>
      <c r="AW952" s="18">
        <f t="shared" si="426"/>
        <v>20491998</v>
      </c>
      <c r="AX952" s="15">
        <f t="shared" si="448"/>
        <v>20492000</v>
      </c>
      <c r="AY952" s="20">
        <v>5.67E-2</v>
      </c>
      <c r="AZ952" s="13">
        <f t="shared" si="449"/>
        <v>1161896.3999999999</v>
      </c>
      <c r="BA952" s="15">
        <f t="shared" si="450"/>
        <v>1161900</v>
      </c>
      <c r="BB952" s="21">
        <f t="shared" si="427"/>
        <v>18998502</v>
      </c>
      <c r="BC952" s="10">
        <f t="shared" si="428"/>
        <v>0</v>
      </c>
      <c r="BD952" s="10">
        <f t="shared" si="429"/>
        <v>0</v>
      </c>
      <c r="BE952" s="10">
        <v>112.23</v>
      </c>
      <c r="BF952" s="10">
        <v>51.84</v>
      </c>
      <c r="BG952" s="107">
        <v>46176</v>
      </c>
      <c r="BH952" s="107">
        <f t="shared" si="451"/>
        <v>46206</v>
      </c>
      <c r="BI952" s="23">
        <v>5.67</v>
      </c>
      <c r="BJ952" s="6"/>
      <c r="BK952" s="6"/>
      <c r="BL952" s="6"/>
      <c r="BM952" s="6" t="s">
        <v>3831</v>
      </c>
      <c r="BN952" s="6" t="s">
        <v>3832</v>
      </c>
      <c r="BO952" s="6" t="s">
        <v>3833</v>
      </c>
      <c r="BP952" s="6" t="s">
        <v>3821</v>
      </c>
      <c r="BQ952" s="6" t="s">
        <v>3834</v>
      </c>
      <c r="BR952" t="s">
        <v>3823</v>
      </c>
      <c r="BS952" t="s">
        <v>3824</v>
      </c>
      <c r="BT952" t="s">
        <v>3825</v>
      </c>
      <c r="BU952" t="s">
        <v>3826</v>
      </c>
      <c r="BV952" t="s">
        <v>3827</v>
      </c>
      <c r="BW952" t="s">
        <v>3835</v>
      </c>
      <c r="BX952">
        <v>0</v>
      </c>
      <c r="BY952" t="s">
        <v>3864</v>
      </c>
      <c r="BZ952" t="s">
        <v>3872</v>
      </c>
    </row>
    <row r="953" spans="1:78" x14ac:dyDescent="0.25">
      <c r="A953" s="7" t="s">
        <v>3802</v>
      </c>
      <c r="B953" s="7" t="s">
        <v>3669</v>
      </c>
      <c r="C953" s="7" t="s">
        <v>3800</v>
      </c>
      <c r="D953" s="8" t="s">
        <v>3801</v>
      </c>
      <c r="E953" s="7" t="s">
        <v>3776</v>
      </c>
      <c r="F953" s="9">
        <v>45625</v>
      </c>
      <c r="G953" s="9" t="s">
        <v>3674</v>
      </c>
      <c r="H953" s="9" t="s">
        <v>92</v>
      </c>
      <c r="I953" s="8" t="s">
        <v>78</v>
      </c>
      <c r="J953" s="73">
        <v>1208</v>
      </c>
      <c r="K953" s="10">
        <v>1104.17</v>
      </c>
      <c r="L953" s="10">
        <f t="shared" si="434"/>
        <v>-103.82999999999993</v>
      </c>
      <c r="M953" s="73">
        <v>558</v>
      </c>
      <c r="N953" s="10">
        <v>510</v>
      </c>
      <c r="O953" s="10">
        <f t="shared" si="435"/>
        <v>-48</v>
      </c>
      <c r="P953" s="11">
        <v>16824.998344370862</v>
      </c>
      <c r="Q953" s="11">
        <v>36424.010752688169</v>
      </c>
      <c r="R953" s="11">
        <v>28000</v>
      </c>
      <c r="S953" s="14">
        <v>20324598</v>
      </c>
      <c r="T953" s="14">
        <v>1016230</v>
      </c>
      <c r="U953" s="12">
        <f t="shared" si="436"/>
        <v>5.0000004920146515E-2</v>
      </c>
      <c r="V953" s="13">
        <f t="shared" si="455"/>
        <v>-1746939.5780960254</v>
      </c>
      <c r="W953" s="10">
        <f t="shared" si="438"/>
        <v>-87346.987499999945</v>
      </c>
      <c r="X953" s="15"/>
      <c r="Y953" s="15"/>
      <c r="Z953" s="11">
        <f t="shared" si="439"/>
        <v>18577658.421903975</v>
      </c>
      <c r="AA953" s="14"/>
      <c r="AB953" s="14"/>
      <c r="AC953" s="11">
        <f t="shared" si="440"/>
        <v>18577658.421903975</v>
      </c>
      <c r="AD953" s="10">
        <f t="shared" si="441"/>
        <v>300</v>
      </c>
      <c r="AE953" s="73">
        <v>167400</v>
      </c>
      <c r="AF953" s="16">
        <v>30132</v>
      </c>
      <c r="AG953" s="15">
        <f t="shared" si="442"/>
        <v>-14400</v>
      </c>
      <c r="AH953" s="15">
        <f t="shared" si="443"/>
        <v>-2592</v>
      </c>
      <c r="AI953" s="15">
        <f t="shared" si="453"/>
        <v>153000</v>
      </c>
      <c r="AJ953" s="15">
        <f t="shared" si="454"/>
        <v>27540</v>
      </c>
      <c r="AK953" s="73">
        <v>167400</v>
      </c>
      <c r="AL953" s="15">
        <f t="shared" si="444"/>
        <v>153000</v>
      </c>
      <c r="AM953" s="15">
        <f t="shared" si="445"/>
        <v>18730658</v>
      </c>
      <c r="AN953" s="15">
        <f t="shared" si="446"/>
        <v>956424</v>
      </c>
      <c r="AO953" s="15">
        <f t="shared" si="423"/>
        <v>1638059.96</v>
      </c>
      <c r="AP953" s="17">
        <f t="shared" si="447"/>
        <v>20368717.960000001</v>
      </c>
      <c r="AQ953" s="15">
        <v>4397120</v>
      </c>
      <c r="AR953" s="15">
        <v>528635.96</v>
      </c>
      <c r="AS953" s="18">
        <f t="shared" si="424"/>
        <v>15971598</v>
      </c>
      <c r="AT953" s="19">
        <v>0</v>
      </c>
      <c r="AU953" s="8">
        <v>8800</v>
      </c>
      <c r="AV953" s="13">
        <f t="shared" si="425"/>
        <v>4488000</v>
      </c>
      <c r="AW953" s="18">
        <f t="shared" si="426"/>
        <v>18730658</v>
      </c>
      <c r="AX953" s="15">
        <f t="shared" si="448"/>
        <v>18731000</v>
      </c>
      <c r="AY953" s="20">
        <v>5.67E-2</v>
      </c>
      <c r="AZ953" s="13">
        <f t="shared" si="449"/>
        <v>1062047.7</v>
      </c>
      <c r="BA953" s="15">
        <f t="shared" si="450"/>
        <v>1062100</v>
      </c>
      <c r="BB953" s="21">
        <f t="shared" si="427"/>
        <v>17033698</v>
      </c>
      <c r="BC953" s="10">
        <f t="shared" si="428"/>
        <v>-8.5951986754966825</v>
      </c>
      <c r="BD953" s="10">
        <f t="shared" si="429"/>
        <v>-8.6021505376344081</v>
      </c>
      <c r="BE953" s="10">
        <v>102.58</v>
      </c>
      <c r="BF953" s="10">
        <v>47.38</v>
      </c>
      <c r="BG953" s="107">
        <v>46176</v>
      </c>
      <c r="BH953" s="107">
        <f t="shared" si="451"/>
        <v>46206</v>
      </c>
      <c r="BI953" s="23">
        <v>5.67</v>
      </c>
      <c r="BJ953" s="6"/>
      <c r="BK953" s="6"/>
      <c r="BL953" s="6"/>
      <c r="BM953" s="6" t="s">
        <v>3831</v>
      </c>
      <c r="BN953" s="6" t="s">
        <v>3832</v>
      </c>
      <c r="BO953" s="6" t="s">
        <v>3833</v>
      </c>
      <c r="BP953" s="6" t="s">
        <v>3821</v>
      </c>
      <c r="BQ953" s="6" t="s">
        <v>3834</v>
      </c>
      <c r="BR953" t="s">
        <v>3823</v>
      </c>
      <c r="BS953" t="s">
        <v>3824</v>
      </c>
      <c r="BT953" t="s">
        <v>3825</v>
      </c>
      <c r="BU953" t="s">
        <v>3826</v>
      </c>
      <c r="BV953" t="s">
        <v>3827</v>
      </c>
      <c r="BW953" t="s">
        <v>3835</v>
      </c>
      <c r="BX953">
        <v>0</v>
      </c>
      <c r="BY953" t="s">
        <v>3864</v>
      </c>
      <c r="BZ953" t="s">
        <v>3872</v>
      </c>
    </row>
    <row r="954" spans="1:78" x14ac:dyDescent="0.25">
      <c r="A954" s="7" t="s">
        <v>3805</v>
      </c>
      <c r="B954" s="7" t="s">
        <v>3669</v>
      </c>
      <c r="C954" s="7" t="s">
        <v>3803</v>
      </c>
      <c r="D954" s="8" t="s">
        <v>3804</v>
      </c>
      <c r="E954" s="7" t="s">
        <v>3806</v>
      </c>
      <c r="F954" s="9">
        <v>45559</v>
      </c>
      <c r="G954" s="9" t="s">
        <v>3674</v>
      </c>
      <c r="H954" s="9" t="s">
        <v>92</v>
      </c>
      <c r="I954" s="8" t="s">
        <v>78</v>
      </c>
      <c r="J954" s="73">
        <v>736</v>
      </c>
      <c r="K954" s="10">
        <v>736</v>
      </c>
      <c r="L954" s="10">
        <f t="shared" si="434"/>
        <v>0</v>
      </c>
      <c r="M954" s="73">
        <v>336</v>
      </c>
      <c r="N954" s="10">
        <v>336</v>
      </c>
      <c r="O954" s="10">
        <f t="shared" si="435"/>
        <v>0</v>
      </c>
      <c r="P954" s="11">
        <v>9895.998641304348</v>
      </c>
      <c r="Q954" s="11">
        <v>21676.949404761905</v>
      </c>
      <c r="R954" s="11">
        <v>28000</v>
      </c>
      <c r="S954" s="14">
        <v>7283455</v>
      </c>
      <c r="T954" s="14">
        <v>364172</v>
      </c>
      <c r="U954" s="12">
        <f t="shared" si="436"/>
        <v>4.9999897026891768E-2</v>
      </c>
      <c r="V954" s="13">
        <f t="shared" si="455"/>
        <v>0</v>
      </c>
      <c r="W954" s="10">
        <f t="shared" si="438"/>
        <v>0</v>
      </c>
      <c r="X954" s="10"/>
      <c r="Y954" s="10"/>
      <c r="Z954" s="11">
        <f t="shared" si="439"/>
        <v>7283455</v>
      </c>
      <c r="AA954" s="14"/>
      <c r="AB954" s="14"/>
      <c r="AC954" s="11">
        <f t="shared" si="440"/>
        <v>7283455</v>
      </c>
      <c r="AD954" s="10">
        <f t="shared" si="441"/>
        <v>300</v>
      </c>
      <c r="AE954" s="73">
        <v>100800</v>
      </c>
      <c r="AF954" s="16">
        <v>18144</v>
      </c>
      <c r="AG954" s="15">
        <f t="shared" si="442"/>
        <v>0</v>
      </c>
      <c r="AH954" s="15">
        <f t="shared" si="443"/>
        <v>0</v>
      </c>
      <c r="AI954" s="15">
        <f t="shared" si="453"/>
        <v>100800</v>
      </c>
      <c r="AJ954" s="15">
        <f t="shared" si="454"/>
        <v>18144</v>
      </c>
      <c r="AK954" s="73">
        <v>100800</v>
      </c>
      <c r="AL954" s="15">
        <f t="shared" si="444"/>
        <v>100800</v>
      </c>
      <c r="AM954" s="15">
        <f t="shared" si="445"/>
        <v>7384255</v>
      </c>
      <c r="AN954" s="15">
        <f t="shared" si="446"/>
        <v>382316</v>
      </c>
      <c r="AO954" s="15">
        <f t="shared" si="423"/>
        <v>1108839</v>
      </c>
      <c r="AP954" s="17">
        <f t="shared" si="447"/>
        <v>8493094</v>
      </c>
      <c r="AQ954" s="15">
        <v>1299200</v>
      </c>
      <c r="AR954" s="15">
        <v>625723</v>
      </c>
      <c r="AS954" s="18">
        <f t="shared" si="424"/>
        <v>7193894</v>
      </c>
      <c r="AT954" s="19">
        <v>0</v>
      </c>
      <c r="AU954" s="8">
        <v>8800</v>
      </c>
      <c r="AV954" s="13">
        <f t="shared" si="425"/>
        <v>2956800</v>
      </c>
      <c r="AW954" s="18">
        <f t="shared" si="426"/>
        <v>7384255</v>
      </c>
      <c r="AX954" s="15">
        <f t="shared" si="448"/>
        <v>7385000</v>
      </c>
      <c r="AY954" s="20">
        <v>0.05</v>
      </c>
      <c r="AZ954" s="13">
        <f t="shared" si="449"/>
        <v>369250</v>
      </c>
      <c r="BA954" s="15">
        <f t="shared" si="450"/>
        <v>369300</v>
      </c>
      <c r="BB954" s="21">
        <f t="shared" si="427"/>
        <v>7563194</v>
      </c>
      <c r="BC954" s="10">
        <f t="shared" si="428"/>
        <v>0</v>
      </c>
      <c r="BD954" s="10">
        <f t="shared" si="429"/>
        <v>0</v>
      </c>
      <c r="BE954" s="10">
        <v>68.38</v>
      </c>
      <c r="BF954" s="10">
        <v>31.22</v>
      </c>
      <c r="BG954" s="107">
        <v>46176</v>
      </c>
      <c r="BH954" s="107">
        <f t="shared" si="451"/>
        <v>46206</v>
      </c>
      <c r="BI954" s="23">
        <v>5</v>
      </c>
      <c r="BJ954" s="6"/>
      <c r="BK954" s="6"/>
      <c r="BL954" s="6"/>
      <c r="BM954" s="6" t="s">
        <v>3831</v>
      </c>
      <c r="BN954" s="6" t="s">
        <v>3832</v>
      </c>
      <c r="BO954" s="6" t="s">
        <v>3833</v>
      </c>
      <c r="BP954" s="6" t="s">
        <v>3821</v>
      </c>
      <c r="BQ954" s="6" t="s">
        <v>3834</v>
      </c>
      <c r="BR954" t="s">
        <v>3823</v>
      </c>
      <c r="BS954" t="s">
        <v>3824</v>
      </c>
      <c r="BT954" t="s">
        <v>3825</v>
      </c>
      <c r="BU954" t="s">
        <v>3826</v>
      </c>
      <c r="BV954" t="s">
        <v>3827</v>
      </c>
      <c r="BW954" t="s">
        <v>3835</v>
      </c>
      <c r="BX954">
        <v>0</v>
      </c>
      <c r="BY954" t="s">
        <v>3864</v>
      </c>
      <c r="BZ954" t="s">
        <v>3872</v>
      </c>
    </row>
    <row r="955" spans="1:78" x14ac:dyDescent="0.25">
      <c r="AC955" s="100"/>
      <c r="AR955" s="94"/>
      <c r="AS955" s="94"/>
    </row>
    <row r="956" spans="1:78" x14ac:dyDescent="0.25">
      <c r="AS956" s="94"/>
    </row>
  </sheetData>
  <conditionalFormatting sqref="C934:D936 A934:A936">
    <cfRule type="duplicateValues" dxfId="30" priority="7" stopIfTrue="1"/>
  </conditionalFormatting>
  <conditionalFormatting sqref="C937:D942 A937:A942">
    <cfRule type="duplicateValues" dxfId="29" priority="6" stopIfTrue="1"/>
  </conditionalFormatting>
  <conditionalFormatting sqref="D943">
    <cfRule type="duplicateValues" dxfId="28" priority="5"/>
  </conditionalFormatting>
  <conditionalFormatting sqref="D944">
    <cfRule type="duplicateValues" dxfId="27" priority="4"/>
  </conditionalFormatting>
  <conditionalFormatting sqref="A933">
    <cfRule type="duplicateValues" dxfId="26" priority="8" stopIfTrue="1"/>
  </conditionalFormatting>
  <conditionalFormatting sqref="A934:A936">
    <cfRule type="duplicateValues" dxfId="25" priority="9" stopIfTrue="1"/>
  </conditionalFormatting>
  <conditionalFormatting sqref="A937:A942">
    <cfRule type="duplicateValues" dxfId="24" priority="10" stopIfTrue="1"/>
  </conditionalFormatting>
  <conditionalFormatting sqref="A943">
    <cfRule type="duplicateValues" dxfId="23" priority="11" stopIfTrue="1"/>
  </conditionalFormatting>
  <conditionalFormatting sqref="A944">
    <cfRule type="duplicateValues" dxfId="22" priority="12" stopIfTrue="1"/>
  </conditionalFormatting>
  <conditionalFormatting sqref="C282">
    <cfRule type="duplicateValues" dxfId="21" priority="14" stopIfTrue="1"/>
  </conditionalFormatting>
  <conditionalFormatting sqref="C928">
    <cfRule type="duplicateValues" dxfId="20" priority="15" stopIfTrue="1"/>
  </conditionalFormatting>
  <conditionalFormatting sqref="C929:C931">
    <cfRule type="duplicateValues" dxfId="19" priority="17" stopIfTrue="1"/>
  </conditionalFormatting>
  <conditionalFormatting sqref="C932:C933">
    <cfRule type="duplicateValues" dxfId="18" priority="18" stopIfTrue="1"/>
  </conditionalFormatting>
  <conditionalFormatting sqref="C14">
    <cfRule type="duplicateValues" dxfId="17" priority="19" stopIfTrue="1"/>
  </conditionalFormatting>
  <conditionalFormatting sqref="C934:C936">
    <cfRule type="duplicateValues" dxfId="16" priority="20" stopIfTrue="1"/>
  </conditionalFormatting>
  <conditionalFormatting sqref="C937:C942">
    <cfRule type="duplicateValues" dxfId="15" priority="21" stopIfTrue="1"/>
  </conditionalFormatting>
  <conditionalFormatting sqref="C943">
    <cfRule type="duplicateValues" dxfId="14" priority="22"/>
  </conditionalFormatting>
  <conditionalFormatting sqref="C944">
    <cfRule type="duplicateValues" dxfId="13" priority="23"/>
  </conditionalFormatting>
  <conditionalFormatting sqref="C945:C952">
    <cfRule type="duplicateValues" dxfId="12" priority="24" stopIfTrue="1"/>
  </conditionalFormatting>
  <conditionalFormatting sqref="C953">
    <cfRule type="duplicateValues" dxfId="11" priority="25" stopIfTrue="1"/>
  </conditionalFormatting>
  <conditionalFormatting sqref="E1">
    <cfRule type="duplicateValues" dxfId="10" priority="30" stopIfTrue="1"/>
  </conditionalFormatting>
  <conditionalFormatting sqref="D954">
    <cfRule type="duplicateValues" dxfId="9" priority="32" stopIfTrue="1"/>
  </conditionalFormatting>
  <conditionalFormatting sqref="A954">
    <cfRule type="duplicateValues" dxfId="8" priority="38" stopIfTrue="1"/>
  </conditionalFormatting>
  <conditionalFormatting sqref="C930:C931 C1:C13 C283:C927 C15:C281">
    <cfRule type="expression" dxfId="7" priority="39" stopIfTrue="1">
      <formula>AND(COUNTIF($C$930:$C$931, C1)+COUNTIF($C$1:$C$13, C1)+COUNTIF($C$283:$C$918, C1)+COUNTIF($C$919:$C$927, C1)+COUNTIF($C$955:$C$65464, C1)+COUNTIF($C$15:$C$281, C1)&gt;1,NOT(ISBLANK(C1)))</formula>
    </cfRule>
  </conditionalFormatting>
  <conditionalFormatting sqref="C919:C927">
    <cfRule type="expression" dxfId="6" priority="40" stopIfTrue="1">
      <formula>AND(COUNTIF(#REF!, C919)+COUNTIF($C$919:$C$927, C919)&gt;1,NOT(ISBLANK(C919)))</formula>
    </cfRule>
  </conditionalFormatting>
  <conditionalFormatting sqref="D1:D942">
    <cfRule type="expression" dxfId="5" priority="117" stopIfTrue="1">
      <formula>AND(COUNTIF($D$955:$D$65464, D1)+COUNTIF($D$1:$D$942, D1)&gt;1,NOT(ISBLANK(D1)))</formula>
    </cfRule>
  </conditionalFormatting>
  <conditionalFormatting sqref="C1:D933 A1:A933">
    <cfRule type="expression" dxfId="4" priority="119" stopIfTrue="1">
      <formula>AND(COUNTIF(#REF!, A1)+COUNTIF($C$955:$D$65464, A1)+COUNTIF($D$1:$D$918, A1)+COUNTIF($D$919:$D$933, A1)+COUNTIF($C$1:$C$933, A1)&gt;1,NOT(ISBLANK(A1)))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8"/>
  <sheetViews>
    <sheetView workbookViewId="0"/>
  </sheetViews>
  <sheetFormatPr defaultRowHeight="15" x14ac:dyDescent="0.25"/>
  <sheetData>
    <row r="1" spans="1:73" ht="114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4" t="s">
        <v>38</v>
      </c>
      <c r="AN1" s="1" t="s">
        <v>39</v>
      </c>
      <c r="AO1" s="4" t="s">
        <v>40</v>
      </c>
      <c r="AP1" s="1" t="s">
        <v>41</v>
      </c>
      <c r="AQ1" s="5" t="s">
        <v>42</v>
      </c>
      <c r="AR1" s="5" t="s">
        <v>43</v>
      </c>
      <c r="AS1" s="4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1" t="s">
        <v>58</v>
      </c>
      <c r="BH1" s="1" t="s">
        <v>59</v>
      </c>
      <c r="BI1" s="1" t="s">
        <v>60</v>
      </c>
      <c r="BJ1" s="95" t="s">
        <v>3807</v>
      </c>
      <c r="BK1" s="95" t="s">
        <v>3808</v>
      </c>
      <c r="BL1" s="95" t="s">
        <v>3809</v>
      </c>
      <c r="BM1" s="95" t="s">
        <v>3810</v>
      </c>
      <c r="BN1" s="95" t="s">
        <v>3811</v>
      </c>
      <c r="BO1" s="96" t="s">
        <v>3812</v>
      </c>
      <c r="BP1" s="96" t="s">
        <v>3813</v>
      </c>
      <c r="BQ1" s="96" t="s">
        <v>3814</v>
      </c>
      <c r="BR1" s="96" t="s">
        <v>3815</v>
      </c>
      <c r="BS1" s="96" t="s">
        <v>3816</v>
      </c>
      <c r="BT1" s="96" t="s">
        <v>3817</v>
      </c>
      <c r="BU1" s="99" t="s">
        <v>3853</v>
      </c>
    </row>
    <row r="2" spans="1:73" x14ac:dyDescent="0.25">
      <c r="A2" s="7" t="s">
        <v>215</v>
      </c>
      <c r="B2" s="7" t="s">
        <v>181</v>
      </c>
      <c r="C2" s="7" t="s">
        <v>213</v>
      </c>
      <c r="D2" s="8" t="s">
        <v>214</v>
      </c>
      <c r="E2" s="7" t="s">
        <v>216</v>
      </c>
      <c r="F2" s="9">
        <v>45002</v>
      </c>
      <c r="G2" s="9" t="s">
        <v>65</v>
      </c>
      <c r="H2" s="9" t="s">
        <v>66</v>
      </c>
      <c r="I2" s="8" t="s">
        <v>78</v>
      </c>
      <c r="J2" s="10">
        <v>660.91</v>
      </c>
      <c r="K2" s="10">
        <v>660.91</v>
      </c>
      <c r="L2" s="10">
        <v>0</v>
      </c>
      <c r="M2" s="10">
        <v>294.39999999999998</v>
      </c>
      <c r="N2" s="10">
        <v>294.39999999999998</v>
      </c>
      <c r="O2" s="10">
        <v>0</v>
      </c>
      <c r="P2" s="11">
        <v>10037.760058101709</v>
      </c>
      <c r="Q2" s="11">
        <v>22534.157608695656</v>
      </c>
      <c r="R2" s="11">
        <v>22000</v>
      </c>
      <c r="S2" s="11">
        <v>6634056</v>
      </c>
      <c r="T2" s="11">
        <v>796086</v>
      </c>
      <c r="U2" s="12">
        <v>0.1199998914691103</v>
      </c>
      <c r="V2" s="13">
        <v>0</v>
      </c>
      <c r="W2" s="10">
        <v>0</v>
      </c>
      <c r="X2" s="10"/>
      <c r="Y2" s="10"/>
      <c r="Z2" s="11">
        <v>6634056</v>
      </c>
      <c r="AA2" s="14">
        <v>2321919</v>
      </c>
      <c r="AB2" s="14">
        <v>278630</v>
      </c>
      <c r="AC2" s="11">
        <v>4312137</v>
      </c>
      <c r="AD2" s="10">
        <v>300</v>
      </c>
      <c r="AE2" s="15">
        <v>88320</v>
      </c>
      <c r="AF2" s="16">
        <v>15898</v>
      </c>
      <c r="AG2" s="15">
        <v>0</v>
      </c>
      <c r="AH2" s="15">
        <v>0</v>
      </c>
      <c r="AI2" s="15">
        <v>88320</v>
      </c>
      <c r="AJ2" s="15">
        <v>15898</v>
      </c>
      <c r="AK2" s="10">
        <v>88320</v>
      </c>
      <c r="AL2" s="15">
        <v>88320</v>
      </c>
      <c r="AM2" s="15">
        <v>4400457</v>
      </c>
      <c r="AN2" s="15">
        <v>533354</v>
      </c>
      <c r="AO2" s="15">
        <v>621674</v>
      </c>
      <c r="AP2" s="17">
        <v>5022131</v>
      </c>
      <c r="AQ2" s="15">
        <v>4600998</v>
      </c>
      <c r="AR2" s="15">
        <v>0</v>
      </c>
      <c r="AS2" s="18">
        <v>421133</v>
      </c>
      <c r="AT2" s="19">
        <v>0</v>
      </c>
      <c r="AU2" s="8">
        <v>8800</v>
      </c>
      <c r="AV2" s="13">
        <v>2590720</v>
      </c>
      <c r="AW2" s="18">
        <v>4400457</v>
      </c>
      <c r="AX2" s="15">
        <v>4401000</v>
      </c>
      <c r="AY2" s="20">
        <v>0.06</v>
      </c>
      <c r="AZ2" s="13">
        <v>264060</v>
      </c>
      <c r="BA2" s="15">
        <v>264100</v>
      </c>
      <c r="BB2" s="21">
        <v>685233</v>
      </c>
      <c r="BC2" s="10">
        <v>0</v>
      </c>
      <c r="BD2" s="10">
        <v>0</v>
      </c>
      <c r="BE2" s="10">
        <v>61.4</v>
      </c>
      <c r="BF2" s="10">
        <v>27.35</v>
      </c>
      <c r="BG2" s="22">
        <v>46176</v>
      </c>
      <c r="BH2" s="22">
        <v>46206</v>
      </c>
      <c r="BI2" s="23">
        <v>6</v>
      </c>
      <c r="BJ2" s="6" t="s">
        <v>3828</v>
      </c>
      <c r="BK2" s="6" t="s">
        <v>3829</v>
      </c>
      <c r="BL2" s="6" t="s">
        <v>3820</v>
      </c>
      <c r="BM2" s="6" t="s">
        <v>3821</v>
      </c>
      <c r="BN2" s="6" t="s">
        <v>3830</v>
      </c>
      <c r="BO2" t="s">
        <v>3823</v>
      </c>
      <c r="BP2" t="s">
        <v>3824</v>
      </c>
      <c r="BQ2" t="s">
        <v>3825</v>
      </c>
      <c r="BR2" t="s">
        <v>3826</v>
      </c>
      <c r="BS2" t="s">
        <v>3827</v>
      </c>
      <c r="BT2" t="s">
        <v>3835</v>
      </c>
      <c r="BU2" s="101">
        <v>771833.33333333326</v>
      </c>
    </row>
    <row r="3" spans="1:73" x14ac:dyDescent="0.25">
      <c r="A3" s="7" t="s">
        <v>407</v>
      </c>
      <c r="B3" s="7" t="s">
        <v>181</v>
      </c>
      <c r="C3" s="7" t="s">
        <v>405</v>
      </c>
      <c r="D3" s="8" t="s">
        <v>406</v>
      </c>
      <c r="E3" s="7" t="s">
        <v>408</v>
      </c>
      <c r="F3" s="9">
        <v>44925</v>
      </c>
      <c r="G3" s="9" t="s">
        <v>404</v>
      </c>
      <c r="H3" s="9" t="s">
        <v>66</v>
      </c>
      <c r="I3" s="8" t="s">
        <v>78</v>
      </c>
      <c r="J3" s="10">
        <v>775.01</v>
      </c>
      <c r="K3" s="10">
        <v>775.01</v>
      </c>
      <c r="L3" s="10">
        <v>0</v>
      </c>
      <c r="M3" s="10">
        <v>353.06</v>
      </c>
      <c r="N3" s="10">
        <v>353.06</v>
      </c>
      <c r="O3" s="10">
        <v>0</v>
      </c>
      <c r="P3" s="11">
        <v>11880.000258061187</v>
      </c>
      <c r="Q3" s="11">
        <v>26078.057553956834</v>
      </c>
      <c r="R3" s="11">
        <v>22000</v>
      </c>
      <c r="S3" s="11">
        <v>9207119</v>
      </c>
      <c r="T3" s="11">
        <v>1104856</v>
      </c>
      <c r="U3" s="12">
        <v>0.12000018681196582</v>
      </c>
      <c r="V3" s="13">
        <v>0</v>
      </c>
      <c r="W3" s="10">
        <v>0</v>
      </c>
      <c r="X3" s="10"/>
      <c r="Y3" s="10"/>
      <c r="Z3" s="11">
        <v>9207119</v>
      </c>
      <c r="AA3" s="14"/>
      <c r="AB3" s="14"/>
      <c r="AC3" s="11">
        <v>9207119</v>
      </c>
      <c r="AD3" s="10">
        <v>300</v>
      </c>
      <c r="AE3" s="15">
        <v>105918</v>
      </c>
      <c r="AF3" s="16">
        <v>19066</v>
      </c>
      <c r="AG3" s="15">
        <v>0</v>
      </c>
      <c r="AH3" s="15">
        <v>0</v>
      </c>
      <c r="AI3" s="15">
        <v>105918</v>
      </c>
      <c r="AJ3" s="15">
        <v>19066</v>
      </c>
      <c r="AK3" s="10">
        <v>105918</v>
      </c>
      <c r="AL3" s="15">
        <v>105918</v>
      </c>
      <c r="AM3" s="15">
        <v>9313037</v>
      </c>
      <c r="AN3" s="15">
        <v>1123922</v>
      </c>
      <c r="AO3" s="15">
        <v>1229840</v>
      </c>
      <c r="AP3" s="17">
        <v>10542877</v>
      </c>
      <c r="AQ3" s="15">
        <v>8656200</v>
      </c>
      <c r="AR3" s="15">
        <v>0</v>
      </c>
      <c r="AS3" s="18">
        <v>1886677</v>
      </c>
      <c r="AT3" s="19">
        <v>0</v>
      </c>
      <c r="AU3" s="8">
        <v>8800</v>
      </c>
      <c r="AV3" s="13">
        <v>3106928</v>
      </c>
      <c r="AW3" s="18">
        <v>9313037</v>
      </c>
      <c r="AX3" s="15">
        <v>9314000</v>
      </c>
      <c r="AY3" s="20">
        <v>7.0000000000000007E-2</v>
      </c>
      <c r="AZ3" s="13">
        <v>651980.00000000012</v>
      </c>
      <c r="BA3" s="15">
        <v>652000</v>
      </c>
      <c r="BB3" s="21">
        <v>2538677</v>
      </c>
      <c r="BC3" s="10">
        <v>0</v>
      </c>
      <c r="BD3" s="10">
        <v>0</v>
      </c>
      <c r="BE3" s="10">
        <v>72</v>
      </c>
      <c r="BF3" s="10">
        <v>32.799999999999997</v>
      </c>
      <c r="BG3" s="22">
        <v>46176</v>
      </c>
      <c r="BH3" s="22">
        <v>46206</v>
      </c>
      <c r="BI3" s="23">
        <v>7</v>
      </c>
      <c r="BJ3" s="6" t="s">
        <v>3828</v>
      </c>
      <c r="BK3" s="6" t="s">
        <v>3829</v>
      </c>
      <c r="BL3" s="6" t="s">
        <v>3820</v>
      </c>
      <c r="BM3" s="6" t="s">
        <v>3821</v>
      </c>
      <c r="BN3" s="6" t="s">
        <v>3830</v>
      </c>
      <c r="BO3" t="s">
        <v>3823</v>
      </c>
      <c r="BP3" t="s">
        <v>3824</v>
      </c>
      <c r="BQ3" t="s">
        <v>3825</v>
      </c>
      <c r="BR3" t="s">
        <v>3826</v>
      </c>
      <c r="BS3" t="s">
        <v>3827</v>
      </c>
      <c r="BT3" t="s">
        <v>3835</v>
      </c>
      <c r="BU3" s="101">
        <v>2999518.5989664001</v>
      </c>
    </row>
    <row r="4" spans="1:73" x14ac:dyDescent="0.25">
      <c r="A4" s="7" t="s">
        <v>625</v>
      </c>
      <c r="B4" s="7" t="s">
        <v>181</v>
      </c>
      <c r="C4" s="7" t="s">
        <v>623</v>
      </c>
      <c r="D4" s="8" t="s">
        <v>624</v>
      </c>
      <c r="E4" s="7" t="s">
        <v>626</v>
      </c>
      <c r="F4" s="9">
        <v>44896</v>
      </c>
      <c r="G4" s="9" t="s">
        <v>527</v>
      </c>
      <c r="H4" s="9" t="s">
        <v>190</v>
      </c>
      <c r="I4" s="8" t="s">
        <v>78</v>
      </c>
      <c r="J4" s="10">
        <v>1022.58</v>
      </c>
      <c r="K4" s="10">
        <v>974.53</v>
      </c>
      <c r="L4" s="10">
        <v>-48.050000000000068</v>
      </c>
      <c r="M4" s="10">
        <v>458.55</v>
      </c>
      <c r="N4" s="10">
        <v>437</v>
      </c>
      <c r="O4" s="10">
        <v>-21.550000000000011</v>
      </c>
      <c r="P4" s="11">
        <v>28517.099884605603</v>
      </c>
      <c r="Q4" s="11">
        <v>63593.972304001742</v>
      </c>
      <c r="R4" s="11">
        <v>60000</v>
      </c>
      <c r="S4" s="11">
        <v>29161016</v>
      </c>
      <c r="T4" s="11">
        <v>3499322</v>
      </c>
      <c r="U4" s="12">
        <v>0.12000000274338864</v>
      </c>
      <c r="V4" s="13">
        <v>-1370246.6494553012</v>
      </c>
      <c r="W4" s="10">
        <v>-164429.60169375525</v>
      </c>
      <c r="X4" s="15"/>
      <c r="Y4" s="15"/>
      <c r="Z4" s="11">
        <v>27790769.350544699</v>
      </c>
      <c r="AA4" s="14"/>
      <c r="AB4" s="14"/>
      <c r="AC4" s="11">
        <v>27790769.350544699</v>
      </c>
      <c r="AD4" s="10">
        <v>300</v>
      </c>
      <c r="AE4" s="15">
        <v>137565</v>
      </c>
      <c r="AF4" s="16">
        <v>24762</v>
      </c>
      <c r="AG4" s="15">
        <v>-6465.0000000000036</v>
      </c>
      <c r="AH4" s="15">
        <v>-1163.7000000000005</v>
      </c>
      <c r="AI4" s="15">
        <v>131100</v>
      </c>
      <c r="AJ4" s="15">
        <v>23598</v>
      </c>
      <c r="AK4" s="10">
        <v>137565</v>
      </c>
      <c r="AL4" s="15">
        <v>131100</v>
      </c>
      <c r="AM4" s="15">
        <v>27921869</v>
      </c>
      <c r="AN4" s="15">
        <v>3358491</v>
      </c>
      <c r="AO4" s="15">
        <v>3489591</v>
      </c>
      <c r="AP4" s="17">
        <v>31411460</v>
      </c>
      <c r="AQ4" s="15">
        <v>29394304</v>
      </c>
      <c r="AR4" s="15">
        <v>0</v>
      </c>
      <c r="AS4" s="18">
        <v>2017156</v>
      </c>
      <c r="AT4" s="19">
        <v>0</v>
      </c>
      <c r="AU4" s="8">
        <v>8800</v>
      </c>
      <c r="AV4" s="13">
        <v>3845600</v>
      </c>
      <c r="AW4" s="18">
        <v>27921869</v>
      </c>
      <c r="AX4" s="15">
        <v>27922000</v>
      </c>
      <c r="AY4" s="20">
        <v>0.06</v>
      </c>
      <c r="AZ4" s="13">
        <v>1675320</v>
      </c>
      <c r="BA4" s="15">
        <v>1675400</v>
      </c>
      <c r="BB4" s="21">
        <v>3692556</v>
      </c>
      <c r="BC4" s="10">
        <v>-4.698898863658596</v>
      </c>
      <c r="BD4" s="10">
        <v>-4.6995965543561251</v>
      </c>
      <c r="BE4" s="10">
        <v>90.54</v>
      </c>
      <c r="BF4" s="10">
        <v>40.6</v>
      </c>
      <c r="BG4" s="22">
        <v>46176</v>
      </c>
      <c r="BH4" s="22">
        <v>46206</v>
      </c>
      <c r="BI4" s="23">
        <v>6</v>
      </c>
      <c r="BJ4" s="6" t="s">
        <v>3828</v>
      </c>
      <c r="BK4" s="6" t="s">
        <v>3829</v>
      </c>
      <c r="BL4" s="6" t="s">
        <v>3820</v>
      </c>
      <c r="BM4" s="6" t="s">
        <v>3821</v>
      </c>
      <c r="BN4" s="6" t="s">
        <v>3830</v>
      </c>
      <c r="BO4" t="s">
        <v>3823</v>
      </c>
      <c r="BP4" t="s">
        <v>3824</v>
      </c>
      <c r="BQ4" t="s">
        <v>3825</v>
      </c>
      <c r="BR4" t="s">
        <v>3826</v>
      </c>
      <c r="BS4" t="s">
        <v>3827</v>
      </c>
      <c r="BT4" t="s">
        <v>3835</v>
      </c>
      <c r="BU4" s="101">
        <v>4312477.2774720006</v>
      </c>
    </row>
    <row r="5" spans="1:73" x14ac:dyDescent="0.25">
      <c r="A5" s="7" t="s">
        <v>908</v>
      </c>
      <c r="B5" s="7" t="s">
        <v>181</v>
      </c>
      <c r="C5" s="7" t="s">
        <v>906</v>
      </c>
      <c r="D5" s="8" t="s">
        <v>907</v>
      </c>
      <c r="E5" s="7" t="s">
        <v>909</v>
      </c>
      <c r="F5" s="9">
        <v>45026</v>
      </c>
      <c r="G5" s="9" t="s">
        <v>363</v>
      </c>
      <c r="H5" s="9" t="s">
        <v>87</v>
      </c>
      <c r="I5" s="8" t="s">
        <v>67</v>
      </c>
      <c r="J5" s="10">
        <v>755.15</v>
      </c>
      <c r="K5" s="10">
        <v>755.15</v>
      </c>
      <c r="L5" s="10">
        <v>0</v>
      </c>
      <c r="M5" s="10">
        <v>313.23</v>
      </c>
      <c r="N5" s="10">
        <v>313.23</v>
      </c>
      <c r="O5" s="10">
        <v>0</v>
      </c>
      <c r="P5" s="11">
        <v>10000</v>
      </c>
      <c r="Q5" s="11">
        <v>24108.48258468218</v>
      </c>
      <c r="R5" s="11">
        <v>40000</v>
      </c>
      <c r="S5" s="11">
        <v>7551500</v>
      </c>
      <c r="T5" s="11">
        <v>906180</v>
      </c>
      <c r="U5" s="12">
        <v>0.12</v>
      </c>
      <c r="V5" s="13">
        <v>0</v>
      </c>
      <c r="W5" s="10">
        <v>0</v>
      </c>
      <c r="X5" s="10"/>
      <c r="Y5" s="10"/>
      <c r="Z5" s="11">
        <v>7551500</v>
      </c>
      <c r="AA5" s="14"/>
      <c r="AB5" s="14"/>
      <c r="AC5" s="11">
        <v>7551500</v>
      </c>
      <c r="AD5" s="10">
        <v>300</v>
      </c>
      <c r="AE5" s="15">
        <v>93969</v>
      </c>
      <c r="AF5" s="16">
        <v>16914</v>
      </c>
      <c r="AG5" s="15">
        <v>0</v>
      </c>
      <c r="AH5" s="15">
        <v>0</v>
      </c>
      <c r="AI5" s="15">
        <v>93969</v>
      </c>
      <c r="AJ5" s="15">
        <v>16915</v>
      </c>
      <c r="AK5" s="10">
        <v>93969</v>
      </c>
      <c r="AL5" s="15">
        <v>93969</v>
      </c>
      <c r="AM5" s="15">
        <v>7645469</v>
      </c>
      <c r="AN5" s="15">
        <v>923095</v>
      </c>
      <c r="AO5" s="15">
        <v>1017245</v>
      </c>
      <c r="AP5" s="17">
        <v>8662714</v>
      </c>
      <c r="AQ5" s="15">
        <v>7566449</v>
      </c>
      <c r="AR5" s="15">
        <v>181</v>
      </c>
      <c r="AS5" s="18">
        <v>1096265</v>
      </c>
      <c r="AT5" s="19">
        <v>0</v>
      </c>
      <c r="AU5" s="8">
        <v>8800</v>
      </c>
      <c r="AV5" s="13">
        <v>2756424</v>
      </c>
      <c r="AW5" s="18">
        <v>7645469</v>
      </c>
      <c r="AX5" s="15">
        <v>7646000</v>
      </c>
      <c r="AY5" s="20">
        <v>7.0000000000000007E-2</v>
      </c>
      <c r="AZ5" s="13">
        <v>535220</v>
      </c>
      <c r="BA5" s="15">
        <v>535300</v>
      </c>
      <c r="BB5" s="21">
        <v>1631565</v>
      </c>
      <c r="BC5" s="10">
        <v>0</v>
      </c>
      <c r="BD5" s="10">
        <v>0</v>
      </c>
      <c r="BE5" s="10">
        <v>70.16</v>
      </c>
      <c r="BF5" s="10">
        <v>29.1</v>
      </c>
      <c r="BG5" s="22">
        <v>46176</v>
      </c>
      <c r="BH5" s="22">
        <v>46206</v>
      </c>
      <c r="BI5" s="23">
        <v>7</v>
      </c>
      <c r="BJ5" s="6" t="s">
        <v>3828</v>
      </c>
      <c r="BK5" s="6" t="s">
        <v>3829</v>
      </c>
      <c r="BL5" s="6" t="s">
        <v>3820</v>
      </c>
      <c r="BM5" s="6" t="s">
        <v>3821</v>
      </c>
      <c r="BN5" s="6" t="s">
        <v>3830</v>
      </c>
      <c r="BO5" t="s">
        <v>3823</v>
      </c>
      <c r="BP5" t="s">
        <v>3824</v>
      </c>
      <c r="BQ5" t="s">
        <v>3825</v>
      </c>
      <c r="BR5" t="s">
        <v>3826</v>
      </c>
      <c r="BS5" t="s">
        <v>3827</v>
      </c>
      <c r="BT5" t="s">
        <v>3835</v>
      </c>
      <c r="BU5" s="101">
        <v>5717701.4002416003</v>
      </c>
    </row>
    <row r="6" spans="1:73" x14ac:dyDescent="0.25">
      <c r="A6" s="7" t="s">
        <v>1440</v>
      </c>
      <c r="B6" s="7" t="s">
        <v>181</v>
      </c>
      <c r="C6" s="7" t="s">
        <v>1438</v>
      </c>
      <c r="D6" s="8" t="s">
        <v>1439</v>
      </c>
      <c r="E6" s="7" t="s">
        <v>1441</v>
      </c>
      <c r="F6" s="9">
        <v>44893</v>
      </c>
      <c r="G6" s="9" t="s">
        <v>65</v>
      </c>
      <c r="H6" s="9" t="s">
        <v>72</v>
      </c>
      <c r="I6" s="8" t="s">
        <v>78</v>
      </c>
      <c r="J6" s="10">
        <v>369.21</v>
      </c>
      <c r="K6" s="10">
        <v>369.21</v>
      </c>
      <c r="L6" s="10">
        <v>0</v>
      </c>
      <c r="M6" s="10">
        <v>160.38</v>
      </c>
      <c r="N6" s="10">
        <v>160.38</v>
      </c>
      <c r="O6" s="10">
        <v>0</v>
      </c>
      <c r="P6" s="11">
        <v>11103.001002139705</v>
      </c>
      <c r="Q6" s="11">
        <v>25560.163362015213</v>
      </c>
      <c r="R6" s="11">
        <v>20000</v>
      </c>
      <c r="S6" s="11">
        <v>4099339</v>
      </c>
      <c r="T6" s="11">
        <v>491920</v>
      </c>
      <c r="U6" s="12">
        <v>0.1199998341195983</v>
      </c>
      <c r="V6" s="13">
        <v>0</v>
      </c>
      <c r="W6" s="10">
        <v>0</v>
      </c>
      <c r="X6" s="10"/>
      <c r="Y6" s="10"/>
      <c r="Z6" s="11">
        <v>4099339</v>
      </c>
      <c r="AA6" s="14"/>
      <c r="AB6" s="14"/>
      <c r="AC6" s="11">
        <v>4099339</v>
      </c>
      <c r="AD6" s="10">
        <v>300</v>
      </c>
      <c r="AE6" s="15">
        <v>48114</v>
      </c>
      <c r="AF6" s="16">
        <v>8660</v>
      </c>
      <c r="AG6" s="15">
        <v>0</v>
      </c>
      <c r="AH6" s="15">
        <v>0</v>
      </c>
      <c r="AI6" s="15">
        <v>48114</v>
      </c>
      <c r="AJ6" s="15">
        <v>8661</v>
      </c>
      <c r="AK6" s="10">
        <v>48114</v>
      </c>
      <c r="AL6" s="15">
        <v>48114</v>
      </c>
      <c r="AM6" s="15">
        <v>4147453</v>
      </c>
      <c r="AN6" s="15">
        <v>500581</v>
      </c>
      <c r="AO6" s="15">
        <v>550095</v>
      </c>
      <c r="AP6" s="17">
        <v>4697548</v>
      </c>
      <c r="AQ6" s="15">
        <v>3779999</v>
      </c>
      <c r="AR6" s="15">
        <v>1400</v>
      </c>
      <c r="AS6" s="18">
        <v>917549</v>
      </c>
      <c r="AT6" s="19">
        <v>0</v>
      </c>
      <c r="AU6" s="8">
        <v>8800</v>
      </c>
      <c r="AV6" s="13">
        <v>1411344</v>
      </c>
      <c r="AW6" s="18">
        <v>4147453</v>
      </c>
      <c r="AX6" s="15">
        <v>4148000</v>
      </c>
      <c r="AY6" s="20">
        <v>0.05</v>
      </c>
      <c r="AZ6" s="13">
        <v>207400</v>
      </c>
      <c r="BA6" s="15">
        <v>207400</v>
      </c>
      <c r="BB6" s="21">
        <v>1124949</v>
      </c>
      <c r="BC6" s="10">
        <v>0</v>
      </c>
      <c r="BD6" s="10">
        <v>0</v>
      </c>
      <c r="BE6" s="10">
        <v>34.299999999999997</v>
      </c>
      <c r="BF6" s="10">
        <v>14.9</v>
      </c>
      <c r="BG6" s="22">
        <v>46176</v>
      </c>
      <c r="BH6" s="22">
        <v>46206</v>
      </c>
      <c r="BI6" s="23">
        <v>5</v>
      </c>
      <c r="BJ6" s="6" t="s">
        <v>3828</v>
      </c>
      <c r="BK6" s="6" t="s">
        <v>3829</v>
      </c>
      <c r="BL6" s="6" t="s">
        <v>3820</v>
      </c>
      <c r="BM6" s="6" t="s">
        <v>3821</v>
      </c>
      <c r="BN6" s="6" t="s">
        <v>3830</v>
      </c>
      <c r="BO6" t="s">
        <v>3823</v>
      </c>
      <c r="BP6" t="s">
        <v>3824</v>
      </c>
      <c r="BQ6" t="s">
        <v>3825</v>
      </c>
      <c r="BR6" t="s">
        <v>3826</v>
      </c>
      <c r="BS6" t="s">
        <v>3827</v>
      </c>
      <c r="BT6" t="s">
        <v>3835</v>
      </c>
      <c r="BU6" s="101">
        <v>1077283.596312</v>
      </c>
    </row>
    <row r="7" spans="1:73" x14ac:dyDescent="0.25">
      <c r="A7" s="7" t="s">
        <v>1853</v>
      </c>
      <c r="B7" s="7" t="s">
        <v>181</v>
      </c>
      <c r="C7" s="7" t="s">
        <v>1851</v>
      </c>
      <c r="D7" s="8" t="s">
        <v>1852</v>
      </c>
      <c r="E7" s="7" t="s">
        <v>1854</v>
      </c>
      <c r="F7" s="9">
        <v>45027</v>
      </c>
      <c r="G7" s="9" t="s">
        <v>363</v>
      </c>
      <c r="H7" s="9" t="s">
        <v>87</v>
      </c>
      <c r="I7" s="8" t="s">
        <v>67</v>
      </c>
      <c r="J7" s="10">
        <v>220.06</v>
      </c>
      <c r="K7" s="10">
        <v>220.06</v>
      </c>
      <c r="L7" s="10">
        <v>0</v>
      </c>
      <c r="M7" s="10">
        <v>88.26</v>
      </c>
      <c r="N7" s="10">
        <v>88.26</v>
      </c>
      <c r="O7" s="10">
        <v>0</v>
      </c>
      <c r="P7" s="11">
        <v>9759.3565391256925</v>
      </c>
      <c r="Q7" s="11">
        <v>24333.152050759119</v>
      </c>
      <c r="R7" s="11">
        <v>40000</v>
      </c>
      <c r="S7" s="11">
        <v>2147644</v>
      </c>
      <c r="T7" s="11">
        <v>257716</v>
      </c>
      <c r="U7" s="12">
        <v>0.11999940399805555</v>
      </c>
      <c r="V7" s="13">
        <v>0</v>
      </c>
      <c r="W7" s="10">
        <v>0</v>
      </c>
      <c r="X7" s="10"/>
      <c r="Y7" s="10"/>
      <c r="Z7" s="11">
        <v>2147644</v>
      </c>
      <c r="AA7" s="14"/>
      <c r="AB7" s="14"/>
      <c r="AC7" s="11">
        <v>2147644</v>
      </c>
      <c r="AD7" s="10">
        <v>300</v>
      </c>
      <c r="AE7" s="15">
        <v>26478</v>
      </c>
      <c r="AF7" s="16">
        <v>4766</v>
      </c>
      <c r="AG7" s="15">
        <v>0</v>
      </c>
      <c r="AH7" s="15">
        <v>0</v>
      </c>
      <c r="AI7" s="15">
        <v>26478</v>
      </c>
      <c r="AJ7" s="15">
        <v>4767</v>
      </c>
      <c r="AK7" s="10">
        <v>26478</v>
      </c>
      <c r="AL7" s="15">
        <v>26478</v>
      </c>
      <c r="AM7" s="15">
        <v>2174122</v>
      </c>
      <c r="AN7" s="15">
        <v>262483</v>
      </c>
      <c r="AO7" s="15">
        <v>294951</v>
      </c>
      <c r="AP7" s="17">
        <v>2469073</v>
      </c>
      <c r="AQ7" s="15">
        <v>712123.8</v>
      </c>
      <c r="AR7" s="15">
        <v>5990</v>
      </c>
      <c r="AS7" s="18">
        <v>1756949</v>
      </c>
      <c r="AT7" s="19">
        <v>0</v>
      </c>
      <c r="AU7" s="8">
        <v>8800</v>
      </c>
      <c r="AV7" s="13">
        <v>776688</v>
      </c>
      <c r="AW7" s="18">
        <v>2174122</v>
      </c>
      <c r="AX7" s="15">
        <v>2175000</v>
      </c>
      <c r="AY7" s="20">
        <v>0.06</v>
      </c>
      <c r="AZ7" s="13">
        <v>130500</v>
      </c>
      <c r="BA7" s="15">
        <v>130500</v>
      </c>
      <c r="BB7" s="21">
        <v>1887449</v>
      </c>
      <c r="BC7" s="10">
        <v>0</v>
      </c>
      <c r="BD7" s="10">
        <v>0</v>
      </c>
      <c r="BE7" s="10">
        <v>20.440000000000001</v>
      </c>
      <c r="BF7" s="10">
        <v>8.1999999999999993</v>
      </c>
      <c r="BG7" s="22">
        <v>46176</v>
      </c>
      <c r="BH7" s="22">
        <v>46206</v>
      </c>
      <c r="BI7" s="23">
        <v>6</v>
      </c>
      <c r="BJ7" s="6" t="s">
        <v>3828</v>
      </c>
      <c r="BK7" s="6" t="s">
        <v>3829</v>
      </c>
      <c r="BL7" s="6" t="s">
        <v>3820</v>
      </c>
      <c r="BM7" s="6" t="s">
        <v>3821</v>
      </c>
      <c r="BN7" s="6" t="s">
        <v>3830</v>
      </c>
      <c r="BO7" t="s">
        <v>3823</v>
      </c>
      <c r="BP7" t="s">
        <v>3824</v>
      </c>
      <c r="BQ7" t="s">
        <v>3825</v>
      </c>
      <c r="BR7" t="s">
        <v>3826</v>
      </c>
      <c r="BS7" t="s">
        <v>3827</v>
      </c>
      <c r="BT7" t="s">
        <v>3835</v>
      </c>
      <c r="BU7" s="101">
        <v>1931464.8595199999</v>
      </c>
    </row>
    <row r="8" spans="1:73" x14ac:dyDescent="0.25">
      <c r="A8" s="7" t="s">
        <v>1857</v>
      </c>
      <c r="B8" s="7" t="s">
        <v>181</v>
      </c>
      <c r="C8" s="7" t="s">
        <v>1855</v>
      </c>
      <c r="D8" s="8" t="s">
        <v>1856</v>
      </c>
      <c r="E8" s="7" t="s">
        <v>1858</v>
      </c>
      <c r="F8" s="9">
        <v>45027</v>
      </c>
      <c r="G8" s="9" t="s">
        <v>363</v>
      </c>
      <c r="H8" s="9" t="s">
        <v>87</v>
      </c>
      <c r="I8" s="8" t="s">
        <v>67</v>
      </c>
      <c r="J8" s="10">
        <v>220.06</v>
      </c>
      <c r="K8" s="10">
        <v>220.06</v>
      </c>
      <c r="L8" s="10">
        <v>0</v>
      </c>
      <c r="M8" s="10">
        <v>88.26</v>
      </c>
      <c r="N8" s="10">
        <v>88.26</v>
      </c>
      <c r="O8" s="10">
        <v>0</v>
      </c>
      <c r="P8" s="11">
        <v>9759.3565391256925</v>
      </c>
      <c r="Q8" s="11">
        <v>24333.152050759119</v>
      </c>
      <c r="R8" s="11">
        <v>40000</v>
      </c>
      <c r="S8" s="11">
        <v>2147644</v>
      </c>
      <c r="T8" s="11">
        <v>257716</v>
      </c>
      <c r="U8" s="12">
        <v>0.11999940399805555</v>
      </c>
      <c r="V8" s="13">
        <v>0</v>
      </c>
      <c r="W8" s="10">
        <v>0</v>
      </c>
      <c r="X8" s="10"/>
      <c r="Y8" s="10"/>
      <c r="Z8" s="11">
        <v>2147644</v>
      </c>
      <c r="AA8" s="14"/>
      <c r="AB8" s="14"/>
      <c r="AC8" s="11">
        <v>2147644</v>
      </c>
      <c r="AD8" s="10">
        <v>300</v>
      </c>
      <c r="AE8" s="15">
        <v>26478</v>
      </c>
      <c r="AF8" s="16">
        <v>4766</v>
      </c>
      <c r="AG8" s="15">
        <v>0</v>
      </c>
      <c r="AH8" s="15">
        <v>0</v>
      </c>
      <c r="AI8" s="15">
        <v>26478</v>
      </c>
      <c r="AJ8" s="15">
        <v>4767</v>
      </c>
      <c r="AK8" s="10">
        <v>26478</v>
      </c>
      <c r="AL8" s="15">
        <v>26478</v>
      </c>
      <c r="AM8" s="15">
        <v>2174122</v>
      </c>
      <c r="AN8" s="15">
        <v>262483</v>
      </c>
      <c r="AO8" s="15">
        <v>294951</v>
      </c>
      <c r="AP8" s="17">
        <v>2469073</v>
      </c>
      <c r="AQ8" s="15">
        <v>712082</v>
      </c>
      <c r="AR8" s="15">
        <v>5990</v>
      </c>
      <c r="AS8" s="18">
        <v>1756991</v>
      </c>
      <c r="AT8" s="19">
        <v>2200600</v>
      </c>
      <c r="AU8" s="8">
        <v>8800</v>
      </c>
      <c r="AV8" s="13">
        <v>776688</v>
      </c>
      <c r="AW8" s="18">
        <v>2200600</v>
      </c>
      <c r="AX8" s="15">
        <v>2201000</v>
      </c>
      <c r="AY8" s="20">
        <v>0.05</v>
      </c>
      <c r="AZ8" s="13">
        <v>110050</v>
      </c>
      <c r="BA8" s="15">
        <v>110100</v>
      </c>
      <c r="BB8" s="21">
        <v>1867091</v>
      </c>
      <c r="BC8" s="10">
        <v>0</v>
      </c>
      <c r="BD8" s="10">
        <v>0</v>
      </c>
      <c r="BE8" s="10">
        <v>20.440000000000001</v>
      </c>
      <c r="BF8" s="10">
        <v>8.1999999999999993</v>
      </c>
      <c r="BG8" s="22">
        <v>46176</v>
      </c>
      <c r="BH8" s="22">
        <v>46206</v>
      </c>
      <c r="BI8" s="23">
        <v>5</v>
      </c>
      <c r="BJ8" s="6" t="s">
        <v>3828</v>
      </c>
      <c r="BK8" s="6" t="s">
        <v>3829</v>
      </c>
      <c r="BL8" s="6" t="s">
        <v>3820</v>
      </c>
      <c r="BM8" s="6" t="s">
        <v>3821</v>
      </c>
      <c r="BN8" s="6" t="s">
        <v>3830</v>
      </c>
      <c r="BO8" t="s">
        <v>3823</v>
      </c>
      <c r="BP8" t="s">
        <v>3824</v>
      </c>
      <c r="BQ8" t="s">
        <v>3825</v>
      </c>
      <c r="BR8" t="s">
        <v>3826</v>
      </c>
      <c r="BS8" t="s">
        <v>3827</v>
      </c>
      <c r="BT8" t="s">
        <v>3835</v>
      </c>
      <c r="BU8" s="101">
        <v>1931464.8595199999</v>
      </c>
    </row>
  </sheetData>
  <conditionalFormatting sqref="E1">
    <cfRule type="duplicateValues" dxfId="3" priority="1" stopIfTrue="1"/>
  </conditionalFormatting>
  <conditionalFormatting sqref="C1:C8">
    <cfRule type="expression" dxfId="2" priority="2" stopIfTrue="1">
      <formula>AND(COUNTIF($C$937:$C$938, C1)+COUNTIF($C$1:$C$13, C1)+COUNTIF($C$287:$C$925, C1)+COUNTIF($C$926:$C$934, C1)+COUNTIF($C$962:$C$65471, C1)+COUNTIF($C$15:$C$285, C1)&gt;1,NOT(ISBLANK(C1)))</formula>
    </cfRule>
  </conditionalFormatting>
  <conditionalFormatting sqref="D1:D8">
    <cfRule type="expression" dxfId="1" priority="3" stopIfTrue="1">
      <formula>AND(COUNTIF($D$962:$D$65471, D1)+COUNTIF($D$1:$D$949, D1)&gt;1,NOT(ISBLANK(D1)))</formula>
    </cfRule>
  </conditionalFormatting>
  <conditionalFormatting sqref="C1:D8 A1:A8">
    <cfRule type="expression" dxfId="0" priority="4" stopIfTrue="1">
      <formula>AND(COUNTIF(#REF!, A1)+COUNTIF($C$962:$D$65471, A1)+COUNTIF($D$1:$D$925, A1)+COUNTIF($D$926:$D$940, A1)+COUNTIF($C$1:$C$940, A1)&gt;1,NOT(ISBLANK(A1)))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</vt:lpstr>
      <vt:lpstr>OOP Cases</vt:lpstr>
      <vt:lpstr>Excess Amount Cases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Singh1</dc:creator>
  <cp:lastModifiedBy>Sunny Shah</cp:lastModifiedBy>
  <dcterms:created xsi:type="dcterms:W3CDTF">2026-06-04T01:48:45Z</dcterms:created>
  <dcterms:modified xsi:type="dcterms:W3CDTF">2026-06-15T05:44:32Z</dcterms:modified>
</cp:coreProperties>
</file>